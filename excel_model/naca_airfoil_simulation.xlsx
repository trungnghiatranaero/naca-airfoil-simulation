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classical_naca_airfoil_geometry\excel_model\"/>
    </mc:Choice>
  </mc:AlternateContent>
  <xr:revisionPtr revIDLastSave="0" documentId="13_ncr:1_{7022295E-7E03-42A8-8695-E25614314353}" xr6:coauthVersionLast="47" xr6:coauthVersionMax="47" xr10:uidLastSave="{00000000-0000-0000-0000-000000000000}"/>
  <workbookProtection workbookAlgorithmName="SHA-512" workbookHashValue="h8oU9pMGk6dHUNHGt9Gsq63K1/E6jnebCm02xzqGp80kzA8+bSXUW1hkXnmeIZt1esXh2l9VuONtDVzEDBqWEQ==" workbookSaltValue="51jCE1MJVIwVmj6vyiUYZw==" workbookSpinCount="100000" lockStructure="1"/>
  <bookViews>
    <workbookView showHorizontalScroll="0" showVerticalScroll="0" showSheetTabs="0" xWindow="-108" yWindow="-108" windowWidth="23256" windowHeight="12456" xr2:uid="{C7B7226B-D5B4-4EF3-AAA0-D75BE5DCC693}"/>
  </bookViews>
  <sheets>
    <sheet name="Start_page" sheetId="5" r:id="rId1"/>
    <sheet name="Data1" sheetId="1" state="hidden" r:id="rId2"/>
    <sheet name="NACA_4-digit" sheetId="2" r:id="rId3"/>
    <sheet name="Data2" sheetId="3" state="hidden" r:id="rId4"/>
    <sheet name="NACA_5-digit" sheetId="4" r:id="rId5"/>
    <sheet name="Data3" sheetId="8" r:id="rId6"/>
    <sheet name="NACA_4mod" sheetId="6" r:id="rId7"/>
    <sheet name="Data4" sheetId="9" state="hidden" r:id="rId8"/>
    <sheet name="NACA_5mod" sheetId="7" r:id="rId9"/>
    <sheet name="Data5" sheetId="14" state="hidden" r:id="rId10"/>
    <sheet name="NACA_16-series" sheetId="15" r:id="rId11"/>
  </sheets>
  <definedNames>
    <definedName name="_xlnm.Print_Area" localSheetId="10">'NACA_16-series'!$A$1:$K$24</definedName>
    <definedName name="_xlnm.Print_Area" localSheetId="2">'NACA_4-digit'!$A$1:$M$28</definedName>
    <definedName name="_xlnm.Print_Area" localSheetId="6">NACA_4mod!$A$1:$M$28</definedName>
    <definedName name="_xlnm.Print_Area" localSheetId="4">'NACA_5-digit'!$A$1:$M$27</definedName>
    <definedName name="_xlnm.Print_Area" localSheetId="8">NACA_5mod!$A$1:$K$28</definedName>
    <definedName name="_xlnm.Print_Area" localSheetId="0">Start_page!$A$1:$V$34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6" l="1"/>
  <c r="A2" i="8"/>
  <c r="A1" i="8"/>
  <c r="F3" i="6"/>
  <c r="T1" i="14"/>
  <c r="S1" i="14"/>
  <c r="V1" i="14" s="1"/>
  <c r="S1" i="9"/>
  <c r="S1" i="8"/>
  <c r="A6" i="3"/>
  <c r="M1" i="1"/>
  <c r="D1" i="15"/>
  <c r="AD2" i="14"/>
  <c r="AD3" i="14"/>
  <c r="AD4" i="14"/>
  <c r="AD5" i="14"/>
  <c r="AD6" i="14"/>
  <c r="AD7" i="14"/>
  <c r="AD8" i="14"/>
  <c r="AD9" i="14"/>
  <c r="AD10" i="14"/>
  <c r="AD11" i="14"/>
  <c r="AD12" i="14"/>
  <c r="AD13" i="14"/>
  <c r="AD14" i="14"/>
  <c r="AD15" i="14"/>
  <c r="AD16" i="14"/>
  <c r="AD17" i="14"/>
  <c r="AD18" i="14"/>
  <c r="AD19" i="14"/>
  <c r="AD20" i="14"/>
  <c r="AD21" i="14"/>
  <c r="AD22" i="14"/>
  <c r="AD23" i="14"/>
  <c r="AD24" i="14"/>
  <c r="AD25" i="14"/>
  <c r="AD26" i="14"/>
  <c r="AD27" i="14"/>
  <c r="AD28" i="14"/>
  <c r="AD29" i="14"/>
  <c r="AD30" i="14"/>
  <c r="AD31" i="14"/>
  <c r="AD32" i="14"/>
  <c r="AD33" i="14"/>
  <c r="AD34" i="14"/>
  <c r="AD35" i="14"/>
  <c r="AD36" i="14"/>
  <c r="AD37" i="14"/>
  <c r="AD38" i="14"/>
  <c r="AD39" i="14"/>
  <c r="AD40" i="14"/>
  <c r="AD41" i="14"/>
  <c r="AD42" i="14"/>
  <c r="AD43" i="14"/>
  <c r="AD44" i="14"/>
  <c r="AD45" i="14"/>
  <c r="AD46" i="14"/>
  <c r="AD47" i="14"/>
  <c r="AD48" i="14"/>
  <c r="AD49" i="14"/>
  <c r="AD50" i="14"/>
  <c r="AD1" i="14"/>
  <c r="Y2" i="14"/>
  <c r="Y3" i="14"/>
  <c r="Y4" i="14"/>
  <c r="Y5" i="14"/>
  <c r="Y6" i="14"/>
  <c r="Y7" i="14"/>
  <c r="Y8" i="14"/>
  <c r="Y9" i="14"/>
  <c r="Y10" i="14"/>
  <c r="Y11" i="14"/>
  <c r="Y12" i="14"/>
  <c r="Y13" i="14"/>
  <c r="Y14" i="14"/>
  <c r="Y15" i="14"/>
  <c r="Y16" i="14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Y36" i="14"/>
  <c r="Y37" i="14"/>
  <c r="Y38" i="14"/>
  <c r="Y39" i="14"/>
  <c r="Y40" i="14"/>
  <c r="Y41" i="14"/>
  <c r="Y42" i="14"/>
  <c r="Y43" i="14"/>
  <c r="Y44" i="14"/>
  <c r="Y45" i="14"/>
  <c r="Y46" i="14"/>
  <c r="Y47" i="14"/>
  <c r="Y48" i="14"/>
  <c r="Y49" i="14"/>
  <c r="Y50" i="14"/>
  <c r="Y51" i="14"/>
  <c r="Y52" i="14"/>
  <c r="Y53" i="14"/>
  <c r="Y54" i="14"/>
  <c r="Y55" i="14"/>
  <c r="Y56" i="14"/>
  <c r="Y57" i="14"/>
  <c r="Y58" i="14"/>
  <c r="Y59" i="14"/>
  <c r="Y60" i="14"/>
  <c r="Y61" i="14"/>
  <c r="Y62" i="14"/>
  <c r="Y63" i="14"/>
  <c r="Y64" i="14"/>
  <c r="Y65" i="14"/>
  <c r="Y66" i="14"/>
  <c r="Y67" i="14"/>
  <c r="Y68" i="14"/>
  <c r="Y69" i="14"/>
  <c r="Y70" i="14"/>
  <c r="Y71" i="14"/>
  <c r="Y72" i="14"/>
  <c r="Y73" i="14"/>
  <c r="Y74" i="14"/>
  <c r="Y75" i="14"/>
  <c r="Y76" i="14"/>
  <c r="Y77" i="14"/>
  <c r="Y78" i="14"/>
  <c r="Y79" i="14"/>
  <c r="Y80" i="14"/>
  <c r="Y81" i="14"/>
  <c r="Y82" i="14"/>
  <c r="Y83" i="14"/>
  <c r="Y84" i="14"/>
  <c r="Y85" i="14"/>
  <c r="Y86" i="14"/>
  <c r="Y87" i="14"/>
  <c r="Y88" i="14"/>
  <c r="Y89" i="14"/>
  <c r="Y90" i="14"/>
  <c r="Y91" i="14"/>
  <c r="Y92" i="14"/>
  <c r="Y93" i="14"/>
  <c r="Y94" i="14"/>
  <c r="Y95" i="14"/>
  <c r="Y96" i="14"/>
  <c r="Y97" i="14"/>
  <c r="Y98" i="14"/>
  <c r="Y99" i="14"/>
  <c r="Y100" i="14"/>
  <c r="Y101" i="14"/>
  <c r="Y102" i="14"/>
  <c r="Y103" i="14"/>
  <c r="Y104" i="14"/>
  <c r="Y105" i="14"/>
  <c r="Y106" i="14"/>
  <c r="Y107" i="14"/>
  <c r="Y108" i="14"/>
  <c r="Y109" i="14"/>
  <c r="Y110" i="14"/>
  <c r="Y111" i="14"/>
  <c r="Y112" i="14"/>
  <c r="Y113" i="14"/>
  <c r="Y114" i="14"/>
  <c r="Y115" i="14"/>
  <c r="Y116" i="14"/>
  <c r="Y117" i="14"/>
  <c r="Y118" i="14"/>
  <c r="Y119" i="14"/>
  <c r="Y120" i="14"/>
  <c r="Y121" i="14"/>
  <c r="Y122" i="14"/>
  <c r="Y123" i="14"/>
  <c r="Y124" i="14"/>
  <c r="Y125" i="14"/>
  <c r="Y126" i="14"/>
  <c r="Y127" i="14"/>
  <c r="Y128" i="14"/>
  <c r="Y129" i="14"/>
  <c r="Y130" i="14"/>
  <c r="Y131" i="14"/>
  <c r="Y132" i="14"/>
  <c r="Y133" i="14"/>
  <c r="Y134" i="14"/>
  <c r="Y135" i="14"/>
  <c r="Y136" i="14"/>
  <c r="Y137" i="14"/>
  <c r="Y138" i="14"/>
  <c r="Y139" i="14"/>
  <c r="Y140" i="14"/>
  <c r="Y141" i="14"/>
  <c r="Y142" i="14"/>
  <c r="Y143" i="14"/>
  <c r="Y144" i="14"/>
  <c r="Y145" i="14"/>
  <c r="Y146" i="14"/>
  <c r="Y147" i="14"/>
  <c r="Y148" i="14"/>
  <c r="Y149" i="14"/>
  <c r="Y150" i="14"/>
  <c r="Y151" i="14"/>
  <c r="Y152" i="14"/>
  <c r="Y153" i="14"/>
  <c r="Y154" i="14"/>
  <c r="Y155" i="14"/>
  <c r="Y156" i="14"/>
  <c r="Y157" i="14"/>
  <c r="Y158" i="14"/>
  <c r="Y159" i="14"/>
  <c r="Y160" i="14"/>
  <c r="Y161" i="14"/>
  <c r="Y162" i="14"/>
  <c r="Y163" i="14"/>
  <c r="Y164" i="14"/>
  <c r="Y165" i="14"/>
  <c r="Y166" i="14"/>
  <c r="Y167" i="14"/>
  <c r="Y168" i="14"/>
  <c r="Y169" i="14"/>
  <c r="Y170" i="14"/>
  <c r="Y171" i="14"/>
  <c r="Y172" i="14"/>
  <c r="Y173" i="14"/>
  <c r="Y174" i="14"/>
  <c r="Y175" i="14"/>
  <c r="Y176" i="14"/>
  <c r="Y177" i="14"/>
  <c r="Y178" i="14"/>
  <c r="Y179" i="14"/>
  <c r="Y180" i="14"/>
  <c r="Y181" i="14"/>
  <c r="Y182" i="14"/>
  <c r="Y183" i="14"/>
  <c r="Y184" i="14"/>
  <c r="Y185" i="14"/>
  <c r="Y186" i="14"/>
  <c r="Y187" i="14"/>
  <c r="Y188" i="14"/>
  <c r="Y189" i="14"/>
  <c r="Y190" i="14"/>
  <c r="Y191" i="14"/>
  <c r="Y192" i="14"/>
  <c r="Y193" i="14"/>
  <c r="Y194" i="14"/>
  <c r="Y195" i="14"/>
  <c r="Y196" i="14"/>
  <c r="Y197" i="14"/>
  <c r="Y198" i="14"/>
  <c r="Y199" i="14"/>
  <c r="Y200" i="14"/>
  <c r="Y201" i="14"/>
  <c r="Y202" i="14"/>
  <c r="Y203" i="14"/>
  <c r="Y204" i="14"/>
  <c r="Y205" i="14"/>
  <c r="Y206" i="14"/>
  <c r="Y207" i="14"/>
  <c r="Y208" i="14"/>
  <c r="Y209" i="14"/>
  <c r="Y210" i="14"/>
  <c r="Y211" i="14"/>
  <c r="Y212" i="14"/>
  <c r="Y213" i="14"/>
  <c r="Y214" i="14"/>
  <c r="Y215" i="14"/>
  <c r="Y216" i="14"/>
  <c r="Y217" i="14"/>
  <c r="Y218" i="14"/>
  <c r="Y219" i="14"/>
  <c r="Y220" i="14"/>
  <c r="Y221" i="14"/>
  <c r="Y222" i="14"/>
  <c r="Y223" i="14"/>
  <c r="Y224" i="14"/>
  <c r="Y225" i="14"/>
  <c r="Y226" i="14"/>
  <c r="Y227" i="14"/>
  <c r="Y228" i="14"/>
  <c r="Y229" i="14"/>
  <c r="Y230" i="14"/>
  <c r="Y231" i="14"/>
  <c r="Y232" i="14"/>
  <c r="Y233" i="14"/>
  <c r="Y234" i="14"/>
  <c r="Y235" i="14"/>
  <c r="Y236" i="14"/>
  <c r="Y237" i="14"/>
  <c r="Y238" i="14"/>
  <c r="Y239" i="14"/>
  <c r="Y240" i="14"/>
  <c r="Y241" i="14"/>
  <c r="Y242" i="14"/>
  <c r="Y243" i="14"/>
  <c r="Y244" i="14"/>
  <c r="Y245" i="14"/>
  <c r="Y246" i="14"/>
  <c r="Y247" i="14"/>
  <c r="Y248" i="14"/>
  <c r="Y249" i="14"/>
  <c r="Y250" i="14"/>
  <c r="Y251" i="14"/>
  <c r="Y252" i="14"/>
  <c r="Y253" i="14"/>
  <c r="Y254" i="14"/>
  <c r="Y255" i="14"/>
  <c r="Y256" i="14"/>
  <c r="Y257" i="14"/>
  <c r="Y258" i="14"/>
  <c r="Y259" i="14"/>
  <c r="Y260" i="14"/>
  <c r="Y261" i="14"/>
  <c r="Y262" i="14"/>
  <c r="Y263" i="14"/>
  <c r="Y264" i="14"/>
  <c r="Y265" i="14"/>
  <c r="Y266" i="14"/>
  <c r="Y267" i="14"/>
  <c r="Y268" i="14"/>
  <c r="Y269" i="14"/>
  <c r="Y270" i="14"/>
  <c r="Y271" i="14"/>
  <c r="Y272" i="14"/>
  <c r="Y273" i="14"/>
  <c r="Y274" i="14"/>
  <c r="Y275" i="14"/>
  <c r="Y276" i="14"/>
  <c r="Y277" i="14"/>
  <c r="Y278" i="14"/>
  <c r="Y279" i="14"/>
  <c r="Y280" i="14"/>
  <c r="Y281" i="14"/>
  <c r="Y282" i="14"/>
  <c r="Y283" i="14"/>
  <c r="Y284" i="14"/>
  <c r="Y285" i="14"/>
  <c r="Y286" i="14"/>
  <c r="Y287" i="14"/>
  <c r="Y288" i="14"/>
  <c r="Y289" i="14"/>
  <c r="Y290" i="14"/>
  <c r="Y291" i="14"/>
  <c r="Y292" i="14"/>
  <c r="Y293" i="14"/>
  <c r="Y294" i="14"/>
  <c r="Y295" i="14"/>
  <c r="Y296" i="14"/>
  <c r="Y297" i="14"/>
  <c r="Y298" i="14"/>
  <c r="Y299" i="14"/>
  <c r="Y300" i="14"/>
  <c r="Y301" i="14"/>
  <c r="Y302" i="14"/>
  <c r="Y303" i="14"/>
  <c r="Y304" i="14"/>
  <c r="Y305" i="14"/>
  <c r="Y306" i="14"/>
  <c r="Y307" i="14"/>
  <c r="Y308" i="14"/>
  <c r="Y309" i="14"/>
  <c r="Y310" i="14"/>
  <c r="Y311" i="14"/>
  <c r="Y312" i="14"/>
  <c r="Y313" i="14"/>
  <c r="Y314" i="14"/>
  <c r="Y315" i="14"/>
  <c r="Y316" i="14"/>
  <c r="Y317" i="14"/>
  <c r="Y318" i="14"/>
  <c r="Y319" i="14"/>
  <c r="Y320" i="14"/>
  <c r="Y321" i="14"/>
  <c r="Y322" i="14"/>
  <c r="Y323" i="14"/>
  <c r="Y324" i="14"/>
  <c r="Y325" i="14"/>
  <c r="Y326" i="14"/>
  <c r="Y327" i="14"/>
  <c r="Y328" i="14"/>
  <c r="Y329" i="14"/>
  <c r="Y330" i="14"/>
  <c r="Y331" i="14"/>
  <c r="Y332" i="14"/>
  <c r="Y333" i="14"/>
  <c r="Y334" i="14"/>
  <c r="Y335" i="14"/>
  <c r="Y336" i="14"/>
  <c r="Y337" i="14"/>
  <c r="Y338" i="14"/>
  <c r="Y339" i="14"/>
  <c r="Y340" i="14"/>
  <c r="Y341" i="14"/>
  <c r="Y342" i="14"/>
  <c r="Y343" i="14"/>
  <c r="Y344" i="14"/>
  <c r="Y345" i="14"/>
  <c r="Y346" i="14"/>
  <c r="Y347" i="14"/>
  <c r="Y348" i="14"/>
  <c r="Y349" i="14"/>
  <c r="Y350" i="14"/>
  <c r="Y351" i="14"/>
  <c r="Y352" i="14"/>
  <c r="Y353" i="14"/>
  <c r="Y354" i="14"/>
  <c r="Y355" i="14"/>
  <c r="Y356" i="14"/>
  <c r="Y357" i="14"/>
  <c r="Y358" i="14"/>
  <c r="Y359" i="14"/>
  <c r="Y360" i="14"/>
  <c r="Y361" i="14"/>
  <c r="Y362" i="14"/>
  <c r="Y363" i="14"/>
  <c r="Y364" i="14"/>
  <c r="Y365" i="14"/>
  <c r="Y366" i="14"/>
  <c r="Y367" i="14"/>
  <c r="Y368" i="14"/>
  <c r="Y369" i="14"/>
  <c r="Y370" i="14"/>
  <c r="Y371" i="14"/>
  <c r="Y372" i="14"/>
  <c r="Y373" i="14"/>
  <c r="Y374" i="14"/>
  <c r="Y375" i="14"/>
  <c r="Y376" i="14"/>
  <c r="Y377" i="14"/>
  <c r="Y378" i="14"/>
  <c r="Y379" i="14"/>
  <c r="Y380" i="14"/>
  <c r="Y381" i="14"/>
  <c r="Y382" i="14"/>
  <c r="Y383" i="14"/>
  <c r="Y384" i="14"/>
  <c r="Y385" i="14"/>
  <c r="Y386" i="14"/>
  <c r="Y387" i="14"/>
  <c r="Y388" i="14"/>
  <c r="Y389" i="14"/>
  <c r="Y390" i="14"/>
  <c r="Y391" i="14"/>
  <c r="Y392" i="14"/>
  <c r="Y393" i="14"/>
  <c r="Y394" i="14"/>
  <c r="Y395" i="14"/>
  <c r="Y396" i="14"/>
  <c r="Y397" i="14"/>
  <c r="Y398" i="14"/>
  <c r="Y399" i="14"/>
  <c r="Y400" i="14"/>
  <c r="Y401" i="14"/>
  <c r="Y402" i="14"/>
  <c r="Y403" i="14"/>
  <c r="Y404" i="14"/>
  <c r="Y405" i="14"/>
  <c r="Y406" i="14"/>
  <c r="Y407" i="14"/>
  <c r="Y408" i="14"/>
  <c r="Y409" i="14"/>
  <c r="Y410" i="14"/>
  <c r="Y411" i="14"/>
  <c r="Y412" i="14"/>
  <c r="Y413" i="14"/>
  <c r="Y414" i="14"/>
  <c r="Y415" i="14"/>
  <c r="Y416" i="14"/>
  <c r="Y417" i="14"/>
  <c r="Y418" i="14"/>
  <c r="Y419" i="14"/>
  <c r="Y420" i="14"/>
  <c r="Y421" i="14"/>
  <c r="Y422" i="14"/>
  <c r="Y423" i="14"/>
  <c r="Y424" i="14"/>
  <c r="Y425" i="14"/>
  <c r="Y426" i="14"/>
  <c r="Y427" i="14"/>
  <c r="Y428" i="14"/>
  <c r="Y429" i="14"/>
  <c r="Y430" i="14"/>
  <c r="Y431" i="14"/>
  <c r="Y432" i="14"/>
  <c r="Y433" i="14"/>
  <c r="Y434" i="14"/>
  <c r="Y435" i="14"/>
  <c r="Y436" i="14"/>
  <c r="Y437" i="14"/>
  <c r="Y438" i="14"/>
  <c r="Y439" i="14"/>
  <c r="Y440" i="14"/>
  <c r="Y441" i="14"/>
  <c r="Y442" i="14"/>
  <c r="Y443" i="14"/>
  <c r="Y444" i="14"/>
  <c r="Y445" i="14"/>
  <c r="Y446" i="14"/>
  <c r="Y447" i="14"/>
  <c r="Y448" i="14"/>
  <c r="Y449" i="14"/>
  <c r="Y450" i="14"/>
  <c r="Y451" i="14"/>
  <c r="Y452" i="14"/>
  <c r="Y453" i="14"/>
  <c r="Y454" i="14"/>
  <c r="Y455" i="14"/>
  <c r="Y456" i="14"/>
  <c r="Y457" i="14"/>
  <c r="Y458" i="14"/>
  <c r="Y459" i="14"/>
  <c r="Y460" i="14"/>
  <c r="Y461" i="14"/>
  <c r="Y462" i="14"/>
  <c r="Y463" i="14"/>
  <c r="Y464" i="14"/>
  <c r="Y465" i="14"/>
  <c r="Y466" i="14"/>
  <c r="Y467" i="14"/>
  <c r="Y468" i="14"/>
  <c r="Y469" i="14"/>
  <c r="Y470" i="14"/>
  <c r="Y471" i="14"/>
  <c r="Y472" i="14"/>
  <c r="Y473" i="14"/>
  <c r="Y474" i="14"/>
  <c r="Y475" i="14"/>
  <c r="Y476" i="14"/>
  <c r="Y477" i="14"/>
  <c r="Y478" i="14"/>
  <c r="Y479" i="14"/>
  <c r="Y480" i="14"/>
  <c r="Y481" i="14"/>
  <c r="Y482" i="14"/>
  <c r="Y483" i="14"/>
  <c r="Y484" i="14"/>
  <c r="Y485" i="14"/>
  <c r="Y486" i="14"/>
  <c r="Y487" i="14"/>
  <c r="Y488" i="14"/>
  <c r="Y489" i="14"/>
  <c r="Y490" i="14"/>
  <c r="Y491" i="14"/>
  <c r="Y492" i="14"/>
  <c r="Y493" i="14"/>
  <c r="Y494" i="14"/>
  <c r="Y495" i="14"/>
  <c r="Y496" i="14"/>
  <c r="Y497" i="14"/>
  <c r="Y498" i="14"/>
  <c r="Y499" i="14"/>
  <c r="Y500" i="14"/>
  <c r="Y1" i="14"/>
  <c r="AD2" i="9"/>
  <c r="AD3" i="9"/>
  <c r="AD4" i="9"/>
  <c r="AD5" i="9"/>
  <c r="AD6" i="9"/>
  <c r="AD7" i="9"/>
  <c r="AD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1" i="9"/>
  <c r="Y2" i="9"/>
  <c r="Y3" i="9"/>
  <c r="Y4" i="9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Y143" i="9"/>
  <c r="Y144" i="9"/>
  <c r="Y145" i="9"/>
  <c r="Y146" i="9"/>
  <c r="Y147" i="9"/>
  <c r="Y148" i="9"/>
  <c r="Y149" i="9"/>
  <c r="Y150" i="9"/>
  <c r="Y151" i="9"/>
  <c r="Y152" i="9"/>
  <c r="Y153" i="9"/>
  <c r="Y154" i="9"/>
  <c r="Y155" i="9"/>
  <c r="Y156" i="9"/>
  <c r="Y157" i="9"/>
  <c r="Y158" i="9"/>
  <c r="Y159" i="9"/>
  <c r="Y160" i="9"/>
  <c r="Y161" i="9"/>
  <c r="Y162" i="9"/>
  <c r="Y163" i="9"/>
  <c r="Y164" i="9"/>
  <c r="Y165" i="9"/>
  <c r="Y166" i="9"/>
  <c r="Y167" i="9"/>
  <c r="Y168" i="9"/>
  <c r="Y169" i="9"/>
  <c r="Y170" i="9"/>
  <c r="Y171" i="9"/>
  <c r="Y172" i="9"/>
  <c r="Y173" i="9"/>
  <c r="Y174" i="9"/>
  <c r="Y175" i="9"/>
  <c r="Y176" i="9"/>
  <c r="Y177" i="9"/>
  <c r="Y178" i="9"/>
  <c r="Y179" i="9"/>
  <c r="Y180" i="9"/>
  <c r="Y181" i="9"/>
  <c r="Y182" i="9"/>
  <c r="Y183" i="9"/>
  <c r="Y184" i="9"/>
  <c r="Y185" i="9"/>
  <c r="Y186" i="9"/>
  <c r="Y187" i="9"/>
  <c r="Y188" i="9"/>
  <c r="Y189" i="9"/>
  <c r="Y190" i="9"/>
  <c r="Y191" i="9"/>
  <c r="Y192" i="9"/>
  <c r="Y193" i="9"/>
  <c r="Y194" i="9"/>
  <c r="Y195" i="9"/>
  <c r="Y196" i="9"/>
  <c r="Y197" i="9"/>
  <c r="Y198" i="9"/>
  <c r="Y199" i="9"/>
  <c r="Y200" i="9"/>
  <c r="Y201" i="9"/>
  <c r="Y202" i="9"/>
  <c r="Y203" i="9"/>
  <c r="Y204" i="9"/>
  <c r="Y205" i="9"/>
  <c r="Y206" i="9"/>
  <c r="Y207" i="9"/>
  <c r="Y208" i="9"/>
  <c r="Y209" i="9"/>
  <c r="Y210" i="9"/>
  <c r="Y211" i="9"/>
  <c r="Y212" i="9"/>
  <c r="Y213" i="9"/>
  <c r="Y214" i="9"/>
  <c r="Y215" i="9"/>
  <c r="Y216" i="9"/>
  <c r="Y217" i="9"/>
  <c r="Y218" i="9"/>
  <c r="Y219" i="9"/>
  <c r="Y220" i="9"/>
  <c r="Y221" i="9"/>
  <c r="Y222" i="9"/>
  <c r="Y223" i="9"/>
  <c r="Y224" i="9"/>
  <c r="Y225" i="9"/>
  <c r="Y226" i="9"/>
  <c r="Y227" i="9"/>
  <c r="Y228" i="9"/>
  <c r="Y229" i="9"/>
  <c r="Y230" i="9"/>
  <c r="Y231" i="9"/>
  <c r="Y232" i="9"/>
  <c r="Y233" i="9"/>
  <c r="Y234" i="9"/>
  <c r="Y235" i="9"/>
  <c r="Y236" i="9"/>
  <c r="Y237" i="9"/>
  <c r="Y238" i="9"/>
  <c r="Y239" i="9"/>
  <c r="Y240" i="9"/>
  <c r="Y241" i="9"/>
  <c r="Y242" i="9"/>
  <c r="Y243" i="9"/>
  <c r="Y244" i="9"/>
  <c r="Y245" i="9"/>
  <c r="Y246" i="9"/>
  <c r="Y247" i="9"/>
  <c r="Y248" i="9"/>
  <c r="Y249" i="9"/>
  <c r="Y250" i="9"/>
  <c r="Y251" i="9"/>
  <c r="Y252" i="9"/>
  <c r="Y253" i="9"/>
  <c r="Y254" i="9"/>
  <c r="Y255" i="9"/>
  <c r="Y256" i="9"/>
  <c r="Y257" i="9"/>
  <c r="Y258" i="9"/>
  <c r="Y259" i="9"/>
  <c r="Y260" i="9"/>
  <c r="Y261" i="9"/>
  <c r="Y262" i="9"/>
  <c r="Y263" i="9"/>
  <c r="Y264" i="9"/>
  <c r="Y265" i="9"/>
  <c r="Y266" i="9"/>
  <c r="Y267" i="9"/>
  <c r="Y268" i="9"/>
  <c r="Y269" i="9"/>
  <c r="Y270" i="9"/>
  <c r="Y271" i="9"/>
  <c r="Y272" i="9"/>
  <c r="Y273" i="9"/>
  <c r="Y274" i="9"/>
  <c r="Y275" i="9"/>
  <c r="Y276" i="9"/>
  <c r="Y277" i="9"/>
  <c r="Y278" i="9"/>
  <c r="Y279" i="9"/>
  <c r="Y280" i="9"/>
  <c r="Y281" i="9"/>
  <c r="Y282" i="9"/>
  <c r="Y283" i="9"/>
  <c r="Y284" i="9"/>
  <c r="Y285" i="9"/>
  <c r="Y286" i="9"/>
  <c r="Y287" i="9"/>
  <c r="Y288" i="9"/>
  <c r="Y289" i="9"/>
  <c r="Y290" i="9"/>
  <c r="Y291" i="9"/>
  <c r="Y292" i="9"/>
  <c r="Y293" i="9"/>
  <c r="Y294" i="9"/>
  <c r="Y295" i="9"/>
  <c r="Y296" i="9"/>
  <c r="Y297" i="9"/>
  <c r="Y298" i="9"/>
  <c r="Y299" i="9"/>
  <c r="Y300" i="9"/>
  <c r="Y301" i="9"/>
  <c r="Y302" i="9"/>
  <c r="Y303" i="9"/>
  <c r="Y304" i="9"/>
  <c r="Y305" i="9"/>
  <c r="Y306" i="9"/>
  <c r="Y307" i="9"/>
  <c r="Y308" i="9"/>
  <c r="Y309" i="9"/>
  <c r="Y310" i="9"/>
  <c r="Y311" i="9"/>
  <c r="Y312" i="9"/>
  <c r="Y313" i="9"/>
  <c r="Y314" i="9"/>
  <c r="Y315" i="9"/>
  <c r="Y316" i="9"/>
  <c r="Y317" i="9"/>
  <c r="Y318" i="9"/>
  <c r="Y319" i="9"/>
  <c r="Y320" i="9"/>
  <c r="Y321" i="9"/>
  <c r="Y322" i="9"/>
  <c r="Y323" i="9"/>
  <c r="Y324" i="9"/>
  <c r="Y325" i="9"/>
  <c r="Y326" i="9"/>
  <c r="Y327" i="9"/>
  <c r="Y328" i="9"/>
  <c r="Y329" i="9"/>
  <c r="Y330" i="9"/>
  <c r="Y331" i="9"/>
  <c r="Y332" i="9"/>
  <c r="Y333" i="9"/>
  <c r="Y334" i="9"/>
  <c r="Y335" i="9"/>
  <c r="Y336" i="9"/>
  <c r="Y337" i="9"/>
  <c r="Y338" i="9"/>
  <c r="Y339" i="9"/>
  <c r="Y340" i="9"/>
  <c r="Y341" i="9"/>
  <c r="Y342" i="9"/>
  <c r="Y343" i="9"/>
  <c r="Y344" i="9"/>
  <c r="Y345" i="9"/>
  <c r="Y346" i="9"/>
  <c r="Y347" i="9"/>
  <c r="Y348" i="9"/>
  <c r="Y349" i="9"/>
  <c r="Y350" i="9"/>
  <c r="Y351" i="9"/>
  <c r="Y352" i="9"/>
  <c r="Y353" i="9"/>
  <c r="Y354" i="9"/>
  <c r="Y355" i="9"/>
  <c r="Y356" i="9"/>
  <c r="Y357" i="9"/>
  <c r="Y358" i="9"/>
  <c r="Y359" i="9"/>
  <c r="Y360" i="9"/>
  <c r="Y361" i="9"/>
  <c r="Y362" i="9"/>
  <c r="Y363" i="9"/>
  <c r="Y364" i="9"/>
  <c r="Y365" i="9"/>
  <c r="Y366" i="9"/>
  <c r="Y367" i="9"/>
  <c r="Y368" i="9"/>
  <c r="Y369" i="9"/>
  <c r="Y370" i="9"/>
  <c r="Y371" i="9"/>
  <c r="Y372" i="9"/>
  <c r="Y373" i="9"/>
  <c r="Y374" i="9"/>
  <c r="Y375" i="9"/>
  <c r="Y376" i="9"/>
  <c r="Y377" i="9"/>
  <c r="Y378" i="9"/>
  <c r="Y379" i="9"/>
  <c r="Y380" i="9"/>
  <c r="Y381" i="9"/>
  <c r="Y382" i="9"/>
  <c r="Y383" i="9"/>
  <c r="Y384" i="9"/>
  <c r="Y385" i="9"/>
  <c r="Y386" i="9"/>
  <c r="Y387" i="9"/>
  <c r="Y388" i="9"/>
  <c r="Y389" i="9"/>
  <c r="Y390" i="9"/>
  <c r="Y391" i="9"/>
  <c r="Y392" i="9"/>
  <c r="Y393" i="9"/>
  <c r="Y394" i="9"/>
  <c r="Y395" i="9"/>
  <c r="Y396" i="9"/>
  <c r="Y397" i="9"/>
  <c r="Y398" i="9"/>
  <c r="Y399" i="9"/>
  <c r="Y400" i="9"/>
  <c r="Y401" i="9"/>
  <c r="Y402" i="9"/>
  <c r="Y403" i="9"/>
  <c r="Y404" i="9"/>
  <c r="Y405" i="9"/>
  <c r="Y406" i="9"/>
  <c r="Y407" i="9"/>
  <c r="Y408" i="9"/>
  <c r="Y409" i="9"/>
  <c r="Y410" i="9"/>
  <c r="Y411" i="9"/>
  <c r="Y412" i="9"/>
  <c r="Y413" i="9"/>
  <c r="Y414" i="9"/>
  <c r="Y415" i="9"/>
  <c r="Y416" i="9"/>
  <c r="Y417" i="9"/>
  <c r="Y418" i="9"/>
  <c r="Y419" i="9"/>
  <c r="Y420" i="9"/>
  <c r="Y421" i="9"/>
  <c r="Y422" i="9"/>
  <c r="Y423" i="9"/>
  <c r="Y424" i="9"/>
  <c r="Y425" i="9"/>
  <c r="Y426" i="9"/>
  <c r="Y427" i="9"/>
  <c r="Y428" i="9"/>
  <c r="Y429" i="9"/>
  <c r="Y430" i="9"/>
  <c r="Y431" i="9"/>
  <c r="Y432" i="9"/>
  <c r="Y433" i="9"/>
  <c r="Y434" i="9"/>
  <c r="Y435" i="9"/>
  <c r="Y436" i="9"/>
  <c r="Y437" i="9"/>
  <c r="Y438" i="9"/>
  <c r="Y439" i="9"/>
  <c r="Y440" i="9"/>
  <c r="Y441" i="9"/>
  <c r="Y442" i="9"/>
  <c r="Y443" i="9"/>
  <c r="Y444" i="9"/>
  <c r="Y445" i="9"/>
  <c r="Y446" i="9"/>
  <c r="Y447" i="9"/>
  <c r="Y448" i="9"/>
  <c r="Y449" i="9"/>
  <c r="Y450" i="9"/>
  <c r="Y451" i="9"/>
  <c r="Y452" i="9"/>
  <c r="Y453" i="9"/>
  <c r="Y454" i="9"/>
  <c r="Y455" i="9"/>
  <c r="Y456" i="9"/>
  <c r="Y457" i="9"/>
  <c r="Y458" i="9"/>
  <c r="Y459" i="9"/>
  <c r="Y460" i="9"/>
  <c r="Y461" i="9"/>
  <c r="Y462" i="9"/>
  <c r="Y463" i="9"/>
  <c r="Y464" i="9"/>
  <c r="Y465" i="9"/>
  <c r="Y466" i="9"/>
  <c r="Y467" i="9"/>
  <c r="Y468" i="9"/>
  <c r="Y469" i="9"/>
  <c r="Y470" i="9"/>
  <c r="Y471" i="9"/>
  <c r="Y472" i="9"/>
  <c r="Y473" i="9"/>
  <c r="Y474" i="9"/>
  <c r="Y475" i="9"/>
  <c r="Y476" i="9"/>
  <c r="Y477" i="9"/>
  <c r="Y478" i="9"/>
  <c r="Y479" i="9"/>
  <c r="Y480" i="9"/>
  <c r="Y481" i="9"/>
  <c r="Y482" i="9"/>
  <c r="Y483" i="9"/>
  <c r="Y484" i="9"/>
  <c r="Y485" i="9"/>
  <c r="Y486" i="9"/>
  <c r="Y487" i="9"/>
  <c r="Y488" i="9"/>
  <c r="Y489" i="9"/>
  <c r="Y490" i="9"/>
  <c r="Y491" i="9"/>
  <c r="Y492" i="9"/>
  <c r="Y493" i="9"/>
  <c r="Y494" i="9"/>
  <c r="Y495" i="9"/>
  <c r="Y496" i="9"/>
  <c r="Y497" i="9"/>
  <c r="Y498" i="9"/>
  <c r="Y499" i="9"/>
  <c r="Y500" i="9"/>
  <c r="Y1" i="9"/>
  <c r="AD2" i="8"/>
  <c r="AD3" i="8"/>
  <c r="AD4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1" i="8"/>
  <c r="X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X1" i="3"/>
  <c r="R1" i="3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U1" i="14" l="1"/>
  <c r="D1" i="7"/>
  <c r="A14" i="3"/>
  <c r="F2" i="4" s="1"/>
  <c r="F4" i="4"/>
  <c r="F1" i="4" s="1"/>
  <c r="A1" i="14"/>
  <c r="C67" i="14" s="1"/>
  <c r="B1" i="14" a="1"/>
  <c r="L1" i="14"/>
  <c r="D2" i="15" s="1"/>
  <c r="N1" i="14"/>
  <c r="O1" i="14"/>
  <c r="AB1" i="14" a="1"/>
  <c r="AB1" i="14" s="1"/>
  <c r="A2" i="14"/>
  <c r="A3" i="14"/>
  <c r="D3" i="15" s="1"/>
  <c r="G3" i="15" s="1"/>
  <c r="O1" i="1"/>
  <c r="C350" i="14" l="1"/>
  <c r="E473" i="14"/>
  <c r="F473" i="14" s="1"/>
  <c r="C446" i="14"/>
  <c r="C15" i="14"/>
  <c r="E407" i="14"/>
  <c r="F407" i="14" s="1"/>
  <c r="E398" i="14"/>
  <c r="F398" i="14" s="1"/>
  <c r="C426" i="14"/>
  <c r="E300" i="14"/>
  <c r="F300" i="14" s="1"/>
  <c r="E230" i="14"/>
  <c r="F230" i="14" s="1"/>
  <c r="C486" i="14"/>
  <c r="C434" i="14"/>
  <c r="C328" i="14"/>
  <c r="E469" i="14"/>
  <c r="F469" i="14" s="1"/>
  <c r="E375" i="14"/>
  <c r="F375" i="14" s="1"/>
  <c r="C365" i="14"/>
  <c r="E478" i="14"/>
  <c r="F478" i="14" s="1"/>
  <c r="C469" i="14"/>
  <c r="E460" i="14"/>
  <c r="F460" i="14" s="1"/>
  <c r="C412" i="14"/>
  <c r="E403" i="14"/>
  <c r="F403" i="14" s="1"/>
  <c r="E308" i="14"/>
  <c r="F308" i="14" s="1"/>
  <c r="C247" i="14"/>
  <c r="E484" i="14"/>
  <c r="F484" i="14" s="1"/>
  <c r="E440" i="14"/>
  <c r="F440" i="14" s="1"/>
  <c r="C403" i="14"/>
  <c r="E344" i="14"/>
  <c r="F344" i="14" s="1"/>
  <c r="E326" i="14"/>
  <c r="F326" i="14" s="1"/>
  <c r="E316" i="14"/>
  <c r="F316" i="14" s="1"/>
  <c r="C207" i="14"/>
  <c r="E492" i="14"/>
  <c r="F492" i="14" s="1"/>
  <c r="C484" i="14"/>
  <c r="E431" i="14"/>
  <c r="F431" i="14" s="1"/>
  <c r="E392" i="14"/>
  <c r="F392" i="14" s="1"/>
  <c r="C382" i="14"/>
  <c r="C373" i="14"/>
  <c r="C353" i="14"/>
  <c r="C344" i="14"/>
  <c r="C316" i="14"/>
  <c r="C138" i="14"/>
  <c r="C455" i="14"/>
  <c r="C407" i="14"/>
  <c r="C251" i="14"/>
  <c r="E223" i="14"/>
  <c r="F223" i="14" s="1"/>
  <c r="C202" i="14"/>
  <c r="E496" i="14"/>
  <c r="E480" i="14"/>
  <c r="F480" i="14" s="1"/>
  <c r="E463" i="14"/>
  <c r="F463" i="14" s="1"/>
  <c r="E320" i="14"/>
  <c r="F320" i="14" s="1"/>
  <c r="E290" i="14"/>
  <c r="F290" i="14" s="1"/>
  <c r="C282" i="14"/>
  <c r="E211" i="14"/>
  <c r="F211" i="14" s="1"/>
  <c r="E486" i="14"/>
  <c r="F486" i="14" s="1"/>
  <c r="E434" i="14"/>
  <c r="F434" i="14" s="1"/>
  <c r="E357" i="14"/>
  <c r="F357" i="14" s="1"/>
  <c r="C290" i="14"/>
  <c r="E495" i="14"/>
  <c r="F495" i="14" s="1"/>
  <c r="E479" i="14"/>
  <c r="F479" i="14" s="1"/>
  <c r="C338" i="14"/>
  <c r="C309" i="14"/>
  <c r="E238" i="14"/>
  <c r="F238" i="14" s="1"/>
  <c r="C431" i="14"/>
  <c r="C334" i="14"/>
  <c r="E225" i="14"/>
  <c r="F225" i="14" s="1"/>
  <c r="C184" i="14"/>
  <c r="E499" i="14"/>
  <c r="F499" i="14" s="1"/>
  <c r="C466" i="14"/>
  <c r="E438" i="14"/>
  <c r="F438" i="14" s="1"/>
  <c r="E391" i="14"/>
  <c r="F391" i="14" s="1"/>
  <c r="C381" i="14"/>
  <c r="E284" i="14"/>
  <c r="F284" i="14" s="1"/>
  <c r="E275" i="14"/>
  <c r="F275" i="14" s="1"/>
  <c r="E233" i="14"/>
  <c r="F233" i="14" s="1"/>
  <c r="E482" i="14"/>
  <c r="F482" i="14" s="1"/>
  <c r="C456" i="14"/>
  <c r="E446" i="14"/>
  <c r="F446" i="14" s="1"/>
  <c r="C360" i="14"/>
  <c r="E342" i="14"/>
  <c r="F342" i="14" s="1"/>
  <c r="C284" i="14"/>
  <c r="C275" i="14"/>
  <c r="E264" i="14"/>
  <c r="F264" i="14" s="1"/>
  <c r="C233" i="14"/>
  <c r="C224" i="14"/>
  <c r="E193" i="14"/>
  <c r="F193" i="14" s="1"/>
  <c r="C190" i="14"/>
  <c r="C156" i="14"/>
  <c r="E490" i="14"/>
  <c r="F490" i="14" s="1"/>
  <c r="E476" i="14"/>
  <c r="F476" i="14" s="1"/>
  <c r="C441" i="14"/>
  <c r="E358" i="14"/>
  <c r="F358" i="14" s="1"/>
  <c r="C342" i="14"/>
  <c r="C285" i="14"/>
  <c r="E256" i="14"/>
  <c r="F256" i="14" s="1"/>
  <c r="E208" i="14"/>
  <c r="F208" i="14" s="1"/>
  <c r="E109" i="14"/>
  <c r="F109" i="14" s="1"/>
  <c r="C497" i="14"/>
  <c r="C490" i="14"/>
  <c r="C476" i="14"/>
  <c r="E449" i="14"/>
  <c r="F449" i="14" s="1"/>
  <c r="E424" i="14"/>
  <c r="F424" i="14" s="1"/>
  <c r="E413" i="14"/>
  <c r="F413" i="14" s="1"/>
  <c r="E396" i="14"/>
  <c r="F396" i="14" s="1"/>
  <c r="E349" i="14"/>
  <c r="F349" i="14" s="1"/>
  <c r="E313" i="14"/>
  <c r="F313" i="14" s="1"/>
  <c r="C304" i="14"/>
  <c r="C217" i="14"/>
  <c r="E131" i="14"/>
  <c r="F131" i="14" s="1"/>
  <c r="C491" i="14"/>
  <c r="E456" i="14"/>
  <c r="F456" i="14" s="1"/>
  <c r="E417" i="14"/>
  <c r="F417" i="14" s="1"/>
  <c r="E376" i="14"/>
  <c r="F376" i="14" s="1"/>
  <c r="E368" i="14"/>
  <c r="F368" i="14" s="1"/>
  <c r="C343" i="14"/>
  <c r="E336" i="14"/>
  <c r="F336" i="14" s="1"/>
  <c r="C319" i="14"/>
  <c r="C276" i="14"/>
  <c r="E267" i="14"/>
  <c r="F267" i="14" s="1"/>
  <c r="E258" i="14"/>
  <c r="F258" i="14" s="1"/>
  <c r="C215" i="14"/>
  <c r="E166" i="14"/>
  <c r="F166" i="14" s="1"/>
  <c r="E156" i="14"/>
  <c r="F156" i="14" s="1"/>
  <c r="E487" i="14"/>
  <c r="F487" i="14" s="1"/>
  <c r="E475" i="14"/>
  <c r="F475" i="14" s="1"/>
  <c r="C452" i="14"/>
  <c r="E420" i="14"/>
  <c r="F420" i="14" s="1"/>
  <c r="C397" i="14"/>
  <c r="E389" i="14"/>
  <c r="F389" i="14" s="1"/>
  <c r="C339" i="14"/>
  <c r="C331" i="14"/>
  <c r="E297" i="14"/>
  <c r="F297" i="14" s="1"/>
  <c r="C288" i="14"/>
  <c r="E244" i="14"/>
  <c r="F244" i="14" s="1"/>
  <c r="E226" i="14"/>
  <c r="F226" i="14" s="1"/>
  <c r="C218" i="14"/>
  <c r="E182" i="14"/>
  <c r="F182" i="14" s="1"/>
  <c r="C160" i="14"/>
  <c r="C482" i="14"/>
  <c r="C460" i="14"/>
  <c r="C413" i="14"/>
  <c r="E364" i="14"/>
  <c r="F364" i="14" s="1"/>
  <c r="E307" i="14"/>
  <c r="F307" i="14" s="1"/>
  <c r="C263" i="14"/>
  <c r="E192" i="14"/>
  <c r="F192" i="14" s="1"/>
  <c r="C109" i="14"/>
  <c r="C493" i="14"/>
  <c r="E466" i="14"/>
  <c r="F466" i="14" s="1"/>
  <c r="C459" i="14"/>
  <c r="E435" i="14"/>
  <c r="F435" i="14" s="1"/>
  <c r="C428" i="14"/>
  <c r="C420" i="14"/>
  <c r="E412" i="14"/>
  <c r="F412" i="14" s="1"/>
  <c r="E404" i="14"/>
  <c r="F404" i="14" s="1"/>
  <c r="E379" i="14"/>
  <c r="F379" i="14" s="1"/>
  <c r="E371" i="14"/>
  <c r="F371" i="14" s="1"/>
  <c r="E321" i="14"/>
  <c r="F321" i="14" s="1"/>
  <c r="C252" i="14"/>
  <c r="C244" i="14"/>
  <c r="C200" i="14"/>
  <c r="E138" i="14"/>
  <c r="F138" i="14" s="1"/>
  <c r="E117" i="14"/>
  <c r="F117" i="14" s="1"/>
  <c r="C478" i="14"/>
  <c r="E458" i="14"/>
  <c r="F458" i="14" s="1"/>
  <c r="E451" i="14"/>
  <c r="F451" i="14" s="1"/>
  <c r="E444" i="14"/>
  <c r="F444" i="14" s="1"/>
  <c r="E408" i="14"/>
  <c r="F408" i="14" s="1"/>
  <c r="C386" i="14"/>
  <c r="E363" i="14"/>
  <c r="F363" i="14" s="1"/>
  <c r="C355" i="14"/>
  <c r="E287" i="14"/>
  <c r="F287" i="14" s="1"/>
  <c r="C246" i="14"/>
  <c r="C195" i="14"/>
  <c r="E188" i="14"/>
  <c r="F188" i="14" s="1"/>
  <c r="E168" i="14"/>
  <c r="F168" i="14" s="1"/>
  <c r="E134" i="14"/>
  <c r="F134" i="14" s="1"/>
  <c r="C87" i="14"/>
  <c r="C54" i="14"/>
  <c r="E35" i="14"/>
  <c r="F35" i="14" s="1"/>
  <c r="E500" i="14"/>
  <c r="F500" i="14" s="1"/>
  <c r="E494" i="14"/>
  <c r="F494" i="14" s="1"/>
  <c r="E488" i="14"/>
  <c r="F488" i="14" s="1"/>
  <c r="E483" i="14"/>
  <c r="F483" i="14" s="1"/>
  <c r="E470" i="14"/>
  <c r="F470" i="14" s="1"/>
  <c r="C464" i="14"/>
  <c r="C422" i="14"/>
  <c r="E414" i="14"/>
  <c r="F414" i="14" s="1"/>
  <c r="C408" i="14"/>
  <c r="E347" i="14"/>
  <c r="F347" i="14" s="1"/>
  <c r="E325" i="14"/>
  <c r="F325" i="14" s="1"/>
  <c r="C318" i="14"/>
  <c r="E303" i="14"/>
  <c r="F303" i="14" s="1"/>
  <c r="E270" i="14"/>
  <c r="F270" i="14" s="1"/>
  <c r="C262" i="14"/>
  <c r="E116" i="14"/>
  <c r="F116" i="14" s="1"/>
  <c r="C500" i="14"/>
  <c r="C488" i="14"/>
  <c r="C470" i="14"/>
  <c r="C450" i="14"/>
  <c r="E443" i="14"/>
  <c r="F443" i="14" s="1"/>
  <c r="C429" i="14"/>
  <c r="C401" i="14"/>
  <c r="C385" i="14"/>
  <c r="C369" i="14"/>
  <c r="C354" i="14"/>
  <c r="E332" i="14"/>
  <c r="F332" i="14" s="1"/>
  <c r="C325" i="14"/>
  <c r="E309" i="14"/>
  <c r="F309" i="14" s="1"/>
  <c r="C303" i="14"/>
  <c r="E252" i="14"/>
  <c r="F252" i="14" s="1"/>
  <c r="C236" i="14"/>
  <c r="C220" i="14"/>
  <c r="C194" i="14"/>
  <c r="E187" i="14"/>
  <c r="F187" i="14" s="1"/>
  <c r="E150" i="14"/>
  <c r="F150" i="14" s="1"/>
  <c r="E123" i="14"/>
  <c r="F123" i="14" s="1"/>
  <c r="E96" i="14"/>
  <c r="F96" i="14" s="1"/>
  <c r="C75" i="14"/>
  <c r="C157" i="14"/>
  <c r="C140" i="14"/>
  <c r="E132" i="14"/>
  <c r="F132" i="14" s="1"/>
  <c r="C123" i="14"/>
  <c r="C149" i="14"/>
  <c r="E112" i="14"/>
  <c r="F112" i="14" s="1"/>
  <c r="C162" i="14"/>
  <c r="C155" i="14"/>
  <c r="E146" i="14"/>
  <c r="F146" i="14" s="1"/>
  <c r="C80" i="14"/>
  <c r="E213" i="14"/>
  <c r="F213" i="14" s="1"/>
  <c r="E160" i="14"/>
  <c r="F160" i="14" s="1"/>
  <c r="C127" i="14"/>
  <c r="E69" i="14"/>
  <c r="F69" i="14" s="1"/>
  <c r="E468" i="14"/>
  <c r="F468" i="14" s="1"/>
  <c r="C458" i="14"/>
  <c r="C449" i="14"/>
  <c r="C438" i="14"/>
  <c r="C362" i="14"/>
  <c r="C346" i="14"/>
  <c r="C335" i="14"/>
  <c r="E312" i="14"/>
  <c r="F312" i="14" s="1"/>
  <c r="C300" i="14"/>
  <c r="E293" i="14"/>
  <c r="F293" i="14" s="1"/>
  <c r="C287" i="14"/>
  <c r="C267" i="14"/>
  <c r="E249" i="14"/>
  <c r="F249" i="14" s="1"/>
  <c r="E243" i="14"/>
  <c r="F243" i="14" s="1"/>
  <c r="C205" i="14"/>
  <c r="E198" i="14"/>
  <c r="F198" i="14" s="1"/>
  <c r="C192" i="14"/>
  <c r="C179" i="14"/>
  <c r="E172" i="14"/>
  <c r="F172" i="14" s="1"/>
  <c r="C166" i="14"/>
  <c r="C116" i="14"/>
  <c r="C82" i="14"/>
  <c r="C499" i="14"/>
  <c r="C494" i="14"/>
  <c r="C485" i="14"/>
  <c r="C481" i="14"/>
  <c r="E477" i="14"/>
  <c r="F477" i="14" s="1"/>
  <c r="C453" i="14"/>
  <c r="E427" i="14"/>
  <c r="F427" i="14" s="1"/>
  <c r="E421" i="14"/>
  <c r="F421" i="14" s="1"/>
  <c r="E415" i="14"/>
  <c r="F415" i="14" s="1"/>
  <c r="E405" i="14"/>
  <c r="F405" i="14" s="1"/>
  <c r="C400" i="14"/>
  <c r="C394" i="14"/>
  <c r="C383" i="14"/>
  <c r="C378" i="14"/>
  <c r="E367" i="14"/>
  <c r="F367" i="14" s="1"/>
  <c r="E356" i="14"/>
  <c r="F356" i="14" s="1"/>
  <c r="C351" i="14"/>
  <c r="E340" i="14"/>
  <c r="F340" i="14" s="1"/>
  <c r="C323" i="14"/>
  <c r="C312" i="14"/>
  <c r="C293" i="14"/>
  <c r="C254" i="14"/>
  <c r="C235" i="14"/>
  <c r="E228" i="14"/>
  <c r="F228" i="14" s="1"/>
  <c r="E216" i="14"/>
  <c r="F216" i="14" s="1"/>
  <c r="C198" i="14"/>
  <c r="E185" i="14"/>
  <c r="F185" i="14" s="1"/>
  <c r="E159" i="14"/>
  <c r="F159" i="14" s="1"/>
  <c r="E152" i="14"/>
  <c r="F152" i="14" s="1"/>
  <c r="C129" i="14"/>
  <c r="C99" i="14"/>
  <c r="C62" i="14"/>
  <c r="C28" i="14"/>
  <c r="C473" i="14"/>
  <c r="C463" i="14"/>
  <c r="E453" i="14"/>
  <c r="F453" i="14" s="1"/>
  <c r="C443" i="14"/>
  <c r="C411" i="14"/>
  <c r="E400" i="14"/>
  <c r="F400" i="14" s="1"/>
  <c r="C389" i="14"/>
  <c r="E383" i="14"/>
  <c r="F383" i="14" s="1"/>
  <c r="E378" i="14"/>
  <c r="F378" i="14" s="1"/>
  <c r="E351" i="14"/>
  <c r="F351" i="14" s="1"/>
  <c r="E330" i="14"/>
  <c r="F330" i="14" s="1"/>
  <c r="E489" i="14"/>
  <c r="F489" i="14" s="1"/>
  <c r="E472" i="14"/>
  <c r="F472" i="14" s="1"/>
  <c r="E467" i="14"/>
  <c r="F467" i="14" s="1"/>
  <c r="E457" i="14"/>
  <c r="F457" i="14" s="1"/>
  <c r="E437" i="14"/>
  <c r="F437" i="14" s="1"/>
  <c r="E432" i="14"/>
  <c r="F432" i="14" s="1"/>
  <c r="C427" i="14"/>
  <c r="C421" i="14"/>
  <c r="C415" i="14"/>
  <c r="C405" i="14"/>
  <c r="E372" i="14"/>
  <c r="F372" i="14" s="1"/>
  <c r="C367" i="14"/>
  <c r="C361" i="14"/>
  <c r="C356" i="14"/>
  <c r="E345" i="14"/>
  <c r="F345" i="14" s="1"/>
  <c r="C340" i="14"/>
  <c r="E317" i="14"/>
  <c r="F317" i="14" s="1"/>
  <c r="E305" i="14"/>
  <c r="F305" i="14" s="1"/>
  <c r="E299" i="14"/>
  <c r="F299" i="14" s="1"/>
  <c r="E272" i="14"/>
  <c r="F272" i="14" s="1"/>
  <c r="E266" i="14"/>
  <c r="F266" i="14" s="1"/>
  <c r="E260" i="14"/>
  <c r="F260" i="14" s="1"/>
  <c r="E221" i="14"/>
  <c r="F221" i="14" s="1"/>
  <c r="C209" i="14"/>
  <c r="C185" i="14"/>
  <c r="E178" i="14"/>
  <c r="F178" i="14" s="1"/>
  <c r="E165" i="14"/>
  <c r="F165" i="14" s="1"/>
  <c r="C152" i="14"/>
  <c r="E120" i="14"/>
  <c r="F120" i="14" s="1"/>
  <c r="E90" i="14"/>
  <c r="F90" i="14" s="1"/>
  <c r="E498" i="14"/>
  <c r="F498" i="14" s="1"/>
  <c r="E493" i="14"/>
  <c r="F493" i="14" s="1"/>
  <c r="C472" i="14"/>
  <c r="C467" i="14"/>
  <c r="E461" i="14"/>
  <c r="F461" i="14" s="1"/>
  <c r="E452" i="14"/>
  <c r="F452" i="14" s="1"/>
  <c r="E447" i="14"/>
  <c r="F447" i="14" s="1"/>
  <c r="E441" i="14"/>
  <c r="F441" i="14" s="1"/>
  <c r="C437" i="14"/>
  <c r="E410" i="14"/>
  <c r="F410" i="14" s="1"/>
  <c r="E393" i="14"/>
  <c r="F393" i="14" s="1"/>
  <c r="C387" i="14"/>
  <c r="E382" i="14"/>
  <c r="F382" i="14" s="1"/>
  <c r="C372" i="14"/>
  <c r="E350" i="14"/>
  <c r="F350" i="14" s="1"/>
  <c r="E334" i="14"/>
  <c r="F334" i="14" s="1"/>
  <c r="E328" i="14"/>
  <c r="F328" i="14" s="1"/>
  <c r="C322" i="14"/>
  <c r="E285" i="14"/>
  <c r="F285" i="14" s="1"/>
  <c r="E279" i="14"/>
  <c r="F279" i="14" s="1"/>
  <c r="C272" i="14"/>
  <c r="C266" i="14"/>
  <c r="C260" i="14"/>
  <c r="E253" i="14"/>
  <c r="F253" i="14" s="1"/>
  <c r="E247" i="14"/>
  <c r="F247" i="14" s="1"/>
  <c r="C241" i="14"/>
  <c r="C234" i="14"/>
  <c r="C221" i="14"/>
  <c r="E215" i="14"/>
  <c r="F215" i="14" s="1"/>
  <c r="C204" i="14"/>
  <c r="E190" i="14"/>
  <c r="F190" i="14" s="1"/>
  <c r="C178" i="14"/>
  <c r="C170" i="14"/>
  <c r="C165" i="14"/>
  <c r="C143" i="14"/>
  <c r="C120" i="14"/>
  <c r="C106" i="14"/>
  <c r="E80" i="14"/>
  <c r="F80" i="14" s="1"/>
  <c r="E33" i="14"/>
  <c r="F33" i="14" s="1"/>
  <c r="C496" i="14"/>
  <c r="E491" i="14"/>
  <c r="F491" i="14" s="1"/>
  <c r="C487" i="14"/>
  <c r="C483" i="14"/>
  <c r="C479" i="14"/>
  <c r="C475" i="14"/>
  <c r="E455" i="14"/>
  <c r="F455" i="14" s="1"/>
  <c r="E450" i="14"/>
  <c r="F450" i="14" s="1"/>
  <c r="C440" i="14"/>
  <c r="C435" i="14"/>
  <c r="E429" i="14"/>
  <c r="F429" i="14" s="1"/>
  <c r="C424" i="14"/>
  <c r="E418" i="14"/>
  <c r="F418" i="14" s="1"/>
  <c r="C391" i="14"/>
  <c r="E385" i="14"/>
  <c r="F385" i="14" s="1"/>
  <c r="C380" i="14"/>
  <c r="C375" i="14"/>
  <c r="E369" i="14"/>
  <c r="F369" i="14" s="1"/>
  <c r="C364" i="14"/>
  <c r="C358" i="14"/>
  <c r="E353" i="14"/>
  <c r="F353" i="14" s="1"/>
  <c r="C296" i="14"/>
  <c r="E269" i="14"/>
  <c r="F269" i="14" s="1"/>
  <c r="E263" i="14"/>
  <c r="F263" i="14" s="1"/>
  <c r="C257" i="14"/>
  <c r="C238" i="14"/>
  <c r="E224" i="14"/>
  <c r="F224" i="14" s="1"/>
  <c r="E218" i="14"/>
  <c r="F218" i="14" s="1"/>
  <c r="C213" i="14"/>
  <c r="E207" i="14"/>
  <c r="F207" i="14" s="1"/>
  <c r="C188" i="14"/>
  <c r="C182" i="14"/>
  <c r="C174" i="14"/>
  <c r="C168" i="14"/>
  <c r="C132" i="14"/>
  <c r="C117" i="14"/>
  <c r="E103" i="14"/>
  <c r="F103" i="14" s="1"/>
  <c r="E95" i="14"/>
  <c r="F95" i="14" s="1"/>
  <c r="E37" i="14"/>
  <c r="F37" i="14" s="1"/>
  <c r="C11" i="14"/>
  <c r="F496" i="14"/>
  <c r="E481" i="14"/>
  <c r="F481" i="14" s="1"/>
  <c r="E464" i="14"/>
  <c r="F464" i="14" s="1"/>
  <c r="C461" i="14"/>
  <c r="C447" i="14"/>
  <c r="C444" i="14"/>
  <c r="C432" i="14"/>
  <c r="C425" i="14"/>
  <c r="C418" i="14"/>
  <c r="E411" i="14"/>
  <c r="F411" i="14" s="1"/>
  <c r="E397" i="14"/>
  <c r="F397" i="14" s="1"/>
  <c r="E394" i="14"/>
  <c r="F394" i="14" s="1"/>
  <c r="E390" i="14"/>
  <c r="F390" i="14" s="1"/>
  <c r="E386" i="14"/>
  <c r="F386" i="14" s="1"/>
  <c r="C379" i="14"/>
  <c r="E361" i="14"/>
  <c r="F361" i="14" s="1"/>
  <c r="C347" i="14"/>
  <c r="E343" i="14"/>
  <c r="F343" i="14" s="1"/>
  <c r="E339" i="14"/>
  <c r="F339" i="14" s="1"/>
  <c r="E331" i="14"/>
  <c r="F331" i="14" s="1"/>
  <c r="E327" i="14"/>
  <c r="F327" i="14" s="1"/>
  <c r="E322" i="14"/>
  <c r="F322" i="14" s="1"/>
  <c r="C294" i="14"/>
  <c r="E289" i="14"/>
  <c r="F289" i="14" s="1"/>
  <c r="C281" i="14"/>
  <c r="E276" i="14"/>
  <c r="F276" i="14" s="1"/>
  <c r="E257" i="14"/>
  <c r="F257" i="14" s="1"/>
  <c r="C249" i="14"/>
  <c r="C240" i="14"/>
  <c r="C230" i="14"/>
  <c r="E220" i="14"/>
  <c r="F220" i="14" s="1"/>
  <c r="C216" i="14"/>
  <c r="C212" i="14"/>
  <c r="C208" i="14"/>
  <c r="E204" i="14"/>
  <c r="F204" i="14" s="1"/>
  <c r="E184" i="14"/>
  <c r="F184" i="14" s="1"/>
  <c r="C169" i="14"/>
  <c r="C145" i="14"/>
  <c r="C128" i="14"/>
  <c r="E15" i="14"/>
  <c r="F15" i="14" s="1"/>
  <c r="C498" i="14"/>
  <c r="C495" i="14"/>
  <c r="C492" i="14"/>
  <c r="C489" i="14"/>
  <c r="C480" i="14"/>
  <c r="C477" i="14"/>
  <c r="C457" i="14"/>
  <c r="E454" i="14"/>
  <c r="F454" i="14" s="1"/>
  <c r="C451" i="14"/>
  <c r="E442" i="14"/>
  <c r="F442" i="14" s="1"/>
  <c r="E439" i="14"/>
  <c r="F439" i="14" s="1"/>
  <c r="E436" i="14"/>
  <c r="F436" i="14" s="1"/>
  <c r="E430" i="14"/>
  <c r="F430" i="14" s="1"/>
  <c r="E423" i="14"/>
  <c r="F423" i="14" s="1"/>
  <c r="E416" i="14"/>
  <c r="F416" i="14" s="1"/>
  <c r="C410" i="14"/>
  <c r="C406" i="14"/>
  <c r="E399" i="14"/>
  <c r="F399" i="14" s="1"/>
  <c r="C396" i="14"/>
  <c r="C392" i="14"/>
  <c r="E388" i="14"/>
  <c r="F388" i="14" s="1"/>
  <c r="E374" i="14"/>
  <c r="F374" i="14" s="1"/>
  <c r="E370" i="14"/>
  <c r="F370" i="14" s="1"/>
  <c r="C363" i="14"/>
  <c r="E359" i="14"/>
  <c r="F359" i="14" s="1"/>
  <c r="E352" i="14"/>
  <c r="F352" i="14" s="1"/>
  <c r="E348" i="14"/>
  <c r="F348" i="14" s="1"/>
  <c r="C345" i="14"/>
  <c r="E306" i="14"/>
  <c r="F306" i="14" s="1"/>
  <c r="C302" i="14"/>
  <c r="C297" i="14"/>
  <c r="C279" i="14"/>
  <c r="C269" i="14"/>
  <c r="C264" i="14"/>
  <c r="E255" i="14"/>
  <c r="F255" i="14" s="1"/>
  <c r="C237" i="14"/>
  <c r="E227" i="14"/>
  <c r="F227" i="14" s="1"/>
  <c r="C214" i="14"/>
  <c r="E210" i="14"/>
  <c r="F210" i="14" s="1"/>
  <c r="C191" i="14"/>
  <c r="C187" i="14"/>
  <c r="E163" i="14"/>
  <c r="F163" i="14" s="1"/>
  <c r="C159" i="14"/>
  <c r="E148" i="14"/>
  <c r="F148" i="14" s="1"/>
  <c r="C131" i="14"/>
  <c r="E125" i="14"/>
  <c r="F125" i="14" s="1"/>
  <c r="E119" i="14"/>
  <c r="F119" i="14" s="1"/>
  <c r="E61" i="14"/>
  <c r="F61" i="14" s="1"/>
  <c r="E465" i="14"/>
  <c r="F465" i="14" s="1"/>
  <c r="E462" i="14"/>
  <c r="F462" i="14" s="1"/>
  <c r="C454" i="14"/>
  <c r="E448" i="14"/>
  <c r="F448" i="14" s="1"/>
  <c r="E445" i="14"/>
  <c r="F445" i="14" s="1"/>
  <c r="C442" i="14"/>
  <c r="C439" i="14"/>
  <c r="C436" i="14"/>
  <c r="E433" i="14"/>
  <c r="F433" i="14" s="1"/>
  <c r="C430" i="14"/>
  <c r="C423" i="14"/>
  <c r="E419" i="14"/>
  <c r="F419" i="14" s="1"/>
  <c r="C416" i="14"/>
  <c r="E402" i="14"/>
  <c r="F402" i="14" s="1"/>
  <c r="C399" i="14"/>
  <c r="C388" i="14"/>
  <c r="E377" i="14"/>
  <c r="F377" i="14" s="1"/>
  <c r="C374" i="14"/>
  <c r="C370" i="14"/>
  <c r="E366" i="14"/>
  <c r="F366" i="14" s="1"/>
  <c r="C359" i="14"/>
  <c r="C352" i="14"/>
  <c r="C348" i="14"/>
  <c r="C341" i="14"/>
  <c r="E337" i="14"/>
  <c r="F337" i="14" s="1"/>
  <c r="E333" i="14"/>
  <c r="F333" i="14" s="1"/>
  <c r="E324" i="14"/>
  <c r="F324" i="14" s="1"/>
  <c r="C310" i="14"/>
  <c r="C306" i="14"/>
  <c r="E291" i="14"/>
  <c r="F291" i="14" s="1"/>
  <c r="C255" i="14"/>
  <c r="E250" i="14"/>
  <c r="F250" i="14" s="1"/>
  <c r="C227" i="14"/>
  <c r="C210" i="14"/>
  <c r="C201" i="14"/>
  <c r="E181" i="14"/>
  <c r="F181" i="14" s="1"/>
  <c r="E175" i="14"/>
  <c r="F175" i="14" s="1"/>
  <c r="E171" i="14"/>
  <c r="F171" i="14" s="1"/>
  <c r="C167" i="14"/>
  <c r="C163" i="14"/>
  <c r="E153" i="14"/>
  <c r="F153" i="14" s="1"/>
  <c r="E142" i="14"/>
  <c r="F142" i="14" s="1"/>
  <c r="E135" i="14"/>
  <c r="F135" i="14" s="1"/>
  <c r="C125" i="14"/>
  <c r="E113" i="14"/>
  <c r="F113" i="14" s="1"/>
  <c r="E107" i="14"/>
  <c r="F107" i="14" s="1"/>
  <c r="E100" i="14"/>
  <c r="F100" i="14" s="1"/>
  <c r="E67" i="14"/>
  <c r="F67" i="14" s="1"/>
  <c r="C61" i="14"/>
  <c r="E34" i="14"/>
  <c r="F34" i="14" s="1"/>
  <c r="C8" i="14"/>
  <c r="E474" i="14"/>
  <c r="F474" i="14" s="1"/>
  <c r="E471" i="14"/>
  <c r="F471" i="14" s="1"/>
  <c r="E497" i="14"/>
  <c r="F497" i="14" s="1"/>
  <c r="E485" i="14"/>
  <c r="F485" i="14" s="1"/>
  <c r="C474" i="14"/>
  <c r="C471" i="14"/>
  <c r="C468" i="14"/>
  <c r="C465" i="14"/>
  <c r="C462" i="14"/>
  <c r="E459" i="14"/>
  <c r="F459" i="14" s="1"/>
  <c r="C448" i="14"/>
  <c r="C445" i="14"/>
  <c r="C433" i="14"/>
  <c r="E426" i="14"/>
  <c r="F426" i="14" s="1"/>
  <c r="C419" i="14"/>
  <c r="E409" i="14"/>
  <c r="F409" i="14" s="1"/>
  <c r="C402" i="14"/>
  <c r="C395" i="14"/>
  <c r="C384" i="14"/>
  <c r="E380" i="14"/>
  <c r="F380" i="14" s="1"/>
  <c r="C377" i="14"/>
  <c r="C366" i="14"/>
  <c r="E362" i="14"/>
  <c r="F362" i="14" s="1"/>
  <c r="E355" i="14"/>
  <c r="F355" i="14" s="1"/>
  <c r="C337" i="14"/>
  <c r="E319" i="14"/>
  <c r="F319" i="14" s="1"/>
  <c r="C315" i="14"/>
  <c r="E296" i="14"/>
  <c r="F296" i="14" s="1"/>
  <c r="E282" i="14"/>
  <c r="F282" i="14" s="1"/>
  <c r="E278" i="14"/>
  <c r="F278" i="14" s="1"/>
  <c r="C273" i="14"/>
  <c r="C259" i="14"/>
  <c r="C250" i="14"/>
  <c r="E246" i="14"/>
  <c r="F246" i="14" s="1"/>
  <c r="E241" i="14"/>
  <c r="F241" i="14" s="1"/>
  <c r="E236" i="14"/>
  <c r="F236" i="14" s="1"/>
  <c r="E231" i="14"/>
  <c r="F231" i="14" s="1"/>
  <c r="E217" i="14"/>
  <c r="F217" i="14" s="1"/>
  <c r="E205" i="14"/>
  <c r="F205" i="14" s="1"/>
  <c r="E195" i="14"/>
  <c r="F195" i="14" s="1"/>
  <c r="C175" i="14"/>
  <c r="C171" i="14"/>
  <c r="C142" i="14"/>
  <c r="C135" i="14"/>
  <c r="C107" i="14"/>
  <c r="C81" i="14"/>
  <c r="E89" i="14"/>
  <c r="F89" i="14" s="1"/>
  <c r="C101" i="14"/>
  <c r="E108" i="14"/>
  <c r="F108" i="14" s="1"/>
  <c r="C111" i="14"/>
  <c r="C124" i="14"/>
  <c r="E127" i="14"/>
  <c r="F127" i="14" s="1"/>
  <c r="C130" i="14"/>
  <c r="E141" i="14"/>
  <c r="F141" i="14" s="1"/>
  <c r="C144" i="14"/>
  <c r="C147" i="14"/>
  <c r="E155" i="14"/>
  <c r="F155" i="14" s="1"/>
  <c r="C158" i="14"/>
  <c r="C161" i="14"/>
  <c r="C164" i="14"/>
  <c r="E174" i="14"/>
  <c r="F174" i="14" s="1"/>
  <c r="E191" i="14"/>
  <c r="F191" i="14" s="1"/>
  <c r="E194" i="14"/>
  <c r="F194" i="14" s="1"/>
  <c r="C197" i="14"/>
  <c r="C211" i="14"/>
  <c r="E219" i="14"/>
  <c r="F219" i="14" s="1"/>
  <c r="E222" i="14"/>
  <c r="F222" i="14" s="1"/>
  <c r="C225" i="14"/>
  <c r="C228" i="14"/>
  <c r="C231" i="14"/>
  <c r="C245" i="14"/>
  <c r="C253" i="14"/>
  <c r="C256" i="14"/>
  <c r="C270" i="14"/>
  <c r="C278" i="14"/>
  <c r="E283" i="14"/>
  <c r="F283" i="14" s="1"/>
  <c r="E288" i="14"/>
  <c r="F288" i="14" s="1"/>
  <c r="C291" i="14"/>
  <c r="C299" i="14"/>
  <c r="C307" i="14"/>
  <c r="E315" i="14"/>
  <c r="F315" i="14" s="1"/>
  <c r="E329" i="14"/>
  <c r="F329" i="14" s="1"/>
  <c r="C332" i="14"/>
  <c r="E9" i="14"/>
  <c r="F9" i="14" s="1"/>
  <c r="C12" i="14"/>
  <c r="E29" i="14"/>
  <c r="F29" i="14" s="1"/>
  <c r="E55" i="14"/>
  <c r="F55" i="14" s="1"/>
  <c r="C68" i="14"/>
  <c r="C73" i="14"/>
  <c r="C94" i="14"/>
  <c r="E97" i="14"/>
  <c r="F97" i="14" s="1"/>
  <c r="E101" i="14"/>
  <c r="F101" i="14" s="1"/>
  <c r="E111" i="14"/>
  <c r="F111" i="14" s="1"/>
  <c r="C115" i="14"/>
  <c r="C118" i="14"/>
  <c r="C121" i="14"/>
  <c r="E130" i="14"/>
  <c r="F130" i="14" s="1"/>
  <c r="C139" i="14"/>
  <c r="E144" i="14"/>
  <c r="F144" i="14" s="1"/>
  <c r="E147" i="14"/>
  <c r="F147" i="14" s="1"/>
  <c r="E158" i="14"/>
  <c r="F158" i="14" s="1"/>
  <c r="E12" i="14"/>
  <c r="F12" i="14" s="1"/>
  <c r="C26" i="14"/>
  <c r="E94" i="14"/>
  <c r="F94" i="14" s="1"/>
  <c r="E118" i="14"/>
  <c r="F118" i="14" s="1"/>
  <c r="E121" i="14"/>
  <c r="F121" i="14" s="1"/>
  <c r="C136" i="14"/>
  <c r="E139" i="14"/>
  <c r="F139" i="14" s="1"/>
  <c r="C150" i="14"/>
  <c r="C153" i="14"/>
  <c r="E169" i="14"/>
  <c r="F169" i="14" s="1"/>
  <c r="C172" i="14"/>
  <c r="E177" i="14"/>
  <c r="F177" i="14" s="1"/>
  <c r="E180" i="14"/>
  <c r="F180" i="14" s="1"/>
  <c r="C183" i="14"/>
  <c r="C186" i="14"/>
  <c r="C189" i="14"/>
  <c r="E200" i="14"/>
  <c r="F200" i="14" s="1"/>
  <c r="E203" i="14"/>
  <c r="F203" i="14" s="1"/>
  <c r="E206" i="14"/>
  <c r="F206" i="14" s="1"/>
  <c r="E214" i="14"/>
  <c r="F214" i="14" s="1"/>
  <c r="E234" i="14"/>
  <c r="F234" i="14" s="1"/>
  <c r="E237" i="14"/>
  <c r="F237" i="14" s="1"/>
  <c r="E240" i="14"/>
  <c r="F240" i="14" s="1"/>
  <c r="C243" i="14"/>
  <c r="E248" i="14"/>
  <c r="F248" i="14" s="1"/>
  <c r="E259" i="14"/>
  <c r="F259" i="14" s="1"/>
  <c r="E262" i="14"/>
  <c r="F262" i="14" s="1"/>
  <c r="E265" i="14"/>
  <c r="F265" i="14" s="1"/>
  <c r="E273" i="14"/>
  <c r="F273" i="14" s="1"/>
  <c r="E281" i="14"/>
  <c r="F281" i="14" s="1"/>
  <c r="C286" i="14"/>
  <c r="E294" i="14"/>
  <c r="F294" i="14" s="1"/>
  <c r="E302" i="14"/>
  <c r="F302" i="14" s="1"/>
  <c r="E310" i="14"/>
  <c r="F310" i="14" s="1"/>
  <c r="C313" i="14"/>
  <c r="E318" i="14"/>
  <c r="F318" i="14" s="1"/>
  <c r="C321" i="14"/>
  <c r="C324" i="14"/>
  <c r="C327" i="14"/>
  <c r="E335" i="14"/>
  <c r="F335" i="14" s="1"/>
  <c r="C88" i="14"/>
  <c r="C102" i="14"/>
  <c r="E106" i="14"/>
  <c r="F106" i="14" s="1"/>
  <c r="C110" i="14"/>
  <c r="E122" i="14"/>
  <c r="F122" i="14" s="1"/>
  <c r="C126" i="14"/>
  <c r="E129" i="14"/>
  <c r="F129" i="14" s="1"/>
  <c r="E140" i="14"/>
  <c r="F140" i="14" s="1"/>
  <c r="E143" i="14"/>
  <c r="F143" i="14" s="1"/>
  <c r="E154" i="14"/>
  <c r="F154" i="14" s="1"/>
  <c r="E157" i="14"/>
  <c r="F157" i="14" s="1"/>
  <c r="E164" i="14"/>
  <c r="F164" i="14" s="1"/>
  <c r="E167" i="14"/>
  <c r="F167" i="14" s="1"/>
  <c r="E170" i="14"/>
  <c r="F170" i="14" s="1"/>
  <c r="C173" i="14"/>
  <c r="C176" i="14"/>
  <c r="E179" i="14"/>
  <c r="F179" i="14" s="1"/>
  <c r="E189" i="14"/>
  <c r="F189" i="14" s="1"/>
  <c r="C196" i="14"/>
  <c r="C199" i="14"/>
  <c r="E202" i="14"/>
  <c r="F202" i="14" s="1"/>
  <c r="C206" i="14"/>
  <c r="E209" i="14"/>
  <c r="F209" i="14" s="1"/>
  <c r="E212" i="14"/>
  <c r="F212" i="14" s="1"/>
  <c r="C222" i="14"/>
  <c r="C232" i="14"/>
  <c r="E235" i="14"/>
  <c r="F235" i="14" s="1"/>
  <c r="C242" i="14"/>
  <c r="C248" i="14"/>
  <c r="E251" i="14"/>
  <c r="F251" i="14" s="1"/>
  <c r="E254" i="14"/>
  <c r="F254" i="14" s="1"/>
  <c r="C261" i="14"/>
  <c r="C268" i="14"/>
  <c r="C271" i="14"/>
  <c r="C274" i="14"/>
  <c r="C277" i="14"/>
  <c r="C280" i="14"/>
  <c r="C283" i="14"/>
  <c r="C295" i="14"/>
  <c r="C301" i="14"/>
  <c r="E304" i="14"/>
  <c r="F304" i="14" s="1"/>
  <c r="C326" i="14"/>
  <c r="C329" i="14"/>
  <c r="E338" i="14"/>
  <c r="F338" i="14" s="1"/>
  <c r="E346" i="14"/>
  <c r="F346" i="14" s="1"/>
  <c r="E354" i="14"/>
  <c r="F354" i="14" s="1"/>
  <c r="C357" i="14"/>
  <c r="E365" i="14"/>
  <c r="F365" i="14" s="1"/>
  <c r="C368" i="14"/>
  <c r="E373" i="14"/>
  <c r="F373" i="14" s="1"/>
  <c r="C376" i="14"/>
  <c r="E381" i="14"/>
  <c r="F381" i="14" s="1"/>
  <c r="E395" i="14"/>
  <c r="F395" i="14" s="1"/>
  <c r="C398" i="14"/>
  <c r="E406" i="14"/>
  <c r="F406" i="14" s="1"/>
  <c r="C409" i="14"/>
  <c r="C414" i="14"/>
  <c r="E422" i="14"/>
  <c r="F422" i="14" s="1"/>
  <c r="C13" i="14"/>
  <c r="C44" i="14"/>
  <c r="C53" i="14"/>
  <c r="C79" i="14"/>
  <c r="E83" i="14"/>
  <c r="F83" i="14" s="1"/>
  <c r="E88" i="14"/>
  <c r="F88" i="14" s="1"/>
  <c r="C93" i="14"/>
  <c r="E102" i="14"/>
  <c r="F102" i="14" s="1"/>
  <c r="E110" i="14"/>
  <c r="F110" i="14" s="1"/>
  <c r="E126" i="14"/>
  <c r="F126" i="14" s="1"/>
  <c r="C133" i="14"/>
  <c r="C137" i="14"/>
  <c r="C151" i="14"/>
  <c r="E161" i="14"/>
  <c r="F161" i="14" s="1"/>
  <c r="E173" i="14"/>
  <c r="F173" i="14" s="1"/>
  <c r="E176" i="14"/>
  <c r="F176" i="14" s="1"/>
  <c r="E186" i="14"/>
  <c r="F186" i="14" s="1"/>
  <c r="E196" i="14"/>
  <c r="F196" i="14" s="1"/>
  <c r="E199" i="14"/>
  <c r="F199" i="14" s="1"/>
  <c r="C229" i="14"/>
  <c r="E232" i="14"/>
  <c r="F232" i="14" s="1"/>
  <c r="C239" i="14"/>
  <c r="E242" i="14"/>
  <c r="F242" i="14" s="1"/>
  <c r="E245" i="14"/>
  <c r="F245" i="14" s="1"/>
  <c r="E261" i="14"/>
  <c r="F261" i="14" s="1"/>
  <c r="C265" i="14"/>
  <c r="E268" i="14"/>
  <c r="F268" i="14" s="1"/>
  <c r="E271" i="14"/>
  <c r="F271" i="14" s="1"/>
  <c r="E274" i="14"/>
  <c r="F274" i="14" s="1"/>
  <c r="E277" i="14"/>
  <c r="F277" i="14" s="1"/>
  <c r="E280" i="14"/>
  <c r="F280" i="14" s="1"/>
  <c r="C292" i="14"/>
  <c r="E295" i="14"/>
  <c r="F295" i="14" s="1"/>
  <c r="C298" i="14"/>
  <c r="E301" i="14"/>
  <c r="F301" i="14" s="1"/>
  <c r="C311" i="14"/>
  <c r="C314" i="14"/>
  <c r="E10" i="14"/>
  <c r="F10" i="14" s="1"/>
  <c r="E53" i="14"/>
  <c r="F53" i="14" s="1"/>
  <c r="E63" i="14"/>
  <c r="F63" i="14" s="1"/>
  <c r="C74" i="14"/>
  <c r="E133" i="14"/>
  <c r="F133" i="14" s="1"/>
  <c r="E137" i="14"/>
  <c r="F137" i="14" s="1"/>
  <c r="C148" i="14"/>
  <c r="E151" i="14"/>
  <c r="F151" i="14" s="1"/>
  <c r="C180" i="14"/>
  <c r="E183" i="14"/>
  <c r="F183" i="14" s="1"/>
  <c r="C193" i="14"/>
  <c r="C203" i="14"/>
  <c r="C219" i="14"/>
  <c r="C223" i="14"/>
  <c r="C226" i="14"/>
  <c r="E229" i="14"/>
  <c r="F229" i="14" s="1"/>
  <c r="E239" i="14"/>
  <c r="F239" i="14" s="1"/>
  <c r="C258" i="14"/>
  <c r="E286" i="14"/>
  <c r="F286" i="14" s="1"/>
  <c r="C289" i="14"/>
  <c r="E292" i="14"/>
  <c r="F292" i="14" s="1"/>
  <c r="E298" i="14"/>
  <c r="F298" i="14" s="1"/>
  <c r="C305" i="14"/>
  <c r="C308" i="14"/>
  <c r="E311" i="14"/>
  <c r="F311" i="14" s="1"/>
  <c r="E314" i="14"/>
  <c r="F314" i="14" s="1"/>
  <c r="C317" i="14"/>
  <c r="C320" i="14"/>
  <c r="E323" i="14"/>
  <c r="F323" i="14" s="1"/>
  <c r="C330" i="14"/>
  <c r="C333" i="14"/>
  <c r="C336" i="14"/>
  <c r="E341" i="14"/>
  <c r="F341" i="14" s="1"/>
  <c r="C349" i="14"/>
  <c r="E360" i="14"/>
  <c r="F360" i="14" s="1"/>
  <c r="C371" i="14"/>
  <c r="E384" i="14"/>
  <c r="F384" i="14" s="1"/>
  <c r="E387" i="14"/>
  <c r="F387" i="14" s="1"/>
  <c r="C390" i="14"/>
  <c r="C393" i="14"/>
  <c r="E401" i="14"/>
  <c r="F401" i="14" s="1"/>
  <c r="C404" i="14"/>
  <c r="C417" i="14"/>
  <c r="E425" i="14"/>
  <c r="F425" i="14" s="1"/>
  <c r="E428" i="14"/>
  <c r="F428" i="14" s="1"/>
  <c r="C89" i="14"/>
  <c r="E14" i="14"/>
  <c r="F14" i="14" s="1"/>
  <c r="C7" i="14"/>
  <c r="E201" i="14"/>
  <c r="F201" i="14" s="1"/>
  <c r="E197" i="14"/>
  <c r="F197" i="14" s="1"/>
  <c r="C181" i="14"/>
  <c r="C177" i="14"/>
  <c r="E162" i="14"/>
  <c r="F162" i="14" s="1"/>
  <c r="C154" i="14"/>
  <c r="E149" i="14"/>
  <c r="F149" i="14" s="1"/>
  <c r="E145" i="14"/>
  <c r="F145" i="14" s="1"/>
  <c r="C141" i="14"/>
  <c r="E128" i="14"/>
  <c r="F128" i="14" s="1"/>
  <c r="C119" i="14"/>
  <c r="C95" i="14"/>
  <c r="C31" i="14"/>
  <c r="C14" i="14"/>
  <c r="E82" i="14"/>
  <c r="F82" i="14" s="1"/>
  <c r="E76" i="14"/>
  <c r="F76" i="14" s="1"/>
  <c r="C59" i="14"/>
  <c r="E8" i="14"/>
  <c r="F8" i="14" s="1"/>
  <c r="AA2" i="14"/>
  <c r="W1" i="14"/>
  <c r="R1" i="14" s="1"/>
  <c r="E60" i="14"/>
  <c r="F60" i="14" s="1"/>
  <c r="C52" i="14"/>
  <c r="C43" i="14"/>
  <c r="E36" i="14"/>
  <c r="F36" i="14" s="1"/>
  <c r="E32" i="14"/>
  <c r="F32" i="14" s="1"/>
  <c r="C29" i="14"/>
  <c r="E13" i="14"/>
  <c r="F13" i="14" s="1"/>
  <c r="C10" i="14"/>
  <c r="E68" i="14"/>
  <c r="F68" i="14" s="1"/>
  <c r="C66" i="14"/>
  <c r="E54" i="14"/>
  <c r="F54" i="14" s="1"/>
  <c r="C27" i="14"/>
  <c r="C2" i="14"/>
  <c r="C5" i="14"/>
  <c r="E6" i="14"/>
  <c r="F6" i="14" s="1"/>
  <c r="C23" i="14"/>
  <c r="C24" i="14"/>
  <c r="C25" i="14"/>
  <c r="E27" i="14"/>
  <c r="F27" i="14" s="1"/>
  <c r="C41" i="14"/>
  <c r="E42" i="14"/>
  <c r="F42" i="14" s="1"/>
  <c r="C45" i="14"/>
  <c r="C58" i="14"/>
  <c r="C65" i="14"/>
  <c r="E66" i="14"/>
  <c r="F66" i="14" s="1"/>
  <c r="E73" i="14"/>
  <c r="F73" i="14" s="1"/>
  <c r="C86" i="14"/>
  <c r="E87" i="14"/>
  <c r="F87" i="14" s="1"/>
  <c r="C92" i="14"/>
  <c r="E93" i="14"/>
  <c r="F93" i="14" s="1"/>
  <c r="C4" i="14"/>
  <c r="E5" i="14"/>
  <c r="F5" i="14" s="1"/>
  <c r="C20" i="14"/>
  <c r="C22" i="14"/>
  <c r="E26" i="14"/>
  <c r="F26" i="14" s="1"/>
  <c r="C40" i="14"/>
  <c r="E41" i="14"/>
  <c r="F41" i="14" s="1"/>
  <c r="E43" i="14"/>
  <c r="F43" i="14" s="1"/>
  <c r="E44" i="14"/>
  <c r="F44" i="14" s="1"/>
  <c r="C46" i="14"/>
  <c r="C47" i="14"/>
  <c r="C48" i="14"/>
  <c r="C49" i="14"/>
  <c r="C50" i="14"/>
  <c r="C51" i="14"/>
  <c r="E52" i="14"/>
  <c r="F52" i="14" s="1"/>
  <c r="C57" i="14"/>
  <c r="E59" i="14"/>
  <c r="F59" i="14" s="1"/>
  <c r="C78" i="14"/>
  <c r="E79" i="14"/>
  <c r="F79" i="14" s="1"/>
  <c r="E2" i="14"/>
  <c r="F2" i="14" s="1"/>
  <c r="C3" i="14"/>
  <c r="C19" i="14"/>
  <c r="E20" i="14"/>
  <c r="F20" i="14" s="1"/>
  <c r="E21" i="14"/>
  <c r="F21" i="14" s="1"/>
  <c r="E23" i="14"/>
  <c r="F23" i="14" s="1"/>
  <c r="E24" i="14"/>
  <c r="F24" i="14" s="1"/>
  <c r="E25" i="14"/>
  <c r="F25" i="14" s="1"/>
  <c r="C39" i="14"/>
  <c r="E45" i="14"/>
  <c r="F45" i="14" s="1"/>
  <c r="E58" i="14"/>
  <c r="F58" i="14" s="1"/>
  <c r="C64" i="14"/>
  <c r="E65" i="14"/>
  <c r="F65" i="14" s="1"/>
  <c r="C71" i="14"/>
  <c r="E72" i="14"/>
  <c r="F72" i="14" s="1"/>
  <c r="C85" i="14"/>
  <c r="C91" i="14"/>
  <c r="E92" i="14"/>
  <c r="F92" i="14" s="1"/>
  <c r="E22" i="14"/>
  <c r="F22" i="14" s="1"/>
  <c r="C38" i="14"/>
  <c r="E46" i="14"/>
  <c r="F46" i="14" s="1"/>
  <c r="E47" i="14"/>
  <c r="F47" i="14" s="1"/>
  <c r="E48" i="14"/>
  <c r="F48" i="14" s="1"/>
  <c r="E49" i="14"/>
  <c r="F49" i="14" s="1"/>
  <c r="E50" i="14"/>
  <c r="F50" i="14" s="1"/>
  <c r="E51" i="14"/>
  <c r="F51" i="14" s="1"/>
  <c r="C56" i="14"/>
  <c r="E57" i="14"/>
  <c r="F57" i="14" s="1"/>
  <c r="C70" i="14"/>
  <c r="C77" i="14"/>
  <c r="E78" i="14"/>
  <c r="F78" i="14" s="1"/>
  <c r="E85" i="14"/>
  <c r="F85" i="14" s="1"/>
  <c r="C98" i="14"/>
  <c r="E99" i="14"/>
  <c r="F99" i="14" s="1"/>
  <c r="C104" i="14"/>
  <c r="E105" i="14"/>
  <c r="F105" i="14" s="1"/>
  <c r="E3" i="14"/>
  <c r="F3" i="14" s="1"/>
  <c r="C17" i="14"/>
  <c r="E18" i="14"/>
  <c r="F18" i="14" s="1"/>
  <c r="C35" i="14"/>
  <c r="C36" i="14"/>
  <c r="C37" i="14"/>
  <c r="E39" i="14"/>
  <c r="F39" i="14" s="1"/>
  <c r="C63" i="14"/>
  <c r="E64" i="14"/>
  <c r="F64" i="14" s="1"/>
  <c r="C69" i="14"/>
  <c r="E71" i="14"/>
  <c r="F71" i="14" s="1"/>
  <c r="C90" i="14"/>
  <c r="E91" i="14"/>
  <c r="F91" i="14" s="1"/>
  <c r="C113" i="14"/>
  <c r="E115" i="14"/>
  <c r="F115" i="14" s="1"/>
  <c r="C16" i="14"/>
  <c r="E17" i="14"/>
  <c r="F17" i="14" s="1"/>
  <c r="C32" i="14"/>
  <c r="C34" i="14"/>
  <c r="E38" i="14"/>
  <c r="F38" i="14" s="1"/>
  <c r="C55" i="14"/>
  <c r="E56" i="14"/>
  <c r="F56" i="14" s="1"/>
  <c r="E70" i="14"/>
  <c r="F70" i="14" s="1"/>
  <c r="C76" i="14"/>
  <c r="E77" i="14"/>
  <c r="F77" i="14" s="1"/>
  <c r="C83" i="14"/>
  <c r="E84" i="14"/>
  <c r="F84" i="14" s="1"/>
  <c r="C97" i="14"/>
  <c r="C103" i="14"/>
  <c r="E104" i="14"/>
  <c r="F104" i="14" s="1"/>
  <c r="C112" i="14"/>
  <c r="E114" i="14"/>
  <c r="F114" i="14" s="1"/>
  <c r="C146" i="14"/>
  <c r="E136" i="14"/>
  <c r="F136" i="14" s="1"/>
  <c r="C134" i="14"/>
  <c r="E124" i="14"/>
  <c r="F124" i="14" s="1"/>
  <c r="C122" i="14"/>
  <c r="C114" i="14"/>
  <c r="C105" i="14"/>
  <c r="C100" i="14"/>
  <c r="E81" i="14"/>
  <c r="F81" i="14" s="1"/>
  <c r="E75" i="14"/>
  <c r="F75" i="14" s="1"/>
  <c r="E30" i="14"/>
  <c r="F30" i="14" s="1"/>
  <c r="E11" i="14"/>
  <c r="F11" i="14" s="1"/>
  <c r="C33" i="14"/>
  <c r="E31" i="14"/>
  <c r="F31" i="14" s="1"/>
  <c r="C21" i="14"/>
  <c r="E19" i="14"/>
  <c r="F19" i="14" s="1"/>
  <c r="C9" i="14"/>
  <c r="E7" i="14"/>
  <c r="F7" i="14" s="1"/>
  <c r="B1" i="14"/>
  <c r="C108" i="14"/>
  <c r="E98" i="14"/>
  <c r="F98" i="14" s="1"/>
  <c r="C96" i="14"/>
  <c r="E86" i="14"/>
  <c r="F86" i="14" s="1"/>
  <c r="C84" i="14"/>
  <c r="E74" i="14"/>
  <c r="F74" i="14" s="1"/>
  <c r="C72" i="14"/>
  <c r="E62" i="14"/>
  <c r="F62" i="14" s="1"/>
  <c r="C60" i="14"/>
  <c r="C42" i="14"/>
  <c r="E40" i="14"/>
  <c r="F40" i="14" s="1"/>
  <c r="C30" i="14"/>
  <c r="E28" i="14"/>
  <c r="F28" i="14" s="1"/>
  <c r="C18" i="14"/>
  <c r="E16" i="14"/>
  <c r="F16" i="14" s="1"/>
  <c r="C6" i="14"/>
  <c r="E4" i="14"/>
  <c r="F4" i="14" s="1"/>
  <c r="B1" i="3" a="1"/>
  <c r="B1" i="3" s="1"/>
  <c r="AB1" i="9" a="1"/>
  <c r="AB1" i="9" s="1"/>
  <c r="S1" i="1" a="1"/>
  <c r="S1" i="1" s="1"/>
  <c r="AB1" i="8" a="1"/>
  <c r="AB1" i="8" s="1"/>
  <c r="V1" i="3" a="1"/>
  <c r="V1" i="3" s="1"/>
  <c r="B1" i="1" a="1"/>
  <c r="B1" i="1" s="1"/>
  <c r="O2" i="1"/>
  <c r="O1" i="8"/>
  <c r="A7" i="9"/>
  <c r="D4" i="7" s="1"/>
  <c r="D5" i="7"/>
  <c r="N1" i="9"/>
  <c r="A5" i="9"/>
  <c r="A6" i="9"/>
  <c r="D2" i="7" s="1"/>
  <c r="B1" i="9" a="1"/>
  <c r="B1" i="9" s="1"/>
  <c r="O1" i="9"/>
  <c r="T1" i="9" l="1"/>
  <c r="U1" i="9" s="1"/>
  <c r="P1" i="14"/>
  <c r="G2" i="15"/>
  <c r="C1" i="14"/>
  <c r="E1" i="14"/>
  <c r="F1" i="14" s="1"/>
  <c r="AA1" i="14" s="1"/>
  <c r="Q1" i="14"/>
  <c r="D196" i="14" s="1"/>
  <c r="D258" i="14"/>
  <c r="D264" i="14"/>
  <c r="D275" i="14"/>
  <c r="D283" i="14"/>
  <c r="D288" i="14"/>
  <c r="D326" i="14"/>
  <c r="D352" i="14"/>
  <c r="D364" i="14"/>
  <c r="D390" i="14"/>
  <c r="D381" i="14"/>
  <c r="D263" i="14"/>
  <c r="D269" i="14"/>
  <c r="D440" i="14"/>
  <c r="D306" i="14"/>
  <c r="D498" i="14"/>
  <c r="D457" i="14"/>
  <c r="D464" i="14"/>
  <c r="D466" i="14"/>
  <c r="D486" i="14"/>
  <c r="D492" i="14"/>
  <c r="D284" i="14"/>
  <c r="D61" i="14"/>
  <c r="D6" i="7"/>
  <c r="AA2" i="9"/>
  <c r="D3" i="7"/>
  <c r="K2" i="9"/>
  <c r="K3" i="9" s="1"/>
  <c r="K4" i="9" s="1"/>
  <c r="K5" i="9" s="1"/>
  <c r="K6" i="9" s="1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A8" i="9" s="1"/>
  <c r="A9" i="9" s="1"/>
  <c r="A10" i="9" s="1"/>
  <c r="D1" i="9" s="1"/>
  <c r="G3" i="7" l="1"/>
  <c r="V1" i="9"/>
  <c r="D41" i="14"/>
  <c r="H41" i="14" s="1"/>
  <c r="D78" i="14"/>
  <c r="G78" i="14" s="1"/>
  <c r="D193" i="14"/>
  <c r="D197" i="14"/>
  <c r="H197" i="14" s="1"/>
  <c r="D201" i="14"/>
  <c r="G201" i="14" s="1"/>
  <c r="D162" i="14"/>
  <c r="H162" i="14" s="1"/>
  <c r="D59" i="14"/>
  <c r="G59" i="14" s="1"/>
  <c r="D160" i="14"/>
  <c r="G160" i="14" s="1"/>
  <c r="D244" i="14"/>
  <c r="I244" i="14" s="1"/>
  <c r="D53" i="14"/>
  <c r="G53" i="14" s="1"/>
  <c r="D199" i="14"/>
  <c r="G199" i="14" s="1"/>
  <c r="D452" i="14"/>
  <c r="D443" i="14"/>
  <c r="H443" i="14" s="1"/>
  <c r="D433" i="14"/>
  <c r="D494" i="14"/>
  <c r="H494" i="14" s="1"/>
  <c r="D270" i="14"/>
  <c r="D279" i="14"/>
  <c r="D70" i="14"/>
  <c r="J70" i="14" s="1"/>
  <c r="D144" i="14"/>
  <c r="D23" i="14"/>
  <c r="G23" i="14" s="1"/>
  <c r="D118" i="14"/>
  <c r="J118" i="14" s="1"/>
  <c r="D79" i="14"/>
  <c r="H79" i="14" s="1"/>
  <c r="D129" i="14"/>
  <c r="D48" i="14"/>
  <c r="G48" i="14" s="1"/>
  <c r="D206" i="14"/>
  <c r="D164" i="14"/>
  <c r="I164" i="14" s="1"/>
  <c r="D419" i="14"/>
  <c r="D5" i="14"/>
  <c r="J5" i="14" s="1"/>
  <c r="D125" i="14"/>
  <c r="I125" i="14" s="1"/>
  <c r="D130" i="14"/>
  <c r="H130" i="14" s="1"/>
  <c r="D438" i="14"/>
  <c r="G438" i="14" s="1"/>
  <c r="D68" i="14"/>
  <c r="H68" i="14" s="1"/>
  <c r="D224" i="14"/>
  <c r="J224" i="14" s="1"/>
  <c r="D342" i="14"/>
  <c r="H342" i="14" s="1"/>
  <c r="D426" i="14"/>
  <c r="J426" i="14" s="1"/>
  <c r="D102" i="14"/>
  <c r="D132" i="14"/>
  <c r="D88" i="14"/>
  <c r="I88" i="14" s="1"/>
  <c r="D180" i="14"/>
  <c r="G180" i="14" s="1"/>
  <c r="D200" i="14"/>
  <c r="H200" i="14" s="1"/>
  <c r="D185" i="14"/>
  <c r="I185" i="14" s="1"/>
  <c r="D235" i="14"/>
  <c r="G235" i="14" s="1"/>
  <c r="D166" i="14"/>
  <c r="H166" i="14" s="1"/>
  <c r="D222" i="14"/>
  <c r="G222" i="14" s="1"/>
  <c r="D453" i="14"/>
  <c r="I453" i="14" s="1"/>
  <c r="D309" i="14"/>
  <c r="D408" i="14"/>
  <c r="H408" i="14" s="1"/>
  <c r="D356" i="14"/>
  <c r="D451" i="14"/>
  <c r="D361" i="14"/>
  <c r="G361" i="14" s="1"/>
  <c r="D215" i="14"/>
  <c r="G215" i="14" s="1"/>
  <c r="D119" i="14"/>
  <c r="J119" i="14" s="1"/>
  <c r="D56" i="14"/>
  <c r="D72" i="14"/>
  <c r="H72" i="14" s="1"/>
  <c r="D445" i="14"/>
  <c r="D55" i="14"/>
  <c r="H55" i="14" s="1"/>
  <c r="D218" i="14"/>
  <c r="I218" i="14" s="1"/>
  <c r="D495" i="14"/>
  <c r="J495" i="14" s="1"/>
  <c r="D62" i="14"/>
  <c r="D181" i="14"/>
  <c r="D428" i="14"/>
  <c r="D387" i="14"/>
  <c r="I387" i="14" s="1"/>
  <c r="D298" i="14"/>
  <c r="J298" i="14" s="1"/>
  <c r="D391" i="14"/>
  <c r="G391" i="14" s="1"/>
  <c r="D340" i="14"/>
  <c r="I340" i="14" s="1"/>
  <c r="D7" i="14"/>
  <c r="G7" i="14" s="1"/>
  <c r="D140" i="14"/>
  <c r="G140" i="14" s="1"/>
  <c r="D220" i="14"/>
  <c r="D189" i="14"/>
  <c r="J189" i="14" s="1"/>
  <c r="D91" i="14"/>
  <c r="D35" i="14"/>
  <c r="G35" i="14" s="1"/>
  <c r="D9" i="14"/>
  <c r="D450" i="14"/>
  <c r="D183" i="14"/>
  <c r="G183" i="14" s="1"/>
  <c r="D416" i="14"/>
  <c r="G416" i="14" s="1"/>
  <c r="D8" i="14"/>
  <c r="G8" i="14" s="1"/>
  <c r="D247" i="14"/>
  <c r="I247" i="14" s="1"/>
  <c r="D256" i="14"/>
  <c r="I256" i="14" s="1"/>
  <c r="D28" i="14"/>
  <c r="D12" i="14"/>
  <c r="D248" i="14"/>
  <c r="I248" i="14" s="1"/>
  <c r="D370" i="14"/>
  <c r="H370" i="14" s="1"/>
  <c r="D444" i="14"/>
  <c r="D365" i="14"/>
  <c r="D436" i="14"/>
  <c r="D343" i="14"/>
  <c r="I343" i="14" s="1"/>
  <c r="D334" i="14"/>
  <c r="H334" i="14" s="1"/>
  <c r="D30" i="14"/>
  <c r="J30" i="14" s="1"/>
  <c r="D212" i="14"/>
  <c r="I212" i="14" s="1"/>
  <c r="D63" i="14"/>
  <c r="H63" i="14" s="1"/>
  <c r="D86" i="14"/>
  <c r="H86" i="14" s="1"/>
  <c r="D109" i="14"/>
  <c r="D418" i="14"/>
  <c r="I418" i="14" s="1"/>
  <c r="D271" i="14"/>
  <c r="I271" i="14" s="1"/>
  <c r="D195" i="14"/>
  <c r="D431" i="14"/>
  <c r="D276" i="14"/>
  <c r="D110" i="14"/>
  <c r="I110" i="14" s="1"/>
  <c r="D233" i="14"/>
  <c r="G233" i="14" s="1"/>
  <c r="D447" i="14"/>
  <c r="H447" i="14" s="1"/>
  <c r="D167" i="14"/>
  <c r="H167" i="14" s="1"/>
  <c r="D217" i="14"/>
  <c r="H217" i="14" s="1"/>
  <c r="D175" i="14"/>
  <c r="D232" i="14"/>
  <c r="G232" i="14" s="1"/>
  <c r="D250" i="14"/>
  <c r="H250" i="14" s="1"/>
  <c r="D238" i="14"/>
  <c r="J238" i="14" s="1"/>
  <c r="D117" i="14"/>
  <c r="D388" i="14"/>
  <c r="D363" i="14"/>
  <c r="D400" i="14"/>
  <c r="G400" i="14" s="1"/>
  <c r="D354" i="14"/>
  <c r="I354" i="14" s="1"/>
  <c r="D301" i="14"/>
  <c r="I301" i="14" s="1"/>
  <c r="D186" i="14"/>
  <c r="D1" i="14"/>
  <c r="I1" i="14" s="1"/>
  <c r="D136" i="14"/>
  <c r="G136" i="14" s="1"/>
  <c r="D51" i="14"/>
  <c r="I51" i="14" s="1"/>
  <c r="D37" i="14"/>
  <c r="H37" i="14" s="1"/>
  <c r="D194" i="14"/>
  <c r="J194" i="14" s="1"/>
  <c r="D482" i="14"/>
  <c r="G482" i="14" s="1"/>
  <c r="D171" i="14"/>
  <c r="G171" i="14" s="1"/>
  <c r="D101" i="14"/>
  <c r="D394" i="14"/>
  <c r="G394" i="14" s="1"/>
  <c r="D83" i="14"/>
  <c r="D97" i="14"/>
  <c r="H97" i="14" s="1"/>
  <c r="D329" i="14"/>
  <c r="I329" i="14" s="1"/>
  <c r="D429" i="14"/>
  <c r="G429" i="14" s="1"/>
  <c r="D158" i="14"/>
  <c r="D138" i="14"/>
  <c r="G138" i="14" s="1"/>
  <c r="D484" i="14"/>
  <c r="D237" i="14"/>
  <c r="D154" i="14"/>
  <c r="J154" i="14" s="1"/>
  <c r="D150" i="14"/>
  <c r="D226" i="14"/>
  <c r="D20" i="14"/>
  <c r="G20" i="14" s="1"/>
  <c r="D100" i="14"/>
  <c r="H100" i="14" s="1"/>
  <c r="D213" i="14"/>
  <c r="J213" i="14" s="1"/>
  <c r="D151" i="14"/>
  <c r="J151" i="14" s="1"/>
  <c r="D417" i="14"/>
  <c r="I417" i="14" s="1"/>
  <c r="D22" i="14"/>
  <c r="J22" i="14" s="1"/>
  <c r="D73" i="14"/>
  <c r="G73" i="14" s="1"/>
  <c r="D92" i="14"/>
  <c r="J92" i="14" s="1"/>
  <c r="D74" i="14"/>
  <c r="I74" i="14" s="1"/>
  <c r="D211" i="14"/>
  <c r="H211" i="14" s="1"/>
  <c r="D223" i="14"/>
  <c r="D10" i="14"/>
  <c r="D488" i="14"/>
  <c r="G488" i="14" s="1"/>
  <c r="D396" i="14"/>
  <c r="G396" i="14" s="1"/>
  <c r="D353" i="14"/>
  <c r="D375" i="14"/>
  <c r="H375" i="14" s="1"/>
  <c r="D282" i="14"/>
  <c r="D296" i="14"/>
  <c r="J296" i="14" s="1"/>
  <c r="D29" i="14"/>
  <c r="J29" i="14" s="1"/>
  <c r="D469" i="14"/>
  <c r="H469" i="14" s="1"/>
  <c r="D468" i="14"/>
  <c r="I468" i="14" s="1"/>
  <c r="D378" i="14"/>
  <c r="I378" i="14" s="1"/>
  <c r="D392" i="14"/>
  <c r="D328" i="14"/>
  <c r="D367" i="14"/>
  <c r="G367" i="14" s="1"/>
  <c r="D439" i="14"/>
  <c r="G439" i="14" s="1"/>
  <c r="D260" i="14"/>
  <c r="G260" i="14" s="1"/>
  <c r="D255" i="14"/>
  <c r="J255" i="14" s="1"/>
  <c r="D254" i="14"/>
  <c r="G254" i="14" s="1"/>
  <c r="D304" i="14"/>
  <c r="D291" i="14"/>
  <c r="J291" i="14" s="1"/>
  <c r="D487" i="14"/>
  <c r="D413" i="14"/>
  <c r="G413" i="14" s="1"/>
  <c r="D382" i="14"/>
  <c r="I382" i="14" s="1"/>
  <c r="D434" i="14"/>
  <c r="D456" i="14"/>
  <c r="D421" i="14"/>
  <c r="D455" i="14"/>
  <c r="G455" i="14" s="1"/>
  <c r="D480" i="14"/>
  <c r="I480" i="14" s="1"/>
  <c r="D377" i="14"/>
  <c r="G377" i="14" s="1"/>
  <c r="D265" i="14"/>
  <c r="G265" i="14" s="1"/>
  <c r="D322" i="14"/>
  <c r="I322" i="14" s="1"/>
  <c r="D297" i="14"/>
  <c r="D384" i="14"/>
  <c r="I384" i="14" s="1"/>
  <c r="D425" i="14"/>
  <c r="G425" i="14" s="1"/>
  <c r="D389" i="14"/>
  <c r="I389" i="14" s="1"/>
  <c r="D446" i="14"/>
  <c r="D490" i="14"/>
  <c r="I490" i="14" s="1"/>
  <c r="D478" i="14"/>
  <c r="G478" i="14" s="1"/>
  <c r="D476" i="14"/>
  <c r="D491" i="14"/>
  <c r="G491" i="14" s="1"/>
  <c r="D379" i="14"/>
  <c r="H379" i="14" s="1"/>
  <c r="D277" i="14"/>
  <c r="H277" i="14" s="1"/>
  <c r="D339" i="14"/>
  <c r="J339" i="14" s="1"/>
  <c r="D325" i="14"/>
  <c r="D402" i="14"/>
  <c r="D461" i="14"/>
  <c r="G461" i="14" s="1"/>
  <c r="D399" i="14"/>
  <c r="I399" i="14" s="1"/>
  <c r="D458" i="14"/>
  <c r="D499" i="14"/>
  <c r="H499" i="14" s="1"/>
  <c r="D489" i="14"/>
  <c r="D302" i="14"/>
  <c r="G302" i="14" s="1"/>
  <c r="D366" i="14"/>
  <c r="I366" i="14" s="1"/>
  <c r="D406" i="14"/>
  <c r="I406" i="14" s="1"/>
  <c r="D285" i="14"/>
  <c r="D371" i="14"/>
  <c r="G371" i="14" s="1"/>
  <c r="D336" i="14"/>
  <c r="D414" i="14"/>
  <c r="D472" i="14"/>
  <c r="H472" i="14" s="1"/>
  <c r="D411" i="14"/>
  <c r="I411" i="14" s="1"/>
  <c r="D470" i="14"/>
  <c r="D481" i="14"/>
  <c r="H481" i="14" s="1"/>
  <c r="D432" i="14"/>
  <c r="J432" i="14" s="1"/>
  <c r="D405" i="14"/>
  <c r="G405" i="14" s="1"/>
  <c r="D496" i="14"/>
  <c r="H496" i="14" s="1"/>
  <c r="D324" i="14"/>
  <c r="H324" i="14" s="1"/>
  <c r="D272" i="14"/>
  <c r="G272" i="14" s="1"/>
  <c r="D441" i="14"/>
  <c r="J441" i="14" s="1"/>
  <c r="D373" i="14"/>
  <c r="I373" i="14" s="1"/>
  <c r="D386" i="14"/>
  <c r="G386" i="14" s="1"/>
  <c r="D314" i="14"/>
  <c r="H314" i="14" s="1"/>
  <c r="D427" i="14"/>
  <c r="I427" i="14" s="1"/>
  <c r="D358" i="14"/>
  <c r="I358" i="14" s="1"/>
  <c r="D454" i="14"/>
  <c r="D380" i="14"/>
  <c r="D337" i="14"/>
  <c r="H337" i="14" s="1"/>
  <c r="D362" i="14"/>
  <c r="J362" i="14" s="1"/>
  <c r="D307" i="14"/>
  <c r="H307" i="14" s="1"/>
  <c r="D266" i="14"/>
  <c r="G266" i="14" s="1"/>
  <c r="D415" i="14"/>
  <c r="G415" i="14" s="1"/>
  <c r="D346" i="14"/>
  <c r="D257" i="14"/>
  <c r="I257" i="14" s="1"/>
  <c r="D401" i="14"/>
  <c r="I401" i="14" s="1"/>
  <c r="D403" i="14"/>
  <c r="H403" i="14" s="1"/>
  <c r="D289" i="14"/>
  <c r="J289" i="14" s="1"/>
  <c r="D273" i="14"/>
  <c r="D131" i="14"/>
  <c r="H131" i="14" s="1"/>
  <c r="D52" i="14"/>
  <c r="H52" i="14" s="1"/>
  <c r="D84" i="14"/>
  <c r="H84" i="14" s="1"/>
  <c r="D103" i="14"/>
  <c r="H103" i="14" s="1"/>
  <c r="D89" i="14"/>
  <c r="J89" i="14" s="1"/>
  <c r="D207" i="14"/>
  <c r="I207" i="14" s="1"/>
  <c r="D42" i="14"/>
  <c r="J42" i="14" s="1"/>
  <c r="D149" i="14"/>
  <c r="D108" i="14"/>
  <c r="J108" i="14" s="1"/>
  <c r="D81" i="14"/>
  <c r="D242" i="14"/>
  <c r="G242" i="14" s="1"/>
  <c r="D69" i="14"/>
  <c r="I69" i="14" s="1"/>
  <c r="D93" i="14"/>
  <c r="H93" i="14" s="1"/>
  <c r="D145" i="14"/>
  <c r="I145" i="14" s="1"/>
  <c r="D65" i="14"/>
  <c r="J65" i="14" s="1"/>
  <c r="D80" i="14"/>
  <c r="D187" i="14"/>
  <c r="G187" i="14" s="1"/>
  <c r="D192" i="14"/>
  <c r="H192" i="14" s="1"/>
  <c r="D95" i="14"/>
  <c r="H95" i="14" s="1"/>
  <c r="D208" i="14"/>
  <c r="I208" i="14" s="1"/>
  <c r="D111" i="14"/>
  <c r="G111" i="14" s="1"/>
  <c r="D112" i="14"/>
  <c r="I112" i="14" s="1"/>
  <c r="D236" i="14"/>
  <c r="D229" i="14"/>
  <c r="I229" i="14" s="1"/>
  <c r="D116" i="14"/>
  <c r="I116" i="14" s="1"/>
  <c r="D107" i="14"/>
  <c r="H107" i="14" s="1"/>
  <c r="D205" i="14"/>
  <c r="G205" i="14" s="1"/>
  <c r="D50" i="14"/>
  <c r="I50" i="14" s="1"/>
  <c r="D157" i="14"/>
  <c r="J157" i="14" s="1"/>
  <c r="D14" i="14"/>
  <c r="I14" i="14" s="1"/>
  <c r="D179" i="14"/>
  <c r="G179" i="14" s="1"/>
  <c r="D204" i="14"/>
  <c r="G204" i="14" s="1"/>
  <c r="D198" i="14"/>
  <c r="D245" i="14"/>
  <c r="G245" i="14" s="1"/>
  <c r="D11" i="14"/>
  <c r="D137" i="14"/>
  <c r="D202" i="14"/>
  <c r="D177" i="14"/>
  <c r="I177" i="14" s="1"/>
  <c r="D128" i="14"/>
  <c r="I128" i="14" s="1"/>
  <c r="I196" i="14"/>
  <c r="G196" i="14"/>
  <c r="J196" i="14"/>
  <c r="H196" i="14"/>
  <c r="G466" i="14"/>
  <c r="I466" i="14"/>
  <c r="H466" i="14"/>
  <c r="J466" i="14"/>
  <c r="G284" i="14"/>
  <c r="H284" i="14"/>
  <c r="I284" i="14"/>
  <c r="J284" i="14"/>
  <c r="I61" i="14"/>
  <c r="G61" i="14"/>
  <c r="H61" i="14"/>
  <c r="J61" i="14"/>
  <c r="G258" i="14"/>
  <c r="J258" i="14"/>
  <c r="I258" i="14"/>
  <c r="H258" i="14"/>
  <c r="H457" i="14"/>
  <c r="I457" i="14"/>
  <c r="G457" i="14"/>
  <c r="J457" i="14"/>
  <c r="G193" i="14"/>
  <c r="I193" i="14"/>
  <c r="H193" i="14"/>
  <c r="J193" i="14"/>
  <c r="G390" i="14"/>
  <c r="H390" i="14"/>
  <c r="I390" i="14"/>
  <c r="J390" i="14"/>
  <c r="D293" i="14"/>
  <c r="D349" i="14"/>
  <c r="D268" i="14"/>
  <c r="D262" i="14"/>
  <c r="D253" i="14"/>
  <c r="D148" i="14"/>
  <c r="D178" i="14"/>
  <c r="D174" i="14"/>
  <c r="D31" i="14"/>
  <c r="G269" i="14"/>
  <c r="I269" i="14"/>
  <c r="J269" i="14"/>
  <c r="H269" i="14"/>
  <c r="G288" i="14"/>
  <c r="I288" i="14"/>
  <c r="J288" i="14"/>
  <c r="H288" i="14"/>
  <c r="G264" i="14"/>
  <c r="H264" i="14"/>
  <c r="I264" i="14"/>
  <c r="J264" i="14"/>
  <c r="G352" i="14"/>
  <c r="I352" i="14"/>
  <c r="H352" i="14"/>
  <c r="J352" i="14"/>
  <c r="D2" i="14"/>
  <c r="D21" i="14"/>
  <c r="D168" i="14"/>
  <c r="D243" i="14"/>
  <c r="D57" i="14"/>
  <c r="D191" i="14"/>
  <c r="D142" i="14"/>
  <c r="D249" i="14"/>
  <c r="D240" i="14"/>
  <c r="D172" i="14"/>
  <c r="D234" i="14"/>
  <c r="D228" i="14"/>
  <c r="D170" i="14"/>
  <c r="D188" i="14"/>
  <c r="D404" i="14"/>
  <c r="D420" i="14"/>
  <c r="D409" i="14"/>
  <c r="D295" i="14"/>
  <c r="D500" i="14"/>
  <c r="D430" i="14"/>
  <c r="D351" i="14"/>
  <c r="D422" i="14"/>
  <c r="D483" i="14"/>
  <c r="D274" i="14"/>
  <c r="D497" i="14"/>
  <c r="D319" i="14"/>
  <c r="D376" i="14"/>
  <c r="D385" i="14"/>
  <c r="D345" i="14"/>
  <c r="D321" i="14"/>
  <c r="D360" i="14"/>
  <c r="D316" i="14"/>
  <c r="D290" i="14"/>
  <c r="D252" i="14"/>
  <c r="D219" i="14"/>
  <c r="D4" i="14"/>
  <c r="D3" i="14"/>
  <c r="D24" i="14"/>
  <c r="D26" i="14"/>
  <c r="G464" i="14"/>
  <c r="I464" i="14"/>
  <c r="H464" i="14"/>
  <c r="J464" i="14"/>
  <c r="I283" i="14"/>
  <c r="G283" i="14"/>
  <c r="H283" i="14"/>
  <c r="J283" i="14"/>
  <c r="G306" i="14"/>
  <c r="I306" i="14"/>
  <c r="H306" i="14"/>
  <c r="J306" i="14"/>
  <c r="D40" i="14"/>
  <c r="D96" i="14"/>
  <c r="D54" i="14"/>
  <c r="D214" i="14"/>
  <c r="D67" i="14"/>
  <c r="D60" i="14"/>
  <c r="D105" i="14"/>
  <c r="D143" i="14"/>
  <c r="D87" i="14"/>
  <c r="D152" i="14"/>
  <c r="D239" i="14"/>
  <c r="D210" i="14"/>
  <c r="D18" i="14"/>
  <c r="D161" i="14"/>
  <c r="D156" i="14"/>
  <c r="D44" i="14"/>
  <c r="D49" i="14"/>
  <c r="D33" i="14"/>
  <c r="D221" i="14"/>
  <c r="D58" i="14"/>
  <c r="D71" i="14"/>
  <c r="D159" i="14"/>
  <c r="D17" i="14"/>
  <c r="D165" i="14"/>
  <c r="D155" i="14"/>
  <c r="D66" i="14"/>
  <c r="D36" i="14"/>
  <c r="D38" i="14"/>
  <c r="D98" i="14"/>
  <c r="D127" i="14"/>
  <c r="D94" i="14"/>
  <c r="D15" i="14"/>
  <c r="D141" i="14"/>
  <c r="D122" i="14"/>
  <c r="D230" i="14"/>
  <c r="D190" i="14"/>
  <c r="D163" i="14"/>
  <c r="D82" i="14"/>
  <c r="D397" i="14"/>
  <c r="D393" i="14"/>
  <c r="D395" i="14"/>
  <c r="D286" i="14"/>
  <c r="D467" i="14"/>
  <c r="D407" i="14"/>
  <c r="D372" i="14"/>
  <c r="D410" i="14"/>
  <c r="D471" i="14"/>
  <c r="D460" i="14"/>
  <c r="D485" i="14"/>
  <c r="D317" i="14"/>
  <c r="D368" i="14"/>
  <c r="D369" i="14"/>
  <c r="D338" i="14"/>
  <c r="D315" i="14"/>
  <c r="D348" i="14"/>
  <c r="D305" i="14"/>
  <c r="D278" i="14"/>
  <c r="D335" i="14"/>
  <c r="D121" i="14"/>
  <c r="D77" i="14"/>
  <c r="D113" i="14"/>
  <c r="D46" i="14"/>
  <c r="D25" i="14"/>
  <c r="D225" i="14"/>
  <c r="G498" i="14"/>
  <c r="I498" i="14"/>
  <c r="J498" i="14"/>
  <c r="H498" i="14"/>
  <c r="G275" i="14"/>
  <c r="I275" i="14"/>
  <c r="H275" i="14"/>
  <c r="J275" i="14"/>
  <c r="G263" i="14"/>
  <c r="J263" i="14"/>
  <c r="H263" i="14"/>
  <c r="I263" i="14"/>
  <c r="D173" i="14"/>
  <c r="D176" i="14"/>
  <c r="D106" i="14"/>
  <c r="D115" i="14"/>
  <c r="D184" i="14"/>
  <c r="D169" i="14"/>
  <c r="D153" i="14"/>
  <c r="D76" i="14"/>
  <c r="D465" i="14"/>
  <c r="D442" i="14"/>
  <c r="D493" i="14"/>
  <c r="D355" i="14"/>
  <c r="D398" i="14"/>
  <c r="D459" i="14"/>
  <c r="D448" i="14"/>
  <c r="D473" i="14"/>
  <c r="D281" i="14"/>
  <c r="D303" i="14"/>
  <c r="D357" i="14"/>
  <c r="D331" i="14"/>
  <c r="D383" i="14"/>
  <c r="D333" i="14"/>
  <c r="D294" i="14"/>
  <c r="D259" i="14"/>
  <c r="D323" i="14"/>
  <c r="D6" i="14"/>
  <c r="D90" i="14"/>
  <c r="D13" i="14"/>
  <c r="D19" i="14"/>
  <c r="D47" i="14"/>
  <c r="D45" i="14"/>
  <c r="D99" i="14"/>
  <c r="AC21" i="14"/>
  <c r="AC27" i="14"/>
  <c r="AC39" i="14"/>
  <c r="AC50" i="14"/>
  <c r="AC45" i="14"/>
  <c r="AC48" i="14"/>
  <c r="AC6" i="14"/>
  <c r="AC23" i="14"/>
  <c r="AC8" i="14"/>
  <c r="AC46" i="14"/>
  <c r="AC34" i="14"/>
  <c r="AC30" i="14"/>
  <c r="AC3" i="14"/>
  <c r="AC35" i="14"/>
  <c r="AC36" i="14"/>
  <c r="AC18" i="14"/>
  <c r="AC13" i="14"/>
  <c r="AC24" i="14"/>
  <c r="AC5" i="14"/>
  <c r="AC31" i="14"/>
  <c r="AC38" i="14"/>
  <c r="AC29" i="14"/>
  <c r="AC40" i="14"/>
  <c r="AC17" i="14"/>
  <c r="AC12" i="14"/>
  <c r="AC44" i="14"/>
  <c r="AC37" i="14"/>
  <c r="AC47" i="14"/>
  <c r="AC11" i="14"/>
  <c r="AC41" i="14"/>
  <c r="AC9" i="14"/>
  <c r="AC7" i="14"/>
  <c r="AC16" i="14"/>
  <c r="AC26" i="14"/>
  <c r="AC25" i="14"/>
  <c r="AC19" i="14"/>
  <c r="AC4" i="14"/>
  <c r="AC43" i="14"/>
  <c r="AC15" i="14"/>
  <c r="AC20" i="14"/>
  <c r="AC10" i="14"/>
  <c r="AC42" i="14"/>
  <c r="AC22" i="14"/>
  <c r="AC49" i="14"/>
  <c r="AC1" i="14"/>
  <c r="AC32" i="14"/>
  <c r="AC28" i="14"/>
  <c r="AC33" i="14"/>
  <c r="AC2" i="14"/>
  <c r="AC14" i="14"/>
  <c r="G364" i="14"/>
  <c r="I364" i="14"/>
  <c r="H364" i="14"/>
  <c r="J364" i="14"/>
  <c r="G492" i="14"/>
  <c r="I492" i="14"/>
  <c r="J492" i="14"/>
  <c r="H492" i="14"/>
  <c r="G440" i="14"/>
  <c r="I440" i="14"/>
  <c r="J440" i="14"/>
  <c r="H440" i="14"/>
  <c r="I381" i="14"/>
  <c r="G381" i="14"/>
  <c r="H381" i="14"/>
  <c r="J381" i="14"/>
  <c r="G326" i="14"/>
  <c r="H326" i="14"/>
  <c r="I326" i="14"/>
  <c r="J326" i="14"/>
  <c r="D327" i="14"/>
  <c r="D261" i="14"/>
  <c r="D332" i="14"/>
  <c r="D311" i="14"/>
  <c r="D203" i="14"/>
  <c r="D231" i="14"/>
  <c r="D227" i="14"/>
  <c r="D104" i="14"/>
  <c r="D32" i="14"/>
  <c r="D39" i="14"/>
  <c r="D64" i="14"/>
  <c r="D251" i="14"/>
  <c r="D182" i="14"/>
  <c r="D146" i="14"/>
  <c r="D246" i="14"/>
  <c r="D126" i="14"/>
  <c r="G486" i="14"/>
  <c r="I486" i="14"/>
  <c r="J486" i="14"/>
  <c r="H486" i="14"/>
  <c r="D479" i="14"/>
  <c r="D344" i="14"/>
  <c r="D374" i="14"/>
  <c r="D435" i="14"/>
  <c r="D424" i="14"/>
  <c r="D449" i="14"/>
  <c r="D474" i="14"/>
  <c r="D475" i="14"/>
  <c r="D341" i="14"/>
  <c r="D310" i="14"/>
  <c r="D359" i="14"/>
  <c r="D300" i="14"/>
  <c r="D350" i="14"/>
  <c r="D320" i="14"/>
  <c r="D299" i="14"/>
  <c r="D139" i="14"/>
  <c r="D133" i="14"/>
  <c r="D34" i="14"/>
  <c r="D123" i="14"/>
  <c r="D85" i="14"/>
  <c r="D114" i="14"/>
  <c r="D147" i="14"/>
  <c r="D267" i="14"/>
  <c r="D134" i="14"/>
  <c r="D75" i="14"/>
  <c r="D241" i="14"/>
  <c r="D124" i="14"/>
  <c r="D477" i="14"/>
  <c r="D318" i="14"/>
  <c r="D330" i="14"/>
  <c r="D423" i="14"/>
  <c r="D412" i="14"/>
  <c r="D437" i="14"/>
  <c r="D462" i="14"/>
  <c r="D463" i="14"/>
  <c r="D313" i="14"/>
  <c r="D292" i="14"/>
  <c r="D347" i="14"/>
  <c r="D280" i="14"/>
  <c r="D312" i="14"/>
  <c r="D308" i="14"/>
  <c r="D287" i="14"/>
  <c r="D216" i="14"/>
  <c r="D27" i="14"/>
  <c r="D209" i="14"/>
  <c r="D120" i="14"/>
  <c r="D43" i="14"/>
  <c r="D135" i="14"/>
  <c r="D16" i="14"/>
  <c r="G2" i="7"/>
  <c r="D6" i="9"/>
  <c r="D20" i="9"/>
  <c r="E118" i="9"/>
  <c r="F118" i="9" s="1"/>
  <c r="E44" i="9"/>
  <c r="F44" i="9" s="1"/>
  <c r="D330" i="9"/>
  <c r="D32" i="9"/>
  <c r="D162" i="9"/>
  <c r="E369" i="9"/>
  <c r="F369" i="9" s="1"/>
  <c r="E32" i="9"/>
  <c r="F32" i="9" s="1"/>
  <c r="E280" i="9"/>
  <c r="F280" i="9" s="1"/>
  <c r="E357" i="9"/>
  <c r="F357" i="9" s="1"/>
  <c r="E20" i="9"/>
  <c r="F20" i="9" s="1"/>
  <c r="E489" i="9"/>
  <c r="F489" i="9" s="1"/>
  <c r="D450" i="9"/>
  <c r="E237" i="9"/>
  <c r="F237" i="9" s="1"/>
  <c r="E415" i="9"/>
  <c r="F415" i="9" s="1"/>
  <c r="D115" i="9"/>
  <c r="D152" i="9"/>
  <c r="E264" i="9"/>
  <c r="F264" i="9" s="1"/>
  <c r="D462" i="9"/>
  <c r="D296" i="9"/>
  <c r="E353" i="9"/>
  <c r="F353" i="9" s="1"/>
  <c r="D25" i="9"/>
  <c r="E403" i="9"/>
  <c r="F403" i="9" s="1"/>
  <c r="D474" i="9"/>
  <c r="E247" i="9"/>
  <c r="F247" i="9" s="1"/>
  <c r="D139" i="9"/>
  <c r="E335" i="9"/>
  <c r="F335" i="9" s="1"/>
  <c r="E93" i="9"/>
  <c r="F93" i="9" s="1"/>
  <c r="D259" i="9"/>
  <c r="E351" i="9"/>
  <c r="F351" i="9" s="1"/>
  <c r="E418" i="9"/>
  <c r="F418" i="9" s="1"/>
  <c r="E81" i="9"/>
  <c r="F81" i="9" s="1"/>
  <c r="E115" i="9"/>
  <c r="F115" i="9" s="1"/>
  <c r="D271" i="9"/>
  <c r="E2" i="9"/>
  <c r="F2" i="9" s="1"/>
  <c r="E84" i="9"/>
  <c r="F84" i="9" s="1"/>
  <c r="D174" i="9"/>
  <c r="D127" i="9"/>
  <c r="E213" i="9"/>
  <c r="F213" i="9" s="1"/>
  <c r="D176" i="9"/>
  <c r="E430" i="9"/>
  <c r="F430" i="9" s="1"/>
  <c r="E127" i="9"/>
  <c r="F127" i="9" s="1"/>
  <c r="E371" i="9"/>
  <c r="F371" i="9" s="1"/>
  <c r="E406" i="9"/>
  <c r="F406" i="9" s="1"/>
  <c r="E308" i="9"/>
  <c r="F308" i="9" s="1"/>
  <c r="E103" i="9"/>
  <c r="F103" i="9" s="1"/>
  <c r="D283" i="9"/>
  <c r="E424" i="9"/>
  <c r="F424" i="9" s="1"/>
  <c r="D42" i="9"/>
  <c r="E164" i="9"/>
  <c r="F164" i="9" s="1"/>
  <c r="E381" i="9"/>
  <c r="F381" i="9" s="1"/>
  <c r="E225" i="9"/>
  <c r="F225" i="9" s="1"/>
  <c r="D164" i="9"/>
  <c r="E155" i="9"/>
  <c r="F155" i="9" s="1"/>
  <c r="D18" i="9"/>
  <c r="E286" i="9"/>
  <c r="F286" i="9" s="1"/>
  <c r="E188" i="9"/>
  <c r="F188" i="9" s="1"/>
  <c r="E48" i="9"/>
  <c r="F48" i="9" s="1"/>
  <c r="E101" i="9"/>
  <c r="F101" i="9" s="1"/>
  <c r="D30" i="9"/>
  <c r="E274" i="9"/>
  <c r="F274" i="9" s="1"/>
  <c r="E176" i="9"/>
  <c r="F176" i="9" s="1"/>
  <c r="E64" i="9"/>
  <c r="F64" i="9" s="1"/>
  <c r="E121" i="9"/>
  <c r="F121" i="9" s="1"/>
  <c r="W1" i="9"/>
  <c r="P1" i="9" s="1"/>
  <c r="D186" i="9"/>
  <c r="E262" i="9"/>
  <c r="F262" i="9" s="1"/>
  <c r="E69" i="9"/>
  <c r="F69" i="9" s="1"/>
  <c r="E391" i="9"/>
  <c r="F391" i="9" s="1"/>
  <c r="E300" i="9"/>
  <c r="F300" i="9" s="1"/>
  <c r="E137" i="9"/>
  <c r="F137" i="9" s="1"/>
  <c r="E198" i="9"/>
  <c r="F198" i="9" s="1"/>
  <c r="E119" i="9"/>
  <c r="F119" i="9" s="1"/>
  <c r="D306" i="9"/>
  <c r="E142" i="9"/>
  <c r="F142" i="9" s="1"/>
  <c r="E332" i="9"/>
  <c r="F332" i="9" s="1"/>
  <c r="E271" i="9"/>
  <c r="F271" i="9" s="1"/>
  <c r="E460" i="9"/>
  <c r="F460" i="9" s="1"/>
  <c r="E317" i="9"/>
  <c r="F317" i="9" s="1"/>
  <c r="E218" i="9"/>
  <c r="F218" i="9" s="1"/>
  <c r="E135" i="9"/>
  <c r="F135" i="9" s="1"/>
  <c r="D318" i="9"/>
  <c r="E130" i="9"/>
  <c r="F130" i="9" s="1"/>
  <c r="E320" i="9"/>
  <c r="F320" i="9" s="1"/>
  <c r="E259" i="9"/>
  <c r="F259" i="9" s="1"/>
  <c r="E474" i="9"/>
  <c r="F474" i="9" s="1"/>
  <c r="E337" i="9"/>
  <c r="F337" i="9" s="1"/>
  <c r="E410" i="9"/>
  <c r="F410" i="9" s="1"/>
  <c r="E18" i="9"/>
  <c r="F18" i="9" s="1"/>
  <c r="E234" i="9"/>
  <c r="F234" i="9" s="1"/>
  <c r="E438" i="9"/>
  <c r="F438" i="9" s="1"/>
  <c r="E171" i="9"/>
  <c r="F171" i="9" s="1"/>
  <c r="E387" i="9"/>
  <c r="F387" i="9" s="1"/>
  <c r="D54" i="9"/>
  <c r="D198" i="9"/>
  <c r="D342" i="9"/>
  <c r="D486" i="9"/>
  <c r="E394" i="9"/>
  <c r="F394" i="9" s="1"/>
  <c r="E250" i="9"/>
  <c r="F250" i="9" s="1"/>
  <c r="E106" i="9"/>
  <c r="F106" i="9" s="1"/>
  <c r="E345" i="9"/>
  <c r="F345" i="9" s="1"/>
  <c r="E201" i="9"/>
  <c r="F201" i="9" s="1"/>
  <c r="E57" i="9"/>
  <c r="F57" i="9" s="1"/>
  <c r="E296" i="9"/>
  <c r="F296" i="9" s="1"/>
  <c r="E152" i="9"/>
  <c r="F152" i="9" s="1"/>
  <c r="E8" i="9"/>
  <c r="F8" i="9" s="1"/>
  <c r="E379" i="9"/>
  <c r="F379" i="9" s="1"/>
  <c r="E235" i="9"/>
  <c r="F235" i="9" s="1"/>
  <c r="E91" i="9"/>
  <c r="F91" i="9" s="1"/>
  <c r="E100" i="9"/>
  <c r="F100" i="9" s="1"/>
  <c r="E316" i="9"/>
  <c r="F316" i="9" s="1"/>
  <c r="D5" i="9"/>
  <c r="D151" i="9"/>
  <c r="D295" i="9"/>
  <c r="E157" i="9"/>
  <c r="F157" i="9" s="1"/>
  <c r="E373" i="9"/>
  <c r="F373" i="9" s="1"/>
  <c r="D44" i="9"/>
  <c r="D188" i="9"/>
  <c r="E38" i="9"/>
  <c r="F38" i="9" s="1"/>
  <c r="E254" i="9"/>
  <c r="F254" i="9" s="1"/>
  <c r="E453" i="9"/>
  <c r="F453" i="9" s="1"/>
  <c r="E1" i="9"/>
  <c r="F1" i="9" s="1"/>
  <c r="AA1" i="9" s="1"/>
  <c r="AC34" i="9" s="1"/>
  <c r="E191" i="9"/>
  <c r="F191" i="9" s="1"/>
  <c r="E401" i="9"/>
  <c r="F401" i="9" s="1"/>
  <c r="D66" i="9"/>
  <c r="D210" i="9"/>
  <c r="D354" i="9"/>
  <c r="D498" i="9"/>
  <c r="E382" i="9"/>
  <c r="F382" i="9" s="1"/>
  <c r="E238" i="9"/>
  <c r="F238" i="9" s="1"/>
  <c r="E94" i="9"/>
  <c r="F94" i="9" s="1"/>
  <c r="E333" i="9"/>
  <c r="F333" i="9" s="1"/>
  <c r="E189" i="9"/>
  <c r="F189" i="9" s="1"/>
  <c r="E45" i="9"/>
  <c r="F45" i="9" s="1"/>
  <c r="E284" i="9"/>
  <c r="F284" i="9" s="1"/>
  <c r="E140" i="9"/>
  <c r="F140" i="9" s="1"/>
  <c r="D12" i="9"/>
  <c r="E367" i="9"/>
  <c r="F367" i="9" s="1"/>
  <c r="E223" i="9"/>
  <c r="F223" i="9" s="1"/>
  <c r="E79" i="9"/>
  <c r="F79" i="9" s="1"/>
  <c r="E120" i="9"/>
  <c r="F120" i="9" s="1"/>
  <c r="E336" i="9"/>
  <c r="F336" i="9" s="1"/>
  <c r="D19" i="9"/>
  <c r="D163" i="9"/>
  <c r="D307" i="9"/>
  <c r="E173" i="9"/>
  <c r="F173" i="9" s="1"/>
  <c r="E389" i="9"/>
  <c r="F389" i="9" s="1"/>
  <c r="D56" i="9"/>
  <c r="D200" i="9"/>
  <c r="E54" i="9"/>
  <c r="F54" i="9" s="1"/>
  <c r="E270" i="9"/>
  <c r="F270" i="9" s="1"/>
  <c r="E468" i="9"/>
  <c r="F468" i="9" s="1"/>
  <c r="E207" i="9"/>
  <c r="F207" i="9" s="1"/>
  <c r="D78" i="9"/>
  <c r="D15" i="9"/>
  <c r="E226" i="9"/>
  <c r="F226" i="9" s="1"/>
  <c r="E177" i="9"/>
  <c r="F177" i="9" s="1"/>
  <c r="E128" i="9"/>
  <c r="F128" i="9" s="1"/>
  <c r="E211" i="9"/>
  <c r="F211" i="9" s="1"/>
  <c r="E136" i="9"/>
  <c r="F136" i="9" s="1"/>
  <c r="D319" i="9"/>
  <c r="E404" i="9"/>
  <c r="F404" i="9" s="1"/>
  <c r="E290" i="9"/>
  <c r="F290" i="9" s="1"/>
  <c r="D234" i="9"/>
  <c r="E70" i="9"/>
  <c r="F70" i="9" s="1"/>
  <c r="E21" i="9"/>
  <c r="F21" i="9" s="1"/>
  <c r="E343" i="9"/>
  <c r="F343" i="9" s="1"/>
  <c r="E372" i="9"/>
  <c r="F372" i="9" s="1"/>
  <c r="E419" i="9"/>
  <c r="F419" i="9" s="1"/>
  <c r="E496" i="9"/>
  <c r="F496" i="9" s="1"/>
  <c r="E27" i="9"/>
  <c r="F27" i="9" s="1"/>
  <c r="D102" i="9"/>
  <c r="E346" i="9"/>
  <c r="F346" i="9" s="1"/>
  <c r="E153" i="9"/>
  <c r="F153" i="9" s="1"/>
  <c r="E248" i="9"/>
  <c r="F248" i="9" s="1"/>
  <c r="E187" i="9"/>
  <c r="F187" i="9" s="1"/>
  <c r="E433" i="9"/>
  <c r="F433" i="9" s="1"/>
  <c r="E326" i="9"/>
  <c r="F326" i="9" s="1"/>
  <c r="E47" i="9"/>
  <c r="F47" i="9" s="1"/>
  <c r="E263" i="9"/>
  <c r="F263" i="9" s="1"/>
  <c r="E459" i="9"/>
  <c r="F459" i="9" s="1"/>
  <c r="D114" i="9"/>
  <c r="D258" i="9"/>
  <c r="D402" i="9"/>
  <c r="E478" i="9"/>
  <c r="F478" i="9" s="1"/>
  <c r="E334" i="9"/>
  <c r="F334" i="9" s="1"/>
  <c r="E190" i="9"/>
  <c r="F190" i="9" s="1"/>
  <c r="E46" i="9"/>
  <c r="F46" i="9" s="1"/>
  <c r="E285" i="9"/>
  <c r="F285" i="9" s="1"/>
  <c r="E141" i="9"/>
  <c r="F141" i="9" s="1"/>
  <c r="E380" i="9"/>
  <c r="F380" i="9" s="1"/>
  <c r="E236" i="9"/>
  <c r="F236" i="9" s="1"/>
  <c r="E92" i="9"/>
  <c r="F92" i="9" s="1"/>
  <c r="E463" i="9"/>
  <c r="F463" i="9" s="1"/>
  <c r="E319" i="9"/>
  <c r="F319" i="9" s="1"/>
  <c r="E175" i="9"/>
  <c r="F175" i="9" s="1"/>
  <c r="E31" i="9"/>
  <c r="F31" i="9" s="1"/>
  <c r="E192" i="9"/>
  <c r="F192" i="9" s="1"/>
  <c r="E402" i="9"/>
  <c r="F402" i="9" s="1"/>
  <c r="D67" i="9"/>
  <c r="D211" i="9"/>
  <c r="E29" i="9"/>
  <c r="F29" i="9" s="1"/>
  <c r="E245" i="9"/>
  <c r="F245" i="9" s="1"/>
  <c r="E447" i="9"/>
  <c r="F447" i="9" s="1"/>
  <c r="D104" i="9"/>
  <c r="D248" i="9"/>
  <c r="E126" i="9"/>
  <c r="F126" i="9" s="1"/>
  <c r="E342" i="9"/>
  <c r="F342" i="9" s="1"/>
  <c r="E23" i="9"/>
  <c r="F23" i="9" s="1"/>
  <c r="E50" i="9"/>
  <c r="F50" i="9" s="1"/>
  <c r="E75" i="9"/>
  <c r="F75" i="9" s="1"/>
  <c r="E102" i="9"/>
  <c r="F102" i="9" s="1"/>
  <c r="E131" i="9"/>
  <c r="F131" i="9" s="1"/>
  <c r="E158" i="9"/>
  <c r="F158" i="9" s="1"/>
  <c r="E183" i="9"/>
  <c r="F183" i="9" s="1"/>
  <c r="E210" i="9"/>
  <c r="F210" i="9" s="1"/>
  <c r="E239" i="9"/>
  <c r="F239" i="9" s="1"/>
  <c r="E266" i="9"/>
  <c r="F266" i="9" s="1"/>
  <c r="E291" i="9"/>
  <c r="F291" i="9" s="1"/>
  <c r="E318" i="9"/>
  <c r="F318" i="9" s="1"/>
  <c r="E347" i="9"/>
  <c r="F347" i="9" s="1"/>
  <c r="E374" i="9"/>
  <c r="F374" i="9" s="1"/>
  <c r="E397" i="9"/>
  <c r="F397" i="9" s="1"/>
  <c r="E420" i="9"/>
  <c r="F420" i="9" s="1"/>
  <c r="E440" i="9"/>
  <c r="F440" i="9" s="1"/>
  <c r="E462" i="9"/>
  <c r="F462" i="9" s="1"/>
  <c r="E483" i="9"/>
  <c r="F483" i="9" s="1"/>
  <c r="D7" i="9"/>
  <c r="D26" i="9"/>
  <c r="D45" i="9"/>
  <c r="D61" i="9"/>
  <c r="D76" i="9"/>
  <c r="D94" i="9"/>
  <c r="D109" i="9"/>
  <c r="D124" i="9"/>
  <c r="D142" i="9"/>
  <c r="D157" i="9"/>
  <c r="D172" i="9"/>
  <c r="D190" i="9"/>
  <c r="D205" i="9"/>
  <c r="D220" i="9"/>
  <c r="D238" i="9"/>
  <c r="D253" i="9"/>
  <c r="D268" i="9"/>
  <c r="D286" i="9"/>
  <c r="D301" i="9"/>
  <c r="D315" i="9"/>
  <c r="D329" i="9"/>
  <c r="D344" i="9"/>
  <c r="D357" i="9"/>
  <c r="D370" i="9"/>
  <c r="D383" i="9"/>
  <c r="D396" i="9"/>
  <c r="D409" i="9"/>
  <c r="D422" i="9"/>
  <c r="D435" i="9"/>
  <c r="D448" i="9"/>
  <c r="D461" i="9"/>
  <c r="D475" i="9"/>
  <c r="D488" i="9"/>
  <c r="E26" i="9"/>
  <c r="F26" i="9" s="1"/>
  <c r="E109" i="9"/>
  <c r="F109" i="9" s="1"/>
  <c r="E24" i="9"/>
  <c r="F24" i="9" s="1"/>
  <c r="E51" i="9"/>
  <c r="F51" i="9" s="1"/>
  <c r="E76" i="9"/>
  <c r="F76" i="9" s="1"/>
  <c r="E107" i="9"/>
  <c r="F107" i="9" s="1"/>
  <c r="E132" i="9"/>
  <c r="F132" i="9" s="1"/>
  <c r="E159" i="9"/>
  <c r="F159" i="9" s="1"/>
  <c r="E184" i="9"/>
  <c r="F184" i="9" s="1"/>
  <c r="E215" i="9"/>
  <c r="F215" i="9" s="1"/>
  <c r="E240" i="9"/>
  <c r="F240" i="9" s="1"/>
  <c r="E267" i="9"/>
  <c r="F267" i="9" s="1"/>
  <c r="E292" i="9"/>
  <c r="F292" i="9" s="1"/>
  <c r="E323" i="9"/>
  <c r="F323" i="9" s="1"/>
  <c r="E348" i="9"/>
  <c r="F348" i="9" s="1"/>
  <c r="E375" i="9"/>
  <c r="F375" i="9" s="1"/>
  <c r="E398" i="9"/>
  <c r="F398" i="9" s="1"/>
  <c r="E421" i="9"/>
  <c r="F421" i="9" s="1"/>
  <c r="E441" i="9"/>
  <c r="F441" i="9" s="1"/>
  <c r="E464" i="9"/>
  <c r="F464" i="9" s="1"/>
  <c r="E484" i="9"/>
  <c r="F484" i="9" s="1"/>
  <c r="D8" i="9"/>
  <c r="D27" i="9"/>
  <c r="D46" i="9"/>
  <c r="D62" i="9"/>
  <c r="D77" i="9"/>
  <c r="D95" i="9"/>
  <c r="D110" i="9"/>
  <c r="D125" i="9"/>
  <c r="D143" i="9"/>
  <c r="D158" i="9"/>
  <c r="D173" i="9"/>
  <c r="D191" i="9"/>
  <c r="D206" i="9"/>
  <c r="D221" i="9"/>
  <c r="D239" i="9"/>
  <c r="D254" i="9"/>
  <c r="D269" i="9"/>
  <c r="D287" i="9"/>
  <c r="D302" i="9"/>
  <c r="D316" i="9"/>
  <c r="D332" i="9"/>
  <c r="D345" i="9"/>
  <c r="D358" i="9"/>
  <c r="D371" i="9"/>
  <c r="D384" i="9"/>
  <c r="D397" i="9"/>
  <c r="D410" i="9"/>
  <c r="D423" i="9"/>
  <c r="D436" i="9"/>
  <c r="D449" i="9"/>
  <c r="D463" i="9"/>
  <c r="D476" i="9"/>
  <c r="D489" i="9"/>
  <c r="E53" i="9"/>
  <c r="F53" i="9" s="1"/>
  <c r="E25" i="9"/>
  <c r="F25" i="9" s="1"/>
  <c r="E52" i="9"/>
  <c r="F52" i="9" s="1"/>
  <c r="E77" i="9"/>
  <c r="F77" i="9" s="1"/>
  <c r="E108" i="9"/>
  <c r="F108" i="9" s="1"/>
  <c r="E133" i="9"/>
  <c r="F133" i="9" s="1"/>
  <c r="E160" i="9"/>
  <c r="F160" i="9" s="1"/>
  <c r="E185" i="9"/>
  <c r="F185" i="9" s="1"/>
  <c r="E216" i="9"/>
  <c r="F216" i="9" s="1"/>
  <c r="E241" i="9"/>
  <c r="F241" i="9" s="1"/>
  <c r="E268" i="9"/>
  <c r="F268" i="9" s="1"/>
  <c r="E293" i="9"/>
  <c r="F293" i="9" s="1"/>
  <c r="E324" i="9"/>
  <c r="F324" i="9" s="1"/>
  <c r="E349" i="9"/>
  <c r="F349" i="9" s="1"/>
  <c r="E376" i="9"/>
  <c r="F376" i="9" s="1"/>
  <c r="E399" i="9"/>
  <c r="F399" i="9" s="1"/>
  <c r="E422" i="9"/>
  <c r="F422" i="9" s="1"/>
  <c r="E443" i="9"/>
  <c r="F443" i="9" s="1"/>
  <c r="E465" i="9"/>
  <c r="F465" i="9" s="1"/>
  <c r="E485" i="9"/>
  <c r="F485" i="9" s="1"/>
  <c r="D9" i="9"/>
  <c r="D28" i="9"/>
  <c r="D47" i="9"/>
  <c r="D63" i="9"/>
  <c r="D81" i="9"/>
  <c r="D96" i="9"/>
  <c r="D111" i="9"/>
  <c r="D129" i="9"/>
  <c r="D144" i="9"/>
  <c r="D159" i="9"/>
  <c r="D177" i="9"/>
  <c r="D192" i="9"/>
  <c r="D207" i="9"/>
  <c r="D225" i="9"/>
  <c r="D240" i="9"/>
  <c r="D255" i="9"/>
  <c r="D273" i="9"/>
  <c r="D288" i="9"/>
  <c r="D303" i="9"/>
  <c r="D317" i="9"/>
  <c r="D333" i="9"/>
  <c r="D346" i="9"/>
  <c r="D359" i="9"/>
  <c r="D372" i="9"/>
  <c r="D385" i="9"/>
  <c r="D398" i="9"/>
  <c r="D411" i="9"/>
  <c r="D424" i="9"/>
  <c r="D437" i="9"/>
  <c r="D451" i="9"/>
  <c r="D464" i="9"/>
  <c r="D477" i="9"/>
  <c r="D490" i="9"/>
  <c r="E6" i="9"/>
  <c r="F6" i="9" s="1"/>
  <c r="E37" i="9"/>
  <c r="F37" i="9" s="1"/>
  <c r="E62" i="9"/>
  <c r="F62" i="9" s="1"/>
  <c r="E89" i="9"/>
  <c r="F89" i="9" s="1"/>
  <c r="E114" i="9"/>
  <c r="F114" i="9" s="1"/>
  <c r="E145" i="9"/>
  <c r="F145" i="9" s="1"/>
  <c r="E170" i="9"/>
  <c r="F170" i="9" s="1"/>
  <c r="E197" i="9"/>
  <c r="F197" i="9" s="1"/>
  <c r="E222" i="9"/>
  <c r="F222" i="9" s="1"/>
  <c r="E253" i="9"/>
  <c r="F253" i="9" s="1"/>
  <c r="E278" i="9"/>
  <c r="F278" i="9" s="1"/>
  <c r="E305" i="9"/>
  <c r="F305" i="9" s="1"/>
  <c r="E330" i="9"/>
  <c r="F330" i="9" s="1"/>
  <c r="E361" i="9"/>
  <c r="F361" i="9" s="1"/>
  <c r="E386" i="9"/>
  <c r="F386" i="9" s="1"/>
  <c r="E409" i="9"/>
  <c r="F409" i="9" s="1"/>
  <c r="E429" i="9"/>
  <c r="F429" i="9" s="1"/>
  <c r="E452" i="9"/>
  <c r="F452" i="9" s="1"/>
  <c r="E472" i="9"/>
  <c r="F472" i="9" s="1"/>
  <c r="E495" i="9"/>
  <c r="F495" i="9" s="1"/>
  <c r="D17" i="9"/>
  <c r="D36" i="9"/>
  <c r="D53" i="9"/>
  <c r="D71" i="9"/>
  <c r="D86" i="9"/>
  <c r="D101" i="9"/>
  <c r="D119" i="9"/>
  <c r="D134" i="9"/>
  <c r="D149" i="9"/>
  <c r="D167" i="9"/>
  <c r="D182" i="9"/>
  <c r="D197" i="9"/>
  <c r="D215" i="9"/>
  <c r="D230" i="9"/>
  <c r="D245" i="9"/>
  <c r="D263" i="9"/>
  <c r="D278" i="9"/>
  <c r="D293" i="9"/>
  <c r="D310" i="9"/>
  <c r="D324" i="9"/>
  <c r="D338" i="9"/>
  <c r="D351" i="9"/>
  <c r="D364" i="9"/>
  <c r="D377" i="9"/>
  <c r="D391" i="9"/>
  <c r="D404" i="9"/>
  <c r="D417" i="9"/>
  <c r="D430" i="9"/>
  <c r="D443" i="9"/>
  <c r="D456" i="9"/>
  <c r="D469" i="9"/>
  <c r="D482" i="9"/>
  <c r="D495" i="9"/>
  <c r="E5" i="9"/>
  <c r="F5" i="9" s="1"/>
  <c r="E59" i="9"/>
  <c r="F59" i="9" s="1"/>
  <c r="E96" i="9"/>
  <c r="F96" i="9" s="1"/>
  <c r="E143" i="9"/>
  <c r="F143" i="9" s="1"/>
  <c r="E180" i="9"/>
  <c r="F180" i="9" s="1"/>
  <c r="E220" i="9"/>
  <c r="F220" i="9" s="1"/>
  <c r="E257" i="9"/>
  <c r="F257" i="9" s="1"/>
  <c r="E303" i="9"/>
  <c r="F303" i="9" s="1"/>
  <c r="E340" i="9"/>
  <c r="F340" i="9" s="1"/>
  <c r="E384" i="9"/>
  <c r="F384" i="9" s="1"/>
  <c r="E413" i="9"/>
  <c r="F413" i="9" s="1"/>
  <c r="E449" i="9"/>
  <c r="F449" i="9" s="1"/>
  <c r="E480" i="9"/>
  <c r="F480" i="9" s="1"/>
  <c r="D14" i="9"/>
  <c r="D40" i="9"/>
  <c r="D69" i="9"/>
  <c r="D89" i="9"/>
  <c r="D117" i="9"/>
  <c r="D137" i="9"/>
  <c r="D165" i="9"/>
  <c r="D185" i="9"/>
  <c r="D213" i="9"/>
  <c r="D233" i="9"/>
  <c r="D261" i="9"/>
  <c r="D281" i="9"/>
  <c r="D308" i="9"/>
  <c r="D327" i="9"/>
  <c r="D349" i="9"/>
  <c r="D368" i="9"/>
  <c r="D388" i="9"/>
  <c r="D407" i="9"/>
  <c r="D428" i="9"/>
  <c r="D446" i="9"/>
  <c r="D467" i="9"/>
  <c r="D485" i="9"/>
  <c r="D487" i="9"/>
  <c r="E15" i="9"/>
  <c r="F15" i="9" s="1"/>
  <c r="E98" i="9"/>
  <c r="F98" i="9" s="1"/>
  <c r="E186" i="9"/>
  <c r="F186" i="9" s="1"/>
  <c r="E269" i="9"/>
  <c r="F269" i="9" s="1"/>
  <c r="E350" i="9"/>
  <c r="F350" i="9" s="1"/>
  <c r="E423" i="9"/>
  <c r="F423" i="9" s="1"/>
  <c r="E486" i="9"/>
  <c r="F486" i="9" s="1"/>
  <c r="D48" i="9"/>
  <c r="E14" i="9"/>
  <c r="F14" i="9" s="1"/>
  <c r="E60" i="9"/>
  <c r="F60" i="9" s="1"/>
  <c r="E97" i="9"/>
  <c r="F97" i="9" s="1"/>
  <c r="E144" i="9"/>
  <c r="F144" i="9" s="1"/>
  <c r="E181" i="9"/>
  <c r="F181" i="9" s="1"/>
  <c r="E221" i="9"/>
  <c r="F221" i="9" s="1"/>
  <c r="E258" i="9"/>
  <c r="F258" i="9" s="1"/>
  <c r="E304" i="9"/>
  <c r="F304" i="9" s="1"/>
  <c r="E341" i="9"/>
  <c r="F341" i="9" s="1"/>
  <c r="E385" i="9"/>
  <c r="F385" i="9" s="1"/>
  <c r="E414" i="9"/>
  <c r="F414" i="9" s="1"/>
  <c r="E450" i="9"/>
  <c r="F450" i="9" s="1"/>
  <c r="E481" i="9"/>
  <c r="F481" i="9" s="1"/>
  <c r="D16" i="9"/>
  <c r="D41" i="9"/>
  <c r="D70" i="9"/>
  <c r="D93" i="9"/>
  <c r="D118" i="9"/>
  <c r="D141" i="9"/>
  <c r="D166" i="9"/>
  <c r="D189" i="9"/>
  <c r="D214" i="9"/>
  <c r="D237" i="9"/>
  <c r="D262" i="9"/>
  <c r="D285" i="9"/>
  <c r="D309" i="9"/>
  <c r="D328" i="9"/>
  <c r="D350" i="9"/>
  <c r="D369" i="9"/>
  <c r="D389" i="9"/>
  <c r="D408" i="9"/>
  <c r="D429" i="9"/>
  <c r="D447" i="9"/>
  <c r="D468" i="9"/>
  <c r="E61" i="9"/>
  <c r="F61" i="9" s="1"/>
  <c r="E147" i="9"/>
  <c r="F147" i="9" s="1"/>
  <c r="E230" i="9"/>
  <c r="F230" i="9" s="1"/>
  <c r="E311" i="9"/>
  <c r="F311" i="9" s="1"/>
  <c r="E390" i="9"/>
  <c r="F390" i="9" s="1"/>
  <c r="E455" i="9"/>
  <c r="F455" i="9" s="1"/>
  <c r="D21" i="9"/>
  <c r="E17" i="9"/>
  <c r="F17" i="9" s="1"/>
  <c r="E71" i="9"/>
  <c r="F71" i="9" s="1"/>
  <c r="E112" i="9"/>
  <c r="F112" i="9" s="1"/>
  <c r="E149" i="9"/>
  <c r="F149" i="9" s="1"/>
  <c r="E195" i="9"/>
  <c r="F195" i="9" s="1"/>
  <c r="E232" i="9"/>
  <c r="F232" i="9" s="1"/>
  <c r="E276" i="9"/>
  <c r="F276" i="9" s="1"/>
  <c r="E313" i="9"/>
  <c r="F313" i="9" s="1"/>
  <c r="E359" i="9"/>
  <c r="F359" i="9" s="1"/>
  <c r="E393" i="9"/>
  <c r="F393" i="9" s="1"/>
  <c r="E426" i="9"/>
  <c r="F426" i="9" s="1"/>
  <c r="E457" i="9"/>
  <c r="F457" i="9" s="1"/>
  <c r="E493" i="9"/>
  <c r="F493" i="9" s="1"/>
  <c r="D23" i="9"/>
  <c r="D51" i="9"/>
  <c r="D74" i="9"/>
  <c r="D99" i="9"/>
  <c r="D122" i="9"/>
  <c r="D147" i="9"/>
  <c r="D170" i="9"/>
  <c r="D195" i="9"/>
  <c r="D218" i="9"/>
  <c r="D243" i="9"/>
  <c r="D266" i="9"/>
  <c r="D291" i="9"/>
  <c r="D313" i="9"/>
  <c r="D336" i="9"/>
  <c r="D355" i="9"/>
  <c r="D375" i="9"/>
  <c r="D394" i="9"/>
  <c r="D415" i="9"/>
  <c r="D433" i="9"/>
  <c r="D454" i="9"/>
  <c r="D472" i="9"/>
  <c r="D493" i="9"/>
  <c r="E30" i="9"/>
  <c r="F30" i="9" s="1"/>
  <c r="E72" i="9"/>
  <c r="F72" i="9" s="1"/>
  <c r="E113" i="9"/>
  <c r="F113" i="9" s="1"/>
  <c r="E150" i="9"/>
  <c r="F150" i="9" s="1"/>
  <c r="E196" i="9"/>
  <c r="F196" i="9" s="1"/>
  <c r="E233" i="9"/>
  <c r="F233" i="9" s="1"/>
  <c r="E277" i="9"/>
  <c r="F277" i="9" s="1"/>
  <c r="E314" i="9"/>
  <c r="F314" i="9" s="1"/>
  <c r="E360" i="9"/>
  <c r="F360" i="9" s="1"/>
  <c r="E395" i="9"/>
  <c r="F395" i="9" s="1"/>
  <c r="E428" i="9"/>
  <c r="F428" i="9" s="1"/>
  <c r="E458" i="9"/>
  <c r="F458" i="9" s="1"/>
  <c r="E494" i="9"/>
  <c r="F494" i="9" s="1"/>
  <c r="D24" i="9"/>
  <c r="D52" i="9"/>
  <c r="D75" i="9"/>
  <c r="D100" i="9"/>
  <c r="D123" i="9"/>
  <c r="D148" i="9"/>
  <c r="D171" i="9"/>
  <c r="D196" i="9"/>
  <c r="D219" i="9"/>
  <c r="D244" i="9"/>
  <c r="D267" i="9"/>
  <c r="D292" i="9"/>
  <c r="D314" i="9"/>
  <c r="D337" i="9"/>
  <c r="D356" i="9"/>
  <c r="D376" i="9"/>
  <c r="D395" i="9"/>
  <c r="E36" i="9"/>
  <c r="F36" i="9" s="1"/>
  <c r="E78" i="9"/>
  <c r="F78" i="9" s="1"/>
  <c r="E123" i="9"/>
  <c r="F123" i="9" s="1"/>
  <c r="E167" i="9"/>
  <c r="F167" i="9" s="1"/>
  <c r="E204" i="9"/>
  <c r="F204" i="9" s="1"/>
  <c r="E246" i="9"/>
  <c r="F246" i="9" s="1"/>
  <c r="E287" i="9"/>
  <c r="F287" i="9" s="1"/>
  <c r="E327" i="9"/>
  <c r="F327" i="9" s="1"/>
  <c r="E364" i="9"/>
  <c r="F364" i="9" s="1"/>
  <c r="E405" i="9"/>
  <c r="F405" i="9" s="1"/>
  <c r="E435" i="9"/>
  <c r="F435" i="9" s="1"/>
  <c r="E469" i="9"/>
  <c r="F469" i="9" s="1"/>
  <c r="E498" i="9"/>
  <c r="F498" i="9" s="1"/>
  <c r="D33" i="9"/>
  <c r="D58" i="9"/>
  <c r="D83" i="9"/>
  <c r="D106" i="9"/>
  <c r="D131" i="9"/>
  <c r="D154" i="9"/>
  <c r="D179" i="9"/>
  <c r="D202" i="9"/>
  <c r="D227" i="9"/>
  <c r="D250" i="9"/>
  <c r="D275" i="9"/>
  <c r="D298" i="9"/>
  <c r="D321" i="9"/>
  <c r="D340" i="9"/>
  <c r="D361" i="9"/>
  <c r="D380" i="9"/>
  <c r="D400" i="9"/>
  <c r="D419" i="9"/>
  <c r="D440" i="9"/>
  <c r="D458" i="9"/>
  <c r="D479" i="9"/>
  <c r="D497" i="9"/>
  <c r="E39" i="9"/>
  <c r="F39" i="9" s="1"/>
  <c r="E86" i="9"/>
  <c r="F86" i="9" s="1"/>
  <c r="E124" i="9"/>
  <c r="F124" i="9" s="1"/>
  <c r="E168" i="9"/>
  <c r="F168" i="9" s="1"/>
  <c r="E205" i="9"/>
  <c r="F205" i="9" s="1"/>
  <c r="E251" i="9"/>
  <c r="F251" i="9" s="1"/>
  <c r="E288" i="9"/>
  <c r="F288" i="9" s="1"/>
  <c r="E328" i="9"/>
  <c r="F328" i="9" s="1"/>
  <c r="E365" i="9"/>
  <c r="F365" i="9" s="1"/>
  <c r="E407" i="9"/>
  <c r="F407" i="9" s="1"/>
  <c r="E436" i="9"/>
  <c r="F436" i="9" s="1"/>
  <c r="E470" i="9"/>
  <c r="F470" i="9" s="1"/>
  <c r="E500" i="9"/>
  <c r="F500" i="9" s="1"/>
  <c r="D34" i="9"/>
  <c r="D59" i="9"/>
  <c r="D84" i="9"/>
  <c r="D107" i="9"/>
  <c r="D132" i="9"/>
  <c r="D155" i="9"/>
  <c r="D180" i="9"/>
  <c r="E3" i="9"/>
  <c r="F3" i="9" s="1"/>
  <c r="E111" i="9"/>
  <c r="F111" i="9" s="1"/>
  <c r="E206" i="9"/>
  <c r="F206" i="9" s="1"/>
  <c r="E302" i="9"/>
  <c r="F302" i="9" s="1"/>
  <c r="E400" i="9"/>
  <c r="F400" i="9" s="1"/>
  <c r="E477" i="9"/>
  <c r="F477" i="9" s="1"/>
  <c r="D50" i="9"/>
  <c r="D98" i="9"/>
  <c r="D146" i="9"/>
  <c r="D194" i="9"/>
  <c r="D232" i="9"/>
  <c r="D277" i="9"/>
  <c r="D320" i="9"/>
  <c r="D352" i="9"/>
  <c r="D386" i="9"/>
  <c r="D418" i="9"/>
  <c r="D445" i="9"/>
  <c r="D478" i="9"/>
  <c r="E411" i="9"/>
  <c r="F411" i="9" s="1"/>
  <c r="D108" i="9"/>
  <c r="D203" i="9"/>
  <c r="D280" i="9"/>
  <c r="D323" i="9"/>
  <c r="D392" i="9"/>
  <c r="D421" i="9"/>
  <c r="D481" i="9"/>
  <c r="E134" i="9"/>
  <c r="F134" i="9" s="1"/>
  <c r="E231" i="9"/>
  <c r="F231" i="9" s="1"/>
  <c r="E412" i="9"/>
  <c r="F412" i="9" s="1"/>
  <c r="D64" i="9"/>
  <c r="D160" i="9"/>
  <c r="D249" i="9"/>
  <c r="D325" i="9"/>
  <c r="D393" i="9"/>
  <c r="D455" i="9"/>
  <c r="E40" i="9"/>
  <c r="F40" i="9" s="1"/>
  <c r="E242" i="9"/>
  <c r="F242" i="9" s="1"/>
  <c r="E338" i="9"/>
  <c r="F338" i="9" s="1"/>
  <c r="D2" i="9"/>
  <c r="D113" i="9"/>
  <c r="D208" i="9"/>
  <c r="D290" i="9"/>
  <c r="D363" i="9"/>
  <c r="D427" i="9"/>
  <c r="D484" i="9"/>
  <c r="E41" i="9"/>
  <c r="F41" i="9" s="1"/>
  <c r="E252" i="9"/>
  <c r="F252" i="9" s="1"/>
  <c r="E434" i="9"/>
  <c r="F434" i="9" s="1"/>
  <c r="D72" i="9"/>
  <c r="D168" i="9"/>
  <c r="D252" i="9"/>
  <c r="D334" i="9"/>
  <c r="D401" i="9"/>
  <c r="D459" i="9"/>
  <c r="E42" i="9"/>
  <c r="F42" i="9" s="1"/>
  <c r="E161" i="9"/>
  <c r="F161" i="9" s="1"/>
  <c r="E354" i="9"/>
  <c r="F354" i="9" s="1"/>
  <c r="D13" i="9"/>
  <c r="D121" i="9"/>
  <c r="D169" i="9"/>
  <c r="D256" i="9"/>
  <c r="D335" i="9"/>
  <c r="D403" i="9"/>
  <c r="D460" i="9"/>
  <c r="E87" i="9"/>
  <c r="F87" i="9" s="1"/>
  <c r="E282" i="9"/>
  <c r="F282" i="9" s="1"/>
  <c r="E456" i="9"/>
  <c r="F456" i="9" s="1"/>
  <c r="D87" i="9"/>
  <c r="D183" i="9"/>
  <c r="D265" i="9"/>
  <c r="D343" i="9"/>
  <c r="D412" i="9"/>
  <c r="D470" i="9"/>
  <c r="E383" i="9"/>
  <c r="F383" i="9" s="1"/>
  <c r="D88" i="9"/>
  <c r="D229" i="9"/>
  <c r="D347" i="9"/>
  <c r="D413" i="9"/>
  <c r="D471" i="9"/>
  <c r="E203" i="9"/>
  <c r="F203" i="9" s="1"/>
  <c r="E392" i="9"/>
  <c r="F392" i="9" s="1"/>
  <c r="D39" i="9"/>
  <c r="D193" i="9"/>
  <c r="D276" i="9"/>
  <c r="D348" i="9"/>
  <c r="D416" i="9"/>
  <c r="E4" i="9"/>
  <c r="F4" i="9" s="1"/>
  <c r="E122" i="9"/>
  <c r="F122" i="9" s="1"/>
  <c r="E217" i="9"/>
  <c r="F217" i="9" s="1"/>
  <c r="E312" i="9"/>
  <c r="F312" i="9" s="1"/>
  <c r="E408" i="9"/>
  <c r="F408" i="9" s="1"/>
  <c r="E479" i="9"/>
  <c r="F479" i="9" s="1"/>
  <c r="D57" i="9"/>
  <c r="D105" i="9"/>
  <c r="D153" i="9"/>
  <c r="D201" i="9"/>
  <c r="D241" i="9"/>
  <c r="D279" i="9"/>
  <c r="D322" i="9"/>
  <c r="D353" i="9"/>
  <c r="D387" i="9"/>
  <c r="D420" i="9"/>
  <c r="D452" i="9"/>
  <c r="D480" i="9"/>
  <c r="E16" i="9"/>
  <c r="F16" i="9" s="1"/>
  <c r="E125" i="9"/>
  <c r="F125" i="9" s="1"/>
  <c r="E219" i="9"/>
  <c r="F219" i="9" s="1"/>
  <c r="E325" i="9"/>
  <c r="F325" i="9" s="1"/>
  <c r="E492" i="9"/>
  <c r="F492" i="9" s="1"/>
  <c r="D60" i="9"/>
  <c r="D156" i="9"/>
  <c r="D242" i="9"/>
  <c r="D360" i="9"/>
  <c r="D453" i="9"/>
  <c r="E35" i="9"/>
  <c r="F35" i="9" s="1"/>
  <c r="E329" i="9"/>
  <c r="F329" i="9" s="1"/>
  <c r="E497" i="9"/>
  <c r="F497" i="9" s="1"/>
  <c r="D112" i="9"/>
  <c r="D204" i="9"/>
  <c r="D289" i="9"/>
  <c r="D362" i="9"/>
  <c r="D425" i="9"/>
  <c r="D483" i="9"/>
  <c r="E138" i="9"/>
  <c r="F138" i="9" s="1"/>
  <c r="E425" i="9"/>
  <c r="F425" i="9" s="1"/>
  <c r="D65" i="9"/>
  <c r="D161" i="9"/>
  <c r="D251" i="9"/>
  <c r="D326" i="9"/>
  <c r="D399" i="9"/>
  <c r="D457" i="9"/>
  <c r="E148" i="9"/>
  <c r="F148" i="9" s="1"/>
  <c r="E339" i="9"/>
  <c r="F339" i="9" s="1"/>
  <c r="D10" i="9"/>
  <c r="D120" i="9"/>
  <c r="D209" i="9"/>
  <c r="D297" i="9"/>
  <c r="D365" i="9"/>
  <c r="D431" i="9"/>
  <c r="D491" i="9"/>
  <c r="E255" i="9"/>
  <c r="F255" i="9" s="1"/>
  <c r="E437" i="9"/>
  <c r="F437" i="9" s="1"/>
  <c r="D73" i="9"/>
  <c r="D216" i="9"/>
  <c r="D299" i="9"/>
  <c r="D367" i="9"/>
  <c r="D432" i="9"/>
  <c r="D492" i="9"/>
  <c r="E179" i="9"/>
  <c r="F179" i="9" s="1"/>
  <c r="E377" i="9"/>
  <c r="F377" i="9" s="1"/>
  <c r="D35" i="9"/>
  <c r="D135" i="9"/>
  <c r="D228" i="9"/>
  <c r="D305" i="9"/>
  <c r="D379" i="9"/>
  <c r="D441" i="9"/>
  <c r="D499" i="9"/>
  <c r="E88" i="9"/>
  <c r="F88" i="9" s="1"/>
  <c r="E194" i="9"/>
  <c r="F194" i="9" s="1"/>
  <c r="E289" i="9"/>
  <c r="F289" i="9" s="1"/>
  <c r="E467" i="9"/>
  <c r="F467" i="9" s="1"/>
  <c r="D38" i="9"/>
  <c r="D136" i="9"/>
  <c r="D184" i="9"/>
  <c r="D274" i="9"/>
  <c r="D311" i="9"/>
  <c r="D381" i="9"/>
  <c r="D442" i="9"/>
  <c r="D500" i="9"/>
  <c r="E95" i="9"/>
  <c r="F95" i="9" s="1"/>
  <c r="E294" i="9"/>
  <c r="F294" i="9" s="1"/>
  <c r="E471" i="9"/>
  <c r="F471" i="9" s="1"/>
  <c r="D97" i="9"/>
  <c r="D145" i="9"/>
  <c r="D312" i="9"/>
  <c r="D382" i="9"/>
  <c r="D444" i="9"/>
  <c r="D473" i="9"/>
  <c r="E66" i="9"/>
  <c r="F66" i="9" s="1"/>
  <c r="E169" i="9"/>
  <c r="F169" i="9" s="1"/>
  <c r="E256" i="9"/>
  <c r="F256" i="9" s="1"/>
  <c r="E363" i="9"/>
  <c r="F363" i="9" s="1"/>
  <c r="E444" i="9"/>
  <c r="F444" i="9" s="1"/>
  <c r="D22" i="9"/>
  <c r="D82" i="9"/>
  <c r="D130" i="9"/>
  <c r="D178" i="9"/>
  <c r="D217" i="9"/>
  <c r="D257" i="9"/>
  <c r="D300" i="9"/>
  <c r="D339" i="9"/>
  <c r="D373" i="9"/>
  <c r="D405" i="9"/>
  <c r="D434" i="9"/>
  <c r="D465" i="9"/>
  <c r="D494" i="9"/>
  <c r="E73" i="9"/>
  <c r="F73" i="9" s="1"/>
  <c r="E174" i="9"/>
  <c r="F174" i="9" s="1"/>
  <c r="E275" i="9"/>
  <c r="F275" i="9" s="1"/>
  <c r="E366" i="9"/>
  <c r="F366" i="9" s="1"/>
  <c r="E448" i="9"/>
  <c r="F448" i="9" s="1"/>
  <c r="D29" i="9"/>
  <c r="D85" i="9"/>
  <c r="D133" i="9"/>
  <c r="D181" i="9"/>
  <c r="D226" i="9"/>
  <c r="D264" i="9"/>
  <c r="D304" i="9"/>
  <c r="D341" i="9"/>
  <c r="D374" i="9"/>
  <c r="D406" i="9"/>
  <c r="D439" i="9"/>
  <c r="D466" i="9"/>
  <c r="D496" i="9"/>
  <c r="D231" i="9"/>
  <c r="D222" i="9"/>
  <c r="E370" i="9"/>
  <c r="F370" i="9" s="1"/>
  <c r="E321" i="9"/>
  <c r="F321" i="9" s="1"/>
  <c r="E272" i="9"/>
  <c r="F272" i="9" s="1"/>
  <c r="E355" i="9"/>
  <c r="F355" i="9" s="1"/>
  <c r="E352" i="9"/>
  <c r="F352" i="9" s="1"/>
  <c r="D175" i="9"/>
  <c r="D68" i="9"/>
  <c r="E74" i="9"/>
  <c r="F74" i="9" s="1"/>
  <c r="E227" i="9"/>
  <c r="F227" i="9" s="1"/>
  <c r="D90" i="9"/>
  <c r="D3" i="9"/>
  <c r="E165" i="9"/>
  <c r="F165" i="9" s="1"/>
  <c r="E487" i="9"/>
  <c r="F487" i="9" s="1"/>
  <c r="E156" i="9"/>
  <c r="F156" i="9" s="1"/>
  <c r="D80" i="9"/>
  <c r="E306" i="9"/>
  <c r="F306" i="9" s="1"/>
  <c r="E445" i="9"/>
  <c r="F445" i="9" s="1"/>
  <c r="E490" i="9"/>
  <c r="F490" i="9" s="1"/>
  <c r="E297" i="9"/>
  <c r="F297" i="9" s="1"/>
  <c r="E475" i="9"/>
  <c r="F475" i="9" s="1"/>
  <c r="E388" i="9"/>
  <c r="F388" i="9" s="1"/>
  <c r="D55" i="9"/>
  <c r="E229" i="9"/>
  <c r="F229" i="9" s="1"/>
  <c r="D11" i="9"/>
  <c r="E63" i="9"/>
  <c r="F63" i="9" s="1"/>
  <c r="E279" i="9"/>
  <c r="F279" i="9" s="1"/>
  <c r="E473" i="9"/>
  <c r="F473" i="9" s="1"/>
  <c r="D126" i="9"/>
  <c r="D270" i="9"/>
  <c r="D414" i="9"/>
  <c r="E466" i="9"/>
  <c r="F466" i="9" s="1"/>
  <c r="E322" i="9"/>
  <c r="F322" i="9" s="1"/>
  <c r="E178" i="9"/>
  <c r="F178" i="9" s="1"/>
  <c r="E34" i="9"/>
  <c r="F34" i="9" s="1"/>
  <c r="E273" i="9"/>
  <c r="F273" i="9" s="1"/>
  <c r="E129" i="9"/>
  <c r="F129" i="9" s="1"/>
  <c r="E368" i="9"/>
  <c r="F368" i="9" s="1"/>
  <c r="E224" i="9"/>
  <c r="F224" i="9" s="1"/>
  <c r="E80" i="9"/>
  <c r="F80" i="9" s="1"/>
  <c r="E451" i="9"/>
  <c r="F451" i="9" s="1"/>
  <c r="E307" i="9"/>
  <c r="F307" i="9" s="1"/>
  <c r="E163" i="9"/>
  <c r="F163" i="9" s="1"/>
  <c r="E19" i="9"/>
  <c r="F19" i="9" s="1"/>
  <c r="E208" i="9"/>
  <c r="F208" i="9" s="1"/>
  <c r="E417" i="9"/>
  <c r="F417" i="9" s="1"/>
  <c r="D79" i="9"/>
  <c r="D223" i="9"/>
  <c r="E49" i="9"/>
  <c r="F49" i="9" s="1"/>
  <c r="E265" i="9"/>
  <c r="F265" i="9" s="1"/>
  <c r="E461" i="9"/>
  <c r="F461" i="9" s="1"/>
  <c r="D116" i="9"/>
  <c r="D260" i="9"/>
  <c r="E146" i="9"/>
  <c r="F146" i="9" s="1"/>
  <c r="E362" i="9"/>
  <c r="F362" i="9" s="1"/>
  <c r="D37" i="9"/>
  <c r="E416" i="9"/>
  <c r="F416" i="9" s="1"/>
  <c r="D366" i="9"/>
  <c r="E82" i="9"/>
  <c r="F82" i="9" s="1"/>
  <c r="E33" i="9"/>
  <c r="F33" i="9" s="1"/>
  <c r="E499" i="9"/>
  <c r="F499" i="9" s="1"/>
  <c r="E67" i="9"/>
  <c r="F67" i="9" s="1"/>
  <c r="D31" i="9"/>
  <c r="E193" i="9"/>
  <c r="F193" i="9" s="1"/>
  <c r="E482" i="9"/>
  <c r="F482" i="9" s="1"/>
  <c r="E431" i="9"/>
  <c r="F431" i="9" s="1"/>
  <c r="E358" i="9"/>
  <c r="F358" i="9" s="1"/>
  <c r="E309" i="9"/>
  <c r="F309" i="9" s="1"/>
  <c r="E116" i="9"/>
  <c r="F116" i="9" s="1"/>
  <c r="E55" i="9"/>
  <c r="F55" i="9" s="1"/>
  <c r="D43" i="9"/>
  <c r="E209" i="9"/>
  <c r="F209" i="9" s="1"/>
  <c r="E90" i="9"/>
  <c r="F90" i="9" s="1"/>
  <c r="D246" i="9"/>
  <c r="E202" i="9"/>
  <c r="F202" i="9" s="1"/>
  <c r="E9" i="9"/>
  <c r="F9" i="9" s="1"/>
  <c r="E331" i="9"/>
  <c r="F331" i="9" s="1"/>
  <c r="E43" i="9"/>
  <c r="F43" i="9" s="1"/>
  <c r="E13" i="9"/>
  <c r="F13" i="9" s="1"/>
  <c r="E110" i="9"/>
  <c r="F110" i="9" s="1"/>
  <c r="E83" i="9"/>
  <c r="F83" i="9" s="1"/>
  <c r="E299" i="9"/>
  <c r="F299" i="9" s="1"/>
  <c r="E488" i="9"/>
  <c r="F488" i="9" s="1"/>
  <c r="D138" i="9"/>
  <c r="D282" i="9"/>
  <c r="D426" i="9"/>
  <c r="E454" i="9"/>
  <c r="F454" i="9" s="1"/>
  <c r="E310" i="9"/>
  <c r="F310" i="9" s="1"/>
  <c r="E166" i="9"/>
  <c r="F166" i="9" s="1"/>
  <c r="E22" i="9"/>
  <c r="F22" i="9" s="1"/>
  <c r="E261" i="9"/>
  <c r="F261" i="9" s="1"/>
  <c r="E117" i="9"/>
  <c r="F117" i="9" s="1"/>
  <c r="E356" i="9"/>
  <c r="F356" i="9" s="1"/>
  <c r="E212" i="9"/>
  <c r="F212" i="9" s="1"/>
  <c r="E68" i="9"/>
  <c r="F68" i="9" s="1"/>
  <c r="E439" i="9"/>
  <c r="F439" i="9" s="1"/>
  <c r="E295" i="9"/>
  <c r="F295" i="9" s="1"/>
  <c r="E151" i="9"/>
  <c r="F151" i="9" s="1"/>
  <c r="E7" i="9"/>
  <c r="F7" i="9" s="1"/>
  <c r="E228" i="9"/>
  <c r="F228" i="9" s="1"/>
  <c r="E432" i="9"/>
  <c r="F432" i="9" s="1"/>
  <c r="D91" i="9"/>
  <c r="D235" i="9"/>
  <c r="E65" i="9"/>
  <c r="F65" i="9" s="1"/>
  <c r="E281" i="9"/>
  <c r="F281" i="9" s="1"/>
  <c r="E476" i="9"/>
  <c r="F476" i="9" s="1"/>
  <c r="D128" i="9"/>
  <c r="D272" i="9"/>
  <c r="E162" i="9"/>
  <c r="F162" i="9" s="1"/>
  <c r="E378" i="9"/>
  <c r="F378" i="9" s="1"/>
  <c r="D49" i="9"/>
  <c r="D212" i="9"/>
  <c r="E11" i="9"/>
  <c r="F11" i="9" s="1"/>
  <c r="D378" i="9"/>
  <c r="E214" i="9"/>
  <c r="F214" i="9" s="1"/>
  <c r="E260" i="9"/>
  <c r="F260" i="9" s="1"/>
  <c r="E199" i="9"/>
  <c r="F199" i="9" s="1"/>
  <c r="D187" i="9"/>
  <c r="D331" i="9"/>
  <c r="D224" i="9"/>
  <c r="E243" i="9"/>
  <c r="F243" i="9" s="1"/>
  <c r="D390" i="9"/>
  <c r="E58" i="9"/>
  <c r="F58" i="9" s="1"/>
  <c r="E104" i="9"/>
  <c r="F104" i="9" s="1"/>
  <c r="E172" i="9"/>
  <c r="F172" i="9" s="1"/>
  <c r="D199" i="9"/>
  <c r="D92" i="9"/>
  <c r="D236" i="9"/>
  <c r="E99" i="9"/>
  <c r="F99" i="9" s="1"/>
  <c r="E315" i="9"/>
  <c r="F315" i="9" s="1"/>
  <c r="D4" i="9"/>
  <c r="D150" i="9"/>
  <c r="D294" i="9"/>
  <c r="D438" i="9"/>
  <c r="E442" i="9"/>
  <c r="F442" i="9" s="1"/>
  <c r="E298" i="9"/>
  <c r="F298" i="9" s="1"/>
  <c r="E154" i="9"/>
  <c r="F154" i="9" s="1"/>
  <c r="E10" i="9"/>
  <c r="F10" i="9" s="1"/>
  <c r="E249" i="9"/>
  <c r="F249" i="9" s="1"/>
  <c r="E105" i="9"/>
  <c r="F105" i="9" s="1"/>
  <c r="E344" i="9"/>
  <c r="F344" i="9" s="1"/>
  <c r="E200" i="9"/>
  <c r="F200" i="9" s="1"/>
  <c r="E56" i="9"/>
  <c r="F56" i="9" s="1"/>
  <c r="E427" i="9"/>
  <c r="F427" i="9" s="1"/>
  <c r="E283" i="9"/>
  <c r="F283" i="9" s="1"/>
  <c r="E139" i="9"/>
  <c r="F139" i="9" s="1"/>
  <c r="E28" i="9"/>
  <c r="F28" i="9" s="1"/>
  <c r="E244" i="9"/>
  <c r="F244" i="9" s="1"/>
  <c r="E446" i="9"/>
  <c r="F446" i="9" s="1"/>
  <c r="D103" i="9"/>
  <c r="D247" i="9"/>
  <c r="E85" i="9"/>
  <c r="F85" i="9" s="1"/>
  <c r="E301" i="9"/>
  <c r="F301" i="9" s="1"/>
  <c r="E491" i="9"/>
  <c r="F491" i="9" s="1"/>
  <c r="D140" i="9"/>
  <c r="D284" i="9"/>
  <c r="E182" i="9"/>
  <c r="F182" i="9" s="1"/>
  <c r="E396" i="9"/>
  <c r="F396" i="9" s="1"/>
  <c r="E12" i="9"/>
  <c r="F12" i="9" s="1"/>
  <c r="J197" i="14" l="1"/>
  <c r="I197" i="14"/>
  <c r="G41" i="14"/>
  <c r="I41" i="14"/>
  <c r="G197" i="14"/>
  <c r="J41" i="14"/>
  <c r="H201" i="14"/>
  <c r="I162" i="14"/>
  <c r="G162" i="14"/>
  <c r="J78" i="14"/>
  <c r="H78" i="14"/>
  <c r="I78" i="14"/>
  <c r="J201" i="14"/>
  <c r="I201" i="14"/>
  <c r="J162" i="14"/>
  <c r="J130" i="14"/>
  <c r="I166" i="14"/>
  <c r="I158" i="14"/>
  <c r="I144" i="14"/>
  <c r="J166" i="14"/>
  <c r="J158" i="14"/>
  <c r="J144" i="14"/>
  <c r="I140" i="14"/>
  <c r="J37" i="14"/>
  <c r="H425" i="14"/>
  <c r="H92" i="14"/>
  <c r="H244" i="14"/>
  <c r="J244" i="14"/>
  <c r="J418" i="14"/>
  <c r="G418" i="14"/>
  <c r="J86" i="14"/>
  <c r="H218" i="14"/>
  <c r="J453" i="14"/>
  <c r="G218" i="14"/>
  <c r="G487" i="14"/>
  <c r="J487" i="14"/>
  <c r="J402" i="14"/>
  <c r="G384" i="14"/>
  <c r="H418" i="14"/>
  <c r="J433" i="14"/>
  <c r="J469" i="14"/>
  <c r="G469" i="14"/>
  <c r="I28" i="14"/>
  <c r="G28" i="14"/>
  <c r="I296" i="14"/>
  <c r="G453" i="14"/>
  <c r="I237" i="14"/>
  <c r="G250" i="14"/>
  <c r="J484" i="14"/>
  <c r="I198" i="14"/>
  <c r="G208" i="14"/>
  <c r="H484" i="14"/>
  <c r="H248" i="14"/>
  <c r="G198" i="14"/>
  <c r="I238" i="14"/>
  <c r="I484" i="14"/>
  <c r="H291" i="14"/>
  <c r="J160" i="14"/>
  <c r="H158" i="14"/>
  <c r="I438" i="14"/>
  <c r="I232" i="14"/>
  <c r="H222" i="14"/>
  <c r="H438" i="14"/>
  <c r="H59" i="14"/>
  <c r="H136" i="14"/>
  <c r="H322" i="14"/>
  <c r="J175" i="14"/>
  <c r="J59" i="14"/>
  <c r="G68" i="14"/>
  <c r="J429" i="14"/>
  <c r="J217" i="14"/>
  <c r="I68" i="14"/>
  <c r="I433" i="14"/>
  <c r="H12" i="14"/>
  <c r="J336" i="14"/>
  <c r="H73" i="14"/>
  <c r="H70" i="14"/>
  <c r="I175" i="14"/>
  <c r="H445" i="14"/>
  <c r="I59" i="14"/>
  <c r="G55" i="14"/>
  <c r="I136" i="14"/>
  <c r="H144" i="14"/>
  <c r="J438" i="14"/>
  <c r="J192" i="14"/>
  <c r="G158" i="14"/>
  <c r="J222" i="14"/>
  <c r="J304" i="14"/>
  <c r="H22" i="14"/>
  <c r="J12" i="14"/>
  <c r="J51" i="14"/>
  <c r="H175" i="14"/>
  <c r="J445" i="14"/>
  <c r="J136" i="14"/>
  <c r="G12" i="14"/>
  <c r="J73" i="14"/>
  <c r="I86" i="14"/>
  <c r="G175" i="14"/>
  <c r="G445" i="14"/>
  <c r="I55" i="14"/>
  <c r="I22" i="14"/>
  <c r="I160" i="14"/>
  <c r="G166" i="14"/>
  <c r="I23" i="14"/>
  <c r="H304" i="14"/>
  <c r="G296" i="14"/>
  <c r="G22" i="14"/>
  <c r="G144" i="14"/>
  <c r="H109" i="14"/>
  <c r="H140" i="14"/>
  <c r="G86" i="14"/>
  <c r="I445" i="14"/>
  <c r="H28" i="14"/>
  <c r="J140" i="14"/>
  <c r="H51" i="14"/>
  <c r="I441" i="14"/>
  <c r="J220" i="14"/>
  <c r="J28" i="14"/>
  <c r="H296" i="14"/>
  <c r="J282" i="14"/>
  <c r="G189" i="14"/>
  <c r="J109" i="14"/>
  <c r="J55" i="14"/>
  <c r="I222" i="14"/>
  <c r="J232" i="14"/>
  <c r="G109" i="14"/>
  <c r="I37" i="14"/>
  <c r="I220" i="14"/>
  <c r="G118" i="14"/>
  <c r="H224" i="14"/>
  <c r="I109" i="14"/>
  <c r="I342" i="14"/>
  <c r="H204" i="14"/>
  <c r="J248" i="14"/>
  <c r="I224" i="14"/>
  <c r="G373" i="14"/>
  <c r="G100" i="14"/>
  <c r="H384" i="14"/>
  <c r="J199" i="14"/>
  <c r="H271" i="14"/>
  <c r="I12" i="14"/>
  <c r="J138" i="14"/>
  <c r="H232" i="14"/>
  <c r="H402" i="14"/>
  <c r="H138" i="14"/>
  <c r="J342" i="14"/>
  <c r="I73" i="14"/>
  <c r="H160" i="14"/>
  <c r="H220" i="14"/>
  <c r="G51" i="14"/>
  <c r="J346" i="14"/>
  <c r="G220" i="14"/>
  <c r="J257" i="14"/>
  <c r="H421" i="14"/>
  <c r="G202" i="14"/>
  <c r="J468" i="14"/>
  <c r="G29" i="14"/>
  <c r="H495" i="14"/>
  <c r="J23" i="14"/>
  <c r="J421" i="14"/>
  <c r="I171" i="14"/>
  <c r="I131" i="14"/>
  <c r="I363" i="14"/>
  <c r="G314" i="14"/>
  <c r="J68" i="14"/>
  <c r="I138" i="14"/>
  <c r="I29" i="14"/>
  <c r="H23" i="14"/>
  <c r="H29" i="14"/>
  <c r="I118" i="14"/>
  <c r="G149" i="14"/>
  <c r="J35" i="14"/>
  <c r="I325" i="14"/>
  <c r="J405" i="14"/>
  <c r="G91" i="14"/>
  <c r="G472" i="14"/>
  <c r="G248" i="14"/>
  <c r="H53" i="14"/>
  <c r="J314" i="14"/>
  <c r="H189" i="14"/>
  <c r="H461" i="14"/>
  <c r="G494" i="14"/>
  <c r="J149" i="14"/>
  <c r="I314" i="14"/>
  <c r="J204" i="14"/>
  <c r="I204" i="14"/>
  <c r="I414" i="14"/>
  <c r="G74" i="14"/>
  <c r="J91" i="14"/>
  <c r="I154" i="14"/>
  <c r="I334" i="14"/>
  <c r="I79" i="14"/>
  <c r="H414" i="14"/>
  <c r="J343" i="14"/>
  <c r="G342" i="14"/>
  <c r="G370" i="14"/>
  <c r="G79" i="14"/>
  <c r="I91" i="14"/>
  <c r="H399" i="14"/>
  <c r="J198" i="14"/>
  <c r="J396" i="14"/>
  <c r="J309" i="14"/>
  <c r="J413" i="14"/>
  <c r="G69" i="14"/>
  <c r="I119" i="14"/>
  <c r="I367" i="14"/>
  <c r="J416" i="14"/>
  <c r="H396" i="14"/>
  <c r="G309" i="14"/>
  <c r="I413" i="14"/>
  <c r="G298" i="14"/>
  <c r="H215" i="14"/>
  <c r="H154" i="14"/>
  <c r="I309" i="14"/>
  <c r="H298" i="14"/>
  <c r="J125" i="14"/>
  <c r="I419" i="14"/>
  <c r="I444" i="14"/>
  <c r="H416" i="14"/>
  <c r="I194" i="14"/>
  <c r="J131" i="14"/>
  <c r="G112" i="14"/>
  <c r="J334" i="14"/>
  <c r="J212" i="14"/>
  <c r="I298" i="14"/>
  <c r="J215" i="14"/>
  <c r="H439" i="14"/>
  <c r="J491" i="14"/>
  <c r="I213" i="14"/>
  <c r="H180" i="14"/>
  <c r="H195" i="14"/>
  <c r="J301" i="14"/>
  <c r="I353" i="14"/>
  <c r="G366" i="14"/>
  <c r="I416" i="14"/>
  <c r="G131" i="14"/>
  <c r="I391" i="14"/>
  <c r="G334" i="14"/>
  <c r="I215" i="14"/>
  <c r="H427" i="14"/>
  <c r="J389" i="14"/>
  <c r="J208" i="14"/>
  <c r="H212" i="14"/>
  <c r="I200" i="14"/>
  <c r="I396" i="14"/>
  <c r="H491" i="14"/>
  <c r="G213" i="14"/>
  <c r="J180" i="14"/>
  <c r="G195" i="14"/>
  <c r="H301" i="14"/>
  <c r="G353" i="14"/>
  <c r="G110" i="14"/>
  <c r="G65" i="14"/>
  <c r="J83" i="14"/>
  <c r="G186" i="14"/>
  <c r="G427" i="14"/>
  <c r="J386" i="14"/>
  <c r="H208" i="14"/>
  <c r="H302" i="14"/>
  <c r="J354" i="14"/>
  <c r="I180" i="14"/>
  <c r="G301" i="14"/>
  <c r="I270" i="14"/>
  <c r="I107" i="14"/>
  <c r="J337" i="14"/>
  <c r="H257" i="14"/>
  <c r="I233" i="14"/>
  <c r="J117" i="14"/>
  <c r="G52" i="14"/>
  <c r="J419" i="14"/>
  <c r="H354" i="14"/>
  <c r="J164" i="14"/>
  <c r="J380" i="14"/>
  <c r="H8" i="14"/>
  <c r="J116" i="14"/>
  <c r="H83" i="14"/>
  <c r="I337" i="14"/>
  <c r="I455" i="14"/>
  <c r="I494" i="14"/>
  <c r="H117" i="14"/>
  <c r="G145" i="14"/>
  <c r="H405" i="14"/>
  <c r="I100" i="14"/>
  <c r="G329" i="14"/>
  <c r="J270" i="14"/>
  <c r="H419" i="14"/>
  <c r="I302" i="14"/>
  <c r="G354" i="14"/>
  <c r="H164" i="14"/>
  <c r="H380" i="14"/>
  <c r="H88" i="14"/>
  <c r="I476" i="14"/>
  <c r="G337" i="14"/>
  <c r="G200" i="14"/>
  <c r="G107" i="14"/>
  <c r="G419" i="14"/>
  <c r="G480" i="14"/>
  <c r="G447" i="14"/>
  <c r="G88" i="14"/>
  <c r="H20" i="14"/>
  <c r="G476" i="14"/>
  <c r="J494" i="14"/>
  <c r="H361" i="14"/>
  <c r="J302" i="14"/>
  <c r="J97" i="14"/>
  <c r="G97" i="14"/>
  <c r="H125" i="14"/>
  <c r="J444" i="14"/>
  <c r="G151" i="14"/>
  <c r="G411" i="14"/>
  <c r="J88" i="14"/>
  <c r="J93" i="14"/>
  <c r="I151" i="14"/>
  <c r="I117" i="14"/>
  <c r="I93" i="14"/>
  <c r="J488" i="14"/>
  <c r="I425" i="14"/>
  <c r="J425" i="14"/>
  <c r="I454" i="14"/>
  <c r="J454" i="14"/>
  <c r="H454" i="14"/>
  <c r="I428" i="14"/>
  <c r="G428" i="14"/>
  <c r="J428" i="14"/>
  <c r="I470" i="14"/>
  <c r="H470" i="14"/>
  <c r="G470" i="14"/>
  <c r="J470" i="14"/>
  <c r="I356" i="14"/>
  <c r="G356" i="14"/>
  <c r="H356" i="14"/>
  <c r="J356" i="14"/>
  <c r="G490" i="14"/>
  <c r="H363" i="14"/>
  <c r="H242" i="14"/>
  <c r="G481" i="14"/>
  <c r="J481" i="14"/>
  <c r="G450" i="14"/>
  <c r="H450" i="14"/>
  <c r="I450" i="14"/>
  <c r="J450" i="14"/>
  <c r="H11" i="14"/>
  <c r="G11" i="14"/>
  <c r="J11" i="14"/>
  <c r="I11" i="14"/>
  <c r="H446" i="14"/>
  <c r="G181" i="14"/>
  <c r="I181" i="14"/>
  <c r="H181" i="14"/>
  <c r="H101" i="14"/>
  <c r="J358" i="14"/>
  <c r="I481" i="14"/>
  <c r="I446" i="14"/>
  <c r="H428" i="14"/>
  <c r="G454" i="14"/>
  <c r="H137" i="14"/>
  <c r="J137" i="14"/>
  <c r="G137" i="14"/>
  <c r="G499" i="14"/>
  <c r="J499" i="14"/>
  <c r="I456" i="14"/>
  <c r="J456" i="14"/>
  <c r="J10" i="14"/>
  <c r="I10" i="14"/>
  <c r="G10" i="14"/>
  <c r="H10" i="14"/>
  <c r="G363" i="14"/>
  <c r="J363" i="14"/>
  <c r="G436" i="14"/>
  <c r="H436" i="14"/>
  <c r="I436" i="14"/>
  <c r="J436" i="14"/>
  <c r="G206" i="14"/>
  <c r="H206" i="14"/>
  <c r="J206" i="14"/>
  <c r="I206" i="14"/>
  <c r="J242" i="14"/>
  <c r="I242" i="14"/>
  <c r="I392" i="14"/>
  <c r="G392" i="14"/>
  <c r="G150" i="14"/>
  <c r="H150" i="14"/>
  <c r="I150" i="14"/>
  <c r="J150" i="14"/>
  <c r="H48" i="14"/>
  <c r="J48" i="14"/>
  <c r="I48" i="14"/>
  <c r="J229" i="14"/>
  <c r="H229" i="14"/>
  <c r="J451" i="14"/>
  <c r="H451" i="14"/>
  <c r="G451" i="14"/>
  <c r="I451" i="14"/>
  <c r="G458" i="14"/>
  <c r="H9" i="14"/>
  <c r="G9" i="14"/>
  <c r="I9" i="14"/>
  <c r="J9" i="14"/>
  <c r="H458" i="14"/>
  <c r="J392" i="14"/>
  <c r="H69" i="14"/>
  <c r="J69" i="14"/>
  <c r="J490" i="14"/>
  <c r="H490" i="14"/>
  <c r="J328" i="14"/>
  <c r="I328" i="14"/>
  <c r="G328" i="14"/>
  <c r="H328" i="14"/>
  <c r="G226" i="14"/>
  <c r="H226" i="14"/>
  <c r="I226" i="14"/>
  <c r="J226" i="14"/>
  <c r="I101" i="14"/>
  <c r="J101" i="14"/>
  <c r="I276" i="14"/>
  <c r="H276" i="14"/>
  <c r="J276" i="14"/>
  <c r="G276" i="14"/>
  <c r="I443" i="14"/>
  <c r="J443" i="14"/>
  <c r="J236" i="14"/>
  <c r="H236" i="14"/>
  <c r="G236" i="14"/>
  <c r="I236" i="14"/>
  <c r="I289" i="14"/>
  <c r="G289" i="14"/>
  <c r="H289" i="14"/>
  <c r="H434" i="14"/>
  <c r="I434" i="14"/>
  <c r="J434" i="14"/>
  <c r="G434" i="14"/>
  <c r="G223" i="14"/>
  <c r="H223" i="14"/>
  <c r="J223" i="14"/>
  <c r="I223" i="14"/>
  <c r="J171" i="14"/>
  <c r="H171" i="14"/>
  <c r="J388" i="14"/>
  <c r="G388" i="14"/>
  <c r="H388" i="14"/>
  <c r="I388" i="14"/>
  <c r="G431" i="14"/>
  <c r="I431" i="14"/>
  <c r="H431" i="14"/>
  <c r="I365" i="14"/>
  <c r="J365" i="14"/>
  <c r="H365" i="14"/>
  <c r="G452" i="14"/>
  <c r="H452" i="14"/>
  <c r="I452" i="14"/>
  <c r="J452" i="14"/>
  <c r="G101" i="14"/>
  <c r="I137" i="14"/>
  <c r="G365" i="14"/>
  <c r="G229" i="14"/>
  <c r="H392" i="14"/>
  <c r="G456" i="14"/>
  <c r="J431" i="14"/>
  <c r="G446" i="14"/>
  <c r="G443" i="14"/>
  <c r="G273" i="14"/>
  <c r="I273" i="14"/>
  <c r="J273" i="14"/>
  <c r="H273" i="14"/>
  <c r="I132" i="14"/>
  <c r="H132" i="14"/>
  <c r="G132" i="14"/>
  <c r="J132" i="14"/>
  <c r="H358" i="14"/>
  <c r="G358" i="14"/>
  <c r="G102" i="14"/>
  <c r="H102" i="14"/>
  <c r="I102" i="14"/>
  <c r="J102" i="14"/>
  <c r="I499" i="14"/>
  <c r="J458" i="14"/>
  <c r="J181" i="14"/>
  <c r="I458" i="14"/>
  <c r="H456" i="14"/>
  <c r="J446" i="14"/>
  <c r="J482" i="14"/>
  <c r="H81" i="14"/>
  <c r="H426" i="14"/>
  <c r="I211" i="14"/>
  <c r="I111" i="14"/>
  <c r="H238" i="14"/>
  <c r="G81" i="14"/>
  <c r="I403" i="14"/>
  <c r="G129" i="14"/>
  <c r="I408" i="14"/>
  <c r="I469" i="14"/>
  <c r="G211" i="14"/>
  <c r="I92" i="14"/>
  <c r="G238" i="14"/>
  <c r="I195" i="14"/>
  <c r="G402" i="14"/>
  <c r="G237" i="14"/>
  <c r="I487" i="14"/>
  <c r="H444" i="14"/>
  <c r="G154" i="14"/>
  <c r="H91" i="14"/>
  <c r="G37" i="14"/>
  <c r="I245" i="14"/>
  <c r="I8" i="14"/>
  <c r="I370" i="14"/>
  <c r="J384" i="14"/>
  <c r="G495" i="14"/>
  <c r="J218" i="14"/>
  <c r="J200" i="14"/>
  <c r="G257" i="14"/>
  <c r="G403" i="14"/>
  <c r="J79" i="14"/>
  <c r="G414" i="14"/>
  <c r="I149" i="14"/>
  <c r="I35" i="14"/>
  <c r="G224" i="14"/>
  <c r="H119" i="14"/>
  <c r="H401" i="14"/>
  <c r="I386" i="14"/>
  <c r="J403" i="14"/>
  <c r="H378" i="14"/>
  <c r="I129" i="14"/>
  <c r="G194" i="14"/>
  <c r="J195" i="14"/>
  <c r="H237" i="14"/>
  <c r="G444" i="14"/>
  <c r="H482" i="14"/>
  <c r="J370" i="14"/>
  <c r="I495" i="14"/>
  <c r="G378" i="14"/>
  <c r="G426" i="14"/>
  <c r="G92" i="14"/>
  <c r="I5" i="14"/>
  <c r="H270" i="14"/>
  <c r="I447" i="14"/>
  <c r="J411" i="14"/>
  <c r="H35" i="14"/>
  <c r="H413" i="14"/>
  <c r="G401" i="14"/>
  <c r="I189" i="14"/>
  <c r="I255" i="14"/>
  <c r="H112" i="14"/>
  <c r="H74" i="14"/>
  <c r="H468" i="14"/>
  <c r="H309" i="14"/>
  <c r="G271" i="14"/>
  <c r="I62" i="14"/>
  <c r="J260" i="14"/>
  <c r="J53" i="14"/>
  <c r="I307" i="14"/>
  <c r="G117" i="14"/>
  <c r="H453" i="14"/>
  <c r="J74" i="14"/>
  <c r="J111" i="14"/>
  <c r="H194" i="14"/>
  <c r="H199" i="14"/>
  <c r="G244" i="14"/>
  <c r="H353" i="14"/>
  <c r="I250" i="14"/>
  <c r="I375" i="14"/>
  <c r="G484" i="14"/>
  <c r="H391" i="14"/>
  <c r="I472" i="14"/>
  <c r="J271" i="14"/>
  <c r="H62" i="14"/>
  <c r="G247" i="14"/>
  <c r="I260" i="14"/>
  <c r="H382" i="14"/>
  <c r="I362" i="14"/>
  <c r="H129" i="14"/>
  <c r="J408" i="14"/>
  <c r="I426" i="14"/>
  <c r="J307" i="14"/>
  <c r="J211" i="14"/>
  <c r="H111" i="14"/>
  <c r="I199" i="14"/>
  <c r="I402" i="14"/>
  <c r="J237" i="14"/>
  <c r="H487" i="14"/>
  <c r="J353" i="14"/>
  <c r="J366" i="14"/>
  <c r="J250" i="14"/>
  <c r="G375" i="14"/>
  <c r="I482" i="14"/>
  <c r="J391" i="14"/>
  <c r="G62" i="14"/>
  <c r="H118" i="14"/>
  <c r="J414" i="14"/>
  <c r="G362" i="14"/>
  <c r="J129" i="14"/>
  <c r="I53" i="14"/>
  <c r="G408" i="14"/>
  <c r="J62" i="14"/>
  <c r="J472" i="14"/>
  <c r="H366" i="14"/>
  <c r="J8" i="14"/>
  <c r="J81" i="14"/>
  <c r="H478" i="14"/>
  <c r="H386" i="14"/>
  <c r="H108" i="14"/>
  <c r="H400" i="14"/>
  <c r="J375" i="14"/>
  <c r="J235" i="14"/>
  <c r="I217" i="14"/>
  <c r="G282" i="14"/>
  <c r="J185" i="14"/>
  <c r="H1" i="14"/>
  <c r="J361" i="14"/>
  <c r="G255" i="14"/>
  <c r="H235" i="14"/>
  <c r="J1" i="14"/>
  <c r="G212" i="14"/>
  <c r="I429" i="14"/>
  <c r="G125" i="14"/>
  <c r="I421" i="14"/>
  <c r="I380" i="14"/>
  <c r="G217" i="14"/>
  <c r="G116" i="14"/>
  <c r="J56" i="14"/>
  <c r="I282" i="14"/>
  <c r="H185" i="14"/>
  <c r="G93" i="14"/>
  <c r="H260" i="14"/>
  <c r="J478" i="14"/>
  <c r="I361" i="14"/>
  <c r="G63" i="14"/>
  <c r="G417" i="14"/>
  <c r="H429" i="14"/>
  <c r="G157" i="14"/>
  <c r="I235" i="14"/>
  <c r="G70" i="14"/>
  <c r="I324" i="14"/>
  <c r="J167" i="14"/>
  <c r="H433" i="14"/>
  <c r="G164" i="14"/>
  <c r="G421" i="14"/>
  <c r="J7" i="14"/>
  <c r="H343" i="14"/>
  <c r="G270" i="14"/>
  <c r="J447" i="14"/>
  <c r="I377" i="14"/>
  <c r="G380" i="14"/>
  <c r="H183" i="14"/>
  <c r="J202" i="14"/>
  <c r="I70" i="14"/>
  <c r="H116" i="14"/>
  <c r="J406" i="14"/>
  <c r="G324" i="14"/>
  <c r="H488" i="14"/>
  <c r="J205" i="14"/>
  <c r="J128" i="14"/>
  <c r="I63" i="14"/>
  <c r="J439" i="14"/>
  <c r="I83" i="14"/>
  <c r="G130" i="14"/>
  <c r="G167" i="14"/>
  <c r="G185" i="14"/>
  <c r="I97" i="14"/>
  <c r="I167" i="14"/>
  <c r="H394" i="14"/>
  <c r="G433" i="14"/>
  <c r="I491" i="14"/>
  <c r="H7" i="14"/>
  <c r="G343" i="14"/>
  <c r="I72" i="14"/>
  <c r="I202" i="14"/>
  <c r="J256" i="14"/>
  <c r="J340" i="14"/>
  <c r="H406" i="14"/>
  <c r="H30" i="14"/>
  <c r="H387" i="14"/>
  <c r="I478" i="14"/>
  <c r="I205" i="14"/>
  <c r="H128" i="14"/>
  <c r="G83" i="14"/>
  <c r="J394" i="14"/>
  <c r="J329" i="14"/>
  <c r="G72" i="14"/>
  <c r="J379" i="14"/>
  <c r="J183" i="14"/>
  <c r="H202" i="14"/>
  <c r="H256" i="14"/>
  <c r="G84" i="14"/>
  <c r="H56" i="14"/>
  <c r="I496" i="14"/>
  <c r="J387" i="14"/>
  <c r="I488" i="14"/>
  <c r="J233" i="14"/>
  <c r="H489" i="14"/>
  <c r="H205" i="14"/>
  <c r="G128" i="14"/>
  <c r="H279" i="14"/>
  <c r="I439" i="14"/>
  <c r="H282" i="14"/>
  <c r="J63" i="14"/>
  <c r="G1" i="14"/>
  <c r="H5" i="14"/>
  <c r="J417" i="14"/>
  <c r="H329" i="14"/>
  <c r="I7" i="14"/>
  <c r="J110" i="14"/>
  <c r="G379" i="14"/>
  <c r="I183" i="14"/>
  <c r="H340" i="14"/>
  <c r="I20" i="14"/>
  <c r="H65" i="14"/>
  <c r="J186" i="14"/>
  <c r="I56" i="14"/>
  <c r="H247" i="14"/>
  <c r="G387" i="14"/>
  <c r="J489" i="14"/>
  <c r="J279" i="14"/>
  <c r="J367" i="14"/>
  <c r="H432" i="14"/>
  <c r="J100" i="14"/>
  <c r="J266" i="14"/>
  <c r="I394" i="14"/>
  <c r="H417" i="14"/>
  <c r="H213" i="14"/>
  <c r="H151" i="14"/>
  <c r="H110" i="14"/>
  <c r="J107" i="14"/>
  <c r="G256" i="14"/>
  <c r="I84" i="14"/>
  <c r="G340" i="14"/>
  <c r="G177" i="14"/>
  <c r="I400" i="14"/>
  <c r="H186" i="14"/>
  <c r="G56" i="14"/>
  <c r="J247" i="14"/>
  <c r="I489" i="14"/>
  <c r="G119" i="14"/>
  <c r="I30" i="14"/>
  <c r="I279" i="14"/>
  <c r="G432" i="14"/>
  <c r="I266" i="14"/>
  <c r="G5" i="14"/>
  <c r="I379" i="14"/>
  <c r="J80" i="14"/>
  <c r="I65" i="14"/>
  <c r="J20" i="14"/>
  <c r="J400" i="14"/>
  <c r="I186" i="14"/>
  <c r="H233" i="14"/>
  <c r="G489" i="14"/>
  <c r="I130" i="14"/>
  <c r="G30" i="14"/>
  <c r="G279" i="14"/>
  <c r="H367" i="14"/>
  <c r="H362" i="14"/>
  <c r="J72" i="14"/>
  <c r="J277" i="14"/>
  <c r="I432" i="14"/>
  <c r="H255" i="14"/>
  <c r="H336" i="14"/>
  <c r="I95" i="14"/>
  <c r="I192" i="14"/>
  <c r="G322" i="14"/>
  <c r="G336" i="14"/>
  <c r="G441" i="14"/>
  <c r="H297" i="14"/>
  <c r="I304" i="14"/>
  <c r="J187" i="14"/>
  <c r="J371" i="14"/>
  <c r="J297" i="14"/>
  <c r="G277" i="14"/>
  <c r="H89" i="14"/>
  <c r="I336" i="14"/>
  <c r="J207" i="14"/>
  <c r="H42" i="14"/>
  <c r="I277" i="14"/>
  <c r="I89" i="14"/>
  <c r="H50" i="14"/>
  <c r="H207" i="14"/>
  <c r="G307" i="14"/>
  <c r="H339" i="14"/>
  <c r="G389" i="14"/>
  <c r="I52" i="14"/>
  <c r="G468" i="14"/>
  <c r="J145" i="14"/>
  <c r="G89" i="14"/>
  <c r="J103" i="14"/>
  <c r="I187" i="14"/>
  <c r="I371" i="14"/>
  <c r="J461" i="14"/>
  <c r="H377" i="14"/>
  <c r="G80" i="14"/>
  <c r="J245" i="14"/>
  <c r="J265" i="14"/>
  <c r="I81" i="14"/>
  <c r="G399" i="14"/>
  <c r="H476" i="14"/>
  <c r="G406" i="14"/>
  <c r="J455" i="14"/>
  <c r="G103" i="14"/>
  <c r="I297" i="14"/>
  <c r="G382" i="14"/>
  <c r="H149" i="14"/>
  <c r="G207" i="14"/>
  <c r="H14" i="14"/>
  <c r="I285" i="14"/>
  <c r="H389" i="14"/>
  <c r="I346" i="14"/>
  <c r="I291" i="14"/>
  <c r="G95" i="14"/>
  <c r="G346" i="14"/>
  <c r="G192" i="14"/>
  <c r="H266" i="14"/>
  <c r="H371" i="14"/>
  <c r="H80" i="14"/>
  <c r="G297" i="14"/>
  <c r="H285" i="14"/>
  <c r="I80" i="14"/>
  <c r="J480" i="14"/>
  <c r="H145" i="14"/>
  <c r="I405" i="14"/>
  <c r="J179" i="14"/>
  <c r="I461" i="14"/>
  <c r="J377" i="14"/>
  <c r="I108" i="14"/>
  <c r="I42" i="14"/>
  <c r="H245" i="14"/>
  <c r="H265" i="14"/>
  <c r="J84" i="14"/>
  <c r="H254" i="14"/>
  <c r="J177" i="14"/>
  <c r="J399" i="14"/>
  <c r="J476" i="14"/>
  <c r="H455" i="14"/>
  <c r="G50" i="14"/>
  <c r="H415" i="14"/>
  <c r="J382" i="14"/>
  <c r="G14" i="14"/>
  <c r="G285" i="14"/>
  <c r="I339" i="14"/>
  <c r="J272" i="14"/>
  <c r="J401" i="14"/>
  <c r="H346" i="14"/>
  <c r="H187" i="14"/>
  <c r="I103" i="14"/>
  <c r="J285" i="14"/>
  <c r="H480" i="14"/>
  <c r="J112" i="14"/>
  <c r="H179" i="14"/>
  <c r="G108" i="14"/>
  <c r="I157" i="14"/>
  <c r="H411" i="14"/>
  <c r="G42" i="14"/>
  <c r="J254" i="14"/>
  <c r="J50" i="14"/>
  <c r="H177" i="14"/>
  <c r="J496" i="14"/>
  <c r="J415" i="14"/>
  <c r="J427" i="14"/>
  <c r="J14" i="14"/>
  <c r="G339" i="14"/>
  <c r="J325" i="14"/>
  <c r="H198" i="14"/>
  <c r="H157" i="14"/>
  <c r="I265" i="14"/>
  <c r="I254" i="14"/>
  <c r="J373" i="14"/>
  <c r="I272" i="14"/>
  <c r="G325" i="14"/>
  <c r="H441" i="14"/>
  <c r="H373" i="14"/>
  <c r="G496" i="14"/>
  <c r="I415" i="14"/>
  <c r="J324" i="14"/>
  <c r="J378" i="14"/>
  <c r="H272" i="14"/>
  <c r="G304" i="14"/>
  <c r="H325" i="14"/>
  <c r="J322" i="14"/>
  <c r="G291" i="14"/>
  <c r="I179" i="14"/>
  <c r="J95" i="14"/>
  <c r="J52" i="14"/>
  <c r="G114" i="14"/>
  <c r="I114" i="14"/>
  <c r="H114" i="14"/>
  <c r="J114" i="14"/>
  <c r="G259" i="14"/>
  <c r="I259" i="14"/>
  <c r="H259" i="14"/>
  <c r="J259" i="14"/>
  <c r="G25" i="14"/>
  <c r="I25" i="14"/>
  <c r="H25" i="14"/>
  <c r="J25" i="14"/>
  <c r="G393" i="14"/>
  <c r="I393" i="14"/>
  <c r="H393" i="14"/>
  <c r="J393" i="14"/>
  <c r="G33" i="14"/>
  <c r="I33" i="14"/>
  <c r="H33" i="14"/>
  <c r="J33" i="14"/>
  <c r="G404" i="14"/>
  <c r="I404" i="14"/>
  <c r="H404" i="14"/>
  <c r="J404" i="14"/>
  <c r="G209" i="14"/>
  <c r="I209" i="14"/>
  <c r="J209" i="14"/>
  <c r="H209" i="14"/>
  <c r="G437" i="14"/>
  <c r="H437" i="14"/>
  <c r="I437" i="14"/>
  <c r="J437" i="14"/>
  <c r="G124" i="14"/>
  <c r="I124" i="14"/>
  <c r="J124" i="14"/>
  <c r="H124" i="14"/>
  <c r="G85" i="14"/>
  <c r="I85" i="14"/>
  <c r="H85" i="14"/>
  <c r="J85" i="14"/>
  <c r="G475" i="14"/>
  <c r="I475" i="14"/>
  <c r="J475" i="14"/>
  <c r="H475" i="14"/>
  <c r="J203" i="14"/>
  <c r="G203" i="14"/>
  <c r="H203" i="14"/>
  <c r="I203" i="14"/>
  <c r="G45" i="14"/>
  <c r="I45" i="14"/>
  <c r="H45" i="14"/>
  <c r="J45" i="14"/>
  <c r="G294" i="14"/>
  <c r="H294" i="14"/>
  <c r="I294" i="14"/>
  <c r="J294" i="14"/>
  <c r="G493" i="14"/>
  <c r="H493" i="14"/>
  <c r="I493" i="14"/>
  <c r="J493" i="14"/>
  <c r="I176" i="14"/>
  <c r="G176" i="14"/>
  <c r="J176" i="14"/>
  <c r="H176" i="14"/>
  <c r="G46" i="14"/>
  <c r="I46" i="14"/>
  <c r="H46" i="14"/>
  <c r="J46" i="14"/>
  <c r="G368" i="14"/>
  <c r="H368" i="14"/>
  <c r="J368" i="14"/>
  <c r="I368" i="14"/>
  <c r="G397" i="14"/>
  <c r="H397" i="14"/>
  <c r="I397" i="14"/>
  <c r="J397" i="14"/>
  <c r="I38" i="14"/>
  <c r="G38" i="14"/>
  <c r="H38" i="14"/>
  <c r="J38" i="14"/>
  <c r="G49" i="14"/>
  <c r="I49" i="14"/>
  <c r="H49" i="14"/>
  <c r="J49" i="14"/>
  <c r="G67" i="14"/>
  <c r="I67" i="14"/>
  <c r="J67" i="14"/>
  <c r="H67" i="14"/>
  <c r="G24" i="14"/>
  <c r="I24" i="14"/>
  <c r="H24" i="14"/>
  <c r="J24" i="14"/>
  <c r="I319" i="14"/>
  <c r="J319" i="14"/>
  <c r="G319" i="14"/>
  <c r="H319" i="14"/>
  <c r="I188" i="14"/>
  <c r="G188" i="14"/>
  <c r="H188" i="14"/>
  <c r="J188" i="14"/>
  <c r="G168" i="14"/>
  <c r="I168" i="14"/>
  <c r="H168" i="14"/>
  <c r="J168" i="14"/>
  <c r="I31" i="14"/>
  <c r="G31" i="14"/>
  <c r="J31" i="14"/>
  <c r="H31" i="14"/>
  <c r="G462" i="14"/>
  <c r="H462" i="14"/>
  <c r="I462" i="14"/>
  <c r="J462" i="14"/>
  <c r="G341" i="14"/>
  <c r="I341" i="14"/>
  <c r="H341" i="14"/>
  <c r="J341" i="14"/>
  <c r="G99" i="14"/>
  <c r="I99" i="14"/>
  <c r="H99" i="14"/>
  <c r="J99" i="14"/>
  <c r="I355" i="14"/>
  <c r="G355" i="14"/>
  <c r="H355" i="14"/>
  <c r="J355" i="14"/>
  <c r="G106" i="14"/>
  <c r="I106" i="14"/>
  <c r="H106" i="14"/>
  <c r="J106" i="14"/>
  <c r="G369" i="14"/>
  <c r="I369" i="14"/>
  <c r="J369" i="14"/>
  <c r="H369" i="14"/>
  <c r="G98" i="14"/>
  <c r="I98" i="14"/>
  <c r="H98" i="14"/>
  <c r="J98" i="14"/>
  <c r="G60" i="14"/>
  <c r="I60" i="14"/>
  <c r="H60" i="14"/>
  <c r="J60" i="14"/>
  <c r="I376" i="14"/>
  <c r="G376" i="14"/>
  <c r="H376" i="14"/>
  <c r="J376" i="14"/>
  <c r="G243" i="14"/>
  <c r="I243" i="14"/>
  <c r="J243" i="14"/>
  <c r="H243" i="14"/>
  <c r="G27" i="14"/>
  <c r="I27" i="14"/>
  <c r="H27" i="14"/>
  <c r="J27" i="14"/>
  <c r="G412" i="14"/>
  <c r="H412" i="14"/>
  <c r="I412" i="14"/>
  <c r="J412" i="14"/>
  <c r="G241" i="14"/>
  <c r="H241" i="14"/>
  <c r="I241" i="14"/>
  <c r="J241" i="14"/>
  <c r="G123" i="14"/>
  <c r="I123" i="14"/>
  <c r="H123" i="14"/>
  <c r="J123" i="14"/>
  <c r="G474" i="14"/>
  <c r="H474" i="14"/>
  <c r="J474" i="14"/>
  <c r="I474" i="14"/>
  <c r="G311" i="14"/>
  <c r="H311" i="14"/>
  <c r="I311" i="14"/>
  <c r="J311" i="14"/>
  <c r="G47" i="14"/>
  <c r="I47" i="14"/>
  <c r="J47" i="14"/>
  <c r="H47" i="14"/>
  <c r="G333" i="14"/>
  <c r="J333" i="14"/>
  <c r="H333" i="14"/>
  <c r="I333" i="14"/>
  <c r="G442" i="14"/>
  <c r="I442" i="14"/>
  <c r="H442" i="14"/>
  <c r="J442" i="14"/>
  <c r="I173" i="14"/>
  <c r="G173" i="14"/>
  <c r="H173" i="14"/>
  <c r="J173" i="14"/>
  <c r="G113" i="14"/>
  <c r="I113" i="14"/>
  <c r="J113" i="14"/>
  <c r="H113" i="14"/>
  <c r="G317" i="14"/>
  <c r="I317" i="14"/>
  <c r="J317" i="14"/>
  <c r="H317" i="14"/>
  <c r="I82" i="14"/>
  <c r="G82" i="14"/>
  <c r="J82" i="14"/>
  <c r="H82" i="14"/>
  <c r="G44" i="14"/>
  <c r="I44" i="14"/>
  <c r="H44" i="14"/>
  <c r="J44" i="14"/>
  <c r="I214" i="14"/>
  <c r="J214" i="14"/>
  <c r="G214" i="14"/>
  <c r="H214" i="14"/>
  <c r="G3" i="14"/>
  <c r="I3" i="14"/>
  <c r="H3" i="14"/>
  <c r="J3" i="14"/>
  <c r="I497" i="14"/>
  <c r="G497" i="14"/>
  <c r="H497" i="14"/>
  <c r="J497" i="14"/>
  <c r="G170" i="14"/>
  <c r="H170" i="14"/>
  <c r="I170" i="14"/>
  <c r="J170" i="14"/>
  <c r="G174" i="14"/>
  <c r="H174" i="14"/>
  <c r="I174" i="14"/>
  <c r="J174" i="14"/>
  <c r="I120" i="14"/>
  <c r="G120" i="14"/>
  <c r="H120" i="14"/>
  <c r="J120" i="14"/>
  <c r="G216" i="14"/>
  <c r="I216" i="14"/>
  <c r="J216" i="14"/>
  <c r="H216" i="14"/>
  <c r="J423" i="14"/>
  <c r="G423" i="14"/>
  <c r="H423" i="14"/>
  <c r="I423" i="14"/>
  <c r="I75" i="14"/>
  <c r="G75" i="14"/>
  <c r="J75" i="14"/>
  <c r="H75" i="14"/>
  <c r="G34" i="14"/>
  <c r="I34" i="14"/>
  <c r="J34" i="14"/>
  <c r="H34" i="14"/>
  <c r="G449" i="14"/>
  <c r="I449" i="14"/>
  <c r="H449" i="14"/>
  <c r="J449" i="14"/>
  <c r="G126" i="14"/>
  <c r="I126" i="14"/>
  <c r="H126" i="14"/>
  <c r="J126" i="14"/>
  <c r="J251" i="14"/>
  <c r="G251" i="14"/>
  <c r="H251" i="14"/>
  <c r="I251" i="14"/>
  <c r="I332" i="14"/>
  <c r="H332" i="14"/>
  <c r="J332" i="14"/>
  <c r="G332" i="14"/>
  <c r="G383" i="14"/>
  <c r="I383" i="14"/>
  <c r="J383" i="14"/>
  <c r="H383" i="14"/>
  <c r="G465" i="14"/>
  <c r="I465" i="14"/>
  <c r="J465" i="14"/>
  <c r="H465" i="14"/>
  <c r="G485" i="14"/>
  <c r="H485" i="14"/>
  <c r="I485" i="14"/>
  <c r="J485" i="14"/>
  <c r="G163" i="14"/>
  <c r="I163" i="14"/>
  <c r="J163" i="14"/>
  <c r="H163" i="14"/>
  <c r="G36" i="14"/>
  <c r="I36" i="14"/>
  <c r="J36" i="14"/>
  <c r="H36" i="14"/>
  <c r="G156" i="14"/>
  <c r="I156" i="14"/>
  <c r="H156" i="14"/>
  <c r="J156" i="14"/>
  <c r="G54" i="14"/>
  <c r="H54" i="14"/>
  <c r="J54" i="14"/>
  <c r="I54" i="14"/>
  <c r="G4" i="14"/>
  <c r="I4" i="14"/>
  <c r="J4" i="14"/>
  <c r="H4" i="14"/>
  <c r="J274" i="14"/>
  <c r="I274" i="14"/>
  <c r="H274" i="14"/>
  <c r="G274" i="14"/>
  <c r="G228" i="14"/>
  <c r="I228" i="14"/>
  <c r="H228" i="14"/>
  <c r="J228" i="14"/>
  <c r="G178" i="14"/>
  <c r="H178" i="14"/>
  <c r="I178" i="14"/>
  <c r="J178" i="14"/>
  <c r="G287" i="14"/>
  <c r="I287" i="14"/>
  <c r="H287" i="14"/>
  <c r="J287" i="14"/>
  <c r="G261" i="14"/>
  <c r="I261" i="14"/>
  <c r="J261" i="14"/>
  <c r="H261" i="14"/>
  <c r="J460" i="14"/>
  <c r="G460" i="14"/>
  <c r="H460" i="14"/>
  <c r="I460" i="14"/>
  <c r="I96" i="14"/>
  <c r="G96" i="14"/>
  <c r="J96" i="14"/>
  <c r="H96" i="14"/>
  <c r="G483" i="14"/>
  <c r="I483" i="14"/>
  <c r="J483" i="14"/>
  <c r="H483" i="14"/>
  <c r="I139" i="14"/>
  <c r="G139" i="14"/>
  <c r="H139" i="14"/>
  <c r="J139" i="14"/>
  <c r="G327" i="14"/>
  <c r="I327" i="14"/>
  <c r="J327" i="14"/>
  <c r="H327" i="14"/>
  <c r="G357" i="14"/>
  <c r="H357" i="14"/>
  <c r="I357" i="14"/>
  <c r="J357" i="14"/>
  <c r="G230" i="14"/>
  <c r="H230" i="14"/>
  <c r="I230" i="14"/>
  <c r="J230" i="14"/>
  <c r="G18" i="14"/>
  <c r="I18" i="14"/>
  <c r="H18" i="14"/>
  <c r="J18" i="14"/>
  <c r="J422" i="14"/>
  <c r="G422" i="14"/>
  <c r="H422" i="14"/>
  <c r="I422" i="14"/>
  <c r="G312" i="14"/>
  <c r="I312" i="14"/>
  <c r="H312" i="14"/>
  <c r="J312" i="14"/>
  <c r="G182" i="14"/>
  <c r="I182" i="14"/>
  <c r="J182" i="14"/>
  <c r="H182" i="14"/>
  <c r="G13" i="14"/>
  <c r="I13" i="14"/>
  <c r="H13" i="14"/>
  <c r="J13" i="14"/>
  <c r="G410" i="14"/>
  <c r="H410" i="14"/>
  <c r="J410" i="14"/>
  <c r="I410" i="14"/>
  <c r="G165" i="14"/>
  <c r="I165" i="14"/>
  <c r="H165" i="14"/>
  <c r="J165" i="14"/>
  <c r="G290" i="14"/>
  <c r="I290" i="14"/>
  <c r="J290" i="14"/>
  <c r="H290" i="14"/>
  <c r="H240" i="14"/>
  <c r="I240" i="14"/>
  <c r="G240" i="14"/>
  <c r="J240" i="14"/>
  <c r="G16" i="14"/>
  <c r="I16" i="14"/>
  <c r="H16" i="14"/>
  <c r="J16" i="14"/>
  <c r="I280" i="14"/>
  <c r="G280" i="14"/>
  <c r="H280" i="14"/>
  <c r="J280" i="14"/>
  <c r="G320" i="14"/>
  <c r="H320" i="14"/>
  <c r="I320" i="14"/>
  <c r="J320" i="14"/>
  <c r="I344" i="14"/>
  <c r="G344" i="14"/>
  <c r="H344" i="14"/>
  <c r="J344" i="14"/>
  <c r="G281" i="14"/>
  <c r="I281" i="14"/>
  <c r="J281" i="14"/>
  <c r="H281" i="14"/>
  <c r="I76" i="14"/>
  <c r="G76" i="14"/>
  <c r="J76" i="14"/>
  <c r="H76" i="14"/>
  <c r="G278" i="14"/>
  <c r="I278" i="14"/>
  <c r="H278" i="14"/>
  <c r="J278" i="14"/>
  <c r="I372" i="14"/>
  <c r="G372" i="14"/>
  <c r="H372" i="14"/>
  <c r="J372" i="14"/>
  <c r="I141" i="14"/>
  <c r="G141" i="14"/>
  <c r="J141" i="14"/>
  <c r="H141" i="14"/>
  <c r="I17" i="14"/>
  <c r="G17" i="14"/>
  <c r="H17" i="14"/>
  <c r="J17" i="14"/>
  <c r="I239" i="14"/>
  <c r="G239" i="14"/>
  <c r="H239" i="14"/>
  <c r="J239" i="14"/>
  <c r="I316" i="14"/>
  <c r="G316" i="14"/>
  <c r="H316" i="14"/>
  <c r="J316" i="14"/>
  <c r="G430" i="14"/>
  <c r="I430" i="14"/>
  <c r="H430" i="14"/>
  <c r="J430" i="14"/>
  <c r="I249" i="14"/>
  <c r="G249" i="14"/>
  <c r="J249" i="14"/>
  <c r="H249" i="14"/>
  <c r="G253" i="14"/>
  <c r="I253" i="14"/>
  <c r="J253" i="14"/>
  <c r="H253" i="14"/>
  <c r="I330" i="14"/>
  <c r="G330" i="14"/>
  <c r="H330" i="14"/>
  <c r="J330" i="14"/>
  <c r="I190" i="14"/>
  <c r="J190" i="14"/>
  <c r="G190" i="14"/>
  <c r="H190" i="14"/>
  <c r="G219" i="14"/>
  <c r="I219" i="14"/>
  <c r="J219" i="14"/>
  <c r="H219" i="14"/>
  <c r="G318" i="14"/>
  <c r="I318" i="14"/>
  <c r="J318" i="14"/>
  <c r="H318" i="14"/>
  <c r="I435" i="14"/>
  <c r="J435" i="14"/>
  <c r="G435" i="14"/>
  <c r="H435" i="14"/>
  <c r="G19" i="14"/>
  <c r="I19" i="14"/>
  <c r="H19" i="14"/>
  <c r="J19" i="14"/>
  <c r="G40" i="14"/>
  <c r="I40" i="14"/>
  <c r="H40" i="14"/>
  <c r="J40" i="14"/>
  <c r="I148" i="14"/>
  <c r="G148" i="14"/>
  <c r="J148" i="14"/>
  <c r="H148" i="14"/>
  <c r="G299" i="14"/>
  <c r="I299" i="14"/>
  <c r="H299" i="14"/>
  <c r="J299" i="14"/>
  <c r="G303" i="14"/>
  <c r="I303" i="14"/>
  <c r="J303" i="14"/>
  <c r="H303" i="14"/>
  <c r="G335" i="14"/>
  <c r="I335" i="14"/>
  <c r="H335" i="14"/>
  <c r="J335" i="14"/>
  <c r="G351" i="14"/>
  <c r="I351" i="14"/>
  <c r="J351" i="14"/>
  <c r="H351" i="14"/>
  <c r="I347" i="14"/>
  <c r="H347" i="14"/>
  <c r="J347" i="14"/>
  <c r="G347" i="14"/>
  <c r="G350" i="14"/>
  <c r="I350" i="14"/>
  <c r="H350" i="14"/>
  <c r="J350" i="14"/>
  <c r="I479" i="14"/>
  <c r="G479" i="14"/>
  <c r="H479" i="14"/>
  <c r="J479" i="14"/>
  <c r="I32" i="14"/>
  <c r="G32" i="14"/>
  <c r="H32" i="14"/>
  <c r="J32" i="14"/>
  <c r="G90" i="14"/>
  <c r="I90" i="14"/>
  <c r="J90" i="14"/>
  <c r="H90" i="14"/>
  <c r="G473" i="14"/>
  <c r="H473" i="14"/>
  <c r="I473" i="14"/>
  <c r="J473" i="14"/>
  <c r="G153" i="14"/>
  <c r="I153" i="14"/>
  <c r="J153" i="14"/>
  <c r="H153" i="14"/>
  <c r="G305" i="14"/>
  <c r="H305" i="14"/>
  <c r="I305" i="14"/>
  <c r="J305" i="14"/>
  <c r="I407" i="14"/>
  <c r="G407" i="14"/>
  <c r="H407" i="14"/>
  <c r="J407" i="14"/>
  <c r="G15" i="14"/>
  <c r="H15" i="14"/>
  <c r="J15" i="14"/>
  <c r="I15" i="14"/>
  <c r="G159" i="14"/>
  <c r="I159" i="14"/>
  <c r="H159" i="14"/>
  <c r="J159" i="14"/>
  <c r="I152" i="14"/>
  <c r="G152" i="14"/>
  <c r="H152" i="14"/>
  <c r="J152" i="14"/>
  <c r="I360" i="14"/>
  <c r="G360" i="14"/>
  <c r="J360" i="14"/>
  <c r="H360" i="14"/>
  <c r="G500" i="14"/>
  <c r="I500" i="14"/>
  <c r="J500" i="14"/>
  <c r="H500" i="14"/>
  <c r="J142" i="14"/>
  <c r="G142" i="14"/>
  <c r="H142" i="14"/>
  <c r="I142" i="14"/>
  <c r="G262" i="14"/>
  <c r="H262" i="14"/>
  <c r="I262" i="14"/>
  <c r="J262" i="14"/>
  <c r="I133" i="14"/>
  <c r="G133" i="14"/>
  <c r="J133" i="14"/>
  <c r="H133" i="14"/>
  <c r="G331" i="14"/>
  <c r="H331" i="14"/>
  <c r="I331" i="14"/>
  <c r="J331" i="14"/>
  <c r="G77" i="14"/>
  <c r="I77" i="14"/>
  <c r="H77" i="14"/>
  <c r="J77" i="14"/>
  <c r="I161" i="14"/>
  <c r="G161" i="14"/>
  <c r="H161" i="14"/>
  <c r="J161" i="14"/>
  <c r="I308" i="14"/>
  <c r="G308" i="14"/>
  <c r="J308" i="14"/>
  <c r="H308" i="14"/>
  <c r="G146" i="14"/>
  <c r="I146" i="14"/>
  <c r="H146" i="14"/>
  <c r="J146" i="14"/>
  <c r="G39" i="14"/>
  <c r="I39" i="14"/>
  <c r="H39" i="14"/>
  <c r="J39" i="14"/>
  <c r="G121" i="14"/>
  <c r="I121" i="14"/>
  <c r="J121" i="14"/>
  <c r="H121" i="14"/>
  <c r="G155" i="14"/>
  <c r="J155" i="14"/>
  <c r="H155" i="14"/>
  <c r="I155" i="14"/>
  <c r="G21" i="14"/>
  <c r="I21" i="14"/>
  <c r="J21" i="14"/>
  <c r="H21" i="14"/>
  <c r="G477" i="14"/>
  <c r="I477" i="14"/>
  <c r="J477" i="14"/>
  <c r="H477" i="14"/>
  <c r="G374" i="14"/>
  <c r="H374" i="14"/>
  <c r="I374" i="14"/>
  <c r="J374" i="14"/>
  <c r="G122" i="14"/>
  <c r="I122" i="14"/>
  <c r="H122" i="14"/>
  <c r="J122" i="14"/>
  <c r="G210" i="14"/>
  <c r="J210" i="14"/>
  <c r="I210" i="14"/>
  <c r="H210" i="14"/>
  <c r="G2" i="14"/>
  <c r="I2" i="14"/>
  <c r="H2" i="14"/>
  <c r="J2" i="14"/>
  <c r="G135" i="14"/>
  <c r="I135" i="14"/>
  <c r="J135" i="14"/>
  <c r="H135" i="14"/>
  <c r="I292" i="14"/>
  <c r="G292" i="14"/>
  <c r="H292" i="14"/>
  <c r="J292" i="14"/>
  <c r="G300" i="14"/>
  <c r="I300" i="14"/>
  <c r="J300" i="14"/>
  <c r="H300" i="14"/>
  <c r="I104" i="14"/>
  <c r="G104" i="14"/>
  <c r="H104" i="14"/>
  <c r="J104" i="14"/>
  <c r="G448" i="14"/>
  <c r="H448" i="14"/>
  <c r="J448" i="14"/>
  <c r="I448" i="14"/>
  <c r="J169" i="14"/>
  <c r="G169" i="14"/>
  <c r="H169" i="14"/>
  <c r="I169" i="14"/>
  <c r="J348" i="14"/>
  <c r="G348" i="14"/>
  <c r="H348" i="14"/>
  <c r="I348" i="14"/>
  <c r="I467" i="14"/>
  <c r="G467" i="14"/>
  <c r="H467" i="14"/>
  <c r="J467" i="14"/>
  <c r="G94" i="14"/>
  <c r="I94" i="14"/>
  <c r="H94" i="14"/>
  <c r="J94" i="14"/>
  <c r="G71" i="14"/>
  <c r="I71" i="14"/>
  <c r="J71" i="14"/>
  <c r="H71" i="14"/>
  <c r="G87" i="14"/>
  <c r="I87" i="14"/>
  <c r="H87" i="14"/>
  <c r="J87" i="14"/>
  <c r="H321" i="14"/>
  <c r="G321" i="14"/>
  <c r="I321" i="14"/>
  <c r="J321" i="14"/>
  <c r="G295" i="14"/>
  <c r="H295" i="14"/>
  <c r="I295" i="14"/>
  <c r="J295" i="14"/>
  <c r="G191" i="14"/>
  <c r="H191" i="14"/>
  <c r="J191" i="14"/>
  <c r="I191" i="14"/>
  <c r="I268" i="14"/>
  <c r="G268" i="14"/>
  <c r="J268" i="14"/>
  <c r="H268" i="14"/>
  <c r="G134" i="14"/>
  <c r="I134" i="14"/>
  <c r="J134" i="14"/>
  <c r="H134" i="14"/>
  <c r="G246" i="14"/>
  <c r="H246" i="14"/>
  <c r="I246" i="14"/>
  <c r="J246" i="14"/>
  <c r="I64" i="14"/>
  <c r="G64" i="14"/>
  <c r="H64" i="14"/>
  <c r="J64" i="14"/>
  <c r="G66" i="14"/>
  <c r="I66" i="14"/>
  <c r="H66" i="14"/>
  <c r="J66" i="14"/>
  <c r="I252" i="14"/>
  <c r="J252" i="14"/>
  <c r="G252" i="14"/>
  <c r="H252" i="14"/>
  <c r="I313" i="14"/>
  <c r="G313" i="14"/>
  <c r="H313" i="14"/>
  <c r="J313" i="14"/>
  <c r="I267" i="14"/>
  <c r="G267" i="14"/>
  <c r="H267" i="14"/>
  <c r="J267" i="14"/>
  <c r="G359" i="14"/>
  <c r="J359" i="14"/>
  <c r="H359" i="14"/>
  <c r="I359" i="14"/>
  <c r="G227" i="14"/>
  <c r="I227" i="14"/>
  <c r="H227" i="14"/>
  <c r="J227" i="14"/>
  <c r="G6" i="14"/>
  <c r="I6" i="14"/>
  <c r="H6" i="14"/>
  <c r="J6" i="14"/>
  <c r="G459" i="14"/>
  <c r="H459" i="14"/>
  <c r="J459" i="14"/>
  <c r="I459" i="14"/>
  <c r="I184" i="14"/>
  <c r="G184" i="14"/>
  <c r="J184" i="14"/>
  <c r="H184" i="14"/>
  <c r="I315" i="14"/>
  <c r="G315" i="14"/>
  <c r="J315" i="14"/>
  <c r="H315" i="14"/>
  <c r="G286" i="14"/>
  <c r="H286" i="14"/>
  <c r="I286" i="14"/>
  <c r="J286" i="14"/>
  <c r="G58" i="14"/>
  <c r="I58" i="14"/>
  <c r="J58" i="14"/>
  <c r="H58" i="14"/>
  <c r="I143" i="14"/>
  <c r="J143" i="14"/>
  <c r="G143" i="14"/>
  <c r="H143" i="14"/>
  <c r="I26" i="14"/>
  <c r="G26" i="14"/>
  <c r="J26" i="14"/>
  <c r="H26" i="14"/>
  <c r="G345" i="14"/>
  <c r="J345" i="14"/>
  <c r="H345" i="14"/>
  <c r="I345" i="14"/>
  <c r="H409" i="14"/>
  <c r="I409" i="14"/>
  <c r="G409" i="14"/>
  <c r="J409" i="14"/>
  <c r="G57" i="14"/>
  <c r="I57" i="14"/>
  <c r="J57" i="14"/>
  <c r="H57" i="14"/>
  <c r="G349" i="14"/>
  <c r="H349" i="14"/>
  <c r="I349" i="14"/>
  <c r="J349" i="14"/>
  <c r="H424" i="14"/>
  <c r="I424" i="14"/>
  <c r="J424" i="14"/>
  <c r="G424" i="14"/>
  <c r="G234" i="14"/>
  <c r="I234" i="14"/>
  <c r="H234" i="14"/>
  <c r="J234" i="14"/>
  <c r="J471" i="14"/>
  <c r="G471" i="14"/>
  <c r="I471" i="14"/>
  <c r="H471" i="14"/>
  <c r="I172" i="14"/>
  <c r="G172" i="14"/>
  <c r="H172" i="14"/>
  <c r="J172" i="14"/>
  <c r="G43" i="14"/>
  <c r="I43" i="14"/>
  <c r="J43" i="14"/>
  <c r="H43" i="14"/>
  <c r="G463" i="14"/>
  <c r="I463" i="14"/>
  <c r="J463" i="14"/>
  <c r="H463" i="14"/>
  <c r="G147" i="14"/>
  <c r="I147" i="14"/>
  <c r="J147" i="14"/>
  <c r="H147" i="14"/>
  <c r="H310" i="14"/>
  <c r="G310" i="14"/>
  <c r="I310" i="14"/>
  <c r="J310" i="14"/>
  <c r="G231" i="14"/>
  <c r="I231" i="14"/>
  <c r="J231" i="14"/>
  <c r="H231" i="14"/>
  <c r="G323" i="14"/>
  <c r="I323" i="14"/>
  <c r="J323" i="14"/>
  <c r="H323" i="14"/>
  <c r="I398" i="14"/>
  <c r="J398" i="14"/>
  <c r="G398" i="14"/>
  <c r="H398" i="14"/>
  <c r="G115" i="14"/>
  <c r="I115" i="14"/>
  <c r="H115" i="14"/>
  <c r="J115" i="14"/>
  <c r="G225" i="14"/>
  <c r="H225" i="14"/>
  <c r="I225" i="14"/>
  <c r="J225" i="14"/>
  <c r="G338" i="14"/>
  <c r="H338" i="14"/>
  <c r="I338" i="14"/>
  <c r="J338" i="14"/>
  <c r="I395" i="14"/>
  <c r="G395" i="14"/>
  <c r="H395" i="14"/>
  <c r="J395" i="14"/>
  <c r="G127" i="14"/>
  <c r="I127" i="14"/>
  <c r="J127" i="14"/>
  <c r="H127" i="14"/>
  <c r="G221" i="14"/>
  <c r="I221" i="14"/>
  <c r="H221" i="14"/>
  <c r="J221" i="14"/>
  <c r="G105" i="14"/>
  <c r="I105" i="14"/>
  <c r="J105" i="14"/>
  <c r="H105" i="14"/>
  <c r="G385" i="14"/>
  <c r="I385" i="14"/>
  <c r="J385" i="14"/>
  <c r="H385" i="14"/>
  <c r="I420" i="14"/>
  <c r="G420" i="14"/>
  <c r="J420" i="14"/>
  <c r="H420" i="14"/>
  <c r="I293" i="14"/>
  <c r="H293" i="14"/>
  <c r="G293" i="14"/>
  <c r="J293" i="14"/>
  <c r="AC19" i="9"/>
  <c r="AC41" i="9"/>
  <c r="AC29" i="9"/>
  <c r="AC17" i="9"/>
  <c r="AC15" i="9"/>
  <c r="AC48" i="9"/>
  <c r="AC30" i="9"/>
  <c r="AC3" i="9"/>
  <c r="AC10" i="9"/>
  <c r="AC18" i="9"/>
  <c r="AC22" i="9"/>
  <c r="AC26" i="9"/>
  <c r="AC16" i="9"/>
  <c r="AC1" i="9"/>
  <c r="AC32" i="9"/>
  <c r="AC8" i="9"/>
  <c r="AC11" i="9"/>
  <c r="AC42" i="9"/>
  <c r="AC28" i="9"/>
  <c r="AC50" i="9"/>
  <c r="AC39" i="9"/>
  <c r="AC5" i="9"/>
  <c r="AC40" i="9"/>
  <c r="AC38" i="9"/>
  <c r="AC14" i="9"/>
  <c r="AC4" i="9"/>
  <c r="AC27" i="9"/>
  <c r="AC2" i="9"/>
  <c r="AC36" i="9"/>
  <c r="AC47" i="9"/>
  <c r="AC45" i="9"/>
  <c r="AC44" i="9"/>
  <c r="AC49" i="9"/>
  <c r="AC24" i="9"/>
  <c r="AC35" i="9"/>
  <c r="AC33" i="9"/>
  <c r="AC43" i="9"/>
  <c r="AC37" i="9"/>
  <c r="AC12" i="9"/>
  <c r="AC23" i="9"/>
  <c r="AC21" i="9"/>
  <c r="AC7" i="9"/>
  <c r="AC25" i="9"/>
  <c r="AC20" i="9"/>
  <c r="AC46" i="9"/>
  <c r="AC9" i="9"/>
  <c r="AC6" i="9"/>
  <c r="AC13" i="9"/>
  <c r="AC31" i="9"/>
  <c r="R1" i="9"/>
  <c r="Q1" i="9"/>
  <c r="C1" i="9" l="1"/>
  <c r="C500" i="9"/>
  <c r="G500" i="9" s="1"/>
  <c r="C334" i="9"/>
  <c r="C346" i="9"/>
  <c r="C358" i="9"/>
  <c r="C370" i="9"/>
  <c r="C382" i="9"/>
  <c r="C394" i="9"/>
  <c r="C406" i="9"/>
  <c r="C418" i="9"/>
  <c r="C430" i="9"/>
  <c r="C442" i="9"/>
  <c r="C454" i="9"/>
  <c r="C466" i="9"/>
  <c r="C478" i="9"/>
  <c r="C490" i="9"/>
  <c r="C361" i="9"/>
  <c r="C373" i="9"/>
  <c r="C409" i="9"/>
  <c r="C445" i="9"/>
  <c r="C469" i="9"/>
  <c r="C338" i="9"/>
  <c r="C386" i="9"/>
  <c r="C410" i="9"/>
  <c r="C434" i="9"/>
  <c r="C458" i="9"/>
  <c r="C482" i="9"/>
  <c r="C351" i="9"/>
  <c r="C363" i="9"/>
  <c r="C387" i="9"/>
  <c r="C411" i="9"/>
  <c r="C435" i="9"/>
  <c r="C459" i="9"/>
  <c r="C483" i="9"/>
  <c r="C352" i="9"/>
  <c r="C364" i="9"/>
  <c r="C388" i="9"/>
  <c r="C412" i="9"/>
  <c r="C436" i="9"/>
  <c r="C460" i="9"/>
  <c r="C484" i="9"/>
  <c r="C343" i="9"/>
  <c r="C391" i="9"/>
  <c r="C415" i="9"/>
  <c r="C439" i="9"/>
  <c r="C463" i="9"/>
  <c r="C487" i="9"/>
  <c r="C499" i="9"/>
  <c r="C344" i="9"/>
  <c r="C380" i="9"/>
  <c r="C404" i="9"/>
  <c r="C428" i="9"/>
  <c r="C452" i="9"/>
  <c r="C488" i="9"/>
  <c r="C357" i="9"/>
  <c r="C369" i="9"/>
  <c r="C393" i="9"/>
  <c r="C429" i="9"/>
  <c r="C441" i="9"/>
  <c r="C465" i="9"/>
  <c r="C335" i="9"/>
  <c r="C347" i="9"/>
  <c r="C359" i="9"/>
  <c r="C371" i="9"/>
  <c r="C383" i="9"/>
  <c r="C395" i="9"/>
  <c r="C407" i="9"/>
  <c r="C419" i="9"/>
  <c r="C431" i="9"/>
  <c r="C443" i="9"/>
  <c r="C455" i="9"/>
  <c r="C467" i="9"/>
  <c r="C479" i="9"/>
  <c r="C491" i="9"/>
  <c r="C349" i="9"/>
  <c r="C385" i="9"/>
  <c r="C421" i="9"/>
  <c r="C457" i="9"/>
  <c r="C493" i="9"/>
  <c r="C350" i="9"/>
  <c r="C374" i="9"/>
  <c r="C398" i="9"/>
  <c r="C422" i="9"/>
  <c r="C446" i="9"/>
  <c r="C470" i="9"/>
  <c r="C494" i="9"/>
  <c r="C339" i="9"/>
  <c r="C375" i="9"/>
  <c r="C399" i="9"/>
  <c r="C423" i="9"/>
  <c r="C447" i="9"/>
  <c r="C471" i="9"/>
  <c r="C495" i="9"/>
  <c r="C340" i="9"/>
  <c r="C376" i="9"/>
  <c r="C400" i="9"/>
  <c r="C424" i="9"/>
  <c r="C448" i="9"/>
  <c r="C472" i="9"/>
  <c r="C496" i="9"/>
  <c r="C355" i="9"/>
  <c r="C379" i="9"/>
  <c r="C403" i="9"/>
  <c r="C427" i="9"/>
  <c r="C451" i="9"/>
  <c r="C475" i="9"/>
  <c r="C368" i="9"/>
  <c r="C440" i="9"/>
  <c r="C476" i="9"/>
  <c r="C345" i="9"/>
  <c r="C381" i="9"/>
  <c r="C405" i="9"/>
  <c r="C417" i="9"/>
  <c r="C453" i="9"/>
  <c r="C477" i="9"/>
  <c r="C489" i="9"/>
  <c r="C336" i="9"/>
  <c r="C348" i="9"/>
  <c r="C360" i="9"/>
  <c r="C372" i="9"/>
  <c r="C384" i="9"/>
  <c r="C396" i="9"/>
  <c r="C408" i="9"/>
  <c r="C420" i="9"/>
  <c r="C432" i="9"/>
  <c r="C444" i="9"/>
  <c r="C456" i="9"/>
  <c r="C468" i="9"/>
  <c r="C480" i="9"/>
  <c r="C492" i="9"/>
  <c r="C337" i="9"/>
  <c r="C397" i="9"/>
  <c r="C433" i="9"/>
  <c r="C481" i="9"/>
  <c r="C362" i="9"/>
  <c r="C367" i="9"/>
  <c r="C356" i="9"/>
  <c r="C392" i="9"/>
  <c r="C416" i="9"/>
  <c r="C464" i="9"/>
  <c r="C341" i="9"/>
  <c r="C353" i="9"/>
  <c r="C365" i="9"/>
  <c r="C377" i="9"/>
  <c r="C389" i="9"/>
  <c r="C401" i="9"/>
  <c r="C413" i="9"/>
  <c r="C425" i="9"/>
  <c r="C437" i="9"/>
  <c r="C449" i="9"/>
  <c r="C461" i="9"/>
  <c r="C473" i="9"/>
  <c r="C485" i="9"/>
  <c r="C497" i="9"/>
  <c r="C342" i="9"/>
  <c r="C354" i="9"/>
  <c r="C366" i="9"/>
  <c r="C378" i="9"/>
  <c r="C390" i="9"/>
  <c r="C402" i="9"/>
  <c r="C414" i="9"/>
  <c r="C426" i="9"/>
  <c r="C438" i="9"/>
  <c r="C450" i="9"/>
  <c r="C462" i="9"/>
  <c r="C474" i="9"/>
  <c r="C486" i="9"/>
  <c r="C498" i="9"/>
  <c r="C277" i="9"/>
  <c r="C275" i="9"/>
  <c r="C310" i="9"/>
  <c r="C22" i="9"/>
  <c r="C265" i="9"/>
  <c r="C263" i="9"/>
  <c r="C298" i="9"/>
  <c r="C229" i="9"/>
  <c r="C251" i="9"/>
  <c r="C226" i="9"/>
  <c r="C178" i="9"/>
  <c r="C119" i="9"/>
  <c r="C85" i="9"/>
  <c r="C35" i="9"/>
  <c r="C23" i="9"/>
  <c r="C46" i="9"/>
  <c r="C322" i="9"/>
  <c r="C217" i="9"/>
  <c r="C179" i="9"/>
  <c r="C214" i="9"/>
  <c r="C131" i="9"/>
  <c r="C166" i="9"/>
  <c r="C154" i="9"/>
  <c r="C73" i="9"/>
  <c r="C70" i="9"/>
  <c r="C323" i="9"/>
  <c r="C34" i="9"/>
  <c r="C205" i="9"/>
  <c r="C167" i="9"/>
  <c r="C190" i="9"/>
  <c r="C133" i="9"/>
  <c r="C121" i="9"/>
  <c r="C107" i="9"/>
  <c r="C82" i="9"/>
  <c r="C61" i="9"/>
  <c r="C311" i="9"/>
  <c r="C112" i="9"/>
  <c r="C256" i="9"/>
  <c r="C126" i="9"/>
  <c r="C51" i="9"/>
  <c r="C101" i="9"/>
  <c r="C245" i="9"/>
  <c r="C150" i="9"/>
  <c r="C81" i="9"/>
  <c r="C38" i="9"/>
  <c r="C27" i="9"/>
  <c r="C91" i="9"/>
  <c r="C235" i="9"/>
  <c r="C56" i="9"/>
  <c r="C200" i="9"/>
  <c r="C33" i="9"/>
  <c r="C309" i="9"/>
  <c r="C266" i="9"/>
  <c r="C84" i="9"/>
  <c r="C228" i="9"/>
  <c r="C303" i="9"/>
  <c r="C243" i="9"/>
  <c r="C253" i="9"/>
  <c r="C301" i="9"/>
  <c r="C83" i="9"/>
  <c r="C124" i="9"/>
  <c r="C268" i="9"/>
  <c r="C138" i="9"/>
  <c r="C99" i="9"/>
  <c r="C113" i="9"/>
  <c r="C257" i="9"/>
  <c r="C174" i="9"/>
  <c r="C105" i="9"/>
  <c r="C62" i="9"/>
  <c r="C75" i="9"/>
  <c r="C103" i="9"/>
  <c r="C247" i="9"/>
  <c r="C68" i="9"/>
  <c r="C212" i="9"/>
  <c r="C69" i="9"/>
  <c r="C290" i="9"/>
  <c r="C96" i="9"/>
  <c r="C240" i="9"/>
  <c r="C147" i="9"/>
  <c r="C255" i="9"/>
  <c r="C94" i="9"/>
  <c r="C12" i="9"/>
  <c r="C227" i="9"/>
  <c r="C136" i="9"/>
  <c r="C280" i="9"/>
  <c r="C162" i="9"/>
  <c r="C135" i="9"/>
  <c r="C125" i="9"/>
  <c r="C269" i="9"/>
  <c r="C186" i="9"/>
  <c r="C129" i="9"/>
  <c r="C86" i="9"/>
  <c r="C123" i="9"/>
  <c r="C115" i="9"/>
  <c r="C259" i="9"/>
  <c r="C80" i="9"/>
  <c r="C224" i="9"/>
  <c r="C93" i="9"/>
  <c r="C26" i="9"/>
  <c r="C326" i="9"/>
  <c r="C108" i="9"/>
  <c r="C252" i="9"/>
  <c r="C315" i="9"/>
  <c r="C143" i="9"/>
  <c r="C238" i="9"/>
  <c r="C118" i="9"/>
  <c r="C37" i="9"/>
  <c r="C4" i="9"/>
  <c r="C148" i="9"/>
  <c r="C292" i="9"/>
  <c r="C198" i="9"/>
  <c r="C159" i="9"/>
  <c r="C137" i="9"/>
  <c r="C281" i="9"/>
  <c r="C210" i="9"/>
  <c r="C153" i="9"/>
  <c r="C110" i="9"/>
  <c r="C171" i="9"/>
  <c r="C127" i="9"/>
  <c r="C271" i="9"/>
  <c r="C92" i="9"/>
  <c r="C236" i="9"/>
  <c r="C117" i="9"/>
  <c r="C50" i="9"/>
  <c r="C15" i="9"/>
  <c r="C120" i="9"/>
  <c r="C264" i="9"/>
  <c r="C219" i="9"/>
  <c r="C287" i="9"/>
  <c r="C47" i="9"/>
  <c r="C262" i="9"/>
  <c r="C181" i="9"/>
  <c r="C16" i="9"/>
  <c r="C160" i="9"/>
  <c r="C304" i="9"/>
  <c r="C222" i="9"/>
  <c r="C5" i="9"/>
  <c r="C149" i="9"/>
  <c r="C293" i="9"/>
  <c r="C234" i="9"/>
  <c r="C189" i="9"/>
  <c r="C122" i="9"/>
  <c r="C6" i="9"/>
  <c r="C139" i="9"/>
  <c r="C283" i="9"/>
  <c r="C104" i="9"/>
  <c r="C248" i="9"/>
  <c r="C141" i="9"/>
  <c r="C74" i="9"/>
  <c r="C63" i="9"/>
  <c r="C132" i="9"/>
  <c r="C276" i="9"/>
  <c r="C267" i="9"/>
  <c r="C97" i="9"/>
  <c r="C191" i="9"/>
  <c r="C71" i="9"/>
  <c r="C325" i="9"/>
  <c r="C28" i="9"/>
  <c r="C172" i="9"/>
  <c r="C316" i="9"/>
  <c r="C246" i="9"/>
  <c r="C17" i="9"/>
  <c r="C161" i="9"/>
  <c r="C305" i="9"/>
  <c r="C258" i="9"/>
  <c r="C213" i="9"/>
  <c r="C158" i="9"/>
  <c r="C7" i="9"/>
  <c r="C151" i="9"/>
  <c r="C295" i="9"/>
  <c r="C116" i="9"/>
  <c r="C260" i="9"/>
  <c r="C165" i="9"/>
  <c r="C98" i="9"/>
  <c r="C111" i="9"/>
  <c r="C144" i="9"/>
  <c r="C288" i="9"/>
  <c r="C183" i="9"/>
  <c r="C241" i="9"/>
  <c r="C289" i="9"/>
  <c r="C215" i="9"/>
  <c r="C142" i="9"/>
  <c r="C232" i="9"/>
  <c r="C3" i="9"/>
  <c r="C221" i="9"/>
  <c r="C45" i="9"/>
  <c r="C278" i="9"/>
  <c r="C211" i="9"/>
  <c r="C176" i="9"/>
  <c r="C261" i="9"/>
  <c r="C60" i="9"/>
  <c r="C2" i="9"/>
  <c r="C299" i="9"/>
  <c r="C130" i="9"/>
  <c r="C78" i="9"/>
  <c r="C244" i="9"/>
  <c r="C39" i="9"/>
  <c r="C233" i="9"/>
  <c r="C57" i="9"/>
  <c r="C302" i="9"/>
  <c r="C223" i="9"/>
  <c r="C188" i="9"/>
  <c r="C285" i="9"/>
  <c r="C72" i="9"/>
  <c r="C87" i="9"/>
  <c r="C109" i="9"/>
  <c r="C274" i="9"/>
  <c r="C40" i="9"/>
  <c r="C328" i="9"/>
  <c r="C29" i="9"/>
  <c r="C317" i="9"/>
  <c r="C237" i="9"/>
  <c r="C19" i="9"/>
  <c r="C307" i="9"/>
  <c r="C272" i="9"/>
  <c r="C134" i="9"/>
  <c r="C156" i="9"/>
  <c r="C327" i="9"/>
  <c r="C106" i="9"/>
  <c r="C286" i="9"/>
  <c r="C52" i="9"/>
  <c r="C30" i="9"/>
  <c r="C41" i="9"/>
  <c r="C329" i="9"/>
  <c r="C273" i="9"/>
  <c r="C31" i="9"/>
  <c r="C319" i="9"/>
  <c r="C284" i="9"/>
  <c r="C146" i="9"/>
  <c r="C168" i="9"/>
  <c r="C279" i="9"/>
  <c r="C250" i="9"/>
  <c r="C95" i="9"/>
  <c r="C77" i="9"/>
  <c r="C64" i="9"/>
  <c r="C42" i="9"/>
  <c r="C53" i="9"/>
  <c r="C18" i="9"/>
  <c r="C297" i="9"/>
  <c r="C43" i="9"/>
  <c r="C331" i="9"/>
  <c r="C296" i="9"/>
  <c r="C170" i="9"/>
  <c r="C180" i="9"/>
  <c r="C291" i="9"/>
  <c r="C59" i="9"/>
  <c r="C239" i="9"/>
  <c r="C90" i="9"/>
  <c r="C32" i="9"/>
  <c r="C230" i="9"/>
  <c r="C207" i="9"/>
  <c r="C193" i="9"/>
  <c r="C76" i="9"/>
  <c r="C66" i="9"/>
  <c r="C65" i="9"/>
  <c r="C54" i="9"/>
  <c r="C321" i="9"/>
  <c r="C55" i="9"/>
  <c r="C20" i="9"/>
  <c r="C308" i="9"/>
  <c r="C194" i="9"/>
  <c r="C192" i="9"/>
  <c r="C195" i="9"/>
  <c r="C203" i="9"/>
  <c r="C49" i="9"/>
  <c r="C88" i="9"/>
  <c r="C320" i="9"/>
  <c r="C204" i="9"/>
  <c r="C13" i="9"/>
  <c r="C89" i="9"/>
  <c r="C182" i="9"/>
  <c r="C140" i="9"/>
  <c r="C48" i="9"/>
  <c r="C25" i="9"/>
  <c r="C67" i="9"/>
  <c r="C128" i="9"/>
  <c r="C173" i="9"/>
  <c r="C206" i="9"/>
  <c r="C152" i="9"/>
  <c r="C216" i="9"/>
  <c r="C169" i="9"/>
  <c r="C177" i="9"/>
  <c r="C100" i="9"/>
  <c r="C185" i="9"/>
  <c r="C218" i="9"/>
  <c r="C164" i="9"/>
  <c r="C300" i="9"/>
  <c r="C313" i="9"/>
  <c r="C196" i="9"/>
  <c r="C324" i="9"/>
  <c r="C10" i="9"/>
  <c r="C208" i="9"/>
  <c r="C79" i="9"/>
  <c r="C201" i="9"/>
  <c r="C36" i="9"/>
  <c r="C314" i="9"/>
  <c r="C184" i="9"/>
  <c r="C197" i="9"/>
  <c r="C254" i="9"/>
  <c r="C332" i="9"/>
  <c r="C312" i="9"/>
  <c r="C145" i="9"/>
  <c r="C209" i="9"/>
  <c r="C114" i="9"/>
  <c r="C14" i="9"/>
  <c r="C220" i="9"/>
  <c r="C282" i="9"/>
  <c r="C163" i="9"/>
  <c r="C225" i="9"/>
  <c r="C231" i="9"/>
  <c r="C199" i="9"/>
  <c r="C11" i="9"/>
  <c r="C318" i="9"/>
  <c r="C102" i="9"/>
  <c r="C306" i="9"/>
  <c r="C175" i="9"/>
  <c r="C249" i="9"/>
  <c r="C58" i="9"/>
  <c r="C21" i="9"/>
  <c r="C8" i="9"/>
  <c r="C333" i="9"/>
  <c r="C270" i="9"/>
  <c r="C330" i="9"/>
  <c r="C187" i="9"/>
  <c r="C242" i="9"/>
  <c r="C202" i="9"/>
  <c r="C294" i="9"/>
  <c r="C157" i="9"/>
  <c r="C44" i="9"/>
  <c r="C9" i="9"/>
  <c r="C155" i="9"/>
  <c r="C24" i="9"/>
  <c r="J500" i="9" l="1"/>
  <c r="I500" i="9"/>
  <c r="H500" i="9"/>
  <c r="H242" i="9"/>
  <c r="J242" i="9"/>
  <c r="G242" i="9"/>
  <c r="I242" i="9"/>
  <c r="J196" i="9"/>
  <c r="I196" i="9"/>
  <c r="G196" i="9"/>
  <c r="H196" i="9"/>
  <c r="I76" i="9"/>
  <c r="G76" i="9"/>
  <c r="J76" i="9"/>
  <c r="H76" i="9"/>
  <c r="I156" i="9"/>
  <c r="H156" i="9"/>
  <c r="G156" i="9"/>
  <c r="J156" i="9"/>
  <c r="I215" i="9"/>
  <c r="G215" i="9"/>
  <c r="H215" i="9"/>
  <c r="J215" i="9"/>
  <c r="J283" i="9"/>
  <c r="I283" i="9"/>
  <c r="H283" i="9"/>
  <c r="G283" i="9"/>
  <c r="J148" i="9"/>
  <c r="I148" i="9"/>
  <c r="G148" i="9"/>
  <c r="H148" i="9"/>
  <c r="G212" i="9"/>
  <c r="I212" i="9"/>
  <c r="H212" i="9"/>
  <c r="J212" i="9"/>
  <c r="I256" i="9"/>
  <c r="G256" i="9"/>
  <c r="H256" i="9"/>
  <c r="J256" i="9"/>
  <c r="I275" i="9"/>
  <c r="G275" i="9"/>
  <c r="H275" i="9"/>
  <c r="J275" i="9"/>
  <c r="I481" i="9"/>
  <c r="G481" i="9"/>
  <c r="H481" i="9"/>
  <c r="J481" i="9"/>
  <c r="G448" i="9"/>
  <c r="J448" i="9"/>
  <c r="I448" i="9"/>
  <c r="H448" i="9"/>
  <c r="I466" i="9"/>
  <c r="G466" i="9"/>
  <c r="H466" i="9"/>
  <c r="J466" i="9"/>
  <c r="G187" i="9"/>
  <c r="J187" i="9"/>
  <c r="H187" i="9"/>
  <c r="I187" i="9"/>
  <c r="I313" i="9"/>
  <c r="G313" i="9"/>
  <c r="H313" i="9"/>
  <c r="J313" i="9"/>
  <c r="H193" i="9"/>
  <c r="J193" i="9"/>
  <c r="G193" i="9"/>
  <c r="I193" i="9"/>
  <c r="H134" i="9"/>
  <c r="J134" i="9"/>
  <c r="G134" i="9"/>
  <c r="I134" i="9"/>
  <c r="G2" i="9"/>
  <c r="I2" i="9"/>
  <c r="H2" i="9"/>
  <c r="J2" i="9"/>
  <c r="J71" i="9"/>
  <c r="G71" i="9"/>
  <c r="I71" i="9"/>
  <c r="H71" i="9"/>
  <c r="I271" i="9"/>
  <c r="J271" i="9"/>
  <c r="G271" i="9"/>
  <c r="H271" i="9"/>
  <c r="J136" i="9"/>
  <c r="I136" i="9"/>
  <c r="G136" i="9"/>
  <c r="H136" i="9"/>
  <c r="I56" i="9"/>
  <c r="G56" i="9"/>
  <c r="H56" i="9"/>
  <c r="J56" i="9"/>
  <c r="I85" i="9"/>
  <c r="J85" i="9"/>
  <c r="H85" i="9"/>
  <c r="G85" i="9"/>
  <c r="G389" i="9"/>
  <c r="I389" i="9"/>
  <c r="H389" i="9"/>
  <c r="J389" i="9"/>
  <c r="G476" i="9"/>
  <c r="J476" i="9"/>
  <c r="H476" i="9"/>
  <c r="I476" i="9"/>
  <c r="I479" i="9"/>
  <c r="G479" i="9"/>
  <c r="J479" i="9"/>
  <c r="H479" i="9"/>
  <c r="G454" i="9"/>
  <c r="J454" i="9"/>
  <c r="I454" i="9"/>
  <c r="H454" i="9"/>
  <c r="H330" i="9"/>
  <c r="J330" i="9"/>
  <c r="G330" i="9"/>
  <c r="I330" i="9"/>
  <c r="H199" i="9"/>
  <c r="I199" i="9"/>
  <c r="G199" i="9"/>
  <c r="J199" i="9"/>
  <c r="I254" i="9"/>
  <c r="J254" i="9"/>
  <c r="H254" i="9"/>
  <c r="G254" i="9"/>
  <c r="G300" i="9"/>
  <c r="J300" i="9"/>
  <c r="H300" i="9"/>
  <c r="I300" i="9"/>
  <c r="J67" i="9"/>
  <c r="G67" i="9"/>
  <c r="H67" i="9"/>
  <c r="I67" i="9"/>
  <c r="J195" i="9"/>
  <c r="I195" i="9"/>
  <c r="H195" i="9"/>
  <c r="G195" i="9"/>
  <c r="J207" i="9"/>
  <c r="I207" i="9"/>
  <c r="G207" i="9"/>
  <c r="H207" i="9"/>
  <c r="G297" i="9"/>
  <c r="J297" i="9"/>
  <c r="H297" i="9"/>
  <c r="I297" i="9"/>
  <c r="J319" i="9"/>
  <c r="G319" i="9"/>
  <c r="I319" i="9"/>
  <c r="H319" i="9"/>
  <c r="I272" i="9"/>
  <c r="J272" i="9"/>
  <c r="G272" i="9"/>
  <c r="H272" i="9"/>
  <c r="G285" i="9"/>
  <c r="I285" i="9"/>
  <c r="J285" i="9"/>
  <c r="H285" i="9"/>
  <c r="I60" i="9"/>
  <c r="G60" i="9"/>
  <c r="H60" i="9"/>
  <c r="J60" i="9"/>
  <c r="H241" i="9"/>
  <c r="I241" i="9"/>
  <c r="G241" i="9"/>
  <c r="J241" i="9"/>
  <c r="G158" i="9"/>
  <c r="J158" i="9"/>
  <c r="I158" i="9"/>
  <c r="H158" i="9"/>
  <c r="J191" i="9"/>
  <c r="I191" i="9"/>
  <c r="G191" i="9"/>
  <c r="H191" i="9"/>
  <c r="G6" i="9"/>
  <c r="I6" i="9"/>
  <c r="H6" i="9"/>
  <c r="J6" i="9"/>
  <c r="G262" i="9"/>
  <c r="I262" i="9"/>
  <c r="H262" i="9"/>
  <c r="J262" i="9"/>
  <c r="J127" i="9"/>
  <c r="H127" i="9"/>
  <c r="I127" i="9"/>
  <c r="G127" i="9"/>
  <c r="I37" i="9"/>
  <c r="H37" i="9"/>
  <c r="J37" i="9"/>
  <c r="G37" i="9"/>
  <c r="J259" i="9"/>
  <c r="H259" i="9"/>
  <c r="G259" i="9"/>
  <c r="I259" i="9"/>
  <c r="I227" i="9"/>
  <c r="G227" i="9"/>
  <c r="H227" i="9"/>
  <c r="J227" i="9"/>
  <c r="H247" i="9"/>
  <c r="I247" i="9"/>
  <c r="G247" i="9"/>
  <c r="J247" i="9"/>
  <c r="I83" i="9"/>
  <c r="G83" i="9"/>
  <c r="J83" i="9"/>
  <c r="H83" i="9"/>
  <c r="I235" i="9"/>
  <c r="G235" i="9"/>
  <c r="J235" i="9"/>
  <c r="H235" i="9"/>
  <c r="G311" i="9"/>
  <c r="H311" i="9"/>
  <c r="I311" i="9"/>
  <c r="J311" i="9"/>
  <c r="I73" i="9"/>
  <c r="G73" i="9"/>
  <c r="J73" i="9"/>
  <c r="H73" i="9"/>
  <c r="H119" i="9"/>
  <c r="I119" i="9"/>
  <c r="G119" i="9"/>
  <c r="J119" i="9"/>
  <c r="G498" i="9"/>
  <c r="H498" i="9"/>
  <c r="J498" i="9"/>
  <c r="I498" i="9"/>
  <c r="H354" i="9"/>
  <c r="J354" i="9"/>
  <c r="I354" i="9"/>
  <c r="G354" i="9"/>
  <c r="G377" i="9"/>
  <c r="I377" i="9"/>
  <c r="H377" i="9"/>
  <c r="J377" i="9"/>
  <c r="G397" i="9"/>
  <c r="J397" i="9"/>
  <c r="I397" i="9"/>
  <c r="H397" i="9"/>
  <c r="H372" i="9"/>
  <c r="G372" i="9"/>
  <c r="J372" i="9"/>
  <c r="I372" i="9"/>
  <c r="I440" i="9"/>
  <c r="G440" i="9"/>
  <c r="J440" i="9"/>
  <c r="H440" i="9"/>
  <c r="G400" i="9"/>
  <c r="I400" i="9"/>
  <c r="H400" i="9"/>
  <c r="J400" i="9"/>
  <c r="I446" i="9"/>
  <c r="J446" i="9"/>
  <c r="G446" i="9"/>
  <c r="H446" i="9"/>
  <c r="G467" i="9"/>
  <c r="I467" i="9"/>
  <c r="J467" i="9"/>
  <c r="H467" i="9"/>
  <c r="G465" i="9"/>
  <c r="I465" i="9"/>
  <c r="H465" i="9"/>
  <c r="J465" i="9"/>
  <c r="G499" i="9"/>
  <c r="H499" i="9"/>
  <c r="J499" i="9"/>
  <c r="I499" i="9"/>
  <c r="G364" i="9"/>
  <c r="I364" i="9"/>
  <c r="H364" i="9"/>
  <c r="J364" i="9"/>
  <c r="H410" i="9"/>
  <c r="I410" i="9"/>
  <c r="G410" i="9"/>
  <c r="J410" i="9"/>
  <c r="G442" i="9"/>
  <c r="H442" i="9"/>
  <c r="I442" i="9"/>
  <c r="J442" i="9"/>
  <c r="G318" i="9"/>
  <c r="H318" i="9"/>
  <c r="J318" i="9"/>
  <c r="I318" i="9"/>
  <c r="G173" i="9"/>
  <c r="H173" i="9"/>
  <c r="I173" i="9"/>
  <c r="J173" i="9"/>
  <c r="G331" i="9"/>
  <c r="H331" i="9"/>
  <c r="I331" i="9"/>
  <c r="J331" i="9"/>
  <c r="I87" i="9"/>
  <c r="J87" i="9"/>
  <c r="G87" i="9"/>
  <c r="H87" i="9"/>
  <c r="G151" i="9"/>
  <c r="H151" i="9"/>
  <c r="J151" i="9"/>
  <c r="I151" i="9"/>
  <c r="G16" i="9"/>
  <c r="H16" i="9"/>
  <c r="J16" i="9"/>
  <c r="I16" i="9"/>
  <c r="G224" i="9"/>
  <c r="J224" i="9"/>
  <c r="I224" i="9"/>
  <c r="H224" i="9"/>
  <c r="G268" i="9"/>
  <c r="H268" i="9"/>
  <c r="I268" i="9"/>
  <c r="J268" i="9"/>
  <c r="I323" i="9"/>
  <c r="G323" i="9"/>
  <c r="H323" i="9"/>
  <c r="J323" i="9"/>
  <c r="J378" i="9"/>
  <c r="H378" i="9"/>
  <c r="I378" i="9"/>
  <c r="G378" i="9"/>
  <c r="G396" i="9"/>
  <c r="H396" i="9"/>
  <c r="J396" i="9"/>
  <c r="I396" i="9"/>
  <c r="J494" i="9"/>
  <c r="G494" i="9"/>
  <c r="I494" i="9"/>
  <c r="H494" i="9"/>
  <c r="I458" i="9"/>
  <c r="G458" i="9"/>
  <c r="J458" i="9"/>
  <c r="H458" i="9"/>
  <c r="I11" i="9"/>
  <c r="G11" i="9"/>
  <c r="J11" i="9"/>
  <c r="H11" i="9"/>
  <c r="J128" i="9"/>
  <c r="G128" i="9"/>
  <c r="H128" i="9"/>
  <c r="I128" i="9"/>
  <c r="J43" i="9"/>
  <c r="G43" i="9"/>
  <c r="H43" i="9"/>
  <c r="I43" i="9"/>
  <c r="I72" i="9"/>
  <c r="J72" i="9"/>
  <c r="H72" i="9"/>
  <c r="G72" i="9"/>
  <c r="G7" i="9"/>
  <c r="H7" i="9"/>
  <c r="I7" i="9"/>
  <c r="J7" i="9"/>
  <c r="H181" i="9"/>
  <c r="J181" i="9"/>
  <c r="G181" i="9"/>
  <c r="I181" i="9"/>
  <c r="H80" i="9"/>
  <c r="J80" i="9"/>
  <c r="G80" i="9"/>
  <c r="I80" i="9"/>
  <c r="H124" i="9"/>
  <c r="G124" i="9"/>
  <c r="I124" i="9"/>
  <c r="J124" i="9"/>
  <c r="G70" i="9"/>
  <c r="I70" i="9"/>
  <c r="H70" i="9"/>
  <c r="J70" i="9"/>
  <c r="G366" i="9"/>
  <c r="I366" i="9"/>
  <c r="H366" i="9"/>
  <c r="J366" i="9"/>
  <c r="G384" i="9"/>
  <c r="H384" i="9"/>
  <c r="I384" i="9"/>
  <c r="J384" i="9"/>
  <c r="I470" i="9"/>
  <c r="G470" i="9"/>
  <c r="J470" i="9"/>
  <c r="H470" i="9"/>
  <c r="H344" i="9"/>
  <c r="I344" i="9"/>
  <c r="G344" i="9"/>
  <c r="J344" i="9"/>
  <c r="I434" i="9"/>
  <c r="G434" i="9"/>
  <c r="H434" i="9"/>
  <c r="J434" i="9"/>
  <c r="J270" i="9"/>
  <c r="I270" i="9"/>
  <c r="H270" i="9"/>
  <c r="G270" i="9"/>
  <c r="I231" i="9"/>
  <c r="G231" i="9"/>
  <c r="H231" i="9"/>
  <c r="J231" i="9"/>
  <c r="I197" i="9"/>
  <c r="H197" i="9"/>
  <c r="J197" i="9"/>
  <c r="G197" i="9"/>
  <c r="I164" i="9"/>
  <c r="G164" i="9"/>
  <c r="H164" i="9"/>
  <c r="J164" i="9"/>
  <c r="J25" i="9"/>
  <c r="G25" i="9"/>
  <c r="I25" i="9"/>
  <c r="H25" i="9"/>
  <c r="I192" i="9"/>
  <c r="G192" i="9"/>
  <c r="J192" i="9"/>
  <c r="H192" i="9"/>
  <c r="I230" i="9"/>
  <c r="G230" i="9"/>
  <c r="J230" i="9"/>
  <c r="H230" i="9"/>
  <c r="I18" i="9"/>
  <c r="J18" i="9"/>
  <c r="G18" i="9"/>
  <c r="H18" i="9"/>
  <c r="J31" i="9"/>
  <c r="H31" i="9"/>
  <c r="I31" i="9"/>
  <c r="G31" i="9"/>
  <c r="G307" i="9"/>
  <c r="I307" i="9"/>
  <c r="J307" i="9"/>
  <c r="H307" i="9"/>
  <c r="G188" i="9"/>
  <c r="I188" i="9"/>
  <c r="J188" i="9"/>
  <c r="H188" i="9"/>
  <c r="I261" i="9"/>
  <c r="G261" i="9"/>
  <c r="H261" i="9"/>
  <c r="J261" i="9"/>
  <c r="G183" i="9"/>
  <c r="J183" i="9"/>
  <c r="I183" i="9"/>
  <c r="H183" i="9"/>
  <c r="I213" i="9"/>
  <c r="G213" i="9"/>
  <c r="J213" i="9"/>
  <c r="H213" i="9"/>
  <c r="J97" i="9"/>
  <c r="H97" i="9"/>
  <c r="G97" i="9"/>
  <c r="I97" i="9"/>
  <c r="I122" i="9"/>
  <c r="H122" i="9"/>
  <c r="G122" i="9"/>
  <c r="J122" i="9"/>
  <c r="G47" i="9"/>
  <c r="H47" i="9"/>
  <c r="J47" i="9"/>
  <c r="I47" i="9"/>
  <c r="H171" i="9"/>
  <c r="I171" i="9"/>
  <c r="G171" i="9"/>
  <c r="J171" i="9"/>
  <c r="G118" i="9"/>
  <c r="I118" i="9"/>
  <c r="H118" i="9"/>
  <c r="J118" i="9"/>
  <c r="H115" i="9"/>
  <c r="J115" i="9"/>
  <c r="G115" i="9"/>
  <c r="I115" i="9"/>
  <c r="G12" i="9"/>
  <c r="I12" i="9"/>
  <c r="H12" i="9"/>
  <c r="J12" i="9"/>
  <c r="I103" i="9"/>
  <c r="J103" i="9"/>
  <c r="H103" i="9"/>
  <c r="G103" i="9"/>
  <c r="G301" i="9"/>
  <c r="I301" i="9"/>
  <c r="J301" i="9"/>
  <c r="H301" i="9"/>
  <c r="I91" i="9"/>
  <c r="H91" i="9"/>
  <c r="J91" i="9"/>
  <c r="G91" i="9"/>
  <c r="G61" i="9"/>
  <c r="I61" i="9"/>
  <c r="H61" i="9"/>
  <c r="J61" i="9"/>
  <c r="I154" i="9"/>
  <c r="G154" i="9"/>
  <c r="J154" i="9"/>
  <c r="H154" i="9"/>
  <c r="I178" i="9"/>
  <c r="G178" i="9"/>
  <c r="J178" i="9"/>
  <c r="H178" i="9"/>
  <c r="I486" i="9"/>
  <c r="G486" i="9"/>
  <c r="J486" i="9"/>
  <c r="H486" i="9"/>
  <c r="I342" i="9"/>
  <c r="J342" i="9"/>
  <c r="H342" i="9"/>
  <c r="G342" i="9"/>
  <c r="H365" i="9"/>
  <c r="J365" i="9"/>
  <c r="G365" i="9"/>
  <c r="I365" i="9"/>
  <c r="I337" i="9"/>
  <c r="J337" i="9"/>
  <c r="H337" i="9"/>
  <c r="G337" i="9"/>
  <c r="I360" i="9"/>
  <c r="H360" i="9"/>
  <c r="J360" i="9"/>
  <c r="G360" i="9"/>
  <c r="G368" i="9"/>
  <c r="I368" i="9"/>
  <c r="H368" i="9"/>
  <c r="J368" i="9"/>
  <c r="G376" i="9"/>
  <c r="H376" i="9"/>
  <c r="I376" i="9"/>
  <c r="J376" i="9"/>
  <c r="I422" i="9"/>
  <c r="J422" i="9"/>
  <c r="H422" i="9"/>
  <c r="G422" i="9"/>
  <c r="I455" i="9"/>
  <c r="J455" i="9"/>
  <c r="H455" i="9"/>
  <c r="G455" i="9"/>
  <c r="H441" i="9"/>
  <c r="I441" i="9"/>
  <c r="G441" i="9"/>
  <c r="J441" i="9"/>
  <c r="G487" i="9"/>
  <c r="J487" i="9"/>
  <c r="H487" i="9"/>
  <c r="I487" i="9"/>
  <c r="I352" i="9"/>
  <c r="G352" i="9"/>
  <c r="H352" i="9"/>
  <c r="J352" i="9"/>
  <c r="H386" i="9"/>
  <c r="I386" i="9"/>
  <c r="G386" i="9"/>
  <c r="J386" i="9"/>
  <c r="I430" i="9"/>
  <c r="G430" i="9"/>
  <c r="J430" i="9"/>
  <c r="H430" i="9"/>
  <c r="I312" i="9"/>
  <c r="H312" i="9"/>
  <c r="J312" i="9"/>
  <c r="G312" i="9"/>
  <c r="G49" i="9"/>
  <c r="J49" i="9"/>
  <c r="H49" i="9"/>
  <c r="I49" i="9"/>
  <c r="G146" i="9"/>
  <c r="I146" i="9"/>
  <c r="J146" i="9"/>
  <c r="H146" i="9"/>
  <c r="G299" i="9"/>
  <c r="I299" i="9"/>
  <c r="H299" i="9"/>
  <c r="J299" i="9"/>
  <c r="I325" i="9"/>
  <c r="G325" i="9"/>
  <c r="H325" i="9"/>
  <c r="J325" i="9"/>
  <c r="H92" i="9"/>
  <c r="I92" i="9"/>
  <c r="J92" i="9"/>
  <c r="G92" i="9"/>
  <c r="I280" i="9"/>
  <c r="J280" i="9"/>
  <c r="H280" i="9"/>
  <c r="G280" i="9"/>
  <c r="I200" i="9"/>
  <c r="J200" i="9"/>
  <c r="G200" i="9"/>
  <c r="H200" i="9"/>
  <c r="G35" i="9"/>
  <c r="J35" i="9"/>
  <c r="H35" i="9"/>
  <c r="I35" i="9"/>
  <c r="G401" i="9"/>
  <c r="J401" i="9"/>
  <c r="H401" i="9"/>
  <c r="I401" i="9"/>
  <c r="H345" i="9"/>
  <c r="J345" i="9"/>
  <c r="I345" i="9"/>
  <c r="G345" i="9"/>
  <c r="J412" i="9"/>
  <c r="H412" i="9"/>
  <c r="G412" i="9"/>
  <c r="I412" i="9"/>
  <c r="I332" i="9"/>
  <c r="J332" i="9"/>
  <c r="H332" i="9"/>
  <c r="G332" i="9"/>
  <c r="I203" i="9"/>
  <c r="H203" i="9"/>
  <c r="G203" i="9"/>
  <c r="J203" i="9"/>
  <c r="J284" i="9"/>
  <c r="I284" i="9"/>
  <c r="H284" i="9"/>
  <c r="G284" i="9"/>
  <c r="H289" i="9"/>
  <c r="G289" i="9"/>
  <c r="I289" i="9"/>
  <c r="J289" i="9"/>
  <c r="G139" i="9"/>
  <c r="I139" i="9"/>
  <c r="J139" i="9"/>
  <c r="H139" i="9"/>
  <c r="J4" i="9"/>
  <c r="H4" i="9"/>
  <c r="I4" i="9"/>
  <c r="G4" i="9"/>
  <c r="H68" i="9"/>
  <c r="G68" i="9"/>
  <c r="I68" i="9"/>
  <c r="J68" i="9"/>
  <c r="J112" i="9"/>
  <c r="I112" i="9"/>
  <c r="H112" i="9"/>
  <c r="G112" i="9"/>
  <c r="J277" i="9"/>
  <c r="H277" i="9"/>
  <c r="I277" i="9"/>
  <c r="G277" i="9"/>
  <c r="J433" i="9"/>
  <c r="H433" i="9"/>
  <c r="I433" i="9"/>
  <c r="G433" i="9"/>
  <c r="G424" i="9"/>
  <c r="I424" i="9"/>
  <c r="H424" i="9"/>
  <c r="J424" i="9"/>
  <c r="G335" i="9"/>
  <c r="I335" i="9"/>
  <c r="H335" i="9"/>
  <c r="J335" i="9"/>
  <c r="I388" i="9"/>
  <c r="H388" i="9"/>
  <c r="G388" i="9"/>
  <c r="J388" i="9"/>
  <c r="I333" i="9"/>
  <c r="H333" i="9"/>
  <c r="G333" i="9"/>
  <c r="J333" i="9"/>
  <c r="G225" i="9"/>
  <c r="I225" i="9"/>
  <c r="H225" i="9"/>
  <c r="J225" i="9"/>
  <c r="G184" i="9"/>
  <c r="I184" i="9"/>
  <c r="H184" i="9"/>
  <c r="J184" i="9"/>
  <c r="J218" i="9"/>
  <c r="I218" i="9"/>
  <c r="G218" i="9"/>
  <c r="H218" i="9"/>
  <c r="I48" i="9"/>
  <c r="J48" i="9"/>
  <c r="G48" i="9"/>
  <c r="H48" i="9"/>
  <c r="G194" i="9"/>
  <c r="I194" i="9"/>
  <c r="H194" i="9"/>
  <c r="J194" i="9"/>
  <c r="I32" i="9"/>
  <c r="G32" i="9"/>
  <c r="J32" i="9"/>
  <c r="H32" i="9"/>
  <c r="J53" i="9"/>
  <c r="H53" i="9"/>
  <c r="I53" i="9"/>
  <c r="G53" i="9"/>
  <c r="I273" i="9"/>
  <c r="H273" i="9"/>
  <c r="J273" i="9"/>
  <c r="G273" i="9"/>
  <c r="H19" i="9"/>
  <c r="J19" i="9"/>
  <c r="G19" i="9"/>
  <c r="I19" i="9"/>
  <c r="G223" i="9"/>
  <c r="J223" i="9"/>
  <c r="H223" i="9"/>
  <c r="I223" i="9"/>
  <c r="I176" i="9"/>
  <c r="G176" i="9"/>
  <c r="J176" i="9"/>
  <c r="H176" i="9"/>
  <c r="I288" i="9"/>
  <c r="H288" i="9"/>
  <c r="G288" i="9"/>
  <c r="J288" i="9"/>
  <c r="G258" i="9"/>
  <c r="I258" i="9"/>
  <c r="J258" i="9"/>
  <c r="H258" i="9"/>
  <c r="G267" i="9"/>
  <c r="J267" i="9"/>
  <c r="I267" i="9"/>
  <c r="H267" i="9"/>
  <c r="G189" i="9"/>
  <c r="J189" i="9"/>
  <c r="I189" i="9"/>
  <c r="H189" i="9"/>
  <c r="G287" i="9"/>
  <c r="H287" i="9"/>
  <c r="J287" i="9"/>
  <c r="I287" i="9"/>
  <c r="G110" i="9"/>
  <c r="H110" i="9"/>
  <c r="I110" i="9"/>
  <c r="J110" i="9"/>
  <c r="G238" i="9"/>
  <c r="I238" i="9"/>
  <c r="H238" i="9"/>
  <c r="J238" i="9"/>
  <c r="I123" i="9"/>
  <c r="H123" i="9"/>
  <c r="J123" i="9"/>
  <c r="G123" i="9"/>
  <c r="J94" i="9"/>
  <c r="H94" i="9"/>
  <c r="I94" i="9"/>
  <c r="G94" i="9"/>
  <c r="G75" i="9"/>
  <c r="I75" i="9"/>
  <c r="H75" i="9"/>
  <c r="J75" i="9"/>
  <c r="I253" i="9"/>
  <c r="J253" i="9"/>
  <c r="G253" i="9"/>
  <c r="H253" i="9"/>
  <c r="J27" i="9"/>
  <c r="H27" i="9"/>
  <c r="I27" i="9"/>
  <c r="G27" i="9"/>
  <c r="G82" i="9"/>
  <c r="I82" i="9"/>
  <c r="H82" i="9"/>
  <c r="J82" i="9"/>
  <c r="I166" i="9"/>
  <c r="G166" i="9"/>
  <c r="J166" i="9"/>
  <c r="H166" i="9"/>
  <c r="I226" i="9"/>
  <c r="H226" i="9"/>
  <c r="J226" i="9"/>
  <c r="G226" i="9"/>
  <c r="J474" i="9"/>
  <c r="G474" i="9"/>
  <c r="I474" i="9"/>
  <c r="H474" i="9"/>
  <c r="J497" i="9"/>
  <c r="I497" i="9"/>
  <c r="G497" i="9"/>
  <c r="H497" i="9"/>
  <c r="H353" i="9"/>
  <c r="I353" i="9"/>
  <c r="J353" i="9"/>
  <c r="G353" i="9"/>
  <c r="J492" i="9"/>
  <c r="I492" i="9"/>
  <c r="H492" i="9"/>
  <c r="G492" i="9"/>
  <c r="I348" i="9"/>
  <c r="J348" i="9"/>
  <c r="G348" i="9"/>
  <c r="H348" i="9"/>
  <c r="J475" i="9"/>
  <c r="I475" i="9"/>
  <c r="H475" i="9"/>
  <c r="G475" i="9"/>
  <c r="I340" i="9"/>
  <c r="G340" i="9"/>
  <c r="J340" i="9"/>
  <c r="H340" i="9"/>
  <c r="I398" i="9"/>
  <c r="G398" i="9"/>
  <c r="H398" i="9"/>
  <c r="J398" i="9"/>
  <c r="J443" i="9"/>
  <c r="H443" i="9"/>
  <c r="I443" i="9"/>
  <c r="G443" i="9"/>
  <c r="I429" i="9"/>
  <c r="G429" i="9"/>
  <c r="J429" i="9"/>
  <c r="H429" i="9"/>
  <c r="H463" i="9"/>
  <c r="I463" i="9"/>
  <c r="J463" i="9"/>
  <c r="G463" i="9"/>
  <c r="I483" i="9"/>
  <c r="G483" i="9"/>
  <c r="H483" i="9"/>
  <c r="J483" i="9"/>
  <c r="G338" i="9"/>
  <c r="H338" i="9"/>
  <c r="J338" i="9"/>
  <c r="I338" i="9"/>
  <c r="I418" i="9"/>
  <c r="G418" i="9"/>
  <c r="J418" i="9"/>
  <c r="H418" i="9"/>
  <c r="I380" i="9"/>
  <c r="G380" i="9"/>
  <c r="J380" i="9"/>
  <c r="H380" i="9"/>
  <c r="I24" i="9"/>
  <c r="J24" i="9"/>
  <c r="G24" i="9"/>
  <c r="H24" i="9"/>
  <c r="J8" i="9"/>
  <c r="I8" i="9"/>
  <c r="H8" i="9"/>
  <c r="G8" i="9"/>
  <c r="I163" i="9"/>
  <c r="G163" i="9"/>
  <c r="H163" i="9"/>
  <c r="J163" i="9"/>
  <c r="G314" i="9"/>
  <c r="I314" i="9"/>
  <c r="J314" i="9"/>
  <c r="H314" i="9"/>
  <c r="G185" i="9"/>
  <c r="H185" i="9"/>
  <c r="I185" i="9"/>
  <c r="J185" i="9"/>
  <c r="H140" i="9"/>
  <c r="I140" i="9"/>
  <c r="G140" i="9"/>
  <c r="J140" i="9"/>
  <c r="I308" i="9"/>
  <c r="J308" i="9"/>
  <c r="G308" i="9"/>
  <c r="H308" i="9"/>
  <c r="G90" i="9"/>
  <c r="I90" i="9"/>
  <c r="J90" i="9"/>
  <c r="H90" i="9"/>
  <c r="H42" i="9"/>
  <c r="J42" i="9"/>
  <c r="I42" i="9"/>
  <c r="G42" i="9"/>
  <c r="J329" i="9"/>
  <c r="G329" i="9"/>
  <c r="H329" i="9"/>
  <c r="I329" i="9"/>
  <c r="H237" i="9"/>
  <c r="I237" i="9"/>
  <c r="G237" i="9"/>
  <c r="J237" i="9"/>
  <c r="I302" i="9"/>
  <c r="G302" i="9"/>
  <c r="J302" i="9"/>
  <c r="H302" i="9"/>
  <c r="I211" i="9"/>
  <c r="J211" i="9"/>
  <c r="G211" i="9"/>
  <c r="H211" i="9"/>
  <c r="J144" i="9"/>
  <c r="H144" i="9"/>
  <c r="I144" i="9"/>
  <c r="G144" i="9"/>
  <c r="G305" i="9"/>
  <c r="H305" i="9"/>
  <c r="J305" i="9"/>
  <c r="I305" i="9"/>
  <c r="H276" i="9"/>
  <c r="G276" i="9"/>
  <c r="J276" i="9"/>
  <c r="I276" i="9"/>
  <c r="I234" i="9"/>
  <c r="G234" i="9"/>
  <c r="H234" i="9"/>
  <c r="J234" i="9"/>
  <c r="I219" i="9"/>
  <c r="H219" i="9"/>
  <c r="G219" i="9"/>
  <c r="J219" i="9"/>
  <c r="I153" i="9"/>
  <c r="G153" i="9"/>
  <c r="H153" i="9"/>
  <c r="J153" i="9"/>
  <c r="I143" i="9"/>
  <c r="G143" i="9"/>
  <c r="H143" i="9"/>
  <c r="J143" i="9"/>
  <c r="I86" i="9"/>
  <c r="G86" i="9"/>
  <c r="H86" i="9"/>
  <c r="J86" i="9"/>
  <c r="I255" i="9"/>
  <c r="G255" i="9"/>
  <c r="H255" i="9"/>
  <c r="J255" i="9"/>
  <c r="J62" i="9"/>
  <c r="I62" i="9"/>
  <c r="G62" i="9"/>
  <c r="H62" i="9"/>
  <c r="G243" i="9"/>
  <c r="I243" i="9"/>
  <c r="J243" i="9"/>
  <c r="H243" i="9"/>
  <c r="J38" i="9"/>
  <c r="G38" i="9"/>
  <c r="H38" i="9"/>
  <c r="I38" i="9"/>
  <c r="I107" i="9"/>
  <c r="G107" i="9"/>
  <c r="J107" i="9"/>
  <c r="H107" i="9"/>
  <c r="I131" i="9"/>
  <c r="G131" i="9"/>
  <c r="J131" i="9"/>
  <c r="H131" i="9"/>
  <c r="J251" i="9"/>
  <c r="H251" i="9"/>
  <c r="I251" i="9"/>
  <c r="G251" i="9"/>
  <c r="G462" i="9"/>
  <c r="J462" i="9"/>
  <c r="I462" i="9"/>
  <c r="H462" i="9"/>
  <c r="I485" i="9"/>
  <c r="J485" i="9"/>
  <c r="H485" i="9"/>
  <c r="G485" i="9"/>
  <c r="I341" i="9"/>
  <c r="H341" i="9"/>
  <c r="G341" i="9"/>
  <c r="J341" i="9"/>
  <c r="I480" i="9"/>
  <c r="J480" i="9"/>
  <c r="G480" i="9"/>
  <c r="H480" i="9"/>
  <c r="G336" i="9"/>
  <c r="I336" i="9"/>
  <c r="H336" i="9"/>
  <c r="J336" i="9"/>
  <c r="J451" i="9"/>
  <c r="I451" i="9"/>
  <c r="G451" i="9"/>
  <c r="H451" i="9"/>
  <c r="I495" i="9"/>
  <c r="J495" i="9"/>
  <c r="G495" i="9"/>
  <c r="H495" i="9"/>
  <c r="I374" i="9"/>
  <c r="G374" i="9"/>
  <c r="J374" i="9"/>
  <c r="H374" i="9"/>
  <c r="G431" i="9"/>
  <c r="I431" i="9"/>
  <c r="H431" i="9"/>
  <c r="J431" i="9"/>
  <c r="G393" i="9"/>
  <c r="J393" i="9"/>
  <c r="H393" i="9"/>
  <c r="I393" i="9"/>
  <c r="I439" i="9"/>
  <c r="G439" i="9"/>
  <c r="J439" i="9"/>
  <c r="H439" i="9"/>
  <c r="J459" i="9"/>
  <c r="I459" i="9"/>
  <c r="H459" i="9"/>
  <c r="G459" i="9"/>
  <c r="I469" i="9"/>
  <c r="G469" i="9"/>
  <c r="J469" i="9"/>
  <c r="H469" i="9"/>
  <c r="I406" i="9"/>
  <c r="G406" i="9"/>
  <c r="H406" i="9"/>
  <c r="J406" i="9"/>
  <c r="G155" i="9"/>
  <c r="I155" i="9"/>
  <c r="H155" i="9"/>
  <c r="J155" i="9"/>
  <c r="I21" i="9"/>
  <c r="H21" i="9"/>
  <c r="G21" i="9"/>
  <c r="J21" i="9"/>
  <c r="H282" i="9"/>
  <c r="J282" i="9"/>
  <c r="I282" i="9"/>
  <c r="G282" i="9"/>
  <c r="I36" i="9"/>
  <c r="H36" i="9"/>
  <c r="G36" i="9"/>
  <c r="J36" i="9"/>
  <c r="G100" i="9"/>
  <c r="H100" i="9"/>
  <c r="J100" i="9"/>
  <c r="I100" i="9"/>
  <c r="G182" i="9"/>
  <c r="I182" i="9"/>
  <c r="H182" i="9"/>
  <c r="J182" i="9"/>
  <c r="G20" i="9"/>
  <c r="J20" i="9"/>
  <c r="I20" i="9"/>
  <c r="H20" i="9"/>
  <c r="I239" i="9"/>
  <c r="G239" i="9"/>
  <c r="J239" i="9"/>
  <c r="H239" i="9"/>
  <c r="I64" i="9"/>
  <c r="G64" i="9"/>
  <c r="J64" i="9"/>
  <c r="H64" i="9"/>
  <c r="I41" i="9"/>
  <c r="G41" i="9"/>
  <c r="J41" i="9"/>
  <c r="H41" i="9"/>
  <c r="J317" i="9"/>
  <c r="I317" i="9"/>
  <c r="H317" i="9"/>
  <c r="G317" i="9"/>
  <c r="G57" i="9"/>
  <c r="I57" i="9"/>
  <c r="H57" i="9"/>
  <c r="J57" i="9"/>
  <c r="G278" i="9"/>
  <c r="J278" i="9"/>
  <c r="H278" i="9"/>
  <c r="I278" i="9"/>
  <c r="I111" i="9"/>
  <c r="G111" i="9"/>
  <c r="H111" i="9"/>
  <c r="J111" i="9"/>
  <c r="I161" i="9"/>
  <c r="G161" i="9"/>
  <c r="H161" i="9"/>
  <c r="J161" i="9"/>
  <c r="G132" i="9"/>
  <c r="I132" i="9"/>
  <c r="J132" i="9"/>
  <c r="H132" i="9"/>
  <c r="I293" i="9"/>
  <c r="H293" i="9"/>
  <c r="G293" i="9"/>
  <c r="J293" i="9"/>
  <c r="G264" i="9"/>
  <c r="I264" i="9"/>
  <c r="J264" i="9"/>
  <c r="H264" i="9"/>
  <c r="J210" i="9"/>
  <c r="I210" i="9"/>
  <c r="H210" i="9"/>
  <c r="G210" i="9"/>
  <c r="I315" i="9"/>
  <c r="J315" i="9"/>
  <c r="G315" i="9"/>
  <c r="H315" i="9"/>
  <c r="H129" i="9"/>
  <c r="I129" i="9"/>
  <c r="G129" i="9"/>
  <c r="J129" i="9"/>
  <c r="J147" i="9"/>
  <c r="H147" i="9"/>
  <c r="I147" i="9"/>
  <c r="G147" i="9"/>
  <c r="G105" i="9"/>
  <c r="H105" i="9"/>
  <c r="I105" i="9"/>
  <c r="J105" i="9"/>
  <c r="I303" i="9"/>
  <c r="G303" i="9"/>
  <c r="H303" i="9"/>
  <c r="J303" i="9"/>
  <c r="G81" i="9"/>
  <c r="J81" i="9"/>
  <c r="I81" i="9"/>
  <c r="H81" i="9"/>
  <c r="G121" i="9"/>
  <c r="J121" i="9"/>
  <c r="I121" i="9"/>
  <c r="H121" i="9"/>
  <c r="H214" i="9"/>
  <c r="I214" i="9"/>
  <c r="J214" i="9"/>
  <c r="G214" i="9"/>
  <c r="G229" i="9"/>
  <c r="J229" i="9"/>
  <c r="H229" i="9"/>
  <c r="I229" i="9"/>
  <c r="I450" i="9"/>
  <c r="J450" i="9"/>
  <c r="G450" i="9"/>
  <c r="H450" i="9"/>
  <c r="H473" i="9"/>
  <c r="I473" i="9"/>
  <c r="J473" i="9"/>
  <c r="G473" i="9"/>
  <c r="G464" i="9"/>
  <c r="I464" i="9"/>
  <c r="H464" i="9"/>
  <c r="J464" i="9"/>
  <c r="I468" i="9"/>
  <c r="J468" i="9"/>
  <c r="H468" i="9"/>
  <c r="G468" i="9"/>
  <c r="I489" i="9"/>
  <c r="G489" i="9"/>
  <c r="J489" i="9"/>
  <c r="H489" i="9"/>
  <c r="H427" i="9"/>
  <c r="I427" i="9"/>
  <c r="J427" i="9"/>
  <c r="G427" i="9"/>
  <c r="G471" i="9"/>
  <c r="H471" i="9"/>
  <c r="I471" i="9"/>
  <c r="J471" i="9"/>
  <c r="H350" i="9"/>
  <c r="I350" i="9"/>
  <c r="G350" i="9"/>
  <c r="J350" i="9"/>
  <c r="G419" i="9"/>
  <c r="I419" i="9"/>
  <c r="H419" i="9"/>
  <c r="J419" i="9"/>
  <c r="I369" i="9"/>
  <c r="G369" i="9"/>
  <c r="H369" i="9"/>
  <c r="J369" i="9"/>
  <c r="I415" i="9"/>
  <c r="G415" i="9"/>
  <c r="J415" i="9"/>
  <c r="H415" i="9"/>
  <c r="J435" i="9"/>
  <c r="I435" i="9"/>
  <c r="H435" i="9"/>
  <c r="G435" i="9"/>
  <c r="J445" i="9"/>
  <c r="H445" i="9"/>
  <c r="G445" i="9"/>
  <c r="I445" i="9"/>
  <c r="G394" i="9"/>
  <c r="I394" i="9"/>
  <c r="H394" i="9"/>
  <c r="J394" i="9"/>
  <c r="G411" i="9"/>
  <c r="H411" i="9"/>
  <c r="J411" i="9"/>
  <c r="I411" i="9"/>
  <c r="H44" i="9"/>
  <c r="I44" i="9"/>
  <c r="G44" i="9"/>
  <c r="J44" i="9"/>
  <c r="I79" i="9"/>
  <c r="G79" i="9"/>
  <c r="J79" i="9"/>
  <c r="H79" i="9"/>
  <c r="J321" i="9"/>
  <c r="H321" i="9"/>
  <c r="G321" i="9"/>
  <c r="I321" i="9"/>
  <c r="I39" i="9"/>
  <c r="G39" i="9"/>
  <c r="J39" i="9"/>
  <c r="H39" i="9"/>
  <c r="G246" i="9"/>
  <c r="H246" i="9"/>
  <c r="J246" i="9"/>
  <c r="I246" i="9"/>
  <c r="I137" i="9"/>
  <c r="J137" i="9"/>
  <c r="H137" i="9"/>
  <c r="G137" i="9"/>
  <c r="G257" i="9"/>
  <c r="H257" i="9"/>
  <c r="I257" i="9"/>
  <c r="J257" i="9"/>
  <c r="I190" i="9"/>
  <c r="G190" i="9"/>
  <c r="H190" i="9"/>
  <c r="J190" i="9"/>
  <c r="I392" i="9"/>
  <c r="H392" i="9"/>
  <c r="J392" i="9"/>
  <c r="G392" i="9"/>
  <c r="I370" i="9"/>
  <c r="G370" i="9"/>
  <c r="J370" i="9"/>
  <c r="H370" i="9"/>
  <c r="J157" i="9"/>
  <c r="H157" i="9"/>
  <c r="G157" i="9"/>
  <c r="I157" i="9"/>
  <c r="G175" i="9"/>
  <c r="H175" i="9"/>
  <c r="I175" i="9"/>
  <c r="J175" i="9"/>
  <c r="I114" i="9"/>
  <c r="H114" i="9"/>
  <c r="G114" i="9"/>
  <c r="J114" i="9"/>
  <c r="G208" i="9"/>
  <c r="I208" i="9"/>
  <c r="J208" i="9"/>
  <c r="H208" i="9"/>
  <c r="J216" i="9"/>
  <c r="G216" i="9"/>
  <c r="H216" i="9"/>
  <c r="I216" i="9"/>
  <c r="H204" i="9"/>
  <c r="I204" i="9"/>
  <c r="G204" i="9"/>
  <c r="J204" i="9"/>
  <c r="G54" i="9"/>
  <c r="J54" i="9"/>
  <c r="H54" i="9"/>
  <c r="I54" i="9"/>
  <c r="I180" i="9"/>
  <c r="J180" i="9"/>
  <c r="H180" i="9"/>
  <c r="G180" i="9"/>
  <c r="H250" i="9"/>
  <c r="G250" i="9"/>
  <c r="I250" i="9"/>
  <c r="J250" i="9"/>
  <c r="I286" i="9"/>
  <c r="G286" i="9"/>
  <c r="J286" i="9"/>
  <c r="H286" i="9"/>
  <c r="I40" i="9"/>
  <c r="J40" i="9"/>
  <c r="H40" i="9"/>
  <c r="G40" i="9"/>
  <c r="G244" i="9"/>
  <c r="J244" i="9"/>
  <c r="H244" i="9"/>
  <c r="I244" i="9"/>
  <c r="J3" i="9"/>
  <c r="I3" i="9"/>
  <c r="H3" i="9"/>
  <c r="G3" i="9"/>
  <c r="J260" i="9"/>
  <c r="H260" i="9"/>
  <c r="I260" i="9"/>
  <c r="G260" i="9"/>
  <c r="H316" i="9"/>
  <c r="G316" i="9"/>
  <c r="I316" i="9"/>
  <c r="J316" i="9"/>
  <c r="G141" i="9"/>
  <c r="I141" i="9"/>
  <c r="J141" i="9"/>
  <c r="H141" i="9"/>
  <c r="G222" i="9"/>
  <c r="J222" i="9"/>
  <c r="I222" i="9"/>
  <c r="H222" i="9"/>
  <c r="J50" i="9"/>
  <c r="H50" i="9"/>
  <c r="I50" i="9"/>
  <c r="G50" i="9"/>
  <c r="H159" i="9"/>
  <c r="J159" i="9"/>
  <c r="I159" i="9"/>
  <c r="G159" i="9"/>
  <c r="I326" i="9"/>
  <c r="G326" i="9"/>
  <c r="H326" i="9"/>
  <c r="J326" i="9"/>
  <c r="H125" i="9"/>
  <c r="J125" i="9"/>
  <c r="I125" i="9"/>
  <c r="G125" i="9"/>
  <c r="H290" i="9"/>
  <c r="I290" i="9"/>
  <c r="G290" i="9"/>
  <c r="J290" i="9"/>
  <c r="H113" i="9"/>
  <c r="J113" i="9"/>
  <c r="I113" i="9"/>
  <c r="G113" i="9"/>
  <c r="I266" i="9"/>
  <c r="H266" i="9"/>
  <c r="J266" i="9"/>
  <c r="G266" i="9"/>
  <c r="J101" i="9"/>
  <c r="I101" i="9"/>
  <c r="G101" i="9"/>
  <c r="H101" i="9"/>
  <c r="J167" i="9"/>
  <c r="H167" i="9"/>
  <c r="G167" i="9"/>
  <c r="I167" i="9"/>
  <c r="G322" i="9"/>
  <c r="I322" i="9"/>
  <c r="J322" i="9"/>
  <c r="H322" i="9"/>
  <c r="J265" i="9"/>
  <c r="I265" i="9"/>
  <c r="G265" i="9"/>
  <c r="H265" i="9"/>
  <c r="I414" i="9"/>
  <c r="G414" i="9"/>
  <c r="H414" i="9"/>
  <c r="J414" i="9"/>
  <c r="I437" i="9"/>
  <c r="G437" i="9"/>
  <c r="H437" i="9"/>
  <c r="J437" i="9"/>
  <c r="I356" i="9"/>
  <c r="G356" i="9"/>
  <c r="J356" i="9"/>
  <c r="H356" i="9"/>
  <c r="G432" i="9"/>
  <c r="J432" i="9"/>
  <c r="H432" i="9"/>
  <c r="I432" i="9"/>
  <c r="I417" i="9"/>
  <c r="G417" i="9"/>
  <c r="J417" i="9"/>
  <c r="H417" i="9"/>
  <c r="H355" i="9"/>
  <c r="J355" i="9"/>
  <c r="I355" i="9"/>
  <c r="G355" i="9"/>
  <c r="G399" i="9"/>
  <c r="I399" i="9"/>
  <c r="J399" i="9"/>
  <c r="H399" i="9"/>
  <c r="J421" i="9"/>
  <c r="G421" i="9"/>
  <c r="H421" i="9"/>
  <c r="I421" i="9"/>
  <c r="I383" i="9"/>
  <c r="G383" i="9"/>
  <c r="H383" i="9"/>
  <c r="J383" i="9"/>
  <c r="H452" i="9"/>
  <c r="J452" i="9"/>
  <c r="G452" i="9"/>
  <c r="I452" i="9"/>
  <c r="G484" i="9"/>
  <c r="H484" i="9"/>
  <c r="J484" i="9"/>
  <c r="I484" i="9"/>
  <c r="J363" i="9"/>
  <c r="I363" i="9"/>
  <c r="G363" i="9"/>
  <c r="H363" i="9"/>
  <c r="J361" i="9"/>
  <c r="G361" i="9"/>
  <c r="I361" i="9"/>
  <c r="H361" i="9"/>
  <c r="I358" i="9"/>
  <c r="G358" i="9"/>
  <c r="J358" i="9"/>
  <c r="H358" i="9"/>
  <c r="H347" i="9"/>
  <c r="J347" i="9"/>
  <c r="I347" i="9"/>
  <c r="G347" i="9"/>
  <c r="I9" i="9"/>
  <c r="J9" i="9"/>
  <c r="G9" i="9"/>
  <c r="H9" i="9"/>
  <c r="J220" i="9"/>
  <c r="H220" i="9"/>
  <c r="I220" i="9"/>
  <c r="G220" i="9"/>
  <c r="G177" i="9"/>
  <c r="I177" i="9"/>
  <c r="H177" i="9"/>
  <c r="J177" i="9"/>
  <c r="I55" i="9"/>
  <c r="J55" i="9"/>
  <c r="G55" i="9"/>
  <c r="H55" i="9"/>
  <c r="G77" i="9"/>
  <c r="I77" i="9"/>
  <c r="J77" i="9"/>
  <c r="H77" i="9"/>
  <c r="H29" i="9"/>
  <c r="J29" i="9"/>
  <c r="G29" i="9"/>
  <c r="I29" i="9"/>
  <c r="H45" i="9"/>
  <c r="G45" i="9"/>
  <c r="J45" i="9"/>
  <c r="I45" i="9"/>
  <c r="J17" i="9"/>
  <c r="I17" i="9"/>
  <c r="H17" i="9"/>
  <c r="G17" i="9"/>
  <c r="J149" i="9"/>
  <c r="G149" i="9"/>
  <c r="I149" i="9"/>
  <c r="H149" i="9"/>
  <c r="I281" i="9"/>
  <c r="G281" i="9"/>
  <c r="H281" i="9"/>
  <c r="J281" i="9"/>
  <c r="I186" i="9"/>
  <c r="J186" i="9"/>
  <c r="H186" i="9"/>
  <c r="G186" i="9"/>
  <c r="J174" i="9"/>
  <c r="I174" i="9"/>
  <c r="G174" i="9"/>
  <c r="H174" i="9"/>
  <c r="I150" i="9"/>
  <c r="H150" i="9"/>
  <c r="G150" i="9"/>
  <c r="J150" i="9"/>
  <c r="G179" i="9"/>
  <c r="I179" i="9"/>
  <c r="J179" i="9"/>
  <c r="H179" i="9"/>
  <c r="I438" i="9"/>
  <c r="H438" i="9"/>
  <c r="J438" i="9"/>
  <c r="G438" i="9"/>
  <c r="I416" i="9"/>
  <c r="H416" i="9"/>
  <c r="J416" i="9"/>
  <c r="G416" i="9"/>
  <c r="I477" i="9"/>
  <c r="H477" i="9"/>
  <c r="J477" i="9"/>
  <c r="G477" i="9"/>
  <c r="I447" i="9"/>
  <c r="J447" i="9"/>
  <c r="H447" i="9"/>
  <c r="G447" i="9"/>
  <c r="I407" i="9"/>
  <c r="G407" i="9"/>
  <c r="H407" i="9"/>
  <c r="J407" i="9"/>
  <c r="I357" i="9"/>
  <c r="G357" i="9"/>
  <c r="J357" i="9"/>
  <c r="H357" i="9"/>
  <c r="I409" i="9"/>
  <c r="G409" i="9"/>
  <c r="J409" i="9"/>
  <c r="H409" i="9"/>
  <c r="G14" i="9"/>
  <c r="I14" i="9"/>
  <c r="H14" i="9"/>
  <c r="J14" i="9"/>
  <c r="I13" i="9"/>
  <c r="G13" i="9"/>
  <c r="J13" i="9"/>
  <c r="H13" i="9"/>
  <c r="I95" i="9"/>
  <c r="G95" i="9"/>
  <c r="H95" i="9"/>
  <c r="J95" i="9"/>
  <c r="I52" i="9"/>
  <c r="G52" i="9"/>
  <c r="J52" i="9"/>
  <c r="H52" i="9"/>
  <c r="J221" i="9"/>
  <c r="I221" i="9"/>
  <c r="G221" i="9"/>
  <c r="H221" i="9"/>
  <c r="G74" i="9"/>
  <c r="I74" i="9"/>
  <c r="H74" i="9"/>
  <c r="J74" i="9"/>
  <c r="G15" i="9"/>
  <c r="I15" i="9"/>
  <c r="J15" i="9"/>
  <c r="H15" i="9"/>
  <c r="I269" i="9"/>
  <c r="G269" i="9"/>
  <c r="J269" i="9"/>
  <c r="H269" i="9"/>
  <c r="J245" i="9"/>
  <c r="I245" i="9"/>
  <c r="H245" i="9"/>
  <c r="G245" i="9"/>
  <c r="J263" i="9"/>
  <c r="G263" i="9"/>
  <c r="H263" i="9"/>
  <c r="I263" i="9"/>
  <c r="G449" i="9"/>
  <c r="I449" i="9"/>
  <c r="H449" i="9"/>
  <c r="J449" i="9"/>
  <c r="J453" i="9"/>
  <c r="I453" i="9"/>
  <c r="H453" i="9"/>
  <c r="G453" i="9"/>
  <c r="J423" i="9"/>
  <c r="I423" i="9"/>
  <c r="G423" i="9"/>
  <c r="H423" i="9"/>
  <c r="G395" i="9"/>
  <c r="J395" i="9"/>
  <c r="H395" i="9"/>
  <c r="I395" i="9"/>
  <c r="H343" i="9"/>
  <c r="J343" i="9"/>
  <c r="G343" i="9"/>
  <c r="I343" i="9"/>
  <c r="I373" i="9"/>
  <c r="G373" i="9"/>
  <c r="J373" i="9"/>
  <c r="H373" i="9"/>
  <c r="H294" i="9"/>
  <c r="J294" i="9"/>
  <c r="G294" i="9"/>
  <c r="I294" i="9"/>
  <c r="H306" i="9"/>
  <c r="J306" i="9"/>
  <c r="I306" i="9"/>
  <c r="G306" i="9"/>
  <c r="H209" i="9"/>
  <c r="J209" i="9"/>
  <c r="G209" i="9"/>
  <c r="I209" i="9"/>
  <c r="I10" i="9"/>
  <c r="G10" i="9"/>
  <c r="J10" i="9"/>
  <c r="H10" i="9"/>
  <c r="G152" i="9"/>
  <c r="I152" i="9"/>
  <c r="H152" i="9"/>
  <c r="J152" i="9"/>
  <c r="G320" i="9"/>
  <c r="I320" i="9"/>
  <c r="J320" i="9"/>
  <c r="H320" i="9"/>
  <c r="I65" i="9"/>
  <c r="J65" i="9"/>
  <c r="H65" i="9"/>
  <c r="G65" i="9"/>
  <c r="G170" i="9"/>
  <c r="J170" i="9"/>
  <c r="I170" i="9"/>
  <c r="H170" i="9"/>
  <c r="G279" i="9"/>
  <c r="I279" i="9"/>
  <c r="H279" i="9"/>
  <c r="J279" i="9"/>
  <c r="H106" i="9"/>
  <c r="G106" i="9"/>
  <c r="J106" i="9"/>
  <c r="I106" i="9"/>
  <c r="I274" i="9"/>
  <c r="G274" i="9"/>
  <c r="J274" i="9"/>
  <c r="H274" i="9"/>
  <c r="I78" i="9"/>
  <c r="G78" i="9"/>
  <c r="J78" i="9"/>
  <c r="H78" i="9"/>
  <c r="H232" i="9"/>
  <c r="G232" i="9"/>
  <c r="J232" i="9"/>
  <c r="I232" i="9"/>
  <c r="I116" i="9"/>
  <c r="H116" i="9"/>
  <c r="J116" i="9"/>
  <c r="G116" i="9"/>
  <c r="I172" i="9"/>
  <c r="J172" i="9"/>
  <c r="G172" i="9"/>
  <c r="H172" i="9"/>
  <c r="G248" i="9"/>
  <c r="J248" i="9"/>
  <c r="I248" i="9"/>
  <c r="H248" i="9"/>
  <c r="I304" i="9"/>
  <c r="J304" i="9"/>
  <c r="H304" i="9"/>
  <c r="G304" i="9"/>
  <c r="I117" i="9"/>
  <c r="H117" i="9"/>
  <c r="G117" i="9"/>
  <c r="J117" i="9"/>
  <c r="H198" i="9"/>
  <c r="I198" i="9"/>
  <c r="J198" i="9"/>
  <c r="G198" i="9"/>
  <c r="I26" i="9"/>
  <c r="H26" i="9"/>
  <c r="J26" i="9"/>
  <c r="G26" i="9"/>
  <c r="I135" i="9"/>
  <c r="G135" i="9"/>
  <c r="J135" i="9"/>
  <c r="H135" i="9"/>
  <c r="G1" i="9"/>
  <c r="J1" i="9"/>
  <c r="I1" i="9"/>
  <c r="H1" i="9"/>
  <c r="J99" i="9"/>
  <c r="H99" i="9"/>
  <c r="I99" i="9"/>
  <c r="G99" i="9"/>
  <c r="J309" i="9"/>
  <c r="I309" i="9"/>
  <c r="H309" i="9"/>
  <c r="G309" i="9"/>
  <c r="G51" i="9"/>
  <c r="I51" i="9"/>
  <c r="J51" i="9"/>
  <c r="H51" i="9"/>
  <c r="H205" i="9"/>
  <c r="J205" i="9"/>
  <c r="G205" i="9"/>
  <c r="I205" i="9"/>
  <c r="I46" i="9"/>
  <c r="H46" i="9"/>
  <c r="J46" i="9"/>
  <c r="G46" i="9"/>
  <c r="G22" i="9"/>
  <c r="H22" i="9"/>
  <c r="J22" i="9"/>
  <c r="I22" i="9"/>
  <c r="I402" i="9"/>
  <c r="J402" i="9"/>
  <c r="G402" i="9"/>
  <c r="H402" i="9"/>
  <c r="G425" i="9"/>
  <c r="J425" i="9"/>
  <c r="I425" i="9"/>
  <c r="H425" i="9"/>
  <c r="I367" i="9"/>
  <c r="G367" i="9"/>
  <c r="J367" i="9"/>
  <c r="H367" i="9"/>
  <c r="G420" i="9"/>
  <c r="H420" i="9"/>
  <c r="I420" i="9"/>
  <c r="J420" i="9"/>
  <c r="J405" i="9"/>
  <c r="G405" i="9"/>
  <c r="H405" i="9"/>
  <c r="I405" i="9"/>
  <c r="I496" i="9"/>
  <c r="H496" i="9"/>
  <c r="G496" i="9"/>
  <c r="J496" i="9"/>
  <c r="I375" i="9"/>
  <c r="G375" i="9"/>
  <c r="H375" i="9"/>
  <c r="J375" i="9"/>
  <c r="G385" i="9"/>
  <c r="I385" i="9"/>
  <c r="H385" i="9"/>
  <c r="J385" i="9"/>
  <c r="I371" i="9"/>
  <c r="G371" i="9"/>
  <c r="J371" i="9"/>
  <c r="H371" i="9"/>
  <c r="J428" i="9"/>
  <c r="G428" i="9"/>
  <c r="H428" i="9"/>
  <c r="I428" i="9"/>
  <c r="I460" i="9"/>
  <c r="G460" i="9"/>
  <c r="H460" i="9"/>
  <c r="J460" i="9"/>
  <c r="I351" i="9"/>
  <c r="G351" i="9"/>
  <c r="H351" i="9"/>
  <c r="J351" i="9"/>
  <c r="J490" i="9"/>
  <c r="H490" i="9"/>
  <c r="I490" i="9"/>
  <c r="G490" i="9"/>
  <c r="I346" i="9"/>
  <c r="G346" i="9"/>
  <c r="H346" i="9"/>
  <c r="J346" i="9"/>
  <c r="G491" i="9"/>
  <c r="J491" i="9"/>
  <c r="I491" i="9"/>
  <c r="H491" i="9"/>
  <c r="G58" i="9"/>
  <c r="I58" i="9"/>
  <c r="J58" i="9"/>
  <c r="H58" i="9"/>
  <c r="J201" i="9"/>
  <c r="G201" i="9"/>
  <c r="I201" i="9"/>
  <c r="H201" i="9"/>
  <c r="I89" i="9"/>
  <c r="H89" i="9"/>
  <c r="J89" i="9"/>
  <c r="G89" i="9"/>
  <c r="H59" i="9"/>
  <c r="G59" i="9"/>
  <c r="I59" i="9"/>
  <c r="J59" i="9"/>
  <c r="H30" i="9"/>
  <c r="I30" i="9"/>
  <c r="G30" i="9"/>
  <c r="J30" i="9"/>
  <c r="I233" i="9"/>
  <c r="G233" i="9"/>
  <c r="J233" i="9"/>
  <c r="H233" i="9"/>
  <c r="I98" i="9"/>
  <c r="G98" i="9"/>
  <c r="J98" i="9"/>
  <c r="H98" i="9"/>
  <c r="H63" i="9"/>
  <c r="I63" i="9"/>
  <c r="J63" i="9"/>
  <c r="G63" i="9"/>
  <c r="G120" i="9"/>
  <c r="I120" i="9"/>
  <c r="H120" i="9"/>
  <c r="J120" i="9"/>
  <c r="G252" i="9"/>
  <c r="J252" i="9"/>
  <c r="I252" i="9"/>
  <c r="H252" i="9"/>
  <c r="I240" i="9"/>
  <c r="J240" i="9"/>
  <c r="G240" i="9"/>
  <c r="H240" i="9"/>
  <c r="G228" i="9"/>
  <c r="H228" i="9"/>
  <c r="I228" i="9"/>
  <c r="J228" i="9"/>
  <c r="I133" i="9"/>
  <c r="G133" i="9"/>
  <c r="J133" i="9"/>
  <c r="H133" i="9"/>
  <c r="J298" i="9"/>
  <c r="H298" i="9"/>
  <c r="G298" i="9"/>
  <c r="I298" i="9"/>
  <c r="J461" i="9"/>
  <c r="I461" i="9"/>
  <c r="G461" i="9"/>
  <c r="H461" i="9"/>
  <c r="I456" i="9"/>
  <c r="H456" i="9"/>
  <c r="G456" i="9"/>
  <c r="J456" i="9"/>
  <c r="G403" i="9"/>
  <c r="I403" i="9"/>
  <c r="H403" i="9"/>
  <c r="J403" i="9"/>
  <c r="G493" i="9"/>
  <c r="J493" i="9"/>
  <c r="H493" i="9"/>
  <c r="I493" i="9"/>
  <c r="H391" i="9"/>
  <c r="I391" i="9"/>
  <c r="G391" i="9"/>
  <c r="J391" i="9"/>
  <c r="H382" i="9"/>
  <c r="J382" i="9"/>
  <c r="I382" i="9"/>
  <c r="G382" i="9"/>
  <c r="G249" i="9"/>
  <c r="I249" i="9"/>
  <c r="H249" i="9"/>
  <c r="J249" i="9"/>
  <c r="H169" i="9"/>
  <c r="G169" i="9"/>
  <c r="I169" i="9"/>
  <c r="J169" i="9"/>
  <c r="H291" i="9"/>
  <c r="I291" i="9"/>
  <c r="J291" i="9"/>
  <c r="G291" i="9"/>
  <c r="I328" i="9"/>
  <c r="G328" i="9"/>
  <c r="H328" i="9"/>
  <c r="J328" i="9"/>
  <c r="G165" i="9"/>
  <c r="J165" i="9"/>
  <c r="I165" i="9"/>
  <c r="H165" i="9"/>
  <c r="H5" i="9"/>
  <c r="J5" i="9"/>
  <c r="I5" i="9"/>
  <c r="G5" i="9"/>
  <c r="H108" i="9"/>
  <c r="G108" i="9"/>
  <c r="I108" i="9"/>
  <c r="J108" i="9"/>
  <c r="J96" i="9"/>
  <c r="I96" i="9"/>
  <c r="G96" i="9"/>
  <c r="H96" i="9"/>
  <c r="H84" i="9"/>
  <c r="J84" i="9"/>
  <c r="I84" i="9"/>
  <c r="G84" i="9"/>
  <c r="J217" i="9"/>
  <c r="H217" i="9"/>
  <c r="G217" i="9"/>
  <c r="I217" i="9"/>
  <c r="J426" i="9"/>
  <c r="H426" i="9"/>
  <c r="I426" i="9"/>
  <c r="G426" i="9"/>
  <c r="J444" i="9"/>
  <c r="G444" i="9"/>
  <c r="H444" i="9"/>
  <c r="I444" i="9"/>
  <c r="J379" i="9"/>
  <c r="H379" i="9"/>
  <c r="G379" i="9"/>
  <c r="I379" i="9"/>
  <c r="G457" i="9"/>
  <c r="I457" i="9"/>
  <c r="J457" i="9"/>
  <c r="H457" i="9"/>
  <c r="I488" i="9"/>
  <c r="J488" i="9"/>
  <c r="G488" i="9"/>
  <c r="H488" i="9"/>
  <c r="J387" i="9"/>
  <c r="G387" i="9"/>
  <c r="I387" i="9"/>
  <c r="H387" i="9"/>
  <c r="G202" i="9"/>
  <c r="H202" i="9"/>
  <c r="J202" i="9"/>
  <c r="I202" i="9"/>
  <c r="G102" i="9"/>
  <c r="H102" i="9"/>
  <c r="J102" i="9"/>
  <c r="I102" i="9"/>
  <c r="I145" i="9"/>
  <c r="G145" i="9"/>
  <c r="J145" i="9"/>
  <c r="H145" i="9"/>
  <c r="G324" i="9"/>
  <c r="I324" i="9"/>
  <c r="H324" i="9"/>
  <c r="J324" i="9"/>
  <c r="G206" i="9"/>
  <c r="I206" i="9"/>
  <c r="J206" i="9"/>
  <c r="H206" i="9"/>
  <c r="J88" i="9"/>
  <c r="H88" i="9"/>
  <c r="I88" i="9"/>
  <c r="G88" i="9"/>
  <c r="G66" i="9"/>
  <c r="I66" i="9"/>
  <c r="H66" i="9"/>
  <c r="J66" i="9"/>
  <c r="J296" i="9"/>
  <c r="I296" i="9"/>
  <c r="H296" i="9"/>
  <c r="G296" i="9"/>
  <c r="H168" i="9"/>
  <c r="I168" i="9"/>
  <c r="G168" i="9"/>
  <c r="J168" i="9"/>
  <c r="J327" i="9"/>
  <c r="I327" i="9"/>
  <c r="G327" i="9"/>
  <c r="H327" i="9"/>
  <c r="H109" i="9"/>
  <c r="I109" i="9"/>
  <c r="G109" i="9"/>
  <c r="J109" i="9"/>
  <c r="H130" i="9"/>
  <c r="J130" i="9"/>
  <c r="I130" i="9"/>
  <c r="G130" i="9"/>
  <c r="J142" i="9"/>
  <c r="H142" i="9"/>
  <c r="I142" i="9"/>
  <c r="G142" i="9"/>
  <c r="J295" i="9"/>
  <c r="G295" i="9"/>
  <c r="I295" i="9"/>
  <c r="H295" i="9"/>
  <c r="H28" i="9"/>
  <c r="J28" i="9"/>
  <c r="I28" i="9"/>
  <c r="G28" i="9"/>
  <c r="G104" i="9"/>
  <c r="I104" i="9"/>
  <c r="H104" i="9"/>
  <c r="J104" i="9"/>
  <c r="I160" i="9"/>
  <c r="G160" i="9"/>
  <c r="J160" i="9"/>
  <c r="H160" i="9"/>
  <c r="I236" i="9"/>
  <c r="G236" i="9"/>
  <c r="J236" i="9"/>
  <c r="H236" i="9"/>
  <c r="I292" i="9"/>
  <c r="G292" i="9"/>
  <c r="H292" i="9"/>
  <c r="J292" i="9"/>
  <c r="J93" i="9"/>
  <c r="I93" i="9"/>
  <c r="G93" i="9"/>
  <c r="H93" i="9"/>
  <c r="J162" i="9"/>
  <c r="H162" i="9"/>
  <c r="I162" i="9"/>
  <c r="G162" i="9"/>
  <c r="H69" i="9"/>
  <c r="J69" i="9"/>
  <c r="I69" i="9"/>
  <c r="G69" i="9"/>
  <c r="J138" i="9"/>
  <c r="I138" i="9"/>
  <c r="H138" i="9"/>
  <c r="G138" i="9"/>
  <c r="J33" i="9"/>
  <c r="H33" i="9"/>
  <c r="G33" i="9"/>
  <c r="I33" i="9"/>
  <c r="I126" i="9"/>
  <c r="J126" i="9"/>
  <c r="G126" i="9"/>
  <c r="H126" i="9"/>
  <c r="I34" i="9"/>
  <c r="H34" i="9"/>
  <c r="G34" i="9"/>
  <c r="J34" i="9"/>
  <c r="G23" i="9"/>
  <c r="H23" i="9"/>
  <c r="J23" i="9"/>
  <c r="I23" i="9"/>
  <c r="I310" i="9"/>
  <c r="H310" i="9"/>
  <c r="G310" i="9"/>
  <c r="J310" i="9"/>
  <c r="J390" i="9"/>
  <c r="I390" i="9"/>
  <c r="G390" i="9"/>
  <c r="H390" i="9"/>
  <c r="I413" i="9"/>
  <c r="J413" i="9"/>
  <c r="H413" i="9"/>
  <c r="G413" i="9"/>
  <c r="J362" i="9"/>
  <c r="G362" i="9"/>
  <c r="H362" i="9"/>
  <c r="I362" i="9"/>
  <c r="J408" i="9"/>
  <c r="G408" i="9"/>
  <c r="H408" i="9"/>
  <c r="I408" i="9"/>
  <c r="J381" i="9"/>
  <c r="G381" i="9"/>
  <c r="H381" i="9"/>
  <c r="I381" i="9"/>
  <c r="I472" i="9"/>
  <c r="G472" i="9"/>
  <c r="H472" i="9"/>
  <c r="J472" i="9"/>
  <c r="J339" i="9"/>
  <c r="I339" i="9"/>
  <c r="G339" i="9"/>
  <c r="H339" i="9"/>
  <c r="G349" i="9"/>
  <c r="I349" i="9"/>
  <c r="J349" i="9"/>
  <c r="H349" i="9"/>
  <c r="I359" i="9"/>
  <c r="G359" i="9"/>
  <c r="J359" i="9"/>
  <c r="H359" i="9"/>
  <c r="I404" i="9"/>
  <c r="H404" i="9"/>
  <c r="G404" i="9"/>
  <c r="J404" i="9"/>
  <c r="J436" i="9"/>
  <c r="G436" i="9"/>
  <c r="I436" i="9"/>
  <c r="H436" i="9"/>
  <c r="I482" i="9"/>
  <c r="H482" i="9"/>
  <c r="G482" i="9"/>
  <c r="J482" i="9"/>
  <c r="H478" i="9"/>
  <c r="G478" i="9"/>
  <c r="J478" i="9"/>
  <c r="I478" i="9"/>
  <c r="I334" i="9"/>
  <c r="G334" i="9"/>
  <c r="H334" i="9"/>
  <c r="J334" i="9"/>
  <c r="F2" i="6"/>
  <c r="B1" i="8" a="1"/>
  <c r="B1" i="8" s="1"/>
  <c r="A3" i="8"/>
  <c r="A8" i="3"/>
  <c r="A7" i="3"/>
  <c r="A11" i="3"/>
  <c r="A13" i="3"/>
  <c r="A12" i="3"/>
  <c r="A3" i="1"/>
  <c r="A1" i="1"/>
  <c r="A5" i="3"/>
  <c r="F3" i="4" s="1"/>
  <c r="A2" i="1"/>
  <c r="F3" i="2" s="1"/>
  <c r="F5" i="6"/>
  <c r="N1" i="8"/>
  <c r="T1" i="8" l="1"/>
  <c r="U1" i="8" s="1"/>
  <c r="F5" i="4"/>
  <c r="I3" i="4" s="1"/>
  <c r="C2" i="3"/>
  <c r="C14" i="3"/>
  <c r="C26" i="3"/>
  <c r="C38" i="3"/>
  <c r="C50" i="3"/>
  <c r="C62" i="3"/>
  <c r="C74" i="3"/>
  <c r="C86" i="3"/>
  <c r="C98" i="3"/>
  <c r="C110" i="3"/>
  <c r="C122" i="3"/>
  <c r="C134" i="3"/>
  <c r="C146" i="3"/>
  <c r="C158" i="3"/>
  <c r="C170" i="3"/>
  <c r="C182" i="3"/>
  <c r="C194" i="3"/>
  <c r="C206" i="3"/>
  <c r="C218" i="3"/>
  <c r="C230" i="3"/>
  <c r="C242" i="3"/>
  <c r="C254" i="3"/>
  <c r="C266" i="3"/>
  <c r="C278" i="3"/>
  <c r="C290" i="3"/>
  <c r="C302" i="3"/>
  <c r="C314" i="3"/>
  <c r="C326" i="3"/>
  <c r="C338" i="3"/>
  <c r="C350" i="3"/>
  <c r="C362" i="3"/>
  <c r="C374" i="3"/>
  <c r="C386" i="3"/>
  <c r="C398" i="3"/>
  <c r="C410" i="3"/>
  <c r="C422" i="3"/>
  <c r="C434" i="3"/>
  <c r="C446" i="3"/>
  <c r="C458" i="3"/>
  <c r="C470" i="3"/>
  <c r="C482" i="3"/>
  <c r="C494" i="3"/>
  <c r="C54" i="3"/>
  <c r="C66" i="3"/>
  <c r="C114" i="3"/>
  <c r="C150" i="3"/>
  <c r="C198" i="3"/>
  <c r="C246" i="3"/>
  <c r="C294" i="3"/>
  <c r="C342" i="3"/>
  <c r="C390" i="3"/>
  <c r="C438" i="3"/>
  <c r="C498" i="3"/>
  <c r="C46" i="3"/>
  <c r="C118" i="3"/>
  <c r="C178" i="3"/>
  <c r="C238" i="3"/>
  <c r="C298" i="3"/>
  <c r="C358" i="3"/>
  <c r="C430" i="3"/>
  <c r="C59" i="3"/>
  <c r="C107" i="3"/>
  <c r="C191" i="3"/>
  <c r="C263" i="3"/>
  <c r="C3" i="3"/>
  <c r="C15" i="3"/>
  <c r="C27" i="3"/>
  <c r="C39" i="3"/>
  <c r="C51" i="3"/>
  <c r="C63" i="3"/>
  <c r="C75" i="3"/>
  <c r="C87" i="3"/>
  <c r="C99" i="3"/>
  <c r="C111" i="3"/>
  <c r="C123" i="3"/>
  <c r="C135" i="3"/>
  <c r="C147" i="3"/>
  <c r="C159" i="3"/>
  <c r="C171" i="3"/>
  <c r="C183" i="3"/>
  <c r="C195" i="3"/>
  <c r="C207" i="3"/>
  <c r="C219" i="3"/>
  <c r="C231" i="3"/>
  <c r="C243" i="3"/>
  <c r="C255" i="3"/>
  <c r="C267" i="3"/>
  <c r="C279" i="3"/>
  <c r="C291" i="3"/>
  <c r="C303" i="3"/>
  <c r="C315" i="3"/>
  <c r="C327" i="3"/>
  <c r="C339" i="3"/>
  <c r="C351" i="3"/>
  <c r="C363" i="3"/>
  <c r="C375" i="3"/>
  <c r="C387" i="3"/>
  <c r="C399" i="3"/>
  <c r="C411" i="3"/>
  <c r="C423" i="3"/>
  <c r="C435" i="3"/>
  <c r="C447" i="3"/>
  <c r="C459" i="3"/>
  <c r="C471" i="3"/>
  <c r="C483" i="3"/>
  <c r="C495" i="3"/>
  <c r="C42" i="3"/>
  <c r="C90" i="3"/>
  <c r="C138" i="3"/>
  <c r="C186" i="3"/>
  <c r="C234" i="3"/>
  <c r="C270" i="3"/>
  <c r="C330" i="3"/>
  <c r="C378" i="3"/>
  <c r="C426" i="3"/>
  <c r="C474" i="3"/>
  <c r="C22" i="3"/>
  <c r="C130" i="3"/>
  <c r="C190" i="3"/>
  <c r="C250" i="3"/>
  <c r="C322" i="3"/>
  <c r="C382" i="3"/>
  <c r="C454" i="3"/>
  <c r="C71" i="3"/>
  <c r="C131" i="3"/>
  <c r="C203" i="3"/>
  <c r="C275" i="3"/>
  <c r="C4" i="3"/>
  <c r="C16" i="3"/>
  <c r="C28" i="3"/>
  <c r="C40" i="3"/>
  <c r="C52" i="3"/>
  <c r="C64" i="3"/>
  <c r="C76" i="3"/>
  <c r="C88" i="3"/>
  <c r="C100" i="3"/>
  <c r="C112" i="3"/>
  <c r="C124" i="3"/>
  <c r="C136" i="3"/>
  <c r="C148" i="3"/>
  <c r="C160" i="3"/>
  <c r="C172" i="3"/>
  <c r="C184" i="3"/>
  <c r="C196" i="3"/>
  <c r="C208" i="3"/>
  <c r="C220" i="3"/>
  <c r="C232" i="3"/>
  <c r="C244" i="3"/>
  <c r="C256" i="3"/>
  <c r="C268" i="3"/>
  <c r="C280" i="3"/>
  <c r="C292" i="3"/>
  <c r="C304" i="3"/>
  <c r="C316" i="3"/>
  <c r="C328" i="3"/>
  <c r="C340" i="3"/>
  <c r="C352" i="3"/>
  <c r="C364" i="3"/>
  <c r="C376" i="3"/>
  <c r="C388" i="3"/>
  <c r="C400" i="3"/>
  <c r="C412" i="3"/>
  <c r="C424" i="3"/>
  <c r="C436" i="3"/>
  <c r="C448" i="3"/>
  <c r="C460" i="3"/>
  <c r="C472" i="3"/>
  <c r="C484" i="3"/>
  <c r="C496" i="3"/>
  <c r="C30" i="3"/>
  <c r="C78" i="3"/>
  <c r="C126" i="3"/>
  <c r="C174" i="3"/>
  <c r="C222" i="3"/>
  <c r="C282" i="3"/>
  <c r="C318" i="3"/>
  <c r="C366" i="3"/>
  <c r="C414" i="3"/>
  <c r="C462" i="3"/>
  <c r="C58" i="3"/>
  <c r="C94" i="3"/>
  <c r="C154" i="3"/>
  <c r="C214" i="3"/>
  <c r="C286" i="3"/>
  <c r="C346" i="3"/>
  <c r="C418" i="3"/>
  <c r="C490" i="3"/>
  <c r="C35" i="3"/>
  <c r="C95" i="3"/>
  <c r="C167" i="3"/>
  <c r="C251" i="3"/>
  <c r="C5" i="3"/>
  <c r="C17" i="3"/>
  <c r="C29" i="3"/>
  <c r="C41" i="3"/>
  <c r="C53" i="3"/>
  <c r="C65" i="3"/>
  <c r="C77" i="3"/>
  <c r="C89" i="3"/>
  <c r="C101" i="3"/>
  <c r="C113" i="3"/>
  <c r="C125" i="3"/>
  <c r="C137" i="3"/>
  <c r="C149" i="3"/>
  <c r="C161" i="3"/>
  <c r="C173" i="3"/>
  <c r="C185" i="3"/>
  <c r="C197" i="3"/>
  <c r="C209" i="3"/>
  <c r="C221" i="3"/>
  <c r="C233" i="3"/>
  <c r="C245" i="3"/>
  <c r="C257" i="3"/>
  <c r="C269" i="3"/>
  <c r="C281" i="3"/>
  <c r="C293" i="3"/>
  <c r="C305" i="3"/>
  <c r="C317" i="3"/>
  <c r="C329" i="3"/>
  <c r="C341" i="3"/>
  <c r="C353" i="3"/>
  <c r="C365" i="3"/>
  <c r="C377" i="3"/>
  <c r="C389" i="3"/>
  <c r="C401" i="3"/>
  <c r="C413" i="3"/>
  <c r="C425" i="3"/>
  <c r="C437" i="3"/>
  <c r="C449" i="3"/>
  <c r="C461" i="3"/>
  <c r="C473" i="3"/>
  <c r="C485" i="3"/>
  <c r="C497" i="3"/>
  <c r="C18" i="3"/>
  <c r="C102" i="3"/>
  <c r="C162" i="3"/>
  <c r="C210" i="3"/>
  <c r="C258" i="3"/>
  <c r="C306" i="3"/>
  <c r="C354" i="3"/>
  <c r="C402" i="3"/>
  <c r="C450" i="3"/>
  <c r="C486" i="3"/>
  <c r="C34" i="3"/>
  <c r="C142" i="3"/>
  <c r="C202" i="3"/>
  <c r="C262" i="3"/>
  <c r="C334" i="3"/>
  <c r="C406" i="3"/>
  <c r="C478" i="3"/>
  <c r="C47" i="3"/>
  <c r="C119" i="3"/>
  <c r="C179" i="3"/>
  <c r="C239" i="3"/>
  <c r="C6" i="3"/>
  <c r="C7" i="3"/>
  <c r="C19" i="3"/>
  <c r="C31" i="3"/>
  <c r="C43" i="3"/>
  <c r="C55" i="3"/>
  <c r="C67" i="3"/>
  <c r="C79" i="3"/>
  <c r="C91" i="3"/>
  <c r="C103" i="3"/>
  <c r="C115" i="3"/>
  <c r="C127" i="3"/>
  <c r="C139" i="3"/>
  <c r="C151" i="3"/>
  <c r="C163" i="3"/>
  <c r="C175" i="3"/>
  <c r="C187" i="3"/>
  <c r="C199" i="3"/>
  <c r="C211" i="3"/>
  <c r="C223" i="3"/>
  <c r="C235" i="3"/>
  <c r="C247" i="3"/>
  <c r="C259" i="3"/>
  <c r="C271" i="3"/>
  <c r="C283" i="3"/>
  <c r="C295" i="3"/>
  <c r="C307" i="3"/>
  <c r="C319" i="3"/>
  <c r="C331" i="3"/>
  <c r="C343" i="3"/>
  <c r="C355" i="3"/>
  <c r="C367" i="3"/>
  <c r="C379" i="3"/>
  <c r="C391" i="3"/>
  <c r="C403" i="3"/>
  <c r="C415" i="3"/>
  <c r="C427" i="3"/>
  <c r="C439" i="3"/>
  <c r="C451" i="3"/>
  <c r="C463" i="3"/>
  <c r="C475" i="3"/>
  <c r="C487" i="3"/>
  <c r="C499" i="3"/>
  <c r="C9" i="3"/>
  <c r="C249" i="3"/>
  <c r="C297" i="3"/>
  <c r="C333" i="3"/>
  <c r="C357" i="3"/>
  <c r="C393" i="3"/>
  <c r="C417" i="3"/>
  <c r="C441" i="3"/>
  <c r="C465" i="3"/>
  <c r="C489" i="3"/>
  <c r="C70" i="3"/>
  <c r="C274" i="3"/>
  <c r="C370" i="3"/>
  <c r="C442" i="3"/>
  <c r="C23" i="3"/>
  <c r="C143" i="3"/>
  <c r="C215" i="3"/>
  <c r="C287" i="3"/>
  <c r="C8" i="3"/>
  <c r="C20" i="3"/>
  <c r="C32" i="3"/>
  <c r="C44" i="3"/>
  <c r="C56" i="3"/>
  <c r="C68" i="3"/>
  <c r="C80" i="3"/>
  <c r="C92" i="3"/>
  <c r="C104" i="3"/>
  <c r="C116" i="3"/>
  <c r="C128" i="3"/>
  <c r="C140" i="3"/>
  <c r="C152" i="3"/>
  <c r="C164" i="3"/>
  <c r="C176" i="3"/>
  <c r="C188" i="3"/>
  <c r="C200" i="3"/>
  <c r="C212" i="3"/>
  <c r="C224" i="3"/>
  <c r="C236" i="3"/>
  <c r="C248" i="3"/>
  <c r="C260" i="3"/>
  <c r="C272" i="3"/>
  <c r="C284" i="3"/>
  <c r="C296" i="3"/>
  <c r="C308" i="3"/>
  <c r="C320" i="3"/>
  <c r="C332" i="3"/>
  <c r="C344" i="3"/>
  <c r="C356" i="3"/>
  <c r="C368" i="3"/>
  <c r="C380" i="3"/>
  <c r="C392" i="3"/>
  <c r="C404" i="3"/>
  <c r="C416" i="3"/>
  <c r="C428" i="3"/>
  <c r="C440" i="3"/>
  <c r="C452" i="3"/>
  <c r="C464" i="3"/>
  <c r="C476" i="3"/>
  <c r="C488" i="3"/>
  <c r="C500" i="3"/>
  <c r="C21" i="3"/>
  <c r="C33" i="3"/>
  <c r="C45" i="3"/>
  <c r="C57" i="3"/>
  <c r="C69" i="3"/>
  <c r="C81" i="3"/>
  <c r="C93" i="3"/>
  <c r="C105" i="3"/>
  <c r="C117" i="3"/>
  <c r="C129" i="3"/>
  <c r="C141" i="3"/>
  <c r="C153" i="3"/>
  <c r="C165" i="3"/>
  <c r="C177" i="3"/>
  <c r="C189" i="3"/>
  <c r="C201" i="3"/>
  <c r="C213" i="3"/>
  <c r="C225" i="3"/>
  <c r="C237" i="3"/>
  <c r="C261" i="3"/>
  <c r="C273" i="3"/>
  <c r="C285" i="3"/>
  <c r="C309" i="3"/>
  <c r="C321" i="3"/>
  <c r="C345" i="3"/>
  <c r="C369" i="3"/>
  <c r="C381" i="3"/>
  <c r="C405" i="3"/>
  <c r="C429" i="3"/>
  <c r="C453" i="3"/>
  <c r="C477" i="3"/>
  <c r="C1" i="3"/>
  <c r="C10" i="3"/>
  <c r="C82" i="3"/>
  <c r="C106" i="3"/>
  <c r="C166" i="3"/>
  <c r="C226" i="3"/>
  <c r="C310" i="3"/>
  <c r="C394" i="3"/>
  <c r="C466" i="3"/>
  <c r="C11" i="3"/>
  <c r="C83" i="3"/>
  <c r="C155" i="3"/>
  <c r="C12" i="3"/>
  <c r="C84" i="3"/>
  <c r="C156" i="3"/>
  <c r="C227" i="3"/>
  <c r="C289" i="3"/>
  <c r="C337" i="3"/>
  <c r="C385" i="3"/>
  <c r="C433" i="3"/>
  <c r="C481" i="3"/>
  <c r="C120" i="3"/>
  <c r="C193" i="3"/>
  <c r="C325" i="3"/>
  <c r="C335" i="3"/>
  <c r="C145" i="3"/>
  <c r="C13" i="3"/>
  <c r="C85" i="3"/>
  <c r="C157" i="3"/>
  <c r="C228" i="3"/>
  <c r="C299" i="3"/>
  <c r="C347" i="3"/>
  <c r="C395" i="3"/>
  <c r="C443" i="3"/>
  <c r="C491" i="3"/>
  <c r="C313" i="3"/>
  <c r="C264" i="3"/>
  <c r="C419" i="3"/>
  <c r="C265" i="3"/>
  <c r="C205" i="3"/>
  <c r="C469" i="3"/>
  <c r="C277" i="3"/>
  <c r="C479" i="3"/>
  <c r="C336" i="3"/>
  <c r="C480" i="3"/>
  <c r="C24" i="3"/>
  <c r="C96" i="3"/>
  <c r="C168" i="3"/>
  <c r="C229" i="3"/>
  <c r="C300" i="3"/>
  <c r="C348" i="3"/>
  <c r="C396" i="3"/>
  <c r="C444" i="3"/>
  <c r="C492" i="3"/>
  <c r="C253" i="3"/>
  <c r="C323" i="3"/>
  <c r="C467" i="3"/>
  <c r="C204" i="3"/>
  <c r="C420" i="3"/>
  <c r="C276" i="3"/>
  <c r="C421" i="3"/>
  <c r="C216" i="3"/>
  <c r="C431" i="3"/>
  <c r="C288" i="3"/>
  <c r="C432" i="3"/>
  <c r="C25" i="3"/>
  <c r="C97" i="3"/>
  <c r="C169" i="3"/>
  <c r="C240" i="3"/>
  <c r="C301" i="3"/>
  <c r="C349" i="3"/>
  <c r="C397" i="3"/>
  <c r="C445" i="3"/>
  <c r="C493" i="3"/>
  <c r="C109" i="3"/>
  <c r="C192" i="3"/>
  <c r="C121" i="3"/>
  <c r="C132" i="3"/>
  <c r="C133" i="3"/>
  <c r="C144" i="3"/>
  <c r="C73" i="3"/>
  <c r="C36" i="3"/>
  <c r="C108" i="3"/>
  <c r="C180" i="3"/>
  <c r="C241" i="3"/>
  <c r="C311" i="3"/>
  <c r="C359" i="3"/>
  <c r="C407" i="3"/>
  <c r="C455" i="3"/>
  <c r="C37" i="3"/>
  <c r="C181" i="3"/>
  <c r="C252" i="3"/>
  <c r="C312" i="3"/>
  <c r="C360" i="3"/>
  <c r="C408" i="3"/>
  <c r="C456" i="3"/>
  <c r="C48" i="3"/>
  <c r="C361" i="3"/>
  <c r="C409" i="3"/>
  <c r="C457" i="3"/>
  <c r="C49" i="3"/>
  <c r="C371" i="3"/>
  <c r="C60" i="3"/>
  <c r="C324" i="3"/>
  <c r="C372" i="3"/>
  <c r="C468" i="3"/>
  <c r="C61" i="3"/>
  <c r="C373" i="3"/>
  <c r="C72" i="3"/>
  <c r="C383" i="3"/>
  <c r="C217" i="3"/>
  <c r="C384" i="3"/>
  <c r="D2" i="1"/>
  <c r="D14" i="1"/>
  <c r="D26" i="1"/>
  <c r="D38" i="1"/>
  <c r="D50" i="1"/>
  <c r="D62" i="1"/>
  <c r="D74" i="1"/>
  <c r="D86" i="1"/>
  <c r="D98" i="1"/>
  <c r="D110" i="1"/>
  <c r="D122" i="1"/>
  <c r="D134" i="1"/>
  <c r="D146" i="1"/>
  <c r="D158" i="1"/>
  <c r="D170" i="1"/>
  <c r="D182" i="1"/>
  <c r="D194" i="1"/>
  <c r="D206" i="1"/>
  <c r="D218" i="1"/>
  <c r="D230" i="1"/>
  <c r="D242" i="1"/>
  <c r="D254" i="1"/>
  <c r="D266" i="1"/>
  <c r="D278" i="1"/>
  <c r="D290" i="1"/>
  <c r="D302" i="1"/>
  <c r="D314" i="1"/>
  <c r="D326" i="1"/>
  <c r="D338" i="1"/>
  <c r="D350" i="1"/>
  <c r="D362" i="1"/>
  <c r="D374" i="1"/>
  <c r="D386" i="1"/>
  <c r="D398" i="1"/>
  <c r="D410" i="1"/>
  <c r="D422" i="1"/>
  <c r="D434" i="1"/>
  <c r="D446" i="1"/>
  <c r="D458" i="1"/>
  <c r="D470" i="1"/>
  <c r="D482" i="1"/>
  <c r="D494" i="1"/>
  <c r="D56" i="1"/>
  <c r="D272" i="1"/>
  <c r="D392" i="1"/>
  <c r="D488" i="1"/>
  <c r="D57" i="1"/>
  <c r="D93" i="1"/>
  <c r="D153" i="1"/>
  <c r="D201" i="1"/>
  <c r="D273" i="1"/>
  <c r="D357" i="1"/>
  <c r="D405" i="1"/>
  <c r="D465" i="1"/>
  <c r="D34" i="1"/>
  <c r="D130" i="1"/>
  <c r="D178" i="1"/>
  <c r="D226" i="1"/>
  <c r="D286" i="1"/>
  <c r="D346" i="1"/>
  <c r="D394" i="1"/>
  <c r="D454" i="1"/>
  <c r="D35" i="1"/>
  <c r="D107" i="1"/>
  <c r="D155" i="1"/>
  <c r="D239" i="1"/>
  <c r="D335" i="1"/>
  <c r="D419" i="1"/>
  <c r="D72" i="1"/>
  <c r="D144" i="1"/>
  <c r="D228" i="1"/>
  <c r="D312" i="1"/>
  <c r="D384" i="1"/>
  <c r="D444" i="1"/>
  <c r="D3" i="1"/>
  <c r="D15" i="1"/>
  <c r="D27" i="1"/>
  <c r="D39" i="1"/>
  <c r="D51" i="1"/>
  <c r="D63" i="1"/>
  <c r="D75" i="1"/>
  <c r="D87" i="1"/>
  <c r="D99" i="1"/>
  <c r="D111" i="1"/>
  <c r="D123" i="1"/>
  <c r="D135" i="1"/>
  <c r="D147" i="1"/>
  <c r="D159" i="1"/>
  <c r="D171" i="1"/>
  <c r="D183" i="1"/>
  <c r="D195" i="1"/>
  <c r="D207" i="1"/>
  <c r="D219" i="1"/>
  <c r="D231" i="1"/>
  <c r="D243" i="1"/>
  <c r="D255" i="1"/>
  <c r="D267" i="1"/>
  <c r="D279" i="1"/>
  <c r="D291" i="1"/>
  <c r="D303" i="1"/>
  <c r="D315" i="1"/>
  <c r="D327" i="1"/>
  <c r="D339" i="1"/>
  <c r="D351" i="1"/>
  <c r="D363" i="1"/>
  <c r="D375" i="1"/>
  <c r="D387" i="1"/>
  <c r="D399" i="1"/>
  <c r="D411" i="1"/>
  <c r="D423" i="1"/>
  <c r="D435" i="1"/>
  <c r="D447" i="1"/>
  <c r="D459" i="1"/>
  <c r="D471" i="1"/>
  <c r="D483" i="1"/>
  <c r="D495" i="1"/>
  <c r="D68" i="1"/>
  <c r="D260" i="1"/>
  <c r="D380" i="1"/>
  <c r="D476" i="1"/>
  <c r="D33" i="1"/>
  <c r="D81" i="1"/>
  <c r="D141" i="1"/>
  <c r="D189" i="1"/>
  <c r="D237" i="1"/>
  <c r="D285" i="1"/>
  <c r="D345" i="1"/>
  <c r="D417" i="1"/>
  <c r="D489" i="1"/>
  <c r="D46" i="1"/>
  <c r="D106" i="1"/>
  <c r="D166" i="1"/>
  <c r="D238" i="1"/>
  <c r="D298" i="1"/>
  <c r="D358" i="1"/>
  <c r="D430" i="1"/>
  <c r="D478" i="1"/>
  <c r="D59" i="1"/>
  <c r="D131" i="1"/>
  <c r="D203" i="1"/>
  <c r="D275" i="1"/>
  <c r="D347" i="1"/>
  <c r="D407" i="1"/>
  <c r="D479" i="1"/>
  <c r="D36" i="1"/>
  <c r="D96" i="1"/>
  <c r="D156" i="1"/>
  <c r="D216" i="1"/>
  <c r="D288" i="1"/>
  <c r="D372" i="1"/>
  <c r="D456" i="1"/>
  <c r="D4" i="1"/>
  <c r="D16" i="1"/>
  <c r="D28" i="1"/>
  <c r="D40" i="1"/>
  <c r="D52" i="1"/>
  <c r="D64" i="1"/>
  <c r="D76" i="1"/>
  <c r="D88" i="1"/>
  <c r="D100" i="1"/>
  <c r="D112" i="1"/>
  <c r="D124" i="1"/>
  <c r="D136" i="1"/>
  <c r="D148" i="1"/>
  <c r="D160" i="1"/>
  <c r="D172" i="1"/>
  <c r="D184" i="1"/>
  <c r="D196" i="1"/>
  <c r="D208" i="1"/>
  <c r="D220" i="1"/>
  <c r="D232" i="1"/>
  <c r="D244" i="1"/>
  <c r="D256" i="1"/>
  <c r="D268" i="1"/>
  <c r="D280" i="1"/>
  <c r="D292" i="1"/>
  <c r="D304" i="1"/>
  <c r="D316" i="1"/>
  <c r="D328" i="1"/>
  <c r="D340" i="1"/>
  <c r="D352" i="1"/>
  <c r="D364" i="1"/>
  <c r="D376" i="1"/>
  <c r="D388" i="1"/>
  <c r="D400" i="1"/>
  <c r="D412" i="1"/>
  <c r="D424" i="1"/>
  <c r="D436" i="1"/>
  <c r="D448" i="1"/>
  <c r="D460" i="1"/>
  <c r="D472" i="1"/>
  <c r="D484" i="1"/>
  <c r="D496" i="1"/>
  <c r="D20" i="1"/>
  <c r="D80" i="1"/>
  <c r="D104" i="1"/>
  <c r="D128" i="1"/>
  <c r="D152" i="1"/>
  <c r="D176" i="1"/>
  <c r="D200" i="1"/>
  <c r="D224" i="1"/>
  <c r="D248" i="1"/>
  <c r="D308" i="1"/>
  <c r="D344" i="1"/>
  <c r="D368" i="1"/>
  <c r="D428" i="1"/>
  <c r="D452" i="1"/>
  <c r="D500" i="1"/>
  <c r="D21" i="1"/>
  <c r="D165" i="1"/>
  <c r="D249" i="1"/>
  <c r="D333" i="1"/>
  <c r="D429" i="1"/>
  <c r="D10" i="1"/>
  <c r="D82" i="1"/>
  <c r="D154" i="1"/>
  <c r="D214" i="1"/>
  <c r="D250" i="1"/>
  <c r="D310" i="1"/>
  <c r="D370" i="1"/>
  <c r="D418" i="1"/>
  <c r="D490" i="1"/>
  <c r="D11" i="1"/>
  <c r="D95" i="1"/>
  <c r="D143" i="1"/>
  <c r="D215" i="1"/>
  <c r="D263" i="1"/>
  <c r="D311" i="1"/>
  <c r="D383" i="1"/>
  <c r="D431" i="1"/>
  <c r="D491" i="1"/>
  <c r="D12" i="1"/>
  <c r="D108" i="1"/>
  <c r="D168" i="1"/>
  <c r="D264" i="1"/>
  <c r="D336" i="1"/>
  <c r="D5" i="1"/>
  <c r="D17" i="1"/>
  <c r="D29" i="1"/>
  <c r="D41" i="1"/>
  <c r="D53" i="1"/>
  <c r="D65" i="1"/>
  <c r="D77" i="1"/>
  <c r="D89" i="1"/>
  <c r="D101" i="1"/>
  <c r="D113" i="1"/>
  <c r="D125" i="1"/>
  <c r="D137" i="1"/>
  <c r="D149" i="1"/>
  <c r="D161" i="1"/>
  <c r="D173" i="1"/>
  <c r="D185" i="1"/>
  <c r="D197" i="1"/>
  <c r="D209" i="1"/>
  <c r="D221" i="1"/>
  <c r="D233" i="1"/>
  <c r="D245" i="1"/>
  <c r="D257" i="1"/>
  <c r="D269" i="1"/>
  <c r="D281" i="1"/>
  <c r="D293" i="1"/>
  <c r="D305" i="1"/>
  <c r="D317" i="1"/>
  <c r="D329" i="1"/>
  <c r="D341" i="1"/>
  <c r="D353" i="1"/>
  <c r="D365" i="1"/>
  <c r="D377" i="1"/>
  <c r="D389" i="1"/>
  <c r="D401" i="1"/>
  <c r="D413" i="1"/>
  <c r="D425" i="1"/>
  <c r="D437" i="1"/>
  <c r="D449" i="1"/>
  <c r="D461" i="1"/>
  <c r="D473" i="1"/>
  <c r="D485" i="1"/>
  <c r="D497" i="1"/>
  <c r="D44" i="1"/>
  <c r="D320" i="1"/>
  <c r="D440" i="1"/>
  <c r="D69" i="1"/>
  <c r="D105" i="1"/>
  <c r="D177" i="1"/>
  <c r="D261" i="1"/>
  <c r="D321" i="1"/>
  <c r="D381" i="1"/>
  <c r="D441" i="1"/>
  <c r="D1" i="1"/>
  <c r="D58" i="1"/>
  <c r="D118" i="1"/>
  <c r="D202" i="1"/>
  <c r="D262" i="1"/>
  <c r="D334" i="1"/>
  <c r="D406" i="1"/>
  <c r="D466" i="1"/>
  <c r="D47" i="1"/>
  <c r="D119" i="1"/>
  <c r="D179" i="1"/>
  <c r="D251" i="1"/>
  <c r="D323" i="1"/>
  <c r="D395" i="1"/>
  <c r="D467" i="1"/>
  <c r="D48" i="1"/>
  <c r="D120" i="1"/>
  <c r="D180" i="1"/>
  <c r="D240" i="1"/>
  <c r="D300" i="1"/>
  <c r="D360" i="1"/>
  <c r="D420" i="1"/>
  <c r="D492" i="1"/>
  <c r="D6" i="1"/>
  <c r="D18" i="1"/>
  <c r="D30" i="1"/>
  <c r="D42" i="1"/>
  <c r="D54" i="1"/>
  <c r="D66" i="1"/>
  <c r="D78" i="1"/>
  <c r="D90" i="1"/>
  <c r="D102" i="1"/>
  <c r="D114" i="1"/>
  <c r="D126" i="1"/>
  <c r="D138" i="1"/>
  <c r="D150" i="1"/>
  <c r="D162" i="1"/>
  <c r="D174" i="1"/>
  <c r="D186" i="1"/>
  <c r="D198" i="1"/>
  <c r="D210" i="1"/>
  <c r="D222" i="1"/>
  <c r="D234" i="1"/>
  <c r="D246" i="1"/>
  <c r="D258" i="1"/>
  <c r="D270" i="1"/>
  <c r="D282" i="1"/>
  <c r="D294" i="1"/>
  <c r="D306" i="1"/>
  <c r="D318" i="1"/>
  <c r="D330" i="1"/>
  <c r="D342" i="1"/>
  <c r="D354" i="1"/>
  <c r="D366" i="1"/>
  <c r="D378" i="1"/>
  <c r="D390" i="1"/>
  <c r="D402" i="1"/>
  <c r="D414" i="1"/>
  <c r="D426" i="1"/>
  <c r="D438" i="1"/>
  <c r="D450" i="1"/>
  <c r="D462" i="1"/>
  <c r="D474" i="1"/>
  <c r="D486" i="1"/>
  <c r="D498" i="1"/>
  <c r="D8" i="1"/>
  <c r="D92" i="1"/>
  <c r="D116" i="1"/>
  <c r="D140" i="1"/>
  <c r="D164" i="1"/>
  <c r="D188" i="1"/>
  <c r="D212" i="1"/>
  <c r="D236" i="1"/>
  <c r="D284" i="1"/>
  <c r="D332" i="1"/>
  <c r="D356" i="1"/>
  <c r="D416" i="1"/>
  <c r="D464" i="1"/>
  <c r="D45" i="1"/>
  <c r="D129" i="1"/>
  <c r="D213" i="1"/>
  <c r="D309" i="1"/>
  <c r="D393" i="1"/>
  <c r="D477" i="1"/>
  <c r="D22" i="1"/>
  <c r="D94" i="1"/>
  <c r="D142" i="1"/>
  <c r="D190" i="1"/>
  <c r="D274" i="1"/>
  <c r="D322" i="1"/>
  <c r="D382" i="1"/>
  <c r="D442" i="1"/>
  <c r="D23" i="1"/>
  <c r="D83" i="1"/>
  <c r="D167" i="1"/>
  <c r="D227" i="1"/>
  <c r="D299" i="1"/>
  <c r="D359" i="1"/>
  <c r="D443" i="1"/>
  <c r="D24" i="1"/>
  <c r="D84" i="1"/>
  <c r="D192" i="1"/>
  <c r="D276" i="1"/>
  <c r="D348" i="1"/>
  <c r="D432" i="1"/>
  <c r="D480" i="1"/>
  <c r="D7" i="1"/>
  <c r="D19" i="1"/>
  <c r="D31" i="1"/>
  <c r="D43" i="1"/>
  <c r="D55" i="1"/>
  <c r="D67" i="1"/>
  <c r="D79" i="1"/>
  <c r="D91" i="1"/>
  <c r="D103" i="1"/>
  <c r="D115" i="1"/>
  <c r="D127" i="1"/>
  <c r="D139" i="1"/>
  <c r="D151" i="1"/>
  <c r="D163" i="1"/>
  <c r="D175" i="1"/>
  <c r="D187" i="1"/>
  <c r="D199" i="1"/>
  <c r="D211" i="1"/>
  <c r="D223" i="1"/>
  <c r="D235" i="1"/>
  <c r="D247" i="1"/>
  <c r="D259" i="1"/>
  <c r="D271" i="1"/>
  <c r="D283" i="1"/>
  <c r="D295" i="1"/>
  <c r="D307" i="1"/>
  <c r="D319" i="1"/>
  <c r="D331" i="1"/>
  <c r="D343" i="1"/>
  <c r="D355" i="1"/>
  <c r="D367" i="1"/>
  <c r="D379" i="1"/>
  <c r="D391" i="1"/>
  <c r="D403" i="1"/>
  <c r="D415" i="1"/>
  <c r="D427" i="1"/>
  <c r="D439" i="1"/>
  <c r="D451" i="1"/>
  <c r="D463" i="1"/>
  <c r="D475" i="1"/>
  <c r="D487" i="1"/>
  <c r="D499" i="1"/>
  <c r="D32" i="1"/>
  <c r="D296" i="1"/>
  <c r="D404" i="1"/>
  <c r="D9" i="1"/>
  <c r="D117" i="1"/>
  <c r="D225" i="1"/>
  <c r="D297" i="1"/>
  <c r="D369" i="1"/>
  <c r="D453" i="1"/>
  <c r="D70" i="1"/>
  <c r="D71" i="1"/>
  <c r="D191" i="1"/>
  <c r="D287" i="1"/>
  <c r="D371" i="1"/>
  <c r="D455" i="1"/>
  <c r="D60" i="1"/>
  <c r="D132" i="1"/>
  <c r="D204" i="1"/>
  <c r="D252" i="1"/>
  <c r="D324" i="1"/>
  <c r="D396" i="1"/>
  <c r="D468" i="1"/>
  <c r="D13" i="1"/>
  <c r="D157" i="1"/>
  <c r="D301" i="1"/>
  <c r="D433" i="1"/>
  <c r="D25" i="1"/>
  <c r="D169" i="1"/>
  <c r="D313" i="1"/>
  <c r="D445" i="1"/>
  <c r="D97" i="1"/>
  <c r="D397" i="1"/>
  <c r="D37" i="1"/>
  <c r="D181" i="1"/>
  <c r="D325" i="1"/>
  <c r="D457" i="1"/>
  <c r="D109" i="1"/>
  <c r="D121" i="1"/>
  <c r="D277" i="1"/>
  <c r="D289" i="1"/>
  <c r="D49" i="1"/>
  <c r="D193" i="1"/>
  <c r="D337" i="1"/>
  <c r="D469" i="1"/>
  <c r="D241" i="1"/>
  <c r="D421" i="1"/>
  <c r="D61" i="1"/>
  <c r="D205" i="1"/>
  <c r="D349" i="1"/>
  <c r="D481" i="1"/>
  <c r="D253" i="1"/>
  <c r="D265" i="1"/>
  <c r="D133" i="1"/>
  <c r="D145" i="1"/>
  <c r="D73" i="1"/>
  <c r="D217" i="1"/>
  <c r="D361" i="1"/>
  <c r="D493" i="1"/>
  <c r="D85" i="1"/>
  <c r="D229" i="1"/>
  <c r="D373" i="1"/>
  <c r="D385" i="1"/>
  <c r="D408" i="1"/>
  <c r="D409" i="1"/>
  <c r="C1" i="1"/>
  <c r="R2" i="1"/>
  <c r="F4" i="2"/>
  <c r="I3" i="2" s="1"/>
  <c r="F6" i="6"/>
  <c r="AA2" i="8"/>
  <c r="U2" i="3"/>
  <c r="I2" i="4" s="1"/>
  <c r="F2" i="2"/>
  <c r="F4" i="6"/>
  <c r="I2" i="6"/>
  <c r="P2" i="3"/>
  <c r="E296" i="8"/>
  <c r="F296" i="8" s="1"/>
  <c r="C1" i="8"/>
  <c r="Y1" i="8" s="1"/>
  <c r="F1" i="2"/>
  <c r="G324" i="3"/>
  <c r="G321" i="3"/>
  <c r="G320" i="3"/>
  <c r="G268" i="3"/>
  <c r="G41" i="3"/>
  <c r="G42" i="3"/>
  <c r="H1" i="3"/>
  <c r="I1" i="3" s="1"/>
  <c r="G39" i="3"/>
  <c r="G478" i="3"/>
  <c r="H471" i="3"/>
  <c r="I471" i="3" s="1"/>
  <c r="G241" i="3"/>
  <c r="H6" i="3"/>
  <c r="I6" i="3" s="1"/>
  <c r="G476" i="3"/>
  <c r="H37" i="3"/>
  <c r="I37" i="3" s="1"/>
  <c r="H107" i="3"/>
  <c r="I107" i="3" s="1"/>
  <c r="H172" i="3"/>
  <c r="I172" i="3" s="1"/>
  <c r="H273" i="3"/>
  <c r="I273" i="3" s="1"/>
  <c r="H332" i="3"/>
  <c r="I332" i="3" s="1"/>
  <c r="H381" i="3"/>
  <c r="I381" i="3" s="1"/>
  <c r="H459" i="3"/>
  <c r="I459" i="3" s="1"/>
  <c r="G35" i="3"/>
  <c r="G66" i="3"/>
  <c r="G103" i="3"/>
  <c r="G142" i="3"/>
  <c r="G180" i="3"/>
  <c r="G216" i="3"/>
  <c r="G242" i="3"/>
  <c r="G277" i="3"/>
  <c r="G308" i="3"/>
  <c r="G343" i="3"/>
  <c r="G373" i="3"/>
  <c r="G398" i="3"/>
  <c r="G429" i="3"/>
  <c r="G458" i="3"/>
  <c r="G489" i="3"/>
  <c r="H38" i="3"/>
  <c r="I38" i="3" s="1"/>
  <c r="H110" i="3"/>
  <c r="I110" i="3" s="1"/>
  <c r="H197" i="3"/>
  <c r="I197" i="3" s="1"/>
  <c r="H274" i="3"/>
  <c r="I274" i="3" s="1"/>
  <c r="H333" i="3"/>
  <c r="I333" i="3" s="1"/>
  <c r="H402" i="3"/>
  <c r="I402" i="3" s="1"/>
  <c r="H464" i="3"/>
  <c r="I464" i="3" s="1"/>
  <c r="G37" i="3"/>
  <c r="G74" i="3"/>
  <c r="G104" i="3"/>
  <c r="G145" i="3"/>
  <c r="G183" i="3"/>
  <c r="G218" i="3"/>
  <c r="G252" i="3"/>
  <c r="G278" i="3"/>
  <c r="G312" i="3"/>
  <c r="G344" i="3"/>
  <c r="G375" i="3"/>
  <c r="G407" i="3"/>
  <c r="G430" i="3"/>
  <c r="G461" i="3"/>
  <c r="G490" i="3"/>
  <c r="H39" i="3"/>
  <c r="I39" i="3" s="1"/>
  <c r="H124" i="3"/>
  <c r="I124" i="3" s="1"/>
  <c r="H198" i="3"/>
  <c r="I198" i="3" s="1"/>
  <c r="H275" i="3"/>
  <c r="I275" i="3" s="1"/>
  <c r="H344" i="3"/>
  <c r="I344" i="3" s="1"/>
  <c r="H403" i="3"/>
  <c r="I403" i="3" s="1"/>
  <c r="H465" i="3"/>
  <c r="I465" i="3" s="1"/>
  <c r="G38" i="3"/>
  <c r="G75" i="3"/>
  <c r="G106" i="3"/>
  <c r="G146" i="3"/>
  <c r="G185" i="3"/>
  <c r="G219" i="3"/>
  <c r="G253" i="3"/>
  <c r="G279" i="3"/>
  <c r="G314" i="3"/>
  <c r="G345" i="3"/>
  <c r="G376" i="3"/>
  <c r="G408" i="3"/>
  <c r="G432" i="3"/>
  <c r="H53" i="3"/>
  <c r="I53" i="3" s="1"/>
  <c r="H167" i="3"/>
  <c r="I167" i="3" s="1"/>
  <c r="H277" i="3"/>
  <c r="I277" i="3" s="1"/>
  <c r="H369" i="3"/>
  <c r="I369" i="3" s="1"/>
  <c r="H436" i="3"/>
  <c r="I436" i="3" s="1"/>
  <c r="G60" i="3"/>
  <c r="G119" i="3"/>
  <c r="G160" i="3"/>
  <c r="G205" i="3"/>
  <c r="G254" i="3"/>
  <c r="G293" i="3"/>
  <c r="G329" i="3"/>
  <c r="G377" i="3"/>
  <c r="G416" i="3"/>
  <c r="G454" i="3"/>
  <c r="G488" i="3"/>
  <c r="G1" i="3"/>
  <c r="H211" i="3"/>
  <c r="I211" i="3" s="1"/>
  <c r="H281" i="3"/>
  <c r="I281" i="3" s="1"/>
  <c r="H373" i="3"/>
  <c r="I373" i="3" s="1"/>
  <c r="H467" i="3"/>
  <c r="I467" i="3" s="1"/>
  <c r="G20" i="3"/>
  <c r="G76" i="3"/>
  <c r="G124" i="3"/>
  <c r="G167" i="3"/>
  <c r="G220" i="3"/>
  <c r="G263" i="3"/>
  <c r="G303" i="3"/>
  <c r="G346" i="3"/>
  <c r="G382" i="3"/>
  <c r="G424" i="3"/>
  <c r="G494" i="3"/>
  <c r="H99" i="3"/>
  <c r="I99" i="3" s="1"/>
  <c r="H78" i="3"/>
  <c r="I78" i="3" s="1"/>
  <c r="H170" i="3"/>
  <c r="I170" i="3" s="1"/>
  <c r="H279" i="3"/>
  <c r="I279" i="3" s="1"/>
  <c r="H370" i="3"/>
  <c r="I370" i="3" s="1"/>
  <c r="H442" i="3"/>
  <c r="I442" i="3" s="1"/>
  <c r="G15" i="3"/>
  <c r="G61" i="3"/>
  <c r="G120" i="3"/>
  <c r="G162" i="3"/>
  <c r="G206" i="3"/>
  <c r="G255" i="3"/>
  <c r="G295" i="3"/>
  <c r="G331" i="3"/>
  <c r="G380" i="3"/>
  <c r="G422" i="3"/>
  <c r="G455" i="3"/>
  <c r="G491" i="3"/>
  <c r="H83" i="3"/>
  <c r="I83" i="3" s="1"/>
  <c r="H171" i="3"/>
  <c r="I171" i="3" s="1"/>
  <c r="H280" i="3"/>
  <c r="I280" i="3" s="1"/>
  <c r="H371" i="3"/>
  <c r="I371" i="3" s="1"/>
  <c r="H458" i="3"/>
  <c r="I458" i="3" s="1"/>
  <c r="G16" i="3"/>
  <c r="G63" i="3"/>
  <c r="G123" i="3"/>
  <c r="G163" i="3"/>
  <c r="G214" i="3"/>
  <c r="G262" i="3"/>
  <c r="G297" i="3"/>
  <c r="G341" i="3"/>
  <c r="G381" i="3"/>
  <c r="G423" i="3"/>
  <c r="G456" i="3"/>
  <c r="G493" i="3"/>
  <c r="H93" i="3"/>
  <c r="I93" i="3" s="1"/>
  <c r="G463" i="3"/>
  <c r="H212" i="3"/>
  <c r="I212" i="3" s="1"/>
  <c r="H308" i="3"/>
  <c r="I308" i="3" s="1"/>
  <c r="H379" i="3"/>
  <c r="I379" i="3" s="1"/>
  <c r="H470" i="3"/>
  <c r="I470" i="3" s="1"/>
  <c r="G23" i="3"/>
  <c r="H164" i="3"/>
  <c r="I164" i="3" s="1"/>
  <c r="H319" i="3"/>
  <c r="I319" i="3" s="1"/>
  <c r="H472" i="3"/>
  <c r="I472" i="3" s="1"/>
  <c r="G44" i="3"/>
  <c r="G127" i="3"/>
  <c r="G196" i="3"/>
  <c r="G271" i="3"/>
  <c r="G325" i="3"/>
  <c r="G394" i="3"/>
  <c r="G445" i="3"/>
  <c r="H4" i="3"/>
  <c r="I4" i="3" s="1"/>
  <c r="H166" i="3"/>
  <c r="I166" i="3" s="1"/>
  <c r="H345" i="3"/>
  <c r="I345" i="3" s="1"/>
  <c r="H490" i="3"/>
  <c r="I490" i="3" s="1"/>
  <c r="G58" i="3"/>
  <c r="G137" i="3"/>
  <c r="G199" i="3"/>
  <c r="G272" i="3"/>
  <c r="G327" i="3"/>
  <c r="G395" i="3"/>
  <c r="G446" i="3"/>
  <c r="H9" i="3"/>
  <c r="I9" i="3" s="1"/>
  <c r="H214" i="3"/>
  <c r="I214" i="3" s="1"/>
  <c r="H352" i="3"/>
  <c r="I352" i="3" s="1"/>
  <c r="H494" i="3"/>
  <c r="I494" i="3" s="1"/>
  <c r="G138" i="3"/>
  <c r="G201" i="3"/>
  <c r="G273" i="3"/>
  <c r="G328" i="3"/>
  <c r="G396" i="3"/>
  <c r="G447" i="3"/>
  <c r="H229" i="3"/>
  <c r="I229" i="3" s="1"/>
  <c r="G77" i="3"/>
  <c r="G139" i="3"/>
  <c r="G275" i="3"/>
  <c r="G347" i="3"/>
  <c r="G397" i="3"/>
  <c r="G469" i="3"/>
  <c r="H230" i="3"/>
  <c r="I230" i="3" s="1"/>
  <c r="G224" i="3"/>
  <c r="G409" i="3"/>
  <c r="H46" i="3"/>
  <c r="I46" i="3" s="1"/>
  <c r="G87" i="3"/>
  <c r="G225" i="3"/>
  <c r="G357" i="3"/>
  <c r="G472" i="3"/>
  <c r="H52" i="3"/>
  <c r="I52" i="3" s="1"/>
  <c r="H415" i="3"/>
  <c r="I415" i="3" s="1"/>
  <c r="G159" i="3"/>
  <c r="G237" i="3"/>
  <c r="G358" i="3"/>
  <c r="G473" i="3"/>
  <c r="H250" i="3"/>
  <c r="I250" i="3" s="1"/>
  <c r="G238" i="3"/>
  <c r="G304" i="3"/>
  <c r="G425" i="3"/>
  <c r="G475" i="3"/>
  <c r="H125" i="3"/>
  <c r="I125" i="3" s="1"/>
  <c r="H423" i="3"/>
  <c r="I423" i="3" s="1"/>
  <c r="G99" i="3"/>
  <c r="G179" i="3"/>
  <c r="G305" i="3"/>
  <c r="G428" i="3"/>
  <c r="G59" i="3"/>
  <c r="H31" i="3"/>
  <c r="I31" i="3" s="1"/>
  <c r="H367" i="3"/>
  <c r="I367" i="3" s="1"/>
  <c r="G223" i="3"/>
  <c r="H40" i="3"/>
  <c r="I40" i="3" s="1"/>
  <c r="H380" i="3"/>
  <c r="I380" i="3" s="1"/>
  <c r="G86" i="3"/>
  <c r="G157" i="3"/>
  <c r="G289" i="3"/>
  <c r="G356" i="3"/>
  <c r="G471" i="3"/>
  <c r="H238" i="3"/>
  <c r="I238" i="3" s="1"/>
  <c r="H413" i="3"/>
  <c r="I413" i="3" s="1"/>
  <c r="G158" i="3"/>
  <c r="G290" i="3"/>
  <c r="G410" i="3"/>
  <c r="H241" i="3"/>
  <c r="I241" i="3" s="1"/>
  <c r="G94" i="3"/>
  <c r="G292" i="3"/>
  <c r="G415" i="3"/>
  <c r="H101" i="3"/>
  <c r="I101" i="3" s="1"/>
  <c r="H416" i="3"/>
  <c r="I416" i="3" s="1"/>
  <c r="G95" i="3"/>
  <c r="G170" i="3"/>
  <c r="G359" i="3"/>
  <c r="H272" i="3"/>
  <c r="I272" i="3" s="1"/>
  <c r="G34" i="3"/>
  <c r="G239" i="3"/>
  <c r="G363" i="3"/>
  <c r="G477" i="3"/>
  <c r="H434" i="3"/>
  <c r="I434" i="3" s="1"/>
  <c r="G240" i="3"/>
  <c r="H424" i="3"/>
  <c r="I424" i="3" s="1"/>
  <c r="G443" i="3"/>
  <c r="G194" i="3"/>
  <c r="H318" i="3"/>
  <c r="I318" i="3" s="1"/>
  <c r="G442" i="3"/>
  <c r="G188" i="3"/>
  <c r="H317" i="3"/>
  <c r="I317" i="3" s="1"/>
  <c r="G441" i="3"/>
  <c r="G187" i="3"/>
  <c r="H310" i="3"/>
  <c r="I310" i="3" s="1"/>
  <c r="G393" i="3"/>
  <c r="G125" i="3"/>
  <c r="H157" i="3"/>
  <c r="I157" i="3" s="1"/>
  <c r="G372" i="3"/>
  <c r="G102" i="3"/>
  <c r="H155" i="3"/>
  <c r="I155" i="3" s="1"/>
  <c r="G364" i="3"/>
  <c r="G101" i="3"/>
  <c r="H134" i="3"/>
  <c r="I134" i="3" s="1"/>
  <c r="H77" i="3"/>
  <c r="I77" i="3" s="1"/>
  <c r="G10" i="3"/>
  <c r="H489" i="3"/>
  <c r="I489" i="3" s="1"/>
  <c r="H441" i="3"/>
  <c r="I441" i="3" s="1"/>
  <c r="H400" i="3"/>
  <c r="I400" i="3" s="1"/>
  <c r="H351" i="3"/>
  <c r="I351" i="3" s="1"/>
  <c r="H307" i="3"/>
  <c r="I307" i="3" s="1"/>
  <c r="H249" i="3"/>
  <c r="I249" i="3" s="1"/>
  <c r="H196" i="3"/>
  <c r="I196" i="3" s="1"/>
  <c r="H133" i="3"/>
  <c r="I133" i="3" s="1"/>
  <c r="H17" i="3"/>
  <c r="I17" i="3" s="1"/>
  <c r="H30" i="3"/>
  <c r="I30" i="3" s="1"/>
  <c r="H43" i="3"/>
  <c r="I43" i="3" s="1"/>
  <c r="H56" i="3"/>
  <c r="I56" i="3" s="1"/>
  <c r="H69" i="3"/>
  <c r="I69" i="3" s="1"/>
  <c r="H82" i="3"/>
  <c r="I82" i="3" s="1"/>
  <c r="H95" i="3"/>
  <c r="I95" i="3" s="1"/>
  <c r="H109" i="3"/>
  <c r="I109" i="3" s="1"/>
  <c r="H122" i="3"/>
  <c r="I122" i="3" s="1"/>
  <c r="H135" i="3"/>
  <c r="I135" i="3" s="1"/>
  <c r="H148" i="3"/>
  <c r="I148" i="3" s="1"/>
  <c r="H161" i="3"/>
  <c r="I161" i="3" s="1"/>
  <c r="H174" i="3"/>
  <c r="I174" i="3" s="1"/>
  <c r="H187" i="3"/>
  <c r="I187" i="3" s="1"/>
  <c r="H200" i="3"/>
  <c r="I200" i="3" s="1"/>
  <c r="H213" i="3"/>
  <c r="I213" i="3" s="1"/>
  <c r="H226" i="3"/>
  <c r="I226" i="3" s="1"/>
  <c r="H239" i="3"/>
  <c r="I239" i="3" s="1"/>
  <c r="H253" i="3"/>
  <c r="I253" i="3" s="1"/>
  <c r="H266" i="3"/>
  <c r="I266" i="3" s="1"/>
  <c r="H16" i="3"/>
  <c r="I16" i="3" s="1"/>
  <c r="H32" i="3"/>
  <c r="I32" i="3" s="1"/>
  <c r="H49" i="3"/>
  <c r="I49" i="3" s="1"/>
  <c r="H64" i="3"/>
  <c r="I64" i="3" s="1"/>
  <c r="H79" i="3"/>
  <c r="I79" i="3" s="1"/>
  <c r="H94" i="3"/>
  <c r="I94" i="3" s="1"/>
  <c r="H111" i="3"/>
  <c r="I111" i="3" s="1"/>
  <c r="H127" i="3"/>
  <c r="I127" i="3" s="1"/>
  <c r="H142" i="3"/>
  <c r="I142" i="3" s="1"/>
  <c r="H158" i="3"/>
  <c r="I158" i="3" s="1"/>
  <c r="H173" i="3"/>
  <c r="I173" i="3" s="1"/>
  <c r="H189" i="3"/>
  <c r="I189" i="3" s="1"/>
  <c r="H206" i="3"/>
  <c r="I206" i="3" s="1"/>
  <c r="H221" i="3"/>
  <c r="I221" i="3" s="1"/>
  <c r="H236" i="3"/>
  <c r="I236" i="3" s="1"/>
  <c r="H251" i="3"/>
  <c r="I251" i="3" s="1"/>
  <c r="H268" i="3"/>
  <c r="I268" i="3" s="1"/>
  <c r="H282" i="3"/>
  <c r="I282" i="3" s="1"/>
  <c r="H297" i="3"/>
  <c r="I297" i="3" s="1"/>
  <c r="H311" i="3"/>
  <c r="I311" i="3" s="1"/>
  <c r="H326" i="3"/>
  <c r="I326" i="3" s="1"/>
  <c r="H340" i="3"/>
  <c r="I340" i="3" s="1"/>
  <c r="H354" i="3"/>
  <c r="I354" i="3" s="1"/>
  <c r="H368" i="3"/>
  <c r="I368" i="3" s="1"/>
  <c r="H382" i="3"/>
  <c r="I382" i="3" s="1"/>
  <c r="H397" i="3"/>
  <c r="I397" i="3" s="1"/>
  <c r="H411" i="3"/>
  <c r="I411" i="3" s="1"/>
  <c r="H425" i="3"/>
  <c r="I425" i="3" s="1"/>
  <c r="H439" i="3"/>
  <c r="I439" i="3" s="1"/>
  <c r="H454" i="3"/>
  <c r="I454" i="3" s="1"/>
  <c r="H469" i="3"/>
  <c r="I469" i="3" s="1"/>
  <c r="H483" i="3"/>
  <c r="I483" i="3" s="1"/>
  <c r="H497" i="3"/>
  <c r="I497" i="3" s="1"/>
  <c r="G12" i="3"/>
  <c r="G26" i="3"/>
  <c r="G40" i="3"/>
  <c r="G54" i="3"/>
  <c r="G68" i="3"/>
  <c r="G84" i="3"/>
  <c r="G98" i="3"/>
  <c r="G112" i="3"/>
  <c r="G126" i="3"/>
  <c r="G140" i="3"/>
  <c r="G155" i="3"/>
  <c r="G169" i="3"/>
  <c r="G182" i="3"/>
  <c r="G195" i="3"/>
  <c r="G208" i="3"/>
  <c r="G221" i="3"/>
  <c r="G235" i="3"/>
  <c r="G248" i="3"/>
  <c r="G261" i="3"/>
  <c r="G274" i="3"/>
  <c r="G287" i="3"/>
  <c r="G300" i="3"/>
  <c r="G313" i="3"/>
  <c r="G326" i="3"/>
  <c r="G339" i="3"/>
  <c r="G352" i="3"/>
  <c r="G365" i="3"/>
  <c r="G379" i="3"/>
  <c r="G392" i="3"/>
  <c r="G405" i="3"/>
  <c r="G418" i="3"/>
  <c r="G431" i="3"/>
  <c r="G444" i="3"/>
  <c r="G457" i="3"/>
  <c r="G470" i="3"/>
  <c r="G483" i="3"/>
  <c r="G496" i="3"/>
  <c r="H18" i="3"/>
  <c r="I18" i="3" s="1"/>
  <c r="H33" i="3"/>
  <c r="I33" i="3" s="1"/>
  <c r="H50" i="3"/>
  <c r="I50" i="3" s="1"/>
  <c r="H65" i="3"/>
  <c r="I65" i="3" s="1"/>
  <c r="H80" i="3"/>
  <c r="I80" i="3" s="1"/>
  <c r="H97" i="3"/>
  <c r="I97" i="3" s="1"/>
  <c r="H112" i="3"/>
  <c r="I112" i="3" s="1"/>
  <c r="H128" i="3"/>
  <c r="I128" i="3" s="1"/>
  <c r="H143" i="3"/>
  <c r="I143" i="3" s="1"/>
  <c r="H159" i="3"/>
  <c r="I159" i="3" s="1"/>
  <c r="H175" i="3"/>
  <c r="I175" i="3" s="1"/>
  <c r="H190" i="3"/>
  <c r="I190" i="3" s="1"/>
  <c r="H207" i="3"/>
  <c r="I207" i="3" s="1"/>
  <c r="H222" i="3"/>
  <c r="I222" i="3" s="1"/>
  <c r="H237" i="3"/>
  <c r="I237" i="3" s="1"/>
  <c r="H254" i="3"/>
  <c r="I254" i="3" s="1"/>
  <c r="H269" i="3"/>
  <c r="I269" i="3" s="1"/>
  <c r="H284" i="3"/>
  <c r="I284" i="3" s="1"/>
  <c r="H298" i="3"/>
  <c r="I298" i="3" s="1"/>
  <c r="H313" i="3"/>
  <c r="I313" i="3" s="1"/>
  <c r="H327" i="3"/>
  <c r="I327" i="3" s="1"/>
  <c r="H2" i="3"/>
  <c r="I2" i="3" s="1"/>
  <c r="H19" i="3"/>
  <c r="I19" i="3" s="1"/>
  <c r="H35" i="3"/>
  <c r="I35" i="3" s="1"/>
  <c r="H51" i="3"/>
  <c r="I51" i="3" s="1"/>
  <c r="H66" i="3"/>
  <c r="I66" i="3" s="1"/>
  <c r="H81" i="3"/>
  <c r="I81" i="3" s="1"/>
  <c r="H98" i="3"/>
  <c r="I98" i="3" s="1"/>
  <c r="H114" i="3"/>
  <c r="I114" i="3" s="1"/>
  <c r="H129" i="3"/>
  <c r="I129" i="3" s="1"/>
  <c r="H145" i="3"/>
  <c r="I145" i="3" s="1"/>
  <c r="H10" i="3"/>
  <c r="I10" i="3" s="1"/>
  <c r="H27" i="3"/>
  <c r="I27" i="3" s="1"/>
  <c r="H42" i="3"/>
  <c r="I42" i="3" s="1"/>
  <c r="H58" i="3"/>
  <c r="I58" i="3" s="1"/>
  <c r="H75" i="3"/>
  <c r="I75" i="3" s="1"/>
  <c r="H90" i="3"/>
  <c r="I90" i="3" s="1"/>
  <c r="H105" i="3"/>
  <c r="I105" i="3" s="1"/>
  <c r="H121" i="3"/>
  <c r="I121" i="3" s="1"/>
  <c r="H137" i="3"/>
  <c r="I137" i="3" s="1"/>
  <c r="H153" i="3"/>
  <c r="I153" i="3" s="1"/>
  <c r="H169" i="3"/>
  <c r="I169" i="3" s="1"/>
  <c r="H184" i="3"/>
  <c r="I184" i="3" s="1"/>
  <c r="H199" i="3"/>
  <c r="I199" i="3" s="1"/>
  <c r="H215" i="3"/>
  <c r="I215" i="3" s="1"/>
  <c r="H232" i="3"/>
  <c r="I232" i="3" s="1"/>
  <c r="H247" i="3"/>
  <c r="I247" i="3" s="1"/>
  <c r="H262" i="3"/>
  <c r="I262" i="3" s="1"/>
  <c r="H278" i="3"/>
  <c r="I278" i="3" s="1"/>
  <c r="H292" i="3"/>
  <c r="I292" i="3" s="1"/>
  <c r="H306" i="3"/>
  <c r="I306" i="3" s="1"/>
  <c r="H320" i="3"/>
  <c r="I320" i="3" s="1"/>
  <c r="H334" i="3"/>
  <c r="I334" i="3" s="1"/>
  <c r="H350" i="3"/>
  <c r="I350" i="3" s="1"/>
  <c r="H364" i="3"/>
  <c r="I364" i="3" s="1"/>
  <c r="H378" i="3"/>
  <c r="I378" i="3" s="1"/>
  <c r="H392" i="3"/>
  <c r="I392" i="3" s="1"/>
  <c r="H406" i="3"/>
  <c r="I406" i="3" s="1"/>
  <c r="H421" i="3"/>
  <c r="I421" i="3" s="1"/>
  <c r="H435" i="3"/>
  <c r="I435" i="3" s="1"/>
  <c r="H449" i="3"/>
  <c r="I449" i="3" s="1"/>
  <c r="H463" i="3"/>
  <c r="I463" i="3" s="1"/>
  <c r="H477" i="3"/>
  <c r="I477" i="3" s="1"/>
  <c r="H491" i="3"/>
  <c r="I491" i="3" s="1"/>
  <c r="G22" i="3"/>
  <c r="G36" i="3"/>
  <c r="G50" i="3"/>
  <c r="G64" i="3"/>
  <c r="G78" i="3"/>
  <c r="G92" i="3"/>
  <c r="G107" i="3"/>
  <c r="G121" i="3"/>
  <c r="G136" i="3"/>
  <c r="G150" i="3"/>
  <c r="G164" i="3"/>
  <c r="G178" i="3"/>
  <c r="G191" i="3"/>
  <c r="G204" i="3"/>
  <c r="G217" i="3"/>
  <c r="G230" i="3"/>
  <c r="G243" i="3"/>
  <c r="G256" i="3"/>
  <c r="G269" i="3"/>
  <c r="G283" i="3"/>
  <c r="G296" i="3"/>
  <c r="G309" i="3"/>
  <c r="G322" i="3"/>
  <c r="G335" i="3"/>
  <c r="G348" i="3"/>
  <c r="G361" i="3"/>
  <c r="G374" i="3"/>
  <c r="G387" i="3"/>
  <c r="G400" i="3"/>
  <c r="G413" i="3"/>
  <c r="G427" i="3"/>
  <c r="G440" i="3"/>
  <c r="G453" i="3"/>
  <c r="G466" i="3"/>
  <c r="G479" i="3"/>
  <c r="G492" i="3"/>
  <c r="H20" i="3"/>
  <c r="I20" i="3" s="1"/>
  <c r="H41" i="3"/>
  <c r="I41" i="3" s="1"/>
  <c r="H67" i="3"/>
  <c r="I67" i="3" s="1"/>
  <c r="H89" i="3"/>
  <c r="I89" i="3" s="1"/>
  <c r="H115" i="3"/>
  <c r="I115" i="3" s="1"/>
  <c r="H136" i="3"/>
  <c r="I136" i="3" s="1"/>
  <c r="H160" i="3"/>
  <c r="I160" i="3" s="1"/>
  <c r="H181" i="3"/>
  <c r="I181" i="3" s="1"/>
  <c r="H201" i="3"/>
  <c r="I201" i="3" s="1"/>
  <c r="H223" i="3"/>
  <c r="I223" i="3" s="1"/>
  <c r="H243" i="3"/>
  <c r="I243" i="3" s="1"/>
  <c r="H263" i="3"/>
  <c r="I263" i="3" s="1"/>
  <c r="H285" i="3"/>
  <c r="I285" i="3" s="1"/>
  <c r="H303" i="3"/>
  <c r="I303" i="3" s="1"/>
  <c r="H321" i="3"/>
  <c r="I321" i="3" s="1"/>
  <c r="H341" i="3"/>
  <c r="I341" i="3" s="1"/>
  <c r="H357" i="3"/>
  <c r="I357" i="3" s="1"/>
  <c r="H374" i="3"/>
  <c r="I374" i="3" s="1"/>
  <c r="H391" i="3"/>
  <c r="I391" i="3" s="1"/>
  <c r="H409" i="3"/>
  <c r="I409" i="3" s="1"/>
  <c r="H426" i="3"/>
  <c r="I426" i="3" s="1"/>
  <c r="H443" i="3"/>
  <c r="I443" i="3" s="1"/>
  <c r="H460" i="3"/>
  <c r="I460" i="3" s="1"/>
  <c r="H476" i="3"/>
  <c r="I476" i="3" s="1"/>
  <c r="H495" i="3"/>
  <c r="I495" i="3" s="1"/>
  <c r="H22" i="3"/>
  <c r="I22" i="3" s="1"/>
  <c r="H44" i="3"/>
  <c r="I44" i="3" s="1"/>
  <c r="H68" i="3"/>
  <c r="I68" i="3" s="1"/>
  <c r="H91" i="3"/>
  <c r="I91" i="3" s="1"/>
  <c r="H116" i="3"/>
  <c r="I116" i="3" s="1"/>
  <c r="H138" i="3"/>
  <c r="I138" i="3" s="1"/>
  <c r="H162" i="3"/>
  <c r="I162" i="3" s="1"/>
  <c r="H182" i="3"/>
  <c r="I182" i="3" s="1"/>
  <c r="H202" i="3"/>
  <c r="I202" i="3" s="1"/>
  <c r="H224" i="3"/>
  <c r="I224" i="3" s="1"/>
  <c r="H245" i="3"/>
  <c r="I245" i="3" s="1"/>
  <c r="H265" i="3"/>
  <c r="I265" i="3" s="1"/>
  <c r="H286" i="3"/>
  <c r="I286" i="3" s="1"/>
  <c r="H304" i="3"/>
  <c r="I304" i="3" s="1"/>
  <c r="H323" i="3"/>
  <c r="I323" i="3" s="1"/>
  <c r="H342" i="3"/>
  <c r="I342" i="3" s="1"/>
  <c r="H358" i="3"/>
  <c r="I358" i="3" s="1"/>
  <c r="H376" i="3"/>
  <c r="I376" i="3" s="1"/>
  <c r="H393" i="3"/>
  <c r="I393" i="3" s="1"/>
  <c r="H410" i="3"/>
  <c r="I410" i="3" s="1"/>
  <c r="H428" i="3"/>
  <c r="I428" i="3" s="1"/>
  <c r="H445" i="3"/>
  <c r="I445" i="3" s="1"/>
  <c r="H461" i="3"/>
  <c r="I461" i="3" s="1"/>
  <c r="H478" i="3"/>
  <c r="I478" i="3" s="1"/>
  <c r="H496" i="3"/>
  <c r="I496" i="3" s="1"/>
  <c r="H23" i="3"/>
  <c r="I23" i="3" s="1"/>
  <c r="H45" i="3"/>
  <c r="I45" i="3" s="1"/>
  <c r="H70" i="3"/>
  <c r="I70" i="3" s="1"/>
  <c r="H92" i="3"/>
  <c r="I92" i="3" s="1"/>
  <c r="H117" i="3"/>
  <c r="I117" i="3" s="1"/>
  <c r="H140" i="3"/>
  <c r="I140" i="3" s="1"/>
  <c r="H163" i="3"/>
  <c r="I163" i="3" s="1"/>
  <c r="H183" i="3"/>
  <c r="I183" i="3" s="1"/>
  <c r="H203" i="3"/>
  <c r="I203" i="3" s="1"/>
  <c r="H225" i="3"/>
  <c r="I225" i="3" s="1"/>
  <c r="H246" i="3"/>
  <c r="I246" i="3" s="1"/>
  <c r="H267" i="3"/>
  <c r="I267" i="3" s="1"/>
  <c r="H287" i="3"/>
  <c r="I287" i="3" s="1"/>
  <c r="H305" i="3"/>
  <c r="I305" i="3" s="1"/>
  <c r="H325" i="3"/>
  <c r="I325" i="3" s="1"/>
  <c r="H343" i="3"/>
  <c r="I343" i="3" s="1"/>
  <c r="H359" i="3"/>
  <c r="I359" i="3" s="1"/>
  <c r="H377" i="3"/>
  <c r="I377" i="3" s="1"/>
  <c r="H394" i="3"/>
  <c r="I394" i="3" s="1"/>
  <c r="H412" i="3"/>
  <c r="I412" i="3" s="1"/>
  <c r="H429" i="3"/>
  <c r="I429" i="3" s="1"/>
  <c r="H446" i="3"/>
  <c r="I446" i="3" s="1"/>
  <c r="H462" i="3"/>
  <c r="I462" i="3" s="1"/>
  <c r="H481" i="3"/>
  <c r="I481" i="3" s="1"/>
  <c r="H498" i="3"/>
  <c r="I498" i="3" s="1"/>
  <c r="H25" i="3"/>
  <c r="I25" i="3" s="1"/>
  <c r="H54" i="3"/>
  <c r="I54" i="3" s="1"/>
  <c r="H85" i="3"/>
  <c r="I85" i="3" s="1"/>
  <c r="H118" i="3"/>
  <c r="I118" i="3" s="1"/>
  <c r="H149" i="3"/>
  <c r="I149" i="3" s="1"/>
  <c r="H176" i="3"/>
  <c r="I176" i="3" s="1"/>
  <c r="H208" i="3"/>
  <c r="I208" i="3" s="1"/>
  <c r="H233" i="3"/>
  <c r="I233" i="3" s="1"/>
  <c r="H259" i="3"/>
  <c r="I259" i="3" s="1"/>
  <c r="H289" i="3"/>
  <c r="I289" i="3" s="1"/>
  <c r="H314" i="3"/>
  <c r="I314" i="3" s="1"/>
  <c r="H337" i="3"/>
  <c r="I337" i="3" s="1"/>
  <c r="H361" i="3"/>
  <c r="I361" i="3" s="1"/>
  <c r="H383" i="3"/>
  <c r="I383" i="3" s="1"/>
  <c r="H404" i="3"/>
  <c r="I404" i="3" s="1"/>
  <c r="H430" i="3"/>
  <c r="I430" i="3" s="1"/>
  <c r="H451" i="3"/>
  <c r="I451" i="3" s="1"/>
  <c r="H473" i="3"/>
  <c r="I473" i="3" s="1"/>
  <c r="H499" i="3"/>
  <c r="I499" i="3" s="1"/>
  <c r="G28" i="3"/>
  <c r="G46" i="3"/>
  <c r="G62" i="3"/>
  <c r="G79" i="3"/>
  <c r="G97" i="3"/>
  <c r="G114" i="3"/>
  <c r="G131" i="3"/>
  <c r="G147" i="3"/>
  <c r="G166" i="3"/>
  <c r="G181" i="3"/>
  <c r="G197" i="3"/>
  <c r="G213" i="3"/>
  <c r="G228" i="3"/>
  <c r="G244" i="3"/>
  <c r="G260" i="3"/>
  <c r="G276" i="3"/>
  <c r="G291" i="3"/>
  <c r="G307" i="3"/>
  <c r="G323" i="3"/>
  <c r="G338" i="3"/>
  <c r="G355" i="3"/>
  <c r="G370" i="3"/>
  <c r="G385" i="3"/>
  <c r="G401" i="3"/>
  <c r="H26" i="3"/>
  <c r="I26" i="3" s="1"/>
  <c r="H55" i="3"/>
  <c r="I55" i="3" s="1"/>
  <c r="H86" i="3"/>
  <c r="I86" i="3" s="1"/>
  <c r="H119" i="3"/>
  <c r="I119" i="3" s="1"/>
  <c r="H150" i="3"/>
  <c r="I150" i="3" s="1"/>
  <c r="H177" i="3"/>
  <c r="I177" i="3" s="1"/>
  <c r="H209" i="3"/>
  <c r="I209" i="3" s="1"/>
  <c r="H234" i="3"/>
  <c r="I234" i="3" s="1"/>
  <c r="H260" i="3"/>
  <c r="I260" i="3" s="1"/>
  <c r="H290" i="3"/>
  <c r="I290" i="3" s="1"/>
  <c r="H315" i="3"/>
  <c r="I315" i="3" s="1"/>
  <c r="H338" i="3"/>
  <c r="I338" i="3" s="1"/>
  <c r="H363" i="3"/>
  <c r="I363" i="3" s="1"/>
  <c r="H385" i="3"/>
  <c r="I385" i="3" s="1"/>
  <c r="H405" i="3"/>
  <c r="I405" i="3" s="1"/>
  <c r="H431" i="3"/>
  <c r="I431" i="3" s="1"/>
  <c r="H452" i="3"/>
  <c r="I452" i="3" s="1"/>
  <c r="H474" i="3"/>
  <c r="I474" i="3" s="1"/>
  <c r="H500" i="3"/>
  <c r="I500" i="3" s="1"/>
  <c r="G13" i="3"/>
  <c r="G29" i="3"/>
  <c r="H28" i="3"/>
  <c r="I28" i="3" s="1"/>
  <c r="H57" i="3"/>
  <c r="I57" i="3" s="1"/>
  <c r="H88" i="3"/>
  <c r="I88" i="3" s="1"/>
  <c r="H123" i="3"/>
  <c r="I123" i="3" s="1"/>
  <c r="H151" i="3"/>
  <c r="I151" i="3" s="1"/>
  <c r="H179" i="3"/>
  <c r="I179" i="3" s="1"/>
  <c r="H210" i="3"/>
  <c r="I210" i="3" s="1"/>
  <c r="H235" i="3"/>
  <c r="I235" i="3" s="1"/>
  <c r="H261" i="3"/>
  <c r="I261" i="3" s="1"/>
  <c r="H291" i="3"/>
  <c r="I291" i="3" s="1"/>
  <c r="H316" i="3"/>
  <c r="I316" i="3" s="1"/>
  <c r="H339" i="3"/>
  <c r="I339" i="3" s="1"/>
  <c r="H365" i="3"/>
  <c r="I365" i="3" s="1"/>
  <c r="H386" i="3"/>
  <c r="I386" i="3" s="1"/>
  <c r="H407" i="3"/>
  <c r="I407" i="3" s="1"/>
  <c r="H433" i="3"/>
  <c r="I433" i="3" s="1"/>
  <c r="H455" i="3"/>
  <c r="I455" i="3" s="1"/>
  <c r="H475" i="3"/>
  <c r="I475" i="3" s="1"/>
  <c r="G14" i="3"/>
  <c r="G31" i="3"/>
  <c r="G48" i="3"/>
  <c r="G65" i="3"/>
  <c r="G82" i="3"/>
  <c r="G100" i="3"/>
  <c r="G116" i="3"/>
  <c r="G133" i="3"/>
  <c r="G151" i="3"/>
  <c r="G168" i="3"/>
  <c r="G184" i="3"/>
  <c r="G200" i="3"/>
  <c r="G215" i="3"/>
  <c r="G231" i="3"/>
  <c r="G247" i="3"/>
  <c r="H13" i="3"/>
  <c r="I13" i="3" s="1"/>
  <c r="H59" i="3"/>
  <c r="I59" i="3" s="1"/>
  <c r="H102" i="3"/>
  <c r="I102" i="3" s="1"/>
  <c r="H141" i="3"/>
  <c r="I141" i="3" s="1"/>
  <c r="H185" i="3"/>
  <c r="I185" i="3" s="1"/>
  <c r="H217" i="3"/>
  <c r="I217" i="3" s="1"/>
  <c r="H255" i="3"/>
  <c r="I255" i="3" s="1"/>
  <c r="H293" i="3"/>
  <c r="I293" i="3" s="1"/>
  <c r="H328" i="3"/>
  <c r="I328" i="3" s="1"/>
  <c r="H353" i="3"/>
  <c r="I353" i="3" s="1"/>
  <c r="H387" i="3"/>
  <c r="I387" i="3" s="1"/>
  <c r="H417" i="3"/>
  <c r="I417" i="3" s="1"/>
  <c r="H447" i="3"/>
  <c r="I447" i="3" s="1"/>
  <c r="H482" i="3"/>
  <c r="I482" i="3" s="1"/>
  <c r="G2" i="3"/>
  <c r="G24" i="3"/>
  <c r="G47" i="3"/>
  <c r="G67" i="3"/>
  <c r="G88" i="3"/>
  <c r="G108" i="3"/>
  <c r="G128" i="3"/>
  <c r="G149" i="3"/>
  <c r="G171" i="3"/>
  <c r="G189" i="3"/>
  <c r="G207" i="3"/>
  <c r="G226" i="3"/>
  <c r="G245" i="3"/>
  <c r="G264" i="3"/>
  <c r="G280" i="3"/>
  <c r="G298" i="3"/>
  <c r="G315" i="3"/>
  <c r="G332" i="3"/>
  <c r="G349" i="3"/>
  <c r="G367" i="3"/>
  <c r="G383" i="3"/>
  <c r="G399" i="3"/>
  <c r="G417" i="3"/>
  <c r="G433" i="3"/>
  <c r="G448" i="3"/>
  <c r="G464" i="3"/>
  <c r="G480" i="3"/>
  <c r="G495" i="3"/>
  <c r="H71" i="3"/>
  <c r="I71" i="3" s="1"/>
  <c r="H271" i="3"/>
  <c r="I271" i="3" s="1"/>
  <c r="H395" i="3"/>
  <c r="I395" i="3" s="1"/>
  <c r="H422" i="3"/>
  <c r="I422" i="3" s="1"/>
  <c r="H486" i="3"/>
  <c r="I486" i="3" s="1"/>
  <c r="G73" i="3"/>
  <c r="G156" i="3"/>
  <c r="G193" i="3"/>
  <c r="G251" i="3"/>
  <c r="G302" i="3"/>
  <c r="G353" i="3"/>
  <c r="G406" i="3"/>
  <c r="G421" i="3"/>
  <c r="G436" i="3"/>
  <c r="G484" i="3"/>
  <c r="G500" i="3"/>
  <c r="H14" i="3"/>
  <c r="I14" i="3" s="1"/>
  <c r="H62" i="3"/>
  <c r="I62" i="3" s="1"/>
  <c r="H103" i="3"/>
  <c r="I103" i="3" s="1"/>
  <c r="H146" i="3"/>
  <c r="I146" i="3" s="1"/>
  <c r="H186" i="3"/>
  <c r="I186" i="3" s="1"/>
  <c r="H219" i="3"/>
  <c r="I219" i="3" s="1"/>
  <c r="H256" i="3"/>
  <c r="I256" i="3" s="1"/>
  <c r="H294" i="3"/>
  <c r="I294" i="3" s="1"/>
  <c r="H329" i="3"/>
  <c r="I329" i="3" s="1"/>
  <c r="H355" i="3"/>
  <c r="I355" i="3" s="1"/>
  <c r="H389" i="3"/>
  <c r="I389" i="3" s="1"/>
  <c r="H418" i="3"/>
  <c r="I418" i="3" s="1"/>
  <c r="H448" i="3"/>
  <c r="I448" i="3" s="1"/>
  <c r="H484" i="3"/>
  <c r="I484" i="3" s="1"/>
  <c r="G25" i="3"/>
  <c r="G49" i="3"/>
  <c r="G71" i="3"/>
  <c r="G89" i="3"/>
  <c r="G110" i="3"/>
  <c r="G130" i="3"/>
  <c r="G152" i="3"/>
  <c r="G172" i="3"/>
  <c r="G190" i="3"/>
  <c r="G209" i="3"/>
  <c r="G227" i="3"/>
  <c r="G249" i="3"/>
  <c r="G265" i="3"/>
  <c r="G281" i="3"/>
  <c r="G299" i="3"/>
  <c r="G316" i="3"/>
  <c r="G333" i="3"/>
  <c r="G350" i="3"/>
  <c r="G368" i="3"/>
  <c r="G384" i="3"/>
  <c r="G403" i="3"/>
  <c r="G419" i="3"/>
  <c r="G434" i="3"/>
  <c r="G449" i="3"/>
  <c r="G465" i="3"/>
  <c r="G481" i="3"/>
  <c r="G497" i="3"/>
  <c r="G113" i="3"/>
  <c r="G212" i="3"/>
  <c r="G285" i="3"/>
  <c r="G336" i="3"/>
  <c r="G388" i="3"/>
  <c r="G452" i="3"/>
  <c r="H15" i="3"/>
  <c r="I15" i="3" s="1"/>
  <c r="H63" i="3"/>
  <c r="I63" i="3" s="1"/>
  <c r="H104" i="3"/>
  <c r="I104" i="3" s="1"/>
  <c r="H147" i="3"/>
  <c r="I147" i="3" s="1"/>
  <c r="H188" i="3"/>
  <c r="I188" i="3" s="1"/>
  <c r="H220" i="3"/>
  <c r="I220" i="3" s="1"/>
  <c r="H258" i="3"/>
  <c r="I258" i="3" s="1"/>
  <c r="H295" i="3"/>
  <c r="I295" i="3" s="1"/>
  <c r="H330" i="3"/>
  <c r="I330" i="3" s="1"/>
  <c r="H356" i="3"/>
  <c r="I356" i="3" s="1"/>
  <c r="H390" i="3"/>
  <c r="I390" i="3" s="1"/>
  <c r="H419" i="3"/>
  <c r="I419" i="3" s="1"/>
  <c r="H450" i="3"/>
  <c r="I450" i="3" s="1"/>
  <c r="H485" i="3"/>
  <c r="I485" i="3" s="1"/>
  <c r="G5" i="3"/>
  <c r="G27" i="3"/>
  <c r="G51" i="3"/>
  <c r="G72" i="3"/>
  <c r="G90" i="3"/>
  <c r="G111" i="3"/>
  <c r="G132" i="3"/>
  <c r="G154" i="3"/>
  <c r="G173" i="3"/>
  <c r="G192" i="3"/>
  <c r="G211" i="3"/>
  <c r="G229" i="3"/>
  <c r="G250" i="3"/>
  <c r="G266" i="3"/>
  <c r="G284" i="3"/>
  <c r="G301" i="3"/>
  <c r="G317" i="3"/>
  <c r="G334" i="3"/>
  <c r="G351" i="3"/>
  <c r="G369" i="3"/>
  <c r="G386" i="3"/>
  <c r="G404" i="3"/>
  <c r="G420" i="3"/>
  <c r="G435" i="3"/>
  <c r="G451" i="3"/>
  <c r="G467" i="3"/>
  <c r="G482" i="3"/>
  <c r="G499" i="3"/>
  <c r="H29" i="3"/>
  <c r="I29" i="3" s="1"/>
  <c r="H106" i="3"/>
  <c r="I106" i="3" s="1"/>
  <c r="H154" i="3"/>
  <c r="I154" i="3" s="1"/>
  <c r="H193" i="3"/>
  <c r="I193" i="3" s="1"/>
  <c r="H227" i="3"/>
  <c r="I227" i="3" s="1"/>
  <c r="H299" i="3"/>
  <c r="I299" i="3" s="1"/>
  <c r="H331" i="3"/>
  <c r="I331" i="3" s="1"/>
  <c r="H366" i="3"/>
  <c r="I366" i="3" s="1"/>
  <c r="H457" i="3"/>
  <c r="I457" i="3" s="1"/>
  <c r="G32" i="3"/>
  <c r="G52" i="3"/>
  <c r="G91" i="3"/>
  <c r="G134" i="3"/>
  <c r="G175" i="3"/>
  <c r="G232" i="3"/>
  <c r="G267" i="3"/>
  <c r="G319" i="3"/>
  <c r="G371" i="3"/>
  <c r="G468" i="3"/>
  <c r="G487" i="3"/>
  <c r="G460" i="3"/>
  <c r="G439" i="3"/>
  <c r="G412" i="3"/>
  <c r="G391" i="3"/>
  <c r="G362" i="3"/>
  <c r="G340" i="3"/>
  <c r="G311" i="3"/>
  <c r="G288" i="3"/>
  <c r="G259" i="3"/>
  <c r="G236" i="3"/>
  <c r="G203" i="3"/>
  <c r="G177" i="3"/>
  <c r="G144" i="3"/>
  <c r="G118" i="3"/>
  <c r="G85" i="3"/>
  <c r="G55" i="3"/>
  <c r="G19" i="3"/>
  <c r="H488" i="3"/>
  <c r="I488" i="3" s="1"/>
  <c r="H438" i="3"/>
  <c r="I438" i="3" s="1"/>
  <c r="H399" i="3"/>
  <c r="I399" i="3" s="1"/>
  <c r="H347" i="3"/>
  <c r="I347" i="3" s="1"/>
  <c r="H302" i="3"/>
  <c r="I302" i="3" s="1"/>
  <c r="H248" i="3"/>
  <c r="I248" i="3" s="1"/>
  <c r="H195" i="3"/>
  <c r="I195" i="3" s="1"/>
  <c r="H131" i="3"/>
  <c r="I131" i="3" s="1"/>
  <c r="H76" i="3"/>
  <c r="I76" i="3" s="1"/>
  <c r="G6" i="3"/>
  <c r="H3" i="3"/>
  <c r="I3" i="3" s="1"/>
  <c r="G3" i="3"/>
  <c r="H11" i="3"/>
  <c r="I11" i="3" s="1"/>
  <c r="G11" i="3"/>
  <c r="G485" i="3"/>
  <c r="G459" i="3"/>
  <c r="G437" i="3"/>
  <c r="G411" i="3"/>
  <c r="G389" i="3"/>
  <c r="G360" i="3"/>
  <c r="G337" i="3"/>
  <c r="G310" i="3"/>
  <c r="G286" i="3"/>
  <c r="G257" i="3"/>
  <c r="G233" i="3"/>
  <c r="G202" i="3"/>
  <c r="G176" i="3"/>
  <c r="G143" i="3"/>
  <c r="G115" i="3"/>
  <c r="G80" i="3"/>
  <c r="G53" i="3"/>
  <c r="G18" i="3"/>
  <c r="H487" i="3"/>
  <c r="I487" i="3" s="1"/>
  <c r="H437" i="3"/>
  <c r="I437" i="3" s="1"/>
  <c r="H398" i="3"/>
  <c r="I398" i="3" s="1"/>
  <c r="H346" i="3"/>
  <c r="I346" i="3" s="1"/>
  <c r="H301" i="3"/>
  <c r="I301" i="3" s="1"/>
  <c r="H242" i="3"/>
  <c r="I242" i="3" s="1"/>
  <c r="H194" i="3"/>
  <c r="I194" i="3" s="1"/>
  <c r="H130" i="3"/>
  <c r="I130" i="3" s="1"/>
  <c r="H73" i="3"/>
  <c r="I73" i="3" s="1"/>
  <c r="H5" i="3"/>
  <c r="I5" i="3" s="1"/>
  <c r="H12" i="3"/>
  <c r="I12" i="3" s="1"/>
  <c r="H24" i="3"/>
  <c r="I24" i="3" s="1"/>
  <c r="H36" i="3"/>
  <c r="I36" i="3" s="1"/>
  <c r="H48" i="3"/>
  <c r="I48" i="3" s="1"/>
  <c r="H60" i="3"/>
  <c r="I60" i="3" s="1"/>
  <c r="H72" i="3"/>
  <c r="I72" i="3" s="1"/>
  <c r="H84" i="3"/>
  <c r="I84" i="3" s="1"/>
  <c r="H96" i="3"/>
  <c r="I96" i="3" s="1"/>
  <c r="H108" i="3"/>
  <c r="I108" i="3" s="1"/>
  <c r="H120" i="3"/>
  <c r="I120" i="3" s="1"/>
  <c r="H132" i="3"/>
  <c r="I132" i="3" s="1"/>
  <c r="H144" i="3"/>
  <c r="I144" i="3" s="1"/>
  <c r="H156" i="3"/>
  <c r="I156" i="3" s="1"/>
  <c r="H168" i="3"/>
  <c r="I168" i="3" s="1"/>
  <c r="H180" i="3"/>
  <c r="I180" i="3" s="1"/>
  <c r="H192" i="3"/>
  <c r="I192" i="3" s="1"/>
  <c r="H204" i="3"/>
  <c r="I204" i="3" s="1"/>
  <c r="H216" i="3"/>
  <c r="I216" i="3" s="1"/>
  <c r="H228" i="3"/>
  <c r="I228" i="3" s="1"/>
  <c r="H240" i="3"/>
  <c r="I240" i="3" s="1"/>
  <c r="H252" i="3"/>
  <c r="I252" i="3" s="1"/>
  <c r="H264" i="3"/>
  <c r="I264" i="3" s="1"/>
  <c r="H276" i="3"/>
  <c r="I276" i="3" s="1"/>
  <c r="H288" i="3"/>
  <c r="I288" i="3" s="1"/>
  <c r="H300" i="3"/>
  <c r="I300" i="3" s="1"/>
  <c r="H312" i="3"/>
  <c r="I312" i="3" s="1"/>
  <c r="H324" i="3"/>
  <c r="I324" i="3" s="1"/>
  <c r="H336" i="3"/>
  <c r="I336" i="3" s="1"/>
  <c r="H348" i="3"/>
  <c r="I348" i="3" s="1"/>
  <c r="H360" i="3"/>
  <c r="I360" i="3" s="1"/>
  <c r="H372" i="3"/>
  <c r="I372" i="3" s="1"/>
  <c r="H384" i="3"/>
  <c r="I384" i="3" s="1"/>
  <c r="H396" i="3"/>
  <c r="I396" i="3" s="1"/>
  <c r="H408" i="3"/>
  <c r="I408" i="3" s="1"/>
  <c r="H420" i="3"/>
  <c r="I420" i="3" s="1"/>
  <c r="H432" i="3"/>
  <c r="I432" i="3" s="1"/>
  <c r="H444" i="3"/>
  <c r="I444" i="3" s="1"/>
  <c r="H456" i="3"/>
  <c r="I456" i="3" s="1"/>
  <c r="H468" i="3"/>
  <c r="I468" i="3" s="1"/>
  <c r="H480" i="3"/>
  <c r="I480" i="3" s="1"/>
  <c r="H492" i="3"/>
  <c r="I492" i="3" s="1"/>
  <c r="G9" i="3"/>
  <c r="G21" i="3"/>
  <c r="G33" i="3"/>
  <c r="G45" i="3"/>
  <c r="G57" i="3"/>
  <c r="G69" i="3"/>
  <c r="G81" i="3"/>
  <c r="G93" i="3"/>
  <c r="G105" i="3"/>
  <c r="G117" i="3"/>
  <c r="G129" i="3"/>
  <c r="G141" i="3"/>
  <c r="G153" i="3"/>
  <c r="G165" i="3"/>
  <c r="G498" i="3"/>
  <c r="G486" i="3"/>
  <c r="G474" i="3"/>
  <c r="G462" i="3"/>
  <c r="G450" i="3"/>
  <c r="G438" i="3"/>
  <c r="G426" i="3"/>
  <c r="G414" i="3"/>
  <c r="G402" i="3"/>
  <c r="G390" i="3"/>
  <c r="G378" i="3"/>
  <c r="G366" i="3"/>
  <c r="G354" i="3"/>
  <c r="G342" i="3"/>
  <c r="G330" i="3"/>
  <c r="G318" i="3"/>
  <c r="G306" i="3"/>
  <c r="G294" i="3"/>
  <c r="G282" i="3"/>
  <c r="G270" i="3"/>
  <c r="G258" i="3"/>
  <c r="G246" i="3"/>
  <c r="G234" i="3"/>
  <c r="G222" i="3"/>
  <c r="G210" i="3"/>
  <c r="G198" i="3"/>
  <c r="G186" i="3"/>
  <c r="G174" i="3"/>
  <c r="G161" i="3"/>
  <c r="G148" i="3"/>
  <c r="G135" i="3"/>
  <c r="G122" i="3"/>
  <c r="G109" i="3"/>
  <c r="G96" i="3"/>
  <c r="G83" i="3"/>
  <c r="G70" i="3"/>
  <c r="G56" i="3"/>
  <c r="G43" i="3"/>
  <c r="G30" i="3"/>
  <c r="G17" i="3"/>
  <c r="G4" i="3"/>
  <c r="H493" i="3"/>
  <c r="I493" i="3" s="1"/>
  <c r="H479" i="3"/>
  <c r="I479" i="3" s="1"/>
  <c r="H466" i="3"/>
  <c r="I466" i="3" s="1"/>
  <c r="H453" i="3"/>
  <c r="I453" i="3" s="1"/>
  <c r="H440" i="3"/>
  <c r="I440" i="3" s="1"/>
  <c r="H427" i="3"/>
  <c r="I427" i="3" s="1"/>
  <c r="H414" i="3"/>
  <c r="I414" i="3" s="1"/>
  <c r="H401" i="3"/>
  <c r="I401" i="3" s="1"/>
  <c r="H388" i="3"/>
  <c r="I388" i="3" s="1"/>
  <c r="H375" i="3"/>
  <c r="I375" i="3" s="1"/>
  <c r="H362" i="3"/>
  <c r="I362" i="3" s="1"/>
  <c r="H349" i="3"/>
  <c r="I349" i="3" s="1"/>
  <c r="H335" i="3"/>
  <c r="I335" i="3" s="1"/>
  <c r="H322" i="3"/>
  <c r="I322" i="3" s="1"/>
  <c r="H309" i="3"/>
  <c r="I309" i="3" s="1"/>
  <c r="H296" i="3"/>
  <c r="I296" i="3" s="1"/>
  <c r="H283" i="3"/>
  <c r="I283" i="3" s="1"/>
  <c r="H270" i="3"/>
  <c r="I270" i="3" s="1"/>
  <c r="H257" i="3"/>
  <c r="I257" i="3" s="1"/>
  <c r="H244" i="3"/>
  <c r="I244" i="3" s="1"/>
  <c r="H231" i="3"/>
  <c r="I231" i="3" s="1"/>
  <c r="H218" i="3"/>
  <c r="I218" i="3" s="1"/>
  <c r="H205" i="3"/>
  <c r="I205" i="3" s="1"/>
  <c r="H191" i="3"/>
  <c r="I191" i="3" s="1"/>
  <c r="H178" i="3"/>
  <c r="I178" i="3" s="1"/>
  <c r="H165" i="3"/>
  <c r="I165" i="3" s="1"/>
  <c r="H152" i="3"/>
  <c r="I152" i="3" s="1"/>
  <c r="H139" i="3"/>
  <c r="I139" i="3" s="1"/>
  <c r="H126" i="3"/>
  <c r="I126" i="3" s="1"/>
  <c r="H113" i="3"/>
  <c r="I113" i="3" s="1"/>
  <c r="H100" i="3"/>
  <c r="I100" i="3" s="1"/>
  <c r="H87" i="3"/>
  <c r="I87" i="3" s="1"/>
  <c r="H74" i="3"/>
  <c r="I74" i="3" s="1"/>
  <c r="H61" i="3"/>
  <c r="I61" i="3" s="1"/>
  <c r="H47" i="3"/>
  <c r="I47" i="3" s="1"/>
  <c r="H34" i="3"/>
  <c r="I34" i="3" s="1"/>
  <c r="H21" i="3"/>
  <c r="I21" i="3" s="1"/>
  <c r="I3" i="6" l="1"/>
  <c r="V1" i="8"/>
  <c r="I2" i="2"/>
  <c r="W1" i="8"/>
  <c r="P1" i="8" s="1"/>
  <c r="P3" i="3"/>
  <c r="P4" i="3" s="1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E8" i="1"/>
  <c r="F8" i="1" s="1"/>
  <c r="E20" i="1"/>
  <c r="F20" i="1" s="1"/>
  <c r="G20" i="1" s="1"/>
  <c r="E9" i="1"/>
  <c r="F9" i="1" s="1"/>
  <c r="E11" i="1"/>
  <c r="F11" i="1" s="1"/>
  <c r="E13" i="1"/>
  <c r="F13" i="1" s="1"/>
  <c r="E2" i="1"/>
  <c r="F2" i="1" s="1"/>
  <c r="E14" i="1"/>
  <c r="F14" i="1" s="1"/>
  <c r="E6" i="1"/>
  <c r="F6" i="1" s="1"/>
  <c r="E18" i="1"/>
  <c r="F18" i="1" s="1"/>
  <c r="E17" i="1"/>
  <c r="F17" i="1" s="1"/>
  <c r="E31" i="1"/>
  <c r="F31" i="1" s="1"/>
  <c r="E43" i="1"/>
  <c r="F43" i="1" s="1"/>
  <c r="E55" i="1"/>
  <c r="F55" i="1" s="1"/>
  <c r="G55" i="1" s="1"/>
  <c r="E67" i="1"/>
  <c r="F67" i="1" s="1"/>
  <c r="G67" i="1" s="1"/>
  <c r="E79" i="1"/>
  <c r="F79" i="1" s="1"/>
  <c r="E91" i="1"/>
  <c r="F91" i="1" s="1"/>
  <c r="E103" i="1"/>
  <c r="F103" i="1" s="1"/>
  <c r="E115" i="1"/>
  <c r="F115" i="1" s="1"/>
  <c r="I115" i="1" s="1"/>
  <c r="E127" i="1"/>
  <c r="F127" i="1" s="1"/>
  <c r="E139" i="1"/>
  <c r="F139" i="1" s="1"/>
  <c r="E151" i="1"/>
  <c r="F151" i="1" s="1"/>
  <c r="E163" i="1"/>
  <c r="F163" i="1" s="1"/>
  <c r="E175" i="1"/>
  <c r="F175" i="1" s="1"/>
  <c r="E187" i="1"/>
  <c r="F187" i="1" s="1"/>
  <c r="E199" i="1"/>
  <c r="F199" i="1" s="1"/>
  <c r="E211" i="1"/>
  <c r="F211" i="1" s="1"/>
  <c r="E223" i="1"/>
  <c r="F223" i="1" s="1"/>
  <c r="E235" i="1"/>
  <c r="F235" i="1" s="1"/>
  <c r="G235" i="1" s="1"/>
  <c r="E247" i="1"/>
  <c r="F247" i="1" s="1"/>
  <c r="E259" i="1"/>
  <c r="F259" i="1" s="1"/>
  <c r="G259" i="1" s="1"/>
  <c r="E271" i="1"/>
  <c r="F271" i="1" s="1"/>
  <c r="E283" i="1"/>
  <c r="F283" i="1" s="1"/>
  <c r="G283" i="1" s="1"/>
  <c r="E295" i="1"/>
  <c r="F295" i="1" s="1"/>
  <c r="G295" i="1" s="1"/>
  <c r="E307" i="1"/>
  <c r="F307" i="1" s="1"/>
  <c r="E319" i="1"/>
  <c r="F319" i="1" s="1"/>
  <c r="I319" i="1" s="1"/>
  <c r="E331" i="1"/>
  <c r="F331" i="1" s="1"/>
  <c r="E343" i="1"/>
  <c r="F343" i="1" s="1"/>
  <c r="E355" i="1"/>
  <c r="F355" i="1" s="1"/>
  <c r="E367" i="1"/>
  <c r="F367" i="1" s="1"/>
  <c r="G367" i="1" s="1"/>
  <c r="E379" i="1"/>
  <c r="F379" i="1" s="1"/>
  <c r="I379" i="1" s="1"/>
  <c r="E391" i="1"/>
  <c r="F391" i="1" s="1"/>
  <c r="E403" i="1"/>
  <c r="F403" i="1" s="1"/>
  <c r="E415" i="1"/>
  <c r="F415" i="1" s="1"/>
  <c r="E427" i="1"/>
  <c r="F427" i="1" s="1"/>
  <c r="E439" i="1"/>
  <c r="F439" i="1" s="1"/>
  <c r="E451" i="1"/>
  <c r="F451" i="1" s="1"/>
  <c r="I451" i="1" s="1"/>
  <c r="E463" i="1"/>
  <c r="F463" i="1" s="1"/>
  <c r="E475" i="1"/>
  <c r="F475" i="1" s="1"/>
  <c r="E487" i="1"/>
  <c r="F487" i="1" s="1"/>
  <c r="E499" i="1"/>
  <c r="F499" i="1" s="1"/>
  <c r="G499" i="1" s="1"/>
  <c r="E19" i="1"/>
  <c r="F19" i="1" s="1"/>
  <c r="E32" i="1"/>
  <c r="F32" i="1" s="1"/>
  <c r="E44" i="1"/>
  <c r="F44" i="1" s="1"/>
  <c r="E56" i="1"/>
  <c r="F56" i="1" s="1"/>
  <c r="E68" i="1"/>
  <c r="F68" i="1" s="1"/>
  <c r="E80" i="1"/>
  <c r="F80" i="1" s="1"/>
  <c r="E92" i="1"/>
  <c r="F92" i="1" s="1"/>
  <c r="E104" i="1"/>
  <c r="F104" i="1" s="1"/>
  <c r="E116" i="1"/>
  <c r="F116" i="1" s="1"/>
  <c r="E128" i="1"/>
  <c r="F128" i="1" s="1"/>
  <c r="E140" i="1"/>
  <c r="F140" i="1" s="1"/>
  <c r="E21" i="1"/>
  <c r="F21" i="1" s="1"/>
  <c r="E33" i="1"/>
  <c r="F33" i="1" s="1"/>
  <c r="G33" i="1" s="1"/>
  <c r="E45" i="1"/>
  <c r="F45" i="1" s="1"/>
  <c r="I45" i="1" s="1"/>
  <c r="E57" i="1"/>
  <c r="F57" i="1" s="1"/>
  <c r="E69" i="1"/>
  <c r="F69" i="1" s="1"/>
  <c r="E81" i="1"/>
  <c r="F81" i="1" s="1"/>
  <c r="E93" i="1"/>
  <c r="F93" i="1" s="1"/>
  <c r="E105" i="1"/>
  <c r="F105" i="1" s="1"/>
  <c r="E117" i="1"/>
  <c r="F117" i="1" s="1"/>
  <c r="E129" i="1"/>
  <c r="F129" i="1" s="1"/>
  <c r="E141" i="1"/>
  <c r="F141" i="1" s="1"/>
  <c r="G141" i="1" s="1"/>
  <c r="E153" i="1"/>
  <c r="F153" i="1" s="1"/>
  <c r="E165" i="1"/>
  <c r="F165" i="1" s="1"/>
  <c r="E22" i="1"/>
  <c r="F22" i="1" s="1"/>
  <c r="E34" i="1"/>
  <c r="F34" i="1" s="1"/>
  <c r="E46" i="1"/>
  <c r="F46" i="1" s="1"/>
  <c r="E58" i="1"/>
  <c r="F58" i="1" s="1"/>
  <c r="E70" i="1"/>
  <c r="F70" i="1" s="1"/>
  <c r="E82" i="1"/>
  <c r="F82" i="1" s="1"/>
  <c r="E94" i="1"/>
  <c r="F94" i="1" s="1"/>
  <c r="E106" i="1"/>
  <c r="F106" i="1" s="1"/>
  <c r="E118" i="1"/>
  <c r="F118" i="1" s="1"/>
  <c r="E130" i="1"/>
  <c r="F130" i="1" s="1"/>
  <c r="E142" i="1"/>
  <c r="F142" i="1" s="1"/>
  <c r="G142" i="1" s="1"/>
  <c r="E154" i="1"/>
  <c r="F154" i="1" s="1"/>
  <c r="G154" i="1" s="1"/>
  <c r="E166" i="1"/>
  <c r="F166" i="1" s="1"/>
  <c r="I166" i="1" s="1"/>
  <c r="E178" i="1"/>
  <c r="F178" i="1" s="1"/>
  <c r="E190" i="1"/>
  <c r="F190" i="1" s="1"/>
  <c r="E202" i="1"/>
  <c r="F202" i="1" s="1"/>
  <c r="E214" i="1"/>
  <c r="F214" i="1" s="1"/>
  <c r="E226" i="1"/>
  <c r="F226" i="1" s="1"/>
  <c r="E238" i="1"/>
  <c r="F238" i="1" s="1"/>
  <c r="E250" i="1"/>
  <c r="F250" i="1" s="1"/>
  <c r="E262" i="1"/>
  <c r="F262" i="1" s="1"/>
  <c r="I262" i="1" s="1"/>
  <c r="E274" i="1"/>
  <c r="F274" i="1" s="1"/>
  <c r="I274" i="1" s="1"/>
  <c r="E286" i="1"/>
  <c r="F286" i="1" s="1"/>
  <c r="E298" i="1"/>
  <c r="F298" i="1" s="1"/>
  <c r="I298" i="1" s="1"/>
  <c r="E310" i="1"/>
  <c r="F310" i="1" s="1"/>
  <c r="E322" i="1"/>
  <c r="F322" i="1" s="1"/>
  <c r="E334" i="1"/>
  <c r="F334" i="1" s="1"/>
  <c r="E346" i="1"/>
  <c r="F346" i="1" s="1"/>
  <c r="E358" i="1"/>
  <c r="F358" i="1" s="1"/>
  <c r="I358" i="1" s="1"/>
  <c r="E370" i="1"/>
  <c r="F370" i="1" s="1"/>
  <c r="E382" i="1"/>
  <c r="F382" i="1" s="1"/>
  <c r="E394" i="1"/>
  <c r="F394" i="1" s="1"/>
  <c r="I394" i="1" s="1"/>
  <c r="E406" i="1"/>
  <c r="F406" i="1" s="1"/>
  <c r="E418" i="1"/>
  <c r="F418" i="1" s="1"/>
  <c r="E430" i="1"/>
  <c r="F430" i="1" s="1"/>
  <c r="E442" i="1"/>
  <c r="F442" i="1" s="1"/>
  <c r="E454" i="1"/>
  <c r="F454" i="1" s="1"/>
  <c r="E466" i="1"/>
  <c r="F466" i="1" s="1"/>
  <c r="E478" i="1"/>
  <c r="F478" i="1" s="1"/>
  <c r="E490" i="1"/>
  <c r="F490" i="1" s="1"/>
  <c r="E3" i="1"/>
  <c r="F3" i="1" s="1"/>
  <c r="I3" i="1" s="1"/>
  <c r="E23" i="1"/>
  <c r="F23" i="1" s="1"/>
  <c r="E35" i="1"/>
  <c r="F35" i="1" s="1"/>
  <c r="E47" i="1"/>
  <c r="F47" i="1" s="1"/>
  <c r="E59" i="1"/>
  <c r="F59" i="1" s="1"/>
  <c r="E71" i="1"/>
  <c r="F71" i="1" s="1"/>
  <c r="G71" i="1" s="1"/>
  <c r="E83" i="1"/>
  <c r="F83" i="1" s="1"/>
  <c r="E95" i="1"/>
  <c r="F95" i="1" s="1"/>
  <c r="E107" i="1"/>
  <c r="F107" i="1" s="1"/>
  <c r="E119" i="1"/>
  <c r="F119" i="1" s="1"/>
  <c r="E131" i="1"/>
  <c r="F131" i="1" s="1"/>
  <c r="E143" i="1"/>
  <c r="F143" i="1" s="1"/>
  <c r="E155" i="1"/>
  <c r="F155" i="1" s="1"/>
  <c r="E167" i="1"/>
  <c r="F167" i="1" s="1"/>
  <c r="E179" i="1"/>
  <c r="F179" i="1" s="1"/>
  <c r="E191" i="1"/>
  <c r="F191" i="1" s="1"/>
  <c r="I191" i="1" s="1"/>
  <c r="E203" i="1"/>
  <c r="F203" i="1" s="1"/>
  <c r="E28" i="1"/>
  <c r="F28" i="1" s="1"/>
  <c r="E50" i="1"/>
  <c r="F50" i="1" s="1"/>
  <c r="E72" i="1"/>
  <c r="F72" i="1" s="1"/>
  <c r="E89" i="1"/>
  <c r="F89" i="1" s="1"/>
  <c r="I89" i="1" s="1"/>
  <c r="E111" i="1"/>
  <c r="F111" i="1" s="1"/>
  <c r="E133" i="1"/>
  <c r="F133" i="1" s="1"/>
  <c r="G133" i="1" s="1"/>
  <c r="E150" i="1"/>
  <c r="F150" i="1" s="1"/>
  <c r="E170" i="1"/>
  <c r="F170" i="1" s="1"/>
  <c r="G170" i="1" s="1"/>
  <c r="E185" i="1"/>
  <c r="F185" i="1" s="1"/>
  <c r="I185" i="1" s="1"/>
  <c r="E201" i="1"/>
  <c r="F201" i="1" s="1"/>
  <c r="E217" i="1"/>
  <c r="F217" i="1" s="1"/>
  <c r="G217" i="1" s="1"/>
  <c r="E231" i="1"/>
  <c r="F231" i="1" s="1"/>
  <c r="E245" i="1"/>
  <c r="F245" i="1" s="1"/>
  <c r="E260" i="1"/>
  <c r="F260" i="1" s="1"/>
  <c r="G260" i="1" s="1"/>
  <c r="E275" i="1"/>
  <c r="F275" i="1" s="1"/>
  <c r="E289" i="1"/>
  <c r="F289" i="1" s="1"/>
  <c r="E303" i="1"/>
  <c r="F303" i="1" s="1"/>
  <c r="E317" i="1"/>
  <c r="F317" i="1" s="1"/>
  <c r="E332" i="1"/>
  <c r="F332" i="1" s="1"/>
  <c r="E347" i="1"/>
  <c r="F347" i="1" s="1"/>
  <c r="G347" i="1" s="1"/>
  <c r="E361" i="1"/>
  <c r="F361" i="1" s="1"/>
  <c r="I361" i="1" s="1"/>
  <c r="E375" i="1"/>
  <c r="F375" i="1" s="1"/>
  <c r="I375" i="1" s="1"/>
  <c r="E389" i="1"/>
  <c r="F389" i="1" s="1"/>
  <c r="E404" i="1"/>
  <c r="F404" i="1" s="1"/>
  <c r="G404" i="1" s="1"/>
  <c r="E419" i="1"/>
  <c r="F419" i="1" s="1"/>
  <c r="E433" i="1"/>
  <c r="F433" i="1" s="1"/>
  <c r="G433" i="1" s="1"/>
  <c r="E447" i="1"/>
  <c r="F447" i="1" s="1"/>
  <c r="G447" i="1" s="1"/>
  <c r="E461" i="1"/>
  <c r="F461" i="1" s="1"/>
  <c r="E476" i="1"/>
  <c r="F476" i="1" s="1"/>
  <c r="E491" i="1"/>
  <c r="F491" i="1" s="1"/>
  <c r="C13" i="1"/>
  <c r="C25" i="1"/>
  <c r="C37" i="1"/>
  <c r="C49" i="1"/>
  <c r="C61" i="1"/>
  <c r="C73" i="1"/>
  <c r="C85" i="1"/>
  <c r="C97" i="1"/>
  <c r="C109" i="1"/>
  <c r="C121" i="1"/>
  <c r="C133" i="1"/>
  <c r="C145" i="1"/>
  <c r="C157" i="1"/>
  <c r="C169" i="1"/>
  <c r="C181" i="1"/>
  <c r="C193" i="1"/>
  <c r="C205" i="1"/>
  <c r="C217" i="1"/>
  <c r="C229" i="1"/>
  <c r="C241" i="1"/>
  <c r="C253" i="1"/>
  <c r="C265" i="1"/>
  <c r="C277" i="1"/>
  <c r="C289" i="1"/>
  <c r="C301" i="1"/>
  <c r="C313" i="1"/>
  <c r="C325" i="1"/>
  <c r="C337" i="1"/>
  <c r="C349" i="1"/>
  <c r="C361" i="1"/>
  <c r="C373" i="1"/>
  <c r="C385" i="1"/>
  <c r="C397" i="1"/>
  <c r="C409" i="1"/>
  <c r="C421" i="1"/>
  <c r="C433" i="1"/>
  <c r="C445" i="1"/>
  <c r="C457" i="1"/>
  <c r="C469" i="1"/>
  <c r="C481" i="1"/>
  <c r="C493" i="1"/>
  <c r="E4" i="1"/>
  <c r="F4" i="1" s="1"/>
  <c r="E29" i="1"/>
  <c r="F29" i="1" s="1"/>
  <c r="I29" i="1" s="1"/>
  <c r="E51" i="1"/>
  <c r="F51" i="1" s="1"/>
  <c r="E73" i="1"/>
  <c r="F73" i="1" s="1"/>
  <c r="E90" i="1"/>
  <c r="F90" i="1" s="1"/>
  <c r="E112" i="1"/>
  <c r="F112" i="1" s="1"/>
  <c r="G112" i="1" s="1"/>
  <c r="E134" i="1"/>
  <c r="F134" i="1" s="1"/>
  <c r="E152" i="1"/>
  <c r="F152" i="1" s="1"/>
  <c r="E171" i="1"/>
  <c r="F171" i="1" s="1"/>
  <c r="E186" i="1"/>
  <c r="F186" i="1" s="1"/>
  <c r="I186" i="1" s="1"/>
  <c r="E204" i="1"/>
  <c r="F204" i="1" s="1"/>
  <c r="G204" i="1" s="1"/>
  <c r="E218" i="1"/>
  <c r="F218" i="1" s="1"/>
  <c r="E232" i="1"/>
  <c r="F232" i="1" s="1"/>
  <c r="G232" i="1" s="1"/>
  <c r="E246" i="1"/>
  <c r="F246" i="1" s="1"/>
  <c r="E261" i="1"/>
  <c r="F261" i="1" s="1"/>
  <c r="E276" i="1"/>
  <c r="F276" i="1" s="1"/>
  <c r="E290" i="1"/>
  <c r="F290" i="1" s="1"/>
  <c r="E304" i="1"/>
  <c r="F304" i="1" s="1"/>
  <c r="E318" i="1"/>
  <c r="F318" i="1" s="1"/>
  <c r="E333" i="1"/>
  <c r="F333" i="1" s="1"/>
  <c r="E348" i="1"/>
  <c r="F348" i="1" s="1"/>
  <c r="E362" i="1"/>
  <c r="F362" i="1" s="1"/>
  <c r="E376" i="1"/>
  <c r="F376" i="1" s="1"/>
  <c r="E390" i="1"/>
  <c r="F390" i="1" s="1"/>
  <c r="E405" i="1"/>
  <c r="F405" i="1" s="1"/>
  <c r="E420" i="1"/>
  <c r="F420" i="1" s="1"/>
  <c r="E434" i="1"/>
  <c r="F434" i="1" s="1"/>
  <c r="E448" i="1"/>
  <c r="F448" i="1" s="1"/>
  <c r="E462" i="1"/>
  <c r="F462" i="1" s="1"/>
  <c r="E477" i="1"/>
  <c r="F477" i="1" s="1"/>
  <c r="E492" i="1"/>
  <c r="F492" i="1" s="1"/>
  <c r="C2" i="1"/>
  <c r="C14" i="1"/>
  <c r="C26" i="1"/>
  <c r="C38" i="1"/>
  <c r="C50" i="1"/>
  <c r="C62" i="1"/>
  <c r="C74" i="1"/>
  <c r="C86" i="1"/>
  <c r="C98" i="1"/>
  <c r="C110" i="1"/>
  <c r="C122" i="1"/>
  <c r="C134" i="1"/>
  <c r="C146" i="1"/>
  <c r="C158" i="1"/>
  <c r="C170" i="1"/>
  <c r="C182" i="1"/>
  <c r="C194" i="1"/>
  <c r="C206" i="1"/>
  <c r="C218" i="1"/>
  <c r="C230" i="1"/>
  <c r="C242" i="1"/>
  <c r="C254" i="1"/>
  <c r="C266" i="1"/>
  <c r="C278" i="1"/>
  <c r="C290" i="1"/>
  <c r="C302" i="1"/>
  <c r="C314" i="1"/>
  <c r="C326" i="1"/>
  <c r="C338" i="1"/>
  <c r="C350" i="1"/>
  <c r="C362" i="1"/>
  <c r="C374" i="1"/>
  <c r="C386" i="1"/>
  <c r="C398" i="1"/>
  <c r="C410" i="1"/>
  <c r="C422" i="1"/>
  <c r="C434" i="1"/>
  <c r="C446" i="1"/>
  <c r="C458" i="1"/>
  <c r="C470" i="1"/>
  <c r="C482" i="1"/>
  <c r="C494" i="1"/>
  <c r="E5" i="1"/>
  <c r="F5" i="1" s="1"/>
  <c r="E30" i="1"/>
  <c r="F30" i="1" s="1"/>
  <c r="E52" i="1"/>
  <c r="F52" i="1" s="1"/>
  <c r="I52" i="1" s="1"/>
  <c r="E74" i="1"/>
  <c r="F74" i="1" s="1"/>
  <c r="G74" i="1" s="1"/>
  <c r="E96" i="1"/>
  <c r="F96" i="1" s="1"/>
  <c r="E113" i="1"/>
  <c r="F113" i="1" s="1"/>
  <c r="E135" i="1"/>
  <c r="F135" i="1" s="1"/>
  <c r="E156" i="1"/>
  <c r="F156" i="1" s="1"/>
  <c r="E172" i="1"/>
  <c r="F172" i="1" s="1"/>
  <c r="E188" i="1"/>
  <c r="F188" i="1" s="1"/>
  <c r="E205" i="1"/>
  <c r="F205" i="1" s="1"/>
  <c r="E219" i="1"/>
  <c r="F219" i="1" s="1"/>
  <c r="E233" i="1"/>
  <c r="F233" i="1" s="1"/>
  <c r="E248" i="1"/>
  <c r="F248" i="1" s="1"/>
  <c r="E263" i="1"/>
  <c r="F263" i="1" s="1"/>
  <c r="E277" i="1"/>
  <c r="F277" i="1" s="1"/>
  <c r="I277" i="1" s="1"/>
  <c r="E291" i="1"/>
  <c r="F291" i="1" s="1"/>
  <c r="E305" i="1"/>
  <c r="F305" i="1" s="1"/>
  <c r="E320" i="1"/>
  <c r="F320" i="1" s="1"/>
  <c r="G320" i="1" s="1"/>
  <c r="E335" i="1"/>
  <c r="F335" i="1" s="1"/>
  <c r="I335" i="1" s="1"/>
  <c r="E349" i="1"/>
  <c r="F349" i="1" s="1"/>
  <c r="E363" i="1"/>
  <c r="F363" i="1" s="1"/>
  <c r="G363" i="1" s="1"/>
  <c r="E377" i="1"/>
  <c r="F377" i="1" s="1"/>
  <c r="E392" i="1"/>
  <c r="F392" i="1" s="1"/>
  <c r="E407" i="1"/>
  <c r="F407" i="1" s="1"/>
  <c r="E421" i="1"/>
  <c r="F421" i="1" s="1"/>
  <c r="E435" i="1"/>
  <c r="F435" i="1" s="1"/>
  <c r="E449" i="1"/>
  <c r="F449" i="1" s="1"/>
  <c r="E464" i="1"/>
  <c r="F464" i="1" s="1"/>
  <c r="E479" i="1"/>
  <c r="F479" i="1" s="1"/>
  <c r="E493" i="1"/>
  <c r="F493" i="1" s="1"/>
  <c r="G493" i="1" s="1"/>
  <c r="C3" i="1"/>
  <c r="C15" i="1"/>
  <c r="C27" i="1"/>
  <c r="C39" i="1"/>
  <c r="C51" i="1"/>
  <c r="C63" i="1"/>
  <c r="C75" i="1"/>
  <c r="C87" i="1"/>
  <c r="C99" i="1"/>
  <c r="C111" i="1"/>
  <c r="C123" i="1"/>
  <c r="C135" i="1"/>
  <c r="C147" i="1"/>
  <c r="C159" i="1"/>
  <c r="C171" i="1"/>
  <c r="C183" i="1"/>
  <c r="C195" i="1"/>
  <c r="C207" i="1"/>
  <c r="C219" i="1"/>
  <c r="C231" i="1"/>
  <c r="E7" i="1"/>
  <c r="F7" i="1" s="1"/>
  <c r="I7" i="1" s="1"/>
  <c r="E36" i="1"/>
  <c r="F36" i="1" s="1"/>
  <c r="E53" i="1"/>
  <c r="F53" i="1" s="1"/>
  <c r="E75" i="1"/>
  <c r="F75" i="1" s="1"/>
  <c r="E97" i="1"/>
  <c r="F97" i="1" s="1"/>
  <c r="E114" i="1"/>
  <c r="F114" i="1" s="1"/>
  <c r="E136" i="1"/>
  <c r="F136" i="1" s="1"/>
  <c r="E157" i="1"/>
  <c r="F157" i="1" s="1"/>
  <c r="I157" i="1" s="1"/>
  <c r="E173" i="1"/>
  <c r="F173" i="1" s="1"/>
  <c r="E189" i="1"/>
  <c r="F189" i="1" s="1"/>
  <c r="E206" i="1"/>
  <c r="F206" i="1" s="1"/>
  <c r="E220" i="1"/>
  <c r="F220" i="1" s="1"/>
  <c r="E234" i="1"/>
  <c r="F234" i="1" s="1"/>
  <c r="E249" i="1"/>
  <c r="F249" i="1" s="1"/>
  <c r="E264" i="1"/>
  <c r="F264" i="1" s="1"/>
  <c r="I264" i="1" s="1"/>
  <c r="E278" i="1"/>
  <c r="F278" i="1" s="1"/>
  <c r="E292" i="1"/>
  <c r="F292" i="1" s="1"/>
  <c r="E306" i="1"/>
  <c r="F306" i="1" s="1"/>
  <c r="E321" i="1"/>
  <c r="F321" i="1" s="1"/>
  <c r="E336" i="1"/>
  <c r="F336" i="1" s="1"/>
  <c r="E350" i="1"/>
  <c r="F350" i="1" s="1"/>
  <c r="E364" i="1"/>
  <c r="F364" i="1" s="1"/>
  <c r="E378" i="1"/>
  <c r="F378" i="1" s="1"/>
  <c r="I378" i="1" s="1"/>
  <c r="E393" i="1"/>
  <c r="F393" i="1" s="1"/>
  <c r="E408" i="1"/>
  <c r="F408" i="1" s="1"/>
  <c r="E422" i="1"/>
  <c r="F422" i="1" s="1"/>
  <c r="E436" i="1"/>
  <c r="F436" i="1" s="1"/>
  <c r="E450" i="1"/>
  <c r="F450" i="1" s="1"/>
  <c r="E465" i="1"/>
  <c r="F465" i="1" s="1"/>
  <c r="I465" i="1" s="1"/>
  <c r="E480" i="1"/>
  <c r="F480" i="1" s="1"/>
  <c r="E494" i="1"/>
  <c r="F494" i="1" s="1"/>
  <c r="C4" i="1"/>
  <c r="C16" i="1"/>
  <c r="C28" i="1"/>
  <c r="C40" i="1"/>
  <c r="C52" i="1"/>
  <c r="C64" i="1"/>
  <c r="C76" i="1"/>
  <c r="C88" i="1"/>
  <c r="C100" i="1"/>
  <c r="C112" i="1"/>
  <c r="C124" i="1"/>
  <c r="C136" i="1"/>
  <c r="C148" i="1"/>
  <c r="C160" i="1"/>
  <c r="C172" i="1"/>
  <c r="C184" i="1"/>
  <c r="C196" i="1"/>
  <c r="C208" i="1"/>
  <c r="C220" i="1"/>
  <c r="C232" i="1"/>
  <c r="C244" i="1"/>
  <c r="C256" i="1"/>
  <c r="C268" i="1"/>
  <c r="C280" i="1"/>
  <c r="C292" i="1"/>
  <c r="C304" i="1"/>
  <c r="C316" i="1"/>
  <c r="C328" i="1"/>
  <c r="C340" i="1"/>
  <c r="C352" i="1"/>
  <c r="C364" i="1"/>
  <c r="C376" i="1"/>
  <c r="C388" i="1"/>
  <c r="C400" i="1"/>
  <c r="C412" i="1"/>
  <c r="C424" i="1"/>
  <c r="C436" i="1"/>
  <c r="E16" i="1"/>
  <c r="F16" i="1" s="1"/>
  <c r="I16" i="1" s="1"/>
  <c r="E40" i="1"/>
  <c r="F40" i="1" s="1"/>
  <c r="I40" i="1" s="1"/>
  <c r="E62" i="1"/>
  <c r="F62" i="1" s="1"/>
  <c r="G62" i="1" s="1"/>
  <c r="E84" i="1"/>
  <c r="F84" i="1" s="1"/>
  <c r="E101" i="1"/>
  <c r="F101" i="1" s="1"/>
  <c r="E123" i="1"/>
  <c r="F123" i="1" s="1"/>
  <c r="G123" i="1" s="1"/>
  <c r="E145" i="1"/>
  <c r="F145" i="1" s="1"/>
  <c r="E161" i="1"/>
  <c r="F161" i="1" s="1"/>
  <c r="E180" i="1"/>
  <c r="F180" i="1" s="1"/>
  <c r="E195" i="1"/>
  <c r="F195" i="1" s="1"/>
  <c r="E210" i="1"/>
  <c r="F210" i="1" s="1"/>
  <c r="E225" i="1"/>
  <c r="F225" i="1" s="1"/>
  <c r="E240" i="1"/>
  <c r="F240" i="1" s="1"/>
  <c r="E254" i="1"/>
  <c r="F254" i="1" s="1"/>
  <c r="E268" i="1"/>
  <c r="F268" i="1" s="1"/>
  <c r="E282" i="1"/>
  <c r="F282" i="1" s="1"/>
  <c r="E297" i="1"/>
  <c r="F297" i="1" s="1"/>
  <c r="E312" i="1"/>
  <c r="F312" i="1" s="1"/>
  <c r="E326" i="1"/>
  <c r="F326" i="1" s="1"/>
  <c r="E340" i="1"/>
  <c r="F340" i="1" s="1"/>
  <c r="E354" i="1"/>
  <c r="F354" i="1" s="1"/>
  <c r="E369" i="1"/>
  <c r="F369" i="1" s="1"/>
  <c r="G369" i="1" s="1"/>
  <c r="E384" i="1"/>
  <c r="F384" i="1" s="1"/>
  <c r="E398" i="1"/>
  <c r="F398" i="1" s="1"/>
  <c r="E412" i="1"/>
  <c r="F412" i="1" s="1"/>
  <c r="E426" i="1"/>
  <c r="F426" i="1" s="1"/>
  <c r="E441" i="1"/>
  <c r="F441" i="1" s="1"/>
  <c r="E456" i="1"/>
  <c r="F456" i="1" s="1"/>
  <c r="E470" i="1"/>
  <c r="F470" i="1" s="1"/>
  <c r="E484" i="1"/>
  <c r="F484" i="1" s="1"/>
  <c r="I484" i="1" s="1"/>
  <c r="E498" i="1"/>
  <c r="F498" i="1" s="1"/>
  <c r="I498" i="1" s="1"/>
  <c r="E24" i="1"/>
  <c r="F24" i="1" s="1"/>
  <c r="E41" i="1"/>
  <c r="F41" i="1" s="1"/>
  <c r="E63" i="1"/>
  <c r="F63" i="1" s="1"/>
  <c r="E85" i="1"/>
  <c r="F85" i="1" s="1"/>
  <c r="E102" i="1"/>
  <c r="F102" i="1" s="1"/>
  <c r="E124" i="1"/>
  <c r="F124" i="1" s="1"/>
  <c r="E146" i="1"/>
  <c r="F146" i="1" s="1"/>
  <c r="G146" i="1" s="1"/>
  <c r="E162" i="1"/>
  <c r="F162" i="1" s="1"/>
  <c r="E181" i="1"/>
  <c r="F181" i="1" s="1"/>
  <c r="E196" i="1"/>
  <c r="F196" i="1" s="1"/>
  <c r="E212" i="1"/>
  <c r="F212" i="1" s="1"/>
  <c r="E227" i="1"/>
  <c r="F227" i="1" s="1"/>
  <c r="E241" i="1"/>
  <c r="F241" i="1" s="1"/>
  <c r="E255" i="1"/>
  <c r="F255" i="1" s="1"/>
  <c r="E269" i="1"/>
  <c r="F269" i="1" s="1"/>
  <c r="G269" i="1" s="1"/>
  <c r="E284" i="1"/>
  <c r="F284" i="1" s="1"/>
  <c r="E299" i="1"/>
  <c r="F299" i="1" s="1"/>
  <c r="I299" i="1" s="1"/>
  <c r="E313" i="1"/>
  <c r="F313" i="1" s="1"/>
  <c r="E327" i="1"/>
  <c r="F327" i="1" s="1"/>
  <c r="E341" i="1"/>
  <c r="F341" i="1" s="1"/>
  <c r="E356" i="1"/>
  <c r="F356" i="1" s="1"/>
  <c r="E371" i="1"/>
  <c r="F371" i="1" s="1"/>
  <c r="I371" i="1" s="1"/>
  <c r="E385" i="1"/>
  <c r="F385" i="1" s="1"/>
  <c r="E399" i="1"/>
  <c r="F399" i="1" s="1"/>
  <c r="E413" i="1"/>
  <c r="F413" i="1" s="1"/>
  <c r="E428" i="1"/>
  <c r="F428" i="1" s="1"/>
  <c r="E443" i="1"/>
  <c r="F443" i="1" s="1"/>
  <c r="E457" i="1"/>
  <c r="F457" i="1" s="1"/>
  <c r="E471" i="1"/>
  <c r="F471" i="1" s="1"/>
  <c r="E485" i="1"/>
  <c r="F485" i="1" s="1"/>
  <c r="E500" i="1"/>
  <c r="F500" i="1" s="1"/>
  <c r="E25" i="1"/>
  <c r="F25" i="1" s="1"/>
  <c r="G25" i="1" s="1"/>
  <c r="E42" i="1"/>
  <c r="F42" i="1" s="1"/>
  <c r="E64" i="1"/>
  <c r="F64" i="1" s="1"/>
  <c r="E86" i="1"/>
  <c r="F86" i="1" s="1"/>
  <c r="E108" i="1"/>
  <c r="F108" i="1" s="1"/>
  <c r="E125" i="1"/>
  <c r="F125" i="1" s="1"/>
  <c r="E147" i="1"/>
  <c r="F147" i="1" s="1"/>
  <c r="E164" i="1"/>
  <c r="F164" i="1" s="1"/>
  <c r="E182" i="1"/>
  <c r="F182" i="1" s="1"/>
  <c r="G182" i="1" s="1"/>
  <c r="E197" i="1"/>
  <c r="F197" i="1" s="1"/>
  <c r="G197" i="1" s="1"/>
  <c r="E213" i="1"/>
  <c r="F213" i="1" s="1"/>
  <c r="E228" i="1"/>
  <c r="F228" i="1" s="1"/>
  <c r="E242" i="1"/>
  <c r="F242" i="1" s="1"/>
  <c r="G242" i="1" s="1"/>
  <c r="E256" i="1"/>
  <c r="F256" i="1" s="1"/>
  <c r="E270" i="1"/>
  <c r="F270" i="1" s="1"/>
  <c r="I270" i="1" s="1"/>
  <c r="E285" i="1"/>
  <c r="F285" i="1" s="1"/>
  <c r="E300" i="1"/>
  <c r="F300" i="1" s="1"/>
  <c r="E314" i="1"/>
  <c r="F314" i="1" s="1"/>
  <c r="E328" i="1"/>
  <c r="F328" i="1" s="1"/>
  <c r="E342" i="1"/>
  <c r="F342" i="1" s="1"/>
  <c r="E357" i="1"/>
  <c r="F357" i="1" s="1"/>
  <c r="E372" i="1"/>
  <c r="F372" i="1" s="1"/>
  <c r="E386" i="1"/>
  <c r="F386" i="1" s="1"/>
  <c r="I386" i="1" s="1"/>
  <c r="E400" i="1"/>
  <c r="F400" i="1" s="1"/>
  <c r="I400" i="1" s="1"/>
  <c r="E414" i="1"/>
  <c r="F414" i="1" s="1"/>
  <c r="E429" i="1"/>
  <c r="F429" i="1" s="1"/>
  <c r="E444" i="1"/>
  <c r="F444" i="1" s="1"/>
  <c r="E458" i="1"/>
  <c r="F458" i="1" s="1"/>
  <c r="E472" i="1"/>
  <c r="F472" i="1" s="1"/>
  <c r="E486" i="1"/>
  <c r="F486" i="1" s="1"/>
  <c r="E26" i="1"/>
  <c r="F26" i="1" s="1"/>
  <c r="E48" i="1"/>
  <c r="F48" i="1" s="1"/>
  <c r="E65" i="1"/>
  <c r="F65" i="1" s="1"/>
  <c r="E87" i="1"/>
  <c r="F87" i="1" s="1"/>
  <c r="I87" i="1" s="1"/>
  <c r="E109" i="1"/>
  <c r="F109" i="1" s="1"/>
  <c r="E126" i="1"/>
  <c r="F126" i="1" s="1"/>
  <c r="G126" i="1" s="1"/>
  <c r="E148" i="1"/>
  <c r="F148" i="1" s="1"/>
  <c r="E168" i="1"/>
  <c r="F168" i="1" s="1"/>
  <c r="E183" i="1"/>
  <c r="F183" i="1" s="1"/>
  <c r="G183" i="1" s="1"/>
  <c r="E198" i="1"/>
  <c r="F198" i="1" s="1"/>
  <c r="E215" i="1"/>
  <c r="F215" i="1" s="1"/>
  <c r="E229" i="1"/>
  <c r="F229" i="1" s="1"/>
  <c r="E243" i="1"/>
  <c r="F243" i="1" s="1"/>
  <c r="E257" i="1"/>
  <c r="F257" i="1" s="1"/>
  <c r="E272" i="1"/>
  <c r="F272" i="1" s="1"/>
  <c r="E287" i="1"/>
  <c r="F287" i="1" s="1"/>
  <c r="I287" i="1" s="1"/>
  <c r="E301" i="1"/>
  <c r="F301" i="1" s="1"/>
  <c r="I301" i="1" s="1"/>
  <c r="E315" i="1"/>
  <c r="F315" i="1" s="1"/>
  <c r="E329" i="1"/>
  <c r="F329" i="1" s="1"/>
  <c r="E344" i="1"/>
  <c r="F344" i="1" s="1"/>
  <c r="G344" i="1" s="1"/>
  <c r="E359" i="1"/>
  <c r="F359" i="1" s="1"/>
  <c r="I359" i="1" s="1"/>
  <c r="E373" i="1"/>
  <c r="F373" i="1" s="1"/>
  <c r="E387" i="1"/>
  <c r="F387" i="1" s="1"/>
  <c r="E401" i="1"/>
  <c r="F401" i="1" s="1"/>
  <c r="I401" i="1" s="1"/>
  <c r="E416" i="1"/>
  <c r="F416" i="1" s="1"/>
  <c r="E431" i="1"/>
  <c r="F431" i="1" s="1"/>
  <c r="E445" i="1"/>
  <c r="F445" i="1" s="1"/>
  <c r="E459" i="1"/>
  <c r="F459" i="1" s="1"/>
  <c r="G459" i="1" s="1"/>
  <c r="E473" i="1"/>
  <c r="F473" i="1" s="1"/>
  <c r="E488" i="1"/>
  <c r="F488" i="1" s="1"/>
  <c r="E27" i="1"/>
  <c r="F27" i="1" s="1"/>
  <c r="E49" i="1"/>
  <c r="F49" i="1" s="1"/>
  <c r="G49" i="1" s="1"/>
  <c r="E66" i="1"/>
  <c r="F66" i="1" s="1"/>
  <c r="E88" i="1"/>
  <c r="F88" i="1" s="1"/>
  <c r="E110" i="1"/>
  <c r="F110" i="1" s="1"/>
  <c r="E132" i="1"/>
  <c r="F132" i="1" s="1"/>
  <c r="E149" i="1"/>
  <c r="F149" i="1" s="1"/>
  <c r="E169" i="1"/>
  <c r="F169" i="1" s="1"/>
  <c r="I169" i="1" s="1"/>
  <c r="E184" i="1"/>
  <c r="F184" i="1" s="1"/>
  <c r="E200" i="1"/>
  <c r="F200" i="1" s="1"/>
  <c r="E216" i="1"/>
  <c r="F216" i="1" s="1"/>
  <c r="E230" i="1"/>
  <c r="F230" i="1" s="1"/>
  <c r="E244" i="1"/>
  <c r="F244" i="1" s="1"/>
  <c r="I244" i="1" s="1"/>
  <c r="E258" i="1"/>
  <c r="F258" i="1" s="1"/>
  <c r="G258" i="1" s="1"/>
  <c r="E273" i="1"/>
  <c r="F273" i="1" s="1"/>
  <c r="E288" i="1"/>
  <c r="F288" i="1" s="1"/>
  <c r="E302" i="1"/>
  <c r="F302" i="1" s="1"/>
  <c r="E316" i="1"/>
  <c r="F316" i="1" s="1"/>
  <c r="I316" i="1" s="1"/>
  <c r="E330" i="1"/>
  <c r="F330" i="1" s="1"/>
  <c r="E345" i="1"/>
  <c r="F345" i="1" s="1"/>
  <c r="E360" i="1"/>
  <c r="F360" i="1" s="1"/>
  <c r="E374" i="1"/>
  <c r="F374" i="1" s="1"/>
  <c r="I374" i="1" s="1"/>
  <c r="E388" i="1"/>
  <c r="F388" i="1" s="1"/>
  <c r="E402" i="1"/>
  <c r="F402" i="1" s="1"/>
  <c r="E417" i="1"/>
  <c r="F417" i="1" s="1"/>
  <c r="E432" i="1"/>
  <c r="F432" i="1" s="1"/>
  <c r="E446" i="1"/>
  <c r="F446" i="1" s="1"/>
  <c r="E460" i="1"/>
  <c r="F460" i="1" s="1"/>
  <c r="E474" i="1"/>
  <c r="F474" i="1" s="1"/>
  <c r="E489" i="1"/>
  <c r="F489" i="1" s="1"/>
  <c r="E54" i="1"/>
  <c r="F54" i="1" s="1"/>
  <c r="E137" i="1"/>
  <c r="F137" i="1" s="1"/>
  <c r="E207" i="1"/>
  <c r="F207" i="1" s="1"/>
  <c r="I207" i="1" s="1"/>
  <c r="E265" i="1"/>
  <c r="F265" i="1" s="1"/>
  <c r="E323" i="1"/>
  <c r="F323" i="1" s="1"/>
  <c r="E380" i="1"/>
  <c r="F380" i="1" s="1"/>
  <c r="E437" i="1"/>
  <c r="F437" i="1" s="1"/>
  <c r="E495" i="1"/>
  <c r="F495" i="1" s="1"/>
  <c r="C5" i="1"/>
  <c r="C21" i="1"/>
  <c r="C41" i="1"/>
  <c r="C57" i="1"/>
  <c r="C77" i="1"/>
  <c r="C93" i="1"/>
  <c r="C113" i="1"/>
  <c r="C129" i="1"/>
  <c r="C149" i="1"/>
  <c r="C165" i="1"/>
  <c r="C185" i="1"/>
  <c r="C201" i="1"/>
  <c r="C221" i="1"/>
  <c r="C237" i="1"/>
  <c r="C252" i="1"/>
  <c r="C270" i="1"/>
  <c r="C285" i="1"/>
  <c r="C300" i="1"/>
  <c r="C318" i="1"/>
  <c r="C333" i="1"/>
  <c r="C348" i="1"/>
  <c r="C366" i="1"/>
  <c r="C381" i="1"/>
  <c r="C396" i="1"/>
  <c r="C414" i="1"/>
  <c r="C429" i="1"/>
  <c r="C444" i="1"/>
  <c r="C460" i="1"/>
  <c r="C474" i="1"/>
  <c r="C488" i="1"/>
  <c r="E60" i="1"/>
  <c r="F60" i="1" s="1"/>
  <c r="E138" i="1"/>
  <c r="F138" i="1" s="1"/>
  <c r="E208" i="1"/>
  <c r="F208" i="1" s="1"/>
  <c r="G208" i="1" s="1"/>
  <c r="E266" i="1"/>
  <c r="F266" i="1" s="1"/>
  <c r="E324" i="1"/>
  <c r="F324" i="1" s="1"/>
  <c r="E381" i="1"/>
  <c r="F381" i="1" s="1"/>
  <c r="E438" i="1"/>
  <c r="F438" i="1" s="1"/>
  <c r="E496" i="1"/>
  <c r="F496" i="1" s="1"/>
  <c r="C6" i="1"/>
  <c r="C22" i="1"/>
  <c r="C42" i="1"/>
  <c r="C58" i="1"/>
  <c r="C78" i="1"/>
  <c r="C94" i="1"/>
  <c r="C114" i="1"/>
  <c r="C130" i="1"/>
  <c r="C150" i="1"/>
  <c r="C166" i="1"/>
  <c r="C186" i="1"/>
  <c r="C202" i="1"/>
  <c r="C222" i="1"/>
  <c r="C238" i="1"/>
  <c r="C255" i="1"/>
  <c r="C271" i="1"/>
  <c r="C286" i="1"/>
  <c r="C303" i="1"/>
  <c r="C319" i="1"/>
  <c r="C334" i="1"/>
  <c r="C351" i="1"/>
  <c r="C367" i="1"/>
  <c r="C382" i="1"/>
  <c r="C399" i="1"/>
  <c r="C415" i="1"/>
  <c r="C430" i="1"/>
  <c r="C447" i="1"/>
  <c r="C461" i="1"/>
  <c r="C475" i="1"/>
  <c r="C489" i="1"/>
  <c r="E61" i="1"/>
  <c r="F61" i="1" s="1"/>
  <c r="E144" i="1"/>
  <c r="F144" i="1" s="1"/>
  <c r="G144" i="1" s="1"/>
  <c r="E209" i="1"/>
  <c r="F209" i="1" s="1"/>
  <c r="I209" i="1" s="1"/>
  <c r="E267" i="1"/>
  <c r="F267" i="1" s="1"/>
  <c r="E325" i="1"/>
  <c r="F325" i="1" s="1"/>
  <c r="E383" i="1"/>
  <c r="F383" i="1" s="1"/>
  <c r="E440" i="1"/>
  <c r="F440" i="1" s="1"/>
  <c r="G440" i="1" s="1"/>
  <c r="E497" i="1"/>
  <c r="F497" i="1" s="1"/>
  <c r="C7" i="1"/>
  <c r="C23" i="1"/>
  <c r="C43" i="1"/>
  <c r="C59" i="1"/>
  <c r="C79" i="1"/>
  <c r="C95" i="1"/>
  <c r="C115" i="1"/>
  <c r="C131" i="1"/>
  <c r="C151" i="1"/>
  <c r="C167" i="1"/>
  <c r="C187" i="1"/>
  <c r="C203" i="1"/>
  <c r="C223" i="1"/>
  <c r="C239" i="1"/>
  <c r="C257" i="1"/>
  <c r="C272" i="1"/>
  <c r="C287" i="1"/>
  <c r="C305" i="1"/>
  <c r="C320" i="1"/>
  <c r="C335" i="1"/>
  <c r="C353" i="1"/>
  <c r="C368" i="1"/>
  <c r="C383" i="1"/>
  <c r="C401" i="1"/>
  <c r="C416" i="1"/>
  <c r="C431" i="1"/>
  <c r="C448" i="1"/>
  <c r="C462" i="1"/>
  <c r="C476" i="1"/>
  <c r="C490" i="1"/>
  <c r="E76" i="1"/>
  <c r="F76" i="1" s="1"/>
  <c r="E158" i="1"/>
  <c r="F158" i="1" s="1"/>
  <c r="E221" i="1"/>
  <c r="F221" i="1" s="1"/>
  <c r="I221" i="1" s="1"/>
  <c r="E279" i="1"/>
  <c r="F279" i="1" s="1"/>
  <c r="G279" i="1" s="1"/>
  <c r="E337" i="1"/>
  <c r="F337" i="1" s="1"/>
  <c r="E395" i="1"/>
  <c r="F395" i="1" s="1"/>
  <c r="E452" i="1"/>
  <c r="F452" i="1" s="1"/>
  <c r="C8" i="1"/>
  <c r="C24" i="1"/>
  <c r="C44" i="1"/>
  <c r="C60" i="1"/>
  <c r="C80" i="1"/>
  <c r="C96" i="1"/>
  <c r="C116" i="1"/>
  <c r="C132" i="1"/>
  <c r="C152" i="1"/>
  <c r="C168" i="1"/>
  <c r="C188" i="1"/>
  <c r="C204" i="1"/>
  <c r="C224" i="1"/>
  <c r="C240" i="1"/>
  <c r="C258" i="1"/>
  <c r="C273" i="1"/>
  <c r="C288" i="1"/>
  <c r="C306" i="1"/>
  <c r="C321" i="1"/>
  <c r="C336" i="1"/>
  <c r="C354" i="1"/>
  <c r="C369" i="1"/>
  <c r="C384" i="1"/>
  <c r="C402" i="1"/>
  <c r="C417" i="1"/>
  <c r="C432" i="1"/>
  <c r="C449" i="1"/>
  <c r="C463" i="1"/>
  <c r="C477" i="1"/>
  <c r="C491" i="1"/>
  <c r="E12" i="1"/>
  <c r="F12" i="1" s="1"/>
  <c r="E99" i="1"/>
  <c r="F99" i="1" s="1"/>
  <c r="E176" i="1"/>
  <c r="F176" i="1" s="1"/>
  <c r="I176" i="1" s="1"/>
  <c r="E237" i="1"/>
  <c r="F237" i="1" s="1"/>
  <c r="E294" i="1"/>
  <c r="F294" i="1" s="1"/>
  <c r="E352" i="1"/>
  <c r="F352" i="1" s="1"/>
  <c r="I352" i="1" s="1"/>
  <c r="E410" i="1"/>
  <c r="F410" i="1" s="1"/>
  <c r="E468" i="1"/>
  <c r="F468" i="1" s="1"/>
  <c r="G468" i="1" s="1"/>
  <c r="C12" i="1"/>
  <c r="C32" i="1"/>
  <c r="C48" i="1"/>
  <c r="C68" i="1"/>
  <c r="C84" i="1"/>
  <c r="C104" i="1"/>
  <c r="C120" i="1"/>
  <c r="C140" i="1"/>
  <c r="C156" i="1"/>
  <c r="C176" i="1"/>
  <c r="C192" i="1"/>
  <c r="C212" i="1"/>
  <c r="C228" i="1"/>
  <c r="C247" i="1"/>
  <c r="C262" i="1"/>
  <c r="C279" i="1"/>
  <c r="C295" i="1"/>
  <c r="C310" i="1"/>
  <c r="C327" i="1"/>
  <c r="C343" i="1"/>
  <c r="C358" i="1"/>
  <c r="C375" i="1"/>
  <c r="C391" i="1"/>
  <c r="C406" i="1"/>
  <c r="C423" i="1"/>
  <c r="C439" i="1"/>
  <c r="C453" i="1"/>
  <c r="C467" i="1"/>
  <c r="C483" i="1"/>
  <c r="C497" i="1"/>
  <c r="E15" i="1"/>
  <c r="F15" i="1" s="1"/>
  <c r="E100" i="1"/>
  <c r="F100" i="1" s="1"/>
  <c r="E177" i="1"/>
  <c r="F177" i="1" s="1"/>
  <c r="E239" i="1"/>
  <c r="F239" i="1" s="1"/>
  <c r="I239" i="1" s="1"/>
  <c r="E296" i="1"/>
  <c r="F296" i="1" s="1"/>
  <c r="E353" i="1"/>
  <c r="F353" i="1" s="1"/>
  <c r="E411" i="1"/>
  <c r="F411" i="1" s="1"/>
  <c r="E469" i="1"/>
  <c r="F469" i="1" s="1"/>
  <c r="G469" i="1" s="1"/>
  <c r="C17" i="1"/>
  <c r="C33" i="1"/>
  <c r="C53" i="1"/>
  <c r="C69" i="1"/>
  <c r="C89" i="1"/>
  <c r="C105" i="1"/>
  <c r="C125" i="1"/>
  <c r="C141" i="1"/>
  <c r="C161" i="1"/>
  <c r="C177" i="1"/>
  <c r="C197" i="1"/>
  <c r="C213" i="1"/>
  <c r="C233" i="1"/>
  <c r="C248" i="1"/>
  <c r="C263" i="1"/>
  <c r="C281" i="1"/>
  <c r="C296" i="1"/>
  <c r="C311" i="1"/>
  <c r="C329" i="1"/>
  <c r="C344" i="1"/>
  <c r="C359" i="1"/>
  <c r="C377" i="1"/>
  <c r="C392" i="1"/>
  <c r="C407" i="1"/>
  <c r="C425" i="1"/>
  <c r="C440" i="1"/>
  <c r="C454" i="1"/>
  <c r="C468" i="1"/>
  <c r="C484" i="1"/>
  <c r="C498" i="1"/>
  <c r="E37" i="1"/>
  <c r="F37" i="1" s="1"/>
  <c r="E120" i="1"/>
  <c r="F120" i="1" s="1"/>
  <c r="E192" i="1"/>
  <c r="F192" i="1" s="1"/>
  <c r="E251" i="1"/>
  <c r="F251" i="1" s="1"/>
  <c r="E308" i="1"/>
  <c r="F308" i="1" s="1"/>
  <c r="E365" i="1"/>
  <c r="F365" i="1" s="1"/>
  <c r="E423" i="1"/>
  <c r="F423" i="1" s="1"/>
  <c r="E481" i="1"/>
  <c r="F481" i="1" s="1"/>
  <c r="I481" i="1" s="1"/>
  <c r="C18" i="1"/>
  <c r="C34" i="1"/>
  <c r="C54" i="1"/>
  <c r="C70" i="1"/>
  <c r="C90" i="1"/>
  <c r="C106" i="1"/>
  <c r="C126" i="1"/>
  <c r="C142" i="1"/>
  <c r="C162" i="1"/>
  <c r="C178" i="1"/>
  <c r="C198" i="1"/>
  <c r="C214" i="1"/>
  <c r="C234" i="1"/>
  <c r="C249" i="1"/>
  <c r="C264" i="1"/>
  <c r="C282" i="1"/>
  <c r="C297" i="1"/>
  <c r="C312" i="1"/>
  <c r="C330" i="1"/>
  <c r="C345" i="1"/>
  <c r="C360" i="1"/>
  <c r="C378" i="1"/>
  <c r="C393" i="1"/>
  <c r="C408" i="1"/>
  <c r="C426" i="1"/>
  <c r="C441" i="1"/>
  <c r="C455" i="1"/>
  <c r="C471" i="1"/>
  <c r="C485" i="1"/>
  <c r="C499" i="1"/>
  <c r="E38" i="1"/>
  <c r="F38" i="1" s="1"/>
  <c r="E121" i="1"/>
  <c r="F121" i="1" s="1"/>
  <c r="I121" i="1" s="1"/>
  <c r="E193" i="1"/>
  <c r="F193" i="1" s="1"/>
  <c r="E252" i="1"/>
  <c r="F252" i="1" s="1"/>
  <c r="E309" i="1"/>
  <c r="F309" i="1" s="1"/>
  <c r="E366" i="1"/>
  <c r="F366" i="1" s="1"/>
  <c r="E424" i="1"/>
  <c r="F424" i="1" s="1"/>
  <c r="E482" i="1"/>
  <c r="F482" i="1" s="1"/>
  <c r="C19" i="1"/>
  <c r="C35" i="1"/>
  <c r="C55" i="1"/>
  <c r="C71" i="1"/>
  <c r="C91" i="1"/>
  <c r="C107" i="1"/>
  <c r="C127" i="1"/>
  <c r="C143" i="1"/>
  <c r="C163" i="1"/>
  <c r="C179" i="1"/>
  <c r="C199" i="1"/>
  <c r="C215" i="1"/>
  <c r="C235" i="1"/>
  <c r="C250" i="1"/>
  <c r="C267" i="1"/>
  <c r="C283" i="1"/>
  <c r="C298" i="1"/>
  <c r="C315" i="1"/>
  <c r="C331" i="1"/>
  <c r="C346" i="1"/>
  <c r="C363" i="1"/>
  <c r="C379" i="1"/>
  <c r="C394" i="1"/>
  <c r="C411" i="1"/>
  <c r="C427" i="1"/>
  <c r="C442" i="1"/>
  <c r="C456" i="1"/>
  <c r="C472" i="1"/>
  <c r="C486" i="1"/>
  <c r="C500" i="1"/>
  <c r="E39" i="1"/>
  <c r="F39" i="1" s="1"/>
  <c r="E122" i="1"/>
  <c r="F122" i="1" s="1"/>
  <c r="E194" i="1"/>
  <c r="F194" i="1" s="1"/>
  <c r="E253" i="1"/>
  <c r="F253" i="1" s="1"/>
  <c r="I253" i="1" s="1"/>
  <c r="E311" i="1"/>
  <c r="F311" i="1" s="1"/>
  <c r="E368" i="1"/>
  <c r="F368" i="1" s="1"/>
  <c r="E425" i="1"/>
  <c r="F425" i="1" s="1"/>
  <c r="E483" i="1"/>
  <c r="F483" i="1" s="1"/>
  <c r="C20" i="1"/>
  <c r="C36" i="1"/>
  <c r="C56" i="1"/>
  <c r="C72" i="1"/>
  <c r="C92" i="1"/>
  <c r="C108" i="1"/>
  <c r="C128" i="1"/>
  <c r="C144" i="1"/>
  <c r="C164" i="1"/>
  <c r="C180" i="1"/>
  <c r="C200" i="1"/>
  <c r="C216" i="1"/>
  <c r="C236" i="1"/>
  <c r="C251" i="1"/>
  <c r="C269" i="1"/>
  <c r="C284" i="1"/>
  <c r="C299" i="1"/>
  <c r="C317" i="1"/>
  <c r="C332" i="1"/>
  <c r="C347" i="1"/>
  <c r="C365" i="1"/>
  <c r="C380" i="1"/>
  <c r="C395" i="1"/>
  <c r="C413" i="1"/>
  <c r="C428" i="1"/>
  <c r="C443" i="1"/>
  <c r="C459" i="1"/>
  <c r="C473" i="1"/>
  <c r="C487" i="1"/>
  <c r="E280" i="1"/>
  <c r="F280" i="1" s="1"/>
  <c r="C10" i="1"/>
  <c r="C82" i="1"/>
  <c r="C154" i="1"/>
  <c r="C226" i="1"/>
  <c r="C293" i="1"/>
  <c r="C356" i="1"/>
  <c r="C419" i="1"/>
  <c r="C479" i="1"/>
  <c r="E78" i="1"/>
  <c r="F78" i="1" s="1"/>
  <c r="C259" i="1"/>
  <c r="C190" i="1"/>
  <c r="C451" i="1"/>
  <c r="E281" i="1"/>
  <c r="F281" i="1" s="1"/>
  <c r="C11" i="1"/>
  <c r="C83" i="1"/>
  <c r="C155" i="1"/>
  <c r="C227" i="1"/>
  <c r="C294" i="1"/>
  <c r="C357" i="1"/>
  <c r="C420" i="1"/>
  <c r="C480" i="1"/>
  <c r="E339" i="1"/>
  <c r="F339" i="1" s="1"/>
  <c r="C117" i="1"/>
  <c r="C322" i="1"/>
  <c r="C450" i="1"/>
  <c r="E396" i="1"/>
  <c r="F396" i="1" s="1"/>
  <c r="I396" i="1" s="1"/>
  <c r="C46" i="1"/>
  <c r="C260" i="1"/>
  <c r="C389" i="1"/>
  <c r="E10" i="1"/>
  <c r="F10" i="1" s="1"/>
  <c r="E293" i="1"/>
  <c r="F293" i="1" s="1"/>
  <c r="C29" i="1"/>
  <c r="C101" i="1"/>
  <c r="C173" i="1"/>
  <c r="C243" i="1"/>
  <c r="C307" i="1"/>
  <c r="C370" i="1"/>
  <c r="C435" i="1"/>
  <c r="C492" i="1"/>
  <c r="E77" i="1"/>
  <c r="F77" i="1" s="1"/>
  <c r="E338" i="1"/>
  <c r="F338" i="1" s="1"/>
  <c r="C30" i="1"/>
  <c r="C102" i="1"/>
  <c r="C174" i="1"/>
  <c r="C245" i="1"/>
  <c r="C308" i="1"/>
  <c r="C371" i="1"/>
  <c r="C437" i="1"/>
  <c r="C495" i="1"/>
  <c r="E1" i="1"/>
  <c r="R1" i="1" s="1"/>
  <c r="C31" i="1"/>
  <c r="C103" i="1"/>
  <c r="C175" i="1"/>
  <c r="C246" i="1"/>
  <c r="C309" i="1"/>
  <c r="C372" i="1"/>
  <c r="C438" i="1"/>
  <c r="C496" i="1"/>
  <c r="E98" i="1"/>
  <c r="F98" i="1" s="1"/>
  <c r="C45" i="1"/>
  <c r="C189" i="1"/>
  <c r="C387" i="1"/>
  <c r="E159" i="1"/>
  <c r="F159" i="1" s="1"/>
  <c r="I159" i="1" s="1"/>
  <c r="C118" i="1"/>
  <c r="C323" i="1"/>
  <c r="E160" i="1"/>
  <c r="F160" i="1" s="1"/>
  <c r="E397" i="1"/>
  <c r="F397" i="1" s="1"/>
  <c r="C47" i="1"/>
  <c r="C119" i="1"/>
  <c r="C191" i="1"/>
  <c r="C261" i="1"/>
  <c r="C324" i="1"/>
  <c r="C390" i="1"/>
  <c r="C452" i="1"/>
  <c r="E174" i="1"/>
  <c r="F174" i="1" s="1"/>
  <c r="E409" i="1"/>
  <c r="F409" i="1" s="1"/>
  <c r="C65" i="1"/>
  <c r="C137" i="1"/>
  <c r="C209" i="1"/>
  <c r="C274" i="1"/>
  <c r="C339" i="1"/>
  <c r="C403" i="1"/>
  <c r="C464" i="1"/>
  <c r="E222" i="1"/>
  <c r="F222" i="1" s="1"/>
  <c r="E453" i="1"/>
  <c r="F453" i="1" s="1"/>
  <c r="C66" i="1"/>
  <c r="C138" i="1"/>
  <c r="C210" i="1"/>
  <c r="C275" i="1"/>
  <c r="C341" i="1"/>
  <c r="C404" i="1"/>
  <c r="C465" i="1"/>
  <c r="E224" i="1"/>
  <c r="F224" i="1" s="1"/>
  <c r="E455" i="1"/>
  <c r="F455" i="1" s="1"/>
  <c r="C67" i="1"/>
  <c r="C139" i="1"/>
  <c r="C211" i="1"/>
  <c r="C276" i="1"/>
  <c r="C342" i="1"/>
  <c r="C405" i="1"/>
  <c r="C466" i="1"/>
  <c r="E236" i="1"/>
  <c r="F236" i="1" s="1"/>
  <c r="E467" i="1"/>
  <c r="F467" i="1" s="1"/>
  <c r="G467" i="1" s="1"/>
  <c r="C9" i="1"/>
  <c r="C81" i="1"/>
  <c r="C153" i="1"/>
  <c r="C225" i="1"/>
  <c r="C291" i="1"/>
  <c r="C355" i="1"/>
  <c r="C418" i="1"/>
  <c r="C478" i="1"/>
  <c r="E351" i="1"/>
  <c r="F351" i="1" s="1"/>
  <c r="R1" i="8" l="1"/>
  <c r="Q1" i="8"/>
  <c r="D343" i="8" s="1"/>
  <c r="T10" i="1"/>
  <c r="T22" i="1"/>
  <c r="T34" i="1"/>
  <c r="T46" i="1"/>
  <c r="T2" i="1"/>
  <c r="T14" i="1"/>
  <c r="T26" i="1"/>
  <c r="T38" i="1"/>
  <c r="T50" i="1"/>
  <c r="T5" i="1"/>
  <c r="T17" i="1"/>
  <c r="T29" i="1"/>
  <c r="T41" i="1"/>
  <c r="T6" i="1"/>
  <c r="T30" i="1"/>
  <c r="T19" i="1"/>
  <c r="T9" i="1"/>
  <c r="T45" i="1"/>
  <c r="T11" i="1"/>
  <c r="T23" i="1"/>
  <c r="T35" i="1"/>
  <c r="T47" i="1"/>
  <c r="T12" i="1"/>
  <c r="T24" i="1"/>
  <c r="T36" i="1"/>
  <c r="T48" i="1"/>
  <c r="T13" i="1"/>
  <c r="T25" i="1"/>
  <c r="T37" i="1"/>
  <c r="T49" i="1"/>
  <c r="T3" i="1"/>
  <c r="T15" i="1"/>
  <c r="T27" i="1"/>
  <c r="T39" i="1"/>
  <c r="T1" i="1"/>
  <c r="T4" i="1"/>
  <c r="T16" i="1"/>
  <c r="T28" i="1"/>
  <c r="T40" i="1"/>
  <c r="T18" i="1"/>
  <c r="T42" i="1"/>
  <c r="T7" i="1"/>
  <c r="T31" i="1"/>
  <c r="T43" i="1"/>
  <c r="T21" i="1"/>
  <c r="T33" i="1"/>
  <c r="T8" i="1"/>
  <c r="T20" i="1"/>
  <c r="T32" i="1"/>
  <c r="T44" i="1"/>
  <c r="F1" i="1"/>
  <c r="I1" i="1" s="1"/>
  <c r="H431" i="1"/>
  <c r="J416" i="1"/>
  <c r="H401" i="1"/>
  <c r="J191" i="1"/>
  <c r="H118" i="1"/>
  <c r="J389" i="1"/>
  <c r="J365" i="1"/>
  <c r="J358" i="1"/>
  <c r="J243" i="1"/>
  <c r="J178" i="1"/>
  <c r="A9" i="3"/>
  <c r="A10" i="3" s="1"/>
  <c r="H405" i="1"/>
  <c r="J360" i="1"/>
  <c r="H211" i="1"/>
  <c r="J499" i="1"/>
  <c r="J116" i="1"/>
  <c r="J165" i="1"/>
  <c r="H40" i="1"/>
  <c r="H66" i="1"/>
  <c r="I290" i="1"/>
  <c r="H125" i="1"/>
  <c r="G290" i="1"/>
  <c r="H424" i="1"/>
  <c r="H26" i="1"/>
  <c r="J423" i="1"/>
  <c r="H279" i="1"/>
  <c r="J223" i="1"/>
  <c r="H7" i="1"/>
  <c r="J225" i="1"/>
  <c r="J274" i="1"/>
  <c r="J330" i="1"/>
  <c r="J197" i="1"/>
  <c r="J262" i="1"/>
  <c r="G6" i="1"/>
  <c r="I6" i="1"/>
  <c r="G458" i="1"/>
  <c r="G244" i="1"/>
  <c r="I46" i="1"/>
  <c r="H46" i="1"/>
  <c r="J139" i="1"/>
  <c r="I427" i="1"/>
  <c r="H85" i="1"/>
  <c r="I248" i="1"/>
  <c r="G417" i="1"/>
  <c r="H6" i="1"/>
  <c r="J57" i="1"/>
  <c r="G85" i="1"/>
  <c r="J86" i="1"/>
  <c r="I447" i="1"/>
  <c r="J339" i="1"/>
  <c r="I279" i="1"/>
  <c r="J265" i="1"/>
  <c r="I181" i="1"/>
  <c r="G277" i="1"/>
  <c r="I199" i="1"/>
  <c r="J357" i="1"/>
  <c r="J412" i="1"/>
  <c r="J66" i="1"/>
  <c r="H489" i="1"/>
  <c r="H219" i="1"/>
  <c r="H170" i="1"/>
  <c r="I183" i="1"/>
  <c r="G378" i="1"/>
  <c r="J347" i="1"/>
  <c r="H106" i="1"/>
  <c r="H316" i="1"/>
  <c r="G199" i="1"/>
  <c r="H359" i="1"/>
  <c r="J121" i="1"/>
  <c r="G195" i="1"/>
  <c r="I195" i="1"/>
  <c r="G487" i="1"/>
  <c r="G359" i="1"/>
  <c r="G121" i="1"/>
  <c r="I487" i="1"/>
  <c r="G8" i="1"/>
  <c r="I8" i="1"/>
  <c r="G181" i="1"/>
  <c r="J279" i="1"/>
  <c r="I362" i="1"/>
  <c r="G356" i="1"/>
  <c r="G489" i="1"/>
  <c r="I250" i="1"/>
  <c r="G185" i="1"/>
  <c r="G250" i="1"/>
  <c r="I369" i="1"/>
  <c r="H394" i="1"/>
  <c r="J128" i="1"/>
  <c r="H67" i="1"/>
  <c r="J253" i="1"/>
  <c r="I356" i="1"/>
  <c r="G362" i="1"/>
  <c r="J46" i="1"/>
  <c r="I393" i="1"/>
  <c r="I55" i="1"/>
  <c r="G221" i="1"/>
  <c r="G343" i="1"/>
  <c r="J394" i="1"/>
  <c r="I440" i="1"/>
  <c r="I343" i="1"/>
  <c r="G373" i="1"/>
  <c r="H251" i="1"/>
  <c r="J224" i="1"/>
  <c r="H8" i="1"/>
  <c r="H471" i="1"/>
  <c r="J136" i="1"/>
  <c r="J27" i="1"/>
  <c r="J206" i="1"/>
  <c r="J151" i="1"/>
  <c r="I91" i="1"/>
  <c r="H423" i="1"/>
  <c r="G394" i="1"/>
  <c r="G159" i="1"/>
  <c r="I373" i="1"/>
  <c r="H253" i="1"/>
  <c r="G3" i="1"/>
  <c r="H347" i="1"/>
  <c r="G414" i="1"/>
  <c r="H197" i="1"/>
  <c r="J359" i="1"/>
  <c r="G253" i="1"/>
  <c r="I489" i="1"/>
  <c r="I67" i="1"/>
  <c r="G75" i="1"/>
  <c r="G19" i="1"/>
  <c r="I98" i="1"/>
  <c r="G98" i="1"/>
  <c r="G339" i="1"/>
  <c r="I436" i="1"/>
  <c r="G53" i="1"/>
  <c r="H53" i="1"/>
  <c r="I53" i="1"/>
  <c r="J203" i="1"/>
  <c r="I103" i="1"/>
  <c r="H223" i="1"/>
  <c r="J16" i="1"/>
  <c r="I366" i="1"/>
  <c r="I24" i="1"/>
  <c r="G377" i="1"/>
  <c r="I247" i="1"/>
  <c r="I246" i="1"/>
  <c r="G243" i="1"/>
  <c r="G391" i="1"/>
  <c r="I405" i="1"/>
  <c r="H298" i="1"/>
  <c r="H416" i="1"/>
  <c r="H389" i="1"/>
  <c r="H274" i="1"/>
  <c r="G246" i="1"/>
  <c r="H243" i="1"/>
  <c r="H153" i="1"/>
  <c r="I308" i="1"/>
  <c r="G308" i="1"/>
  <c r="G60" i="1"/>
  <c r="I349" i="1"/>
  <c r="I172" i="1"/>
  <c r="G172" i="1"/>
  <c r="G35" i="1"/>
  <c r="I418" i="1"/>
  <c r="G128" i="1"/>
  <c r="I128" i="1"/>
  <c r="I367" i="1"/>
  <c r="I223" i="1"/>
  <c r="G223" i="1"/>
  <c r="G298" i="1"/>
  <c r="G274" i="1"/>
  <c r="G179" i="1"/>
  <c r="H128" i="1"/>
  <c r="I251" i="1"/>
  <c r="J167" i="1"/>
  <c r="H167" i="1"/>
  <c r="G198" i="1"/>
  <c r="I198" i="1"/>
  <c r="I197" i="1"/>
  <c r="G79" i="1"/>
  <c r="I339" i="1"/>
  <c r="G423" i="1"/>
  <c r="J25" i="1"/>
  <c r="H25" i="1"/>
  <c r="I36" i="1"/>
  <c r="G36" i="1"/>
  <c r="I414" i="1"/>
  <c r="G337" i="1"/>
  <c r="I391" i="1"/>
  <c r="G252" i="1"/>
  <c r="I35" i="1"/>
  <c r="G330" i="1"/>
  <c r="I330" i="1"/>
  <c r="G371" i="1"/>
  <c r="I196" i="1"/>
  <c r="G196" i="1"/>
  <c r="I210" i="1"/>
  <c r="G210" i="1"/>
  <c r="G220" i="1"/>
  <c r="I220" i="1"/>
  <c r="I376" i="1"/>
  <c r="G376" i="1"/>
  <c r="I167" i="1"/>
  <c r="G167" i="1"/>
  <c r="I23" i="1"/>
  <c r="G23" i="1"/>
  <c r="I406" i="1"/>
  <c r="G406" i="1"/>
  <c r="I129" i="1"/>
  <c r="G129" i="1"/>
  <c r="G116" i="1"/>
  <c r="I116" i="1"/>
  <c r="I499" i="1"/>
  <c r="G355" i="1"/>
  <c r="I355" i="1"/>
  <c r="I211" i="1"/>
  <c r="G211" i="1"/>
  <c r="I20" i="1"/>
  <c r="H20" i="1"/>
  <c r="I469" i="1"/>
  <c r="I408" i="1"/>
  <c r="I25" i="1"/>
  <c r="G24" i="1"/>
  <c r="G29" i="1"/>
  <c r="G335" i="1"/>
  <c r="G408" i="1"/>
  <c r="J118" i="1"/>
  <c r="H262" i="1"/>
  <c r="G361" i="1"/>
  <c r="I79" i="1"/>
  <c r="G7" i="1"/>
  <c r="G203" i="1"/>
  <c r="I404" i="1"/>
  <c r="I377" i="1"/>
  <c r="H121" i="1"/>
  <c r="I26" i="1"/>
  <c r="G26" i="1"/>
  <c r="J414" i="1"/>
  <c r="G59" i="1"/>
  <c r="G40" i="1"/>
  <c r="H103" i="1"/>
  <c r="H36" i="1"/>
  <c r="J411" i="1"/>
  <c r="H411" i="1"/>
  <c r="H414" i="1"/>
  <c r="I108" i="1"/>
  <c r="G108" i="1"/>
  <c r="I312" i="1"/>
  <c r="G312" i="1"/>
  <c r="H58" i="1"/>
  <c r="G103" i="1"/>
  <c r="I242" i="1"/>
  <c r="J78" i="1"/>
  <c r="G247" i="1"/>
  <c r="J316" i="1"/>
  <c r="I203" i="1"/>
  <c r="G393" i="1"/>
  <c r="H75" i="1"/>
  <c r="G91" i="1"/>
  <c r="I206" i="1"/>
  <c r="G206" i="1"/>
  <c r="I320" i="1"/>
  <c r="I135" i="1"/>
  <c r="G135" i="1"/>
  <c r="H397" i="1"/>
  <c r="I347" i="1"/>
  <c r="G106" i="1"/>
  <c r="I106" i="1"/>
  <c r="I170" i="1"/>
  <c r="G186" i="1"/>
  <c r="J487" i="1"/>
  <c r="G117" i="1"/>
  <c r="I182" i="1"/>
  <c r="G192" i="1"/>
  <c r="J67" i="1"/>
  <c r="G411" i="1"/>
  <c r="J406" i="1"/>
  <c r="G207" i="1"/>
  <c r="G132" i="1"/>
  <c r="I132" i="1"/>
  <c r="I357" i="1"/>
  <c r="G357" i="1"/>
  <c r="H406" i="1"/>
  <c r="J55" i="1"/>
  <c r="H192" i="1"/>
  <c r="J202" i="1"/>
  <c r="I411" i="1"/>
  <c r="G316" i="1"/>
  <c r="I117" i="1"/>
  <c r="I192" i="1"/>
  <c r="H332" i="1"/>
  <c r="J186" i="1"/>
  <c r="J41" i="1"/>
  <c r="H148" i="1"/>
  <c r="H473" i="1"/>
  <c r="J258" i="1"/>
  <c r="J373" i="1"/>
  <c r="H56" i="1"/>
  <c r="H18" i="1"/>
  <c r="J89" i="1"/>
  <c r="J432" i="1"/>
  <c r="H21" i="1"/>
  <c r="J488" i="1"/>
  <c r="J485" i="1"/>
  <c r="J232" i="1"/>
  <c r="J183" i="1"/>
  <c r="J277" i="1"/>
  <c r="J74" i="1"/>
  <c r="H208" i="1"/>
  <c r="J337" i="1"/>
  <c r="J190" i="1"/>
  <c r="J6" i="1"/>
  <c r="J20" i="1"/>
  <c r="J53" i="1"/>
  <c r="H204" i="1"/>
  <c r="H130" i="1"/>
  <c r="I417" i="1"/>
  <c r="J418" i="1"/>
  <c r="H174" i="1"/>
  <c r="J379" i="1"/>
  <c r="J440" i="1"/>
  <c r="H497" i="1"/>
  <c r="H310" i="1"/>
  <c r="H104" i="1"/>
  <c r="J188" i="1"/>
  <c r="J257" i="1"/>
  <c r="J185" i="1"/>
  <c r="J196" i="1"/>
  <c r="H469" i="1"/>
  <c r="H376" i="1"/>
  <c r="J376" i="1"/>
  <c r="J362" i="1"/>
  <c r="H362" i="1"/>
  <c r="G214" i="1"/>
  <c r="I214" i="1"/>
  <c r="J300" i="1"/>
  <c r="H300" i="1"/>
  <c r="G300" i="1"/>
  <c r="I300" i="1"/>
  <c r="J346" i="1"/>
  <c r="G346" i="1"/>
  <c r="G18" i="1"/>
  <c r="J478" i="1"/>
  <c r="H478" i="1"/>
  <c r="G409" i="1"/>
  <c r="I409" i="1"/>
  <c r="J409" i="1"/>
  <c r="H409" i="1"/>
  <c r="J435" i="1"/>
  <c r="H59" i="1"/>
  <c r="J59" i="1"/>
  <c r="I381" i="1"/>
  <c r="G381" i="1"/>
  <c r="G87" i="1"/>
  <c r="H87" i="1"/>
  <c r="J87" i="1"/>
  <c r="G284" i="1"/>
  <c r="I284" i="1"/>
  <c r="I470" i="1"/>
  <c r="G470" i="1"/>
  <c r="I101" i="1"/>
  <c r="G101" i="1"/>
  <c r="I306" i="1"/>
  <c r="G306" i="1"/>
  <c r="H159" i="1"/>
  <c r="J159" i="1"/>
  <c r="G30" i="1"/>
  <c r="I30" i="1"/>
  <c r="G462" i="1"/>
  <c r="I462" i="1"/>
  <c r="I90" i="1"/>
  <c r="G90" i="1"/>
  <c r="H90" i="1"/>
  <c r="I72" i="1"/>
  <c r="I478" i="1"/>
  <c r="G478" i="1"/>
  <c r="I334" i="1"/>
  <c r="G334" i="1"/>
  <c r="I57" i="1"/>
  <c r="G57" i="1"/>
  <c r="G46" i="1"/>
  <c r="I74" i="1"/>
  <c r="I85" i="1"/>
  <c r="J157" i="1"/>
  <c r="H283" i="1"/>
  <c r="H190" i="1"/>
  <c r="I95" i="1"/>
  <c r="G484" i="1"/>
  <c r="I190" i="1"/>
  <c r="J8" i="1"/>
  <c r="H374" i="1"/>
  <c r="J374" i="1"/>
  <c r="I273" i="1"/>
  <c r="G273" i="1"/>
  <c r="I315" i="1"/>
  <c r="G315" i="1"/>
  <c r="I326" i="1"/>
  <c r="G134" i="1"/>
  <c r="J361" i="1"/>
  <c r="H361" i="1"/>
  <c r="I303" i="1"/>
  <c r="G303" i="1"/>
  <c r="I119" i="1"/>
  <c r="G119" i="1"/>
  <c r="G70" i="1"/>
  <c r="J70" i="1"/>
  <c r="I70" i="1"/>
  <c r="H70" i="1"/>
  <c r="I68" i="1"/>
  <c r="H277" i="1"/>
  <c r="H183" i="1"/>
  <c r="J214" i="1"/>
  <c r="I473" i="1"/>
  <c r="G473" i="1"/>
  <c r="H289" i="1"/>
  <c r="H263" i="1"/>
  <c r="J263" i="1"/>
  <c r="I100" i="1"/>
  <c r="G100" i="1"/>
  <c r="J462" i="1"/>
  <c r="H462" i="1"/>
  <c r="H144" i="1"/>
  <c r="I144" i="1"/>
  <c r="I27" i="1"/>
  <c r="G27" i="1"/>
  <c r="I459" i="1"/>
  <c r="I285" i="1"/>
  <c r="G86" i="1"/>
  <c r="I86" i="1"/>
  <c r="I457" i="1"/>
  <c r="G457" i="1"/>
  <c r="J297" i="1"/>
  <c r="G297" i="1"/>
  <c r="H297" i="1"/>
  <c r="I297" i="1"/>
  <c r="I480" i="1"/>
  <c r="G480" i="1"/>
  <c r="I114" i="1"/>
  <c r="G114" i="1"/>
  <c r="G44" i="1"/>
  <c r="I44" i="1"/>
  <c r="I139" i="1"/>
  <c r="G139" i="1"/>
  <c r="H139" i="1"/>
  <c r="H186" i="1"/>
  <c r="G248" i="1"/>
  <c r="J208" i="1"/>
  <c r="J90" i="1"/>
  <c r="G95" i="1"/>
  <c r="J68" i="1"/>
  <c r="G72" i="1"/>
  <c r="G111" i="1"/>
  <c r="G151" i="1"/>
  <c r="G190" i="1"/>
  <c r="J490" i="1"/>
  <c r="H490" i="1"/>
  <c r="J367" i="1"/>
  <c r="H367" i="1"/>
  <c r="I314" i="1"/>
  <c r="G318" i="1"/>
  <c r="I318" i="1"/>
  <c r="I163" i="1"/>
  <c r="G163" i="1"/>
  <c r="J408" i="1"/>
  <c r="H408" i="1"/>
  <c r="H343" i="1"/>
  <c r="J343" i="1"/>
  <c r="G109" i="1"/>
  <c r="I109" i="1"/>
  <c r="G222" i="1"/>
  <c r="J222" i="1"/>
  <c r="J452" i="1"/>
  <c r="H452" i="1"/>
  <c r="H10" i="1"/>
  <c r="J10" i="1"/>
  <c r="J199" i="1"/>
  <c r="H199" i="1"/>
  <c r="H393" i="1"/>
  <c r="J393" i="1"/>
  <c r="J334" i="1"/>
  <c r="H334" i="1"/>
  <c r="G287" i="1"/>
  <c r="I283" i="1"/>
  <c r="J283" i="1"/>
  <c r="H111" i="1"/>
  <c r="I10" i="1"/>
  <c r="I258" i="1"/>
  <c r="G333" i="1"/>
  <c r="G125" i="1"/>
  <c r="I125" i="1"/>
  <c r="H145" i="1"/>
  <c r="G145" i="1"/>
  <c r="I145" i="1"/>
  <c r="J62" i="1"/>
  <c r="H62" i="1"/>
  <c r="J439" i="1"/>
  <c r="I295" i="1"/>
  <c r="G160" i="1"/>
  <c r="I160" i="1"/>
  <c r="G78" i="1"/>
  <c r="I78" i="1"/>
  <c r="H198" i="1"/>
  <c r="J198" i="1"/>
  <c r="J396" i="1"/>
  <c r="H396" i="1"/>
  <c r="I111" i="1"/>
  <c r="G10" i="1"/>
  <c r="I458" i="1"/>
  <c r="J163" i="1"/>
  <c r="G427" i="1"/>
  <c r="J61" i="1"/>
  <c r="J480" i="1"/>
  <c r="H163" i="1"/>
  <c r="H239" i="1"/>
  <c r="J239" i="1"/>
  <c r="H135" i="1"/>
  <c r="J135" i="1"/>
  <c r="J458" i="1"/>
  <c r="H457" i="1"/>
  <c r="H78" i="1"/>
  <c r="I208" i="1"/>
  <c r="I200" i="1"/>
  <c r="G416" i="1"/>
  <c r="I416" i="1"/>
  <c r="I413" i="1"/>
  <c r="G413" i="1"/>
  <c r="I241" i="1"/>
  <c r="G241" i="1"/>
  <c r="G426" i="1"/>
  <c r="I426" i="1"/>
  <c r="I254" i="1"/>
  <c r="G254" i="1"/>
  <c r="J172" i="1"/>
  <c r="H172" i="1"/>
  <c r="G264" i="1"/>
  <c r="I205" i="1"/>
  <c r="G205" i="1"/>
  <c r="J29" i="1"/>
  <c r="H13" i="1"/>
  <c r="J13" i="1"/>
  <c r="G442" i="1"/>
  <c r="I442" i="1"/>
  <c r="J298" i="1"/>
  <c r="I165" i="1"/>
  <c r="G165" i="1"/>
  <c r="G13" i="1"/>
  <c r="I13" i="1"/>
  <c r="I437" i="1"/>
  <c r="H436" i="1"/>
  <c r="J103" i="1"/>
  <c r="H165" i="1"/>
  <c r="I423" i="1"/>
  <c r="G176" i="1"/>
  <c r="G366" i="1"/>
  <c r="I243" i="1"/>
  <c r="H37" i="1"/>
  <c r="G437" i="1"/>
  <c r="G374" i="1"/>
  <c r="G436" i="1"/>
  <c r="H339" i="1"/>
  <c r="I59" i="1"/>
  <c r="G231" i="1"/>
  <c r="H175" i="1"/>
  <c r="J319" i="1"/>
  <c r="H319" i="1"/>
  <c r="J23" i="1"/>
  <c r="H23" i="1"/>
  <c r="G452" i="1"/>
  <c r="I452" i="1"/>
  <c r="J170" i="1"/>
  <c r="J254" i="1"/>
  <c r="J436" i="1"/>
  <c r="I483" i="1"/>
  <c r="I154" i="1"/>
  <c r="I231" i="1"/>
  <c r="J52" i="1"/>
  <c r="J268" i="1"/>
  <c r="G268" i="1"/>
  <c r="H268" i="1"/>
  <c r="H254" i="1"/>
  <c r="G483" i="1"/>
  <c r="H178" i="1"/>
  <c r="G200" i="1"/>
  <c r="J30" i="1"/>
  <c r="H203" i="1"/>
  <c r="H461" i="1"/>
  <c r="J58" i="1"/>
  <c r="J101" i="1"/>
  <c r="J144" i="1"/>
  <c r="J377" i="1"/>
  <c r="H247" i="1"/>
  <c r="J321" i="1"/>
  <c r="J447" i="1"/>
  <c r="H29" i="1"/>
  <c r="J92" i="1"/>
  <c r="H92" i="1"/>
  <c r="H267" i="1"/>
  <c r="J267" i="1"/>
  <c r="J38" i="1"/>
  <c r="G38" i="1"/>
  <c r="I38" i="1"/>
  <c r="J329" i="1"/>
  <c r="H329" i="1"/>
  <c r="G353" i="1"/>
  <c r="H353" i="1"/>
  <c r="J463" i="1"/>
  <c r="H463" i="1"/>
  <c r="J460" i="1"/>
  <c r="H460" i="1"/>
  <c r="I302" i="1"/>
  <c r="G342" i="1"/>
  <c r="H342" i="1"/>
  <c r="I342" i="1"/>
  <c r="J342" i="1"/>
  <c r="J341" i="1"/>
  <c r="I341" i="1"/>
  <c r="H341" i="1"/>
  <c r="G341" i="1"/>
  <c r="J180" i="1"/>
  <c r="H180" i="1"/>
  <c r="I180" i="1"/>
  <c r="G180" i="1"/>
  <c r="I189" i="1"/>
  <c r="G189" i="1"/>
  <c r="G305" i="1"/>
  <c r="I305" i="1"/>
  <c r="H242" i="1"/>
  <c r="J242" i="1"/>
  <c r="G348" i="1"/>
  <c r="H348" i="1"/>
  <c r="I348" i="1"/>
  <c r="J348" i="1"/>
  <c r="H150" i="1"/>
  <c r="G150" i="1"/>
  <c r="I150" i="1"/>
  <c r="I382" i="1"/>
  <c r="G382" i="1"/>
  <c r="I105" i="1"/>
  <c r="G105" i="1"/>
  <c r="G43" i="1"/>
  <c r="I43" i="1"/>
  <c r="H442" i="1"/>
  <c r="J442" i="1"/>
  <c r="I37" i="1"/>
  <c r="G37" i="1"/>
  <c r="J498" i="1"/>
  <c r="H498" i="1"/>
  <c r="I76" i="1"/>
  <c r="J76" i="1"/>
  <c r="G76" i="1"/>
  <c r="I325" i="1"/>
  <c r="G325" i="1"/>
  <c r="J444" i="1"/>
  <c r="H444" i="1"/>
  <c r="G54" i="1"/>
  <c r="I54" i="1"/>
  <c r="I460" i="1"/>
  <c r="G460" i="1"/>
  <c r="I88" i="1"/>
  <c r="G88" i="1"/>
  <c r="H88" i="1"/>
  <c r="I148" i="1"/>
  <c r="J148" i="1"/>
  <c r="G148" i="1"/>
  <c r="I328" i="1"/>
  <c r="G328" i="1"/>
  <c r="J327" i="1"/>
  <c r="H327" i="1"/>
  <c r="I327" i="1"/>
  <c r="G327" i="1"/>
  <c r="J161" i="1"/>
  <c r="G161" i="1"/>
  <c r="I161" i="1"/>
  <c r="H161" i="1"/>
  <c r="H244" i="1"/>
  <c r="J244" i="1"/>
  <c r="J100" i="1"/>
  <c r="H100" i="1"/>
  <c r="G173" i="1"/>
  <c r="I173" i="1"/>
  <c r="H51" i="1"/>
  <c r="J51" i="1"/>
  <c r="J497" i="1"/>
  <c r="H264" i="1"/>
  <c r="J264" i="1"/>
  <c r="H391" i="1"/>
  <c r="J391" i="1"/>
  <c r="H60" i="1"/>
  <c r="J60" i="1"/>
  <c r="H131" i="1"/>
  <c r="J131" i="1"/>
  <c r="J110" i="1"/>
  <c r="H110" i="1"/>
  <c r="I110" i="1"/>
  <c r="G110" i="1"/>
  <c r="G354" i="1"/>
  <c r="J354" i="1"/>
  <c r="I354" i="1"/>
  <c r="H354" i="1"/>
  <c r="I364" i="1"/>
  <c r="G364" i="1"/>
  <c r="J364" i="1"/>
  <c r="H63" i="1"/>
  <c r="J63" i="1"/>
  <c r="I479" i="1"/>
  <c r="G479" i="1"/>
  <c r="J98" i="1"/>
  <c r="H98" i="1"/>
  <c r="I171" i="1"/>
  <c r="G171" i="1"/>
  <c r="J171" i="1"/>
  <c r="J97" i="1"/>
  <c r="H97" i="1"/>
  <c r="I143" i="1"/>
  <c r="H143" i="1"/>
  <c r="G143" i="1"/>
  <c r="J143" i="1"/>
  <c r="J238" i="1"/>
  <c r="G238" i="1"/>
  <c r="H238" i="1"/>
  <c r="I238" i="1"/>
  <c r="G92" i="1"/>
  <c r="I92" i="1"/>
  <c r="G187" i="1"/>
  <c r="I187" i="1"/>
  <c r="H338" i="1"/>
  <c r="I338" i="1"/>
  <c r="G338" i="1"/>
  <c r="J72" i="1"/>
  <c r="H72" i="1"/>
  <c r="H250" i="1"/>
  <c r="J250" i="1"/>
  <c r="J441" i="1"/>
  <c r="H441" i="1"/>
  <c r="G296" i="1"/>
  <c r="I296" i="1"/>
  <c r="H176" i="1"/>
  <c r="J176" i="1"/>
  <c r="H449" i="1"/>
  <c r="J449" i="1"/>
  <c r="J320" i="1"/>
  <c r="H320" i="1"/>
  <c r="J115" i="1"/>
  <c r="H115" i="1"/>
  <c r="I329" i="1"/>
  <c r="I147" i="1"/>
  <c r="G147" i="1"/>
  <c r="I500" i="1"/>
  <c r="G500" i="1"/>
  <c r="I146" i="1"/>
  <c r="J388" i="1"/>
  <c r="H388" i="1"/>
  <c r="I350" i="1"/>
  <c r="G350" i="1"/>
  <c r="H195" i="1"/>
  <c r="J195" i="1"/>
  <c r="J83" i="1"/>
  <c r="H83" i="1"/>
  <c r="J299" i="1"/>
  <c r="H299" i="1"/>
  <c r="I194" i="1"/>
  <c r="G194" i="1"/>
  <c r="H194" i="1"/>
  <c r="J194" i="1"/>
  <c r="J54" i="1"/>
  <c r="H54" i="1"/>
  <c r="J273" i="1"/>
  <c r="H273" i="1"/>
  <c r="H158" i="1"/>
  <c r="G158" i="1"/>
  <c r="J158" i="1"/>
  <c r="I158" i="1"/>
  <c r="J335" i="1"/>
  <c r="H335" i="1"/>
  <c r="H270" i="1"/>
  <c r="J270" i="1"/>
  <c r="J474" i="1"/>
  <c r="I168" i="1"/>
  <c r="G168" i="1"/>
  <c r="G164" i="1"/>
  <c r="I164" i="1"/>
  <c r="H207" i="1"/>
  <c r="J207" i="1"/>
  <c r="I113" i="1"/>
  <c r="H113" i="1"/>
  <c r="G113" i="1"/>
  <c r="J241" i="1"/>
  <c r="H241" i="1"/>
  <c r="I332" i="1"/>
  <c r="J332" i="1"/>
  <c r="G332" i="1"/>
  <c r="I94" i="1"/>
  <c r="G94" i="1"/>
  <c r="G475" i="1"/>
  <c r="I475" i="1"/>
  <c r="J475" i="1"/>
  <c r="H475" i="1"/>
  <c r="G331" i="1"/>
  <c r="I331" i="1"/>
  <c r="H495" i="1"/>
  <c r="J495" i="1"/>
  <c r="H284" i="1"/>
  <c r="J284" i="1"/>
  <c r="H35" i="1"/>
  <c r="J35" i="1"/>
  <c r="J34" i="1"/>
  <c r="H34" i="1"/>
  <c r="J105" i="1"/>
  <c r="H105" i="1"/>
  <c r="H44" i="1"/>
  <c r="J44" i="1"/>
  <c r="H382" i="1"/>
  <c r="J382" i="1"/>
  <c r="J288" i="1"/>
  <c r="G288" i="1"/>
  <c r="I288" i="1"/>
  <c r="H288" i="1"/>
  <c r="I340" i="1"/>
  <c r="G340" i="1"/>
  <c r="J469" i="1"/>
  <c r="H440" i="1"/>
  <c r="J310" i="1"/>
  <c r="H55" i="1"/>
  <c r="H487" i="1"/>
  <c r="H466" i="1"/>
  <c r="J466" i="1"/>
  <c r="J465" i="1"/>
  <c r="H465" i="1"/>
  <c r="J464" i="1"/>
  <c r="H464" i="1"/>
  <c r="J189" i="1"/>
  <c r="H189" i="1"/>
  <c r="H216" i="1"/>
  <c r="J216" i="1"/>
  <c r="H482" i="1"/>
  <c r="J482" i="1"/>
  <c r="G482" i="1"/>
  <c r="I482" i="1"/>
  <c r="J378" i="1"/>
  <c r="H378" i="1"/>
  <c r="H33" i="1"/>
  <c r="J33" i="1"/>
  <c r="G15" i="1"/>
  <c r="I15" i="1"/>
  <c r="J15" i="1"/>
  <c r="H15" i="1"/>
  <c r="J381" i="1"/>
  <c r="H381" i="1"/>
  <c r="J402" i="1"/>
  <c r="G402" i="1"/>
  <c r="I402" i="1"/>
  <c r="H445" i="1"/>
  <c r="I445" i="1"/>
  <c r="G445" i="1"/>
  <c r="J445" i="1"/>
  <c r="H65" i="1"/>
  <c r="I65" i="1"/>
  <c r="J65" i="1"/>
  <c r="G65" i="1"/>
  <c r="I269" i="1"/>
  <c r="I456" i="1"/>
  <c r="G456" i="1"/>
  <c r="I84" i="1"/>
  <c r="G84" i="1"/>
  <c r="I292" i="1"/>
  <c r="G292" i="1"/>
  <c r="J147" i="1"/>
  <c r="H147" i="1"/>
  <c r="G233" i="1"/>
  <c r="I233" i="1"/>
  <c r="J470" i="1"/>
  <c r="H470" i="1"/>
  <c r="H38" i="1"/>
  <c r="J433" i="1"/>
  <c r="I433" i="1"/>
  <c r="I50" i="1"/>
  <c r="J50" i="1"/>
  <c r="G50" i="1"/>
  <c r="H50" i="1"/>
  <c r="G466" i="1"/>
  <c r="I466" i="1"/>
  <c r="I178" i="1"/>
  <c r="G178" i="1"/>
  <c r="G45" i="1"/>
  <c r="I271" i="1"/>
  <c r="G271" i="1"/>
  <c r="J14" i="1"/>
  <c r="H14" i="1"/>
  <c r="G14" i="1"/>
  <c r="I14" i="1"/>
  <c r="H305" i="1"/>
  <c r="J37" i="1"/>
  <c r="G270" i="1"/>
  <c r="G329" i="1"/>
  <c r="I351" i="1"/>
  <c r="J351" i="1"/>
  <c r="G174" i="1"/>
  <c r="I174" i="1"/>
  <c r="H245" i="1"/>
  <c r="J245" i="1"/>
  <c r="H370" i="1"/>
  <c r="J370" i="1"/>
  <c r="J117" i="1"/>
  <c r="H117" i="1"/>
  <c r="H356" i="1"/>
  <c r="J356" i="1"/>
  <c r="H413" i="1"/>
  <c r="J413" i="1"/>
  <c r="H248" i="1"/>
  <c r="J248" i="1"/>
  <c r="I294" i="1"/>
  <c r="G294" i="1"/>
  <c r="J294" i="1"/>
  <c r="H294" i="1"/>
  <c r="J448" i="1"/>
  <c r="H448" i="1"/>
  <c r="H43" i="1"/>
  <c r="J43" i="1"/>
  <c r="I61" i="1"/>
  <c r="G61" i="1"/>
  <c r="J114" i="1"/>
  <c r="H114" i="1"/>
  <c r="G324" i="1"/>
  <c r="I324" i="1"/>
  <c r="I230" i="1"/>
  <c r="G230" i="1"/>
  <c r="I272" i="1"/>
  <c r="G272" i="1"/>
  <c r="H272" i="1"/>
  <c r="I444" i="1"/>
  <c r="G444" i="1"/>
  <c r="J64" i="1"/>
  <c r="I64" i="1"/>
  <c r="H64" i="1"/>
  <c r="G64" i="1"/>
  <c r="I443" i="1"/>
  <c r="G443" i="1"/>
  <c r="I63" i="1"/>
  <c r="G63" i="1"/>
  <c r="G282" i="1"/>
  <c r="I282" i="1"/>
  <c r="H282" i="1"/>
  <c r="J282" i="1"/>
  <c r="H340" i="1"/>
  <c r="J340" i="1"/>
  <c r="G465" i="1"/>
  <c r="I97" i="1"/>
  <c r="G97" i="1"/>
  <c r="J3" i="1"/>
  <c r="H3" i="1"/>
  <c r="G407" i="1"/>
  <c r="J407" i="1"/>
  <c r="I407" i="1"/>
  <c r="H407" i="1"/>
  <c r="I5" i="1"/>
  <c r="G5" i="1"/>
  <c r="J5" i="1"/>
  <c r="J326" i="1"/>
  <c r="H326" i="1"/>
  <c r="H182" i="1"/>
  <c r="J182" i="1"/>
  <c r="I448" i="1"/>
  <c r="G448" i="1"/>
  <c r="G73" i="1"/>
  <c r="I73" i="1"/>
  <c r="J325" i="1"/>
  <c r="H325" i="1"/>
  <c r="H181" i="1"/>
  <c r="J181" i="1"/>
  <c r="I260" i="1"/>
  <c r="I83" i="1"/>
  <c r="G83" i="1"/>
  <c r="G322" i="1"/>
  <c r="H322" i="1"/>
  <c r="I322" i="1"/>
  <c r="J322" i="1"/>
  <c r="I34" i="1"/>
  <c r="G34" i="1"/>
  <c r="G32" i="1"/>
  <c r="I32" i="1"/>
  <c r="J415" i="1"/>
  <c r="I415" i="1"/>
  <c r="H415" i="1"/>
  <c r="G415" i="1"/>
  <c r="G127" i="1"/>
  <c r="I127" i="1"/>
  <c r="J125" i="1"/>
  <c r="H41" i="1"/>
  <c r="J292" i="1"/>
  <c r="H257" i="1"/>
  <c r="G291" i="1"/>
  <c r="H291" i="1"/>
  <c r="J230" i="1"/>
  <c r="H230" i="1"/>
  <c r="J152" i="1"/>
  <c r="J491" i="1"/>
  <c r="I491" i="1"/>
  <c r="H491" i="1"/>
  <c r="J133" i="1"/>
  <c r="H133" i="1"/>
  <c r="J226" i="1"/>
  <c r="I226" i="1"/>
  <c r="G226" i="1"/>
  <c r="H226" i="1"/>
  <c r="G93" i="1"/>
  <c r="J93" i="1"/>
  <c r="H80" i="1"/>
  <c r="J80" i="1"/>
  <c r="G80" i="1"/>
  <c r="I80" i="1"/>
  <c r="G319" i="1"/>
  <c r="G175" i="1"/>
  <c r="I175" i="1"/>
  <c r="H19" i="1"/>
  <c r="I268" i="1"/>
  <c r="I333" i="1"/>
  <c r="G77" i="1"/>
  <c r="H77" i="1"/>
  <c r="J259" i="1"/>
  <c r="H259" i="1"/>
  <c r="H459" i="1"/>
  <c r="J459" i="1"/>
  <c r="H39" i="1"/>
  <c r="I39" i="1"/>
  <c r="H427" i="1"/>
  <c r="J427" i="1"/>
  <c r="J19" i="1"/>
  <c r="J88" i="1"/>
  <c r="G115" i="1"/>
  <c r="G152" i="1"/>
  <c r="I19" i="1"/>
  <c r="J431" i="1"/>
  <c r="I77" i="1"/>
  <c r="G491" i="1"/>
  <c r="I464" i="1"/>
  <c r="G464" i="1"/>
  <c r="J96" i="1"/>
  <c r="I96" i="1"/>
  <c r="G96" i="1"/>
  <c r="H317" i="1"/>
  <c r="J317" i="1"/>
  <c r="G317" i="1"/>
  <c r="I317" i="1"/>
  <c r="G131" i="1"/>
  <c r="I131" i="1"/>
  <c r="I370" i="1"/>
  <c r="G370" i="1"/>
  <c r="H152" i="1"/>
  <c r="J437" i="1"/>
  <c r="H437" i="1"/>
  <c r="J269" i="1"/>
  <c r="J426" i="1"/>
  <c r="H426" i="1"/>
  <c r="I152" i="1"/>
  <c r="J77" i="1"/>
  <c r="H269" i="1"/>
  <c r="J26" i="1"/>
  <c r="J404" i="1"/>
  <c r="H404" i="1"/>
  <c r="J324" i="1"/>
  <c r="H324" i="1"/>
  <c r="J369" i="1"/>
  <c r="H369" i="1"/>
  <c r="H168" i="1"/>
  <c r="J168" i="1"/>
  <c r="J94" i="1"/>
  <c r="H94" i="1"/>
  <c r="J266" i="1"/>
  <c r="G266" i="1"/>
  <c r="I266" i="1"/>
  <c r="G388" i="1"/>
  <c r="I388" i="1"/>
  <c r="I431" i="1"/>
  <c r="G431" i="1"/>
  <c r="G48" i="1"/>
  <c r="I48" i="1"/>
  <c r="G429" i="1"/>
  <c r="G42" i="1"/>
  <c r="I42" i="1"/>
  <c r="H428" i="1"/>
  <c r="I428" i="1"/>
  <c r="G441" i="1"/>
  <c r="I441" i="1"/>
  <c r="G392" i="1"/>
  <c r="I392" i="1"/>
  <c r="H434" i="1"/>
  <c r="G434" i="1"/>
  <c r="G51" i="1"/>
  <c r="I51" i="1"/>
  <c r="G245" i="1"/>
  <c r="I245" i="1"/>
  <c r="H71" i="1"/>
  <c r="G310" i="1"/>
  <c r="I310" i="1"/>
  <c r="G22" i="1"/>
  <c r="I22" i="1"/>
  <c r="H22" i="1"/>
  <c r="I2" i="1"/>
  <c r="G2" i="1"/>
  <c r="I71" i="1"/>
  <c r="H237" i="1"/>
  <c r="G463" i="1"/>
  <c r="J434" i="1"/>
  <c r="J75" i="1"/>
  <c r="J71" i="1"/>
  <c r="J85" i="1"/>
  <c r="I133" i="1"/>
  <c r="H93" i="1"/>
  <c r="J174" i="1"/>
  <c r="I281" i="1"/>
  <c r="G281" i="1"/>
  <c r="H281" i="1"/>
  <c r="I424" i="1"/>
  <c r="G424" i="1"/>
  <c r="J424" i="1"/>
  <c r="J481" i="1"/>
  <c r="H233" i="1"/>
  <c r="H483" i="1"/>
  <c r="J483" i="1"/>
  <c r="H84" i="1"/>
  <c r="J84" i="1"/>
  <c r="G237" i="1"/>
  <c r="I237" i="1"/>
  <c r="J303" i="1"/>
  <c r="H303" i="1"/>
  <c r="H366" i="1"/>
  <c r="J366" i="1"/>
  <c r="I495" i="1"/>
  <c r="G495" i="1"/>
  <c r="I257" i="1"/>
  <c r="G257" i="1"/>
  <c r="I256" i="1"/>
  <c r="G256" i="1"/>
  <c r="G41" i="1"/>
  <c r="I41" i="1"/>
  <c r="H328" i="1"/>
  <c r="J328" i="1"/>
  <c r="G278" i="1"/>
  <c r="I278" i="1"/>
  <c r="G219" i="1"/>
  <c r="I219" i="1"/>
  <c r="J314" i="1"/>
  <c r="H314" i="1"/>
  <c r="G261" i="1"/>
  <c r="H261" i="1"/>
  <c r="J261" i="1"/>
  <c r="I261" i="1"/>
  <c r="J313" i="1"/>
  <c r="H313" i="1"/>
  <c r="G419" i="1"/>
  <c r="H419" i="1"/>
  <c r="I419" i="1"/>
  <c r="J419" i="1"/>
  <c r="G28" i="1"/>
  <c r="J28" i="1"/>
  <c r="H28" i="1"/>
  <c r="I28" i="1"/>
  <c r="H454" i="1"/>
  <c r="G454" i="1"/>
  <c r="J454" i="1"/>
  <c r="I454" i="1"/>
  <c r="G166" i="1"/>
  <c r="I33" i="1"/>
  <c r="I62" i="1"/>
  <c r="I93" i="1"/>
  <c r="H458" i="1"/>
  <c r="I75" i="1"/>
  <c r="G481" i="1"/>
  <c r="J428" i="1"/>
  <c r="J219" i="1"/>
  <c r="I463" i="1"/>
  <c r="I434" i="1"/>
  <c r="J233" i="1"/>
  <c r="J291" i="1"/>
  <c r="H481" i="1"/>
  <c r="H266" i="1"/>
  <c r="J355" i="1"/>
  <c r="H355" i="1"/>
  <c r="J45" i="1"/>
  <c r="J307" i="1"/>
  <c r="H307" i="1"/>
  <c r="H293" i="1"/>
  <c r="J293" i="1"/>
  <c r="J200" i="1"/>
  <c r="H200" i="1"/>
  <c r="J17" i="1"/>
  <c r="H17" i="1"/>
  <c r="G216" i="1"/>
  <c r="I216" i="1"/>
  <c r="I259" i="1"/>
  <c r="G428" i="1"/>
  <c r="J489" i="1"/>
  <c r="H480" i="1"/>
  <c r="I291" i="1"/>
  <c r="H429" i="1"/>
  <c r="G255" i="1"/>
  <c r="J40" i="1"/>
  <c r="I429" i="1"/>
  <c r="I255" i="1"/>
  <c r="J296" i="1"/>
  <c r="G239" i="1"/>
  <c r="I468" i="1"/>
  <c r="J24" i="1"/>
  <c r="H24" i="1"/>
  <c r="J305" i="1"/>
  <c r="J95" i="1"/>
  <c r="H95" i="1"/>
  <c r="I267" i="1"/>
  <c r="G267" i="1"/>
  <c r="H166" i="1"/>
  <c r="J166" i="1"/>
  <c r="I496" i="1"/>
  <c r="G496" i="1"/>
  <c r="H496" i="1"/>
  <c r="J429" i="1"/>
  <c r="J237" i="1"/>
  <c r="G66" i="1"/>
  <c r="I66" i="1"/>
  <c r="G488" i="1"/>
  <c r="I488" i="1"/>
  <c r="H488" i="1"/>
  <c r="I126" i="1"/>
  <c r="J486" i="1"/>
  <c r="G486" i="1"/>
  <c r="I486" i="1"/>
  <c r="I485" i="1"/>
  <c r="H485" i="1"/>
  <c r="G485" i="1"/>
  <c r="G313" i="1"/>
  <c r="I313" i="1"/>
  <c r="G124" i="1"/>
  <c r="H124" i="1"/>
  <c r="J124" i="1"/>
  <c r="I124" i="1"/>
  <c r="H157" i="1"/>
  <c r="G157" i="1"/>
  <c r="J39" i="1"/>
  <c r="G449" i="1"/>
  <c r="I449" i="1"/>
  <c r="H74" i="1"/>
  <c r="I492" i="1"/>
  <c r="G492" i="1"/>
  <c r="H73" i="1"/>
  <c r="J73" i="1"/>
  <c r="G476" i="1"/>
  <c r="G358" i="1"/>
  <c r="I81" i="1"/>
  <c r="G81" i="1"/>
  <c r="G68" i="1"/>
  <c r="H68" i="1"/>
  <c r="G451" i="1"/>
  <c r="I307" i="1"/>
  <c r="G307" i="1"/>
  <c r="G17" i="1"/>
  <c r="I17" i="1"/>
  <c r="H296" i="1"/>
  <c r="H358" i="1"/>
  <c r="G314" i="1"/>
  <c r="G498" i="1"/>
  <c r="G326" i="1"/>
  <c r="I476" i="1"/>
  <c r="I134" i="1"/>
  <c r="H492" i="1"/>
  <c r="H214" i="1"/>
  <c r="J281" i="1"/>
  <c r="H224" i="1"/>
  <c r="I224" i="1"/>
  <c r="J496" i="1"/>
  <c r="J173" i="1"/>
  <c r="J164" i="1"/>
  <c r="H331" i="1"/>
  <c r="J127" i="1"/>
  <c r="J48" i="1"/>
  <c r="H81" i="1"/>
  <c r="H486" i="1"/>
  <c r="H96" i="1"/>
  <c r="J22" i="1"/>
  <c r="H373" i="1"/>
  <c r="H196" i="1"/>
  <c r="H265" i="1"/>
  <c r="G224" i="1"/>
  <c r="G396" i="1"/>
  <c r="J150" i="1"/>
  <c r="H5" i="1"/>
  <c r="H258" i="1"/>
  <c r="J473" i="1"/>
  <c r="H364" i="1"/>
  <c r="H76" i="1"/>
  <c r="H171" i="1"/>
  <c r="H27" i="1"/>
  <c r="H206" i="1"/>
  <c r="H61" i="1"/>
  <c r="H402" i="1"/>
  <c r="J272" i="1"/>
  <c r="J285" i="1"/>
  <c r="H86" i="1"/>
  <c r="J457" i="1"/>
  <c r="J333" i="1"/>
  <c r="J111" i="1"/>
  <c r="H433" i="1"/>
  <c r="J145" i="1"/>
  <c r="J175" i="1"/>
  <c r="J260" i="1"/>
  <c r="J500" i="1"/>
  <c r="H315" i="1"/>
  <c r="J32" i="1"/>
  <c r="H187" i="1"/>
  <c r="J255" i="1"/>
  <c r="J42" i="1"/>
  <c r="J318" i="1"/>
  <c r="J113" i="1"/>
  <c r="J213" i="1"/>
  <c r="J385" i="1"/>
  <c r="H292" i="1"/>
  <c r="J7" i="1"/>
  <c r="J134" i="1"/>
  <c r="H218" i="1"/>
  <c r="H179" i="1"/>
  <c r="H418" i="1"/>
  <c r="J492" i="1"/>
  <c r="H467" i="1"/>
  <c r="J467" i="1"/>
  <c r="I467" i="1"/>
  <c r="H455" i="1"/>
  <c r="J455" i="1"/>
  <c r="G455" i="1"/>
  <c r="I455" i="1"/>
  <c r="I453" i="1"/>
  <c r="G453" i="1"/>
  <c r="J397" i="1"/>
  <c r="I397" i="1"/>
  <c r="G397" i="1"/>
  <c r="H371" i="1"/>
  <c r="J371" i="1"/>
  <c r="G293" i="1"/>
  <c r="I293" i="1"/>
  <c r="J479" i="1"/>
  <c r="H479" i="1"/>
  <c r="I280" i="1"/>
  <c r="G280" i="1"/>
  <c r="H443" i="1"/>
  <c r="J443" i="1"/>
  <c r="J468" i="1"/>
  <c r="H468" i="1"/>
  <c r="I177" i="1"/>
  <c r="G177" i="1"/>
  <c r="H140" i="1"/>
  <c r="J140" i="1"/>
  <c r="G410" i="1"/>
  <c r="I410" i="1"/>
  <c r="J417" i="1"/>
  <c r="H417" i="1"/>
  <c r="J476" i="1"/>
  <c r="H476" i="1"/>
  <c r="H287" i="1"/>
  <c r="J287" i="1"/>
  <c r="J79" i="1"/>
  <c r="H79" i="1"/>
  <c r="G209" i="1"/>
  <c r="I438" i="1"/>
  <c r="G438" i="1"/>
  <c r="J438" i="1"/>
  <c r="H438" i="1"/>
  <c r="J221" i="1"/>
  <c r="H221" i="1"/>
  <c r="H432" i="1"/>
  <c r="G432" i="1"/>
  <c r="I432" i="1"/>
  <c r="J49" i="1"/>
  <c r="H49" i="1"/>
  <c r="I49" i="1"/>
  <c r="G301" i="1"/>
  <c r="J301" i="1"/>
  <c r="H301" i="1"/>
  <c r="J109" i="1"/>
  <c r="H109" i="1"/>
  <c r="I472" i="1"/>
  <c r="G472" i="1"/>
  <c r="J472" i="1"/>
  <c r="H472" i="1"/>
  <c r="J108" i="1"/>
  <c r="H108" i="1"/>
  <c r="J471" i="1"/>
  <c r="I471" i="1"/>
  <c r="G471" i="1"/>
  <c r="G299" i="1"/>
  <c r="I102" i="1"/>
  <c r="G102" i="1"/>
  <c r="H484" i="1"/>
  <c r="J484" i="1"/>
  <c r="J123" i="1"/>
  <c r="I123" i="1"/>
  <c r="H123" i="1"/>
  <c r="J220" i="1"/>
  <c r="H220" i="1"/>
  <c r="I321" i="1"/>
  <c r="G321" i="1"/>
  <c r="H136" i="1"/>
  <c r="I136" i="1"/>
  <c r="G136" i="1"/>
  <c r="I435" i="1"/>
  <c r="G435" i="1"/>
  <c r="G263" i="1"/>
  <c r="I263" i="1"/>
  <c r="G52" i="1"/>
  <c r="H52" i="1"/>
  <c r="J350" i="1"/>
  <c r="H350" i="1"/>
  <c r="I112" i="1"/>
  <c r="J112" i="1"/>
  <c r="H112" i="1"/>
  <c r="J205" i="1"/>
  <c r="H205" i="1"/>
  <c r="I461" i="1"/>
  <c r="G461" i="1"/>
  <c r="I289" i="1"/>
  <c r="G289" i="1"/>
  <c r="G89" i="1"/>
  <c r="H89" i="1"/>
  <c r="G107" i="1"/>
  <c r="I107" i="1"/>
  <c r="I490" i="1"/>
  <c r="G490" i="1"/>
  <c r="I346" i="1"/>
  <c r="H346" i="1"/>
  <c r="I202" i="1"/>
  <c r="G202" i="1"/>
  <c r="H202" i="1"/>
  <c r="I58" i="1"/>
  <c r="G58" i="1"/>
  <c r="J56" i="1"/>
  <c r="G56" i="1"/>
  <c r="I56" i="1"/>
  <c r="G439" i="1"/>
  <c r="H439" i="1"/>
  <c r="I439" i="1"/>
  <c r="J295" i="1"/>
  <c r="H295" i="1"/>
  <c r="I151" i="1"/>
  <c r="H151" i="1"/>
  <c r="J18" i="1"/>
  <c r="I18" i="1"/>
  <c r="J246" i="1"/>
  <c r="H246" i="1"/>
  <c r="H154" i="1"/>
  <c r="J154" i="1"/>
  <c r="I425" i="1"/>
  <c r="H126" i="1"/>
  <c r="J126" i="1"/>
  <c r="H453" i="1"/>
  <c r="J453" i="1"/>
  <c r="J99" i="1"/>
  <c r="I99" i="1"/>
  <c r="H99" i="1"/>
  <c r="G138" i="1"/>
  <c r="J138" i="1"/>
  <c r="I138" i="1"/>
  <c r="H129" i="1"/>
  <c r="J129" i="1"/>
  <c r="G380" i="1"/>
  <c r="J380" i="1"/>
  <c r="H380" i="1"/>
  <c r="I380" i="1"/>
  <c r="H360" i="1"/>
  <c r="G360" i="1"/>
  <c r="I360" i="1"/>
  <c r="J229" i="1"/>
  <c r="H229" i="1"/>
  <c r="G400" i="1"/>
  <c r="H400" i="1"/>
  <c r="H228" i="1"/>
  <c r="G228" i="1"/>
  <c r="G399" i="1"/>
  <c r="G227" i="1"/>
  <c r="H227" i="1"/>
  <c r="I227" i="1"/>
  <c r="J240" i="1"/>
  <c r="G240" i="1"/>
  <c r="G16" i="1"/>
  <c r="H160" i="1"/>
  <c r="J160" i="1"/>
  <c r="H16" i="1"/>
  <c r="G422" i="1"/>
  <c r="J422" i="1"/>
  <c r="J36" i="1"/>
  <c r="I363" i="1"/>
  <c r="J363" i="1"/>
  <c r="H363" i="1"/>
  <c r="G188" i="1"/>
  <c r="H188" i="1"/>
  <c r="I188" i="1"/>
  <c r="J290" i="1"/>
  <c r="H290" i="1"/>
  <c r="J146" i="1"/>
  <c r="H146" i="1"/>
  <c r="J2" i="1"/>
  <c r="H2" i="1"/>
  <c r="J405" i="1"/>
  <c r="G405" i="1"/>
  <c r="I232" i="1"/>
  <c r="H232" i="1"/>
  <c r="I4" i="1"/>
  <c r="G4" i="1"/>
  <c r="J289" i="1"/>
  <c r="I389" i="1"/>
  <c r="G389" i="1"/>
  <c r="J217" i="1"/>
  <c r="I217" i="1"/>
  <c r="H217" i="1"/>
  <c r="G191" i="1"/>
  <c r="J47" i="1"/>
  <c r="I47" i="1"/>
  <c r="G47" i="1"/>
  <c r="G430" i="1"/>
  <c r="I430" i="1"/>
  <c r="H430" i="1"/>
  <c r="G286" i="1"/>
  <c r="J286" i="1"/>
  <c r="H286" i="1"/>
  <c r="I286" i="1"/>
  <c r="I142" i="1"/>
  <c r="H142" i="1"/>
  <c r="J142" i="1"/>
  <c r="G153" i="1"/>
  <c r="I153" i="1"/>
  <c r="G140" i="1"/>
  <c r="I140" i="1"/>
  <c r="G379" i="1"/>
  <c r="H379" i="1"/>
  <c r="J11" i="1"/>
  <c r="G11" i="1"/>
  <c r="I11" i="1"/>
  <c r="H11" i="1"/>
  <c r="J210" i="1"/>
  <c r="H210" i="1"/>
  <c r="J209" i="1"/>
  <c r="H209" i="1"/>
  <c r="H119" i="1"/>
  <c r="J119" i="1"/>
  <c r="H422" i="1"/>
  <c r="G218" i="1"/>
  <c r="I60" i="1"/>
  <c r="H337" i="1"/>
  <c r="G418" i="1"/>
  <c r="I218" i="1"/>
  <c r="I337" i="1"/>
  <c r="J187" i="1"/>
  <c r="J252" i="1"/>
  <c r="H309" i="1"/>
  <c r="J102" i="1"/>
  <c r="H446" i="1"/>
  <c r="H107" i="1"/>
  <c r="H312" i="1"/>
  <c r="J177" i="1"/>
  <c r="H4" i="1"/>
  <c r="H47" i="1"/>
  <c r="H91" i="1"/>
  <c r="J251" i="1"/>
  <c r="J228" i="1"/>
  <c r="J430" i="1"/>
  <c r="J280" i="1"/>
  <c r="J247" i="1"/>
  <c r="J179" i="1"/>
  <c r="H45" i="1"/>
  <c r="J352" i="1"/>
  <c r="H9" i="1"/>
  <c r="J308" i="1"/>
  <c r="I12" i="1"/>
  <c r="G169" i="1"/>
  <c r="I179" i="1"/>
  <c r="H398" i="1"/>
  <c r="G375" i="1"/>
  <c r="H321" i="1"/>
  <c r="I222" i="1"/>
  <c r="G285" i="1"/>
  <c r="J192" i="1"/>
  <c r="H57" i="1"/>
  <c r="H256" i="1"/>
  <c r="H308" i="1"/>
  <c r="H12" i="1"/>
  <c r="H169" i="1"/>
  <c r="G398" i="1"/>
  <c r="H222" i="1"/>
  <c r="H435" i="1"/>
  <c r="H285" i="1"/>
  <c r="J21" i="1"/>
  <c r="G12" i="1"/>
  <c r="J4" i="1"/>
  <c r="J169" i="1"/>
  <c r="H177" i="1"/>
  <c r="J9" i="1"/>
  <c r="G352" i="1"/>
  <c r="J104" i="1"/>
  <c r="I365" i="1"/>
  <c r="G365" i="1"/>
  <c r="J392" i="1"/>
  <c r="H392" i="1"/>
  <c r="G99" i="1"/>
  <c r="J336" i="1"/>
  <c r="H336" i="1"/>
  <c r="J132" i="1"/>
  <c r="H132" i="1"/>
  <c r="H271" i="1"/>
  <c r="J271" i="1"/>
  <c r="G184" i="1"/>
  <c r="I184" i="1"/>
  <c r="I229" i="1"/>
  <c r="G229" i="1"/>
  <c r="J304" i="1"/>
  <c r="H304" i="1"/>
  <c r="I422" i="1"/>
  <c r="I249" i="1"/>
  <c r="G249" i="1"/>
  <c r="I234" i="1"/>
  <c r="H234" i="1"/>
  <c r="G234" i="1"/>
  <c r="J349" i="1"/>
  <c r="H349" i="1"/>
  <c r="H278" i="1"/>
  <c r="J278" i="1"/>
  <c r="J390" i="1"/>
  <c r="H390" i="1"/>
  <c r="I390" i="1"/>
  <c r="G390" i="1"/>
  <c r="J218" i="1"/>
  <c r="J421" i="1"/>
  <c r="H421" i="1"/>
  <c r="J375" i="1"/>
  <c r="H375" i="1"/>
  <c r="I201" i="1"/>
  <c r="G201" i="1"/>
  <c r="J130" i="1"/>
  <c r="I130" i="1"/>
  <c r="G130" i="1"/>
  <c r="J141" i="1"/>
  <c r="I141" i="1"/>
  <c r="G9" i="1"/>
  <c r="I9" i="1"/>
  <c r="I309" i="1"/>
  <c r="J309" i="1"/>
  <c r="G309" i="1"/>
  <c r="H451" i="1"/>
  <c r="J451" i="1"/>
  <c r="G368" i="1"/>
  <c r="I368" i="1"/>
  <c r="J331" i="1"/>
  <c r="J12" i="1"/>
  <c r="H30" i="1"/>
  <c r="G345" i="1"/>
  <c r="H447" i="1"/>
  <c r="J398" i="1"/>
  <c r="I228" i="1"/>
  <c r="H500" i="1"/>
  <c r="H357" i="1"/>
  <c r="H48" i="1"/>
  <c r="G401" i="1"/>
  <c r="H365" i="1"/>
  <c r="J137" i="1"/>
  <c r="H137" i="1"/>
  <c r="J227" i="1"/>
  <c r="I311" i="1"/>
  <c r="H311" i="1"/>
  <c r="J193" i="1"/>
  <c r="H306" i="1"/>
  <c r="J306" i="1"/>
  <c r="H368" i="1"/>
  <c r="J368" i="1"/>
  <c r="I497" i="1"/>
  <c r="G497" i="1"/>
  <c r="G265" i="1"/>
  <c r="I265" i="1"/>
  <c r="I149" i="1"/>
  <c r="G149" i="1"/>
  <c r="I372" i="1"/>
  <c r="G372" i="1"/>
  <c r="G384" i="1"/>
  <c r="I384" i="1"/>
  <c r="J231" i="1"/>
  <c r="H231" i="1"/>
  <c r="I156" i="1"/>
  <c r="G156" i="1"/>
  <c r="H410" i="1"/>
  <c r="J410" i="1"/>
  <c r="J122" i="1"/>
  <c r="H122" i="1"/>
  <c r="J204" i="1"/>
  <c r="I204" i="1"/>
  <c r="H185" i="1"/>
  <c r="G262" i="1"/>
  <c r="G118" i="1"/>
  <c r="I118" i="1"/>
  <c r="H276" i="1"/>
  <c r="J276" i="1"/>
  <c r="H383" i="1"/>
  <c r="J383" i="1"/>
  <c r="I323" i="1"/>
  <c r="J387" i="1"/>
  <c r="H387" i="1"/>
  <c r="G387" i="1"/>
  <c r="J386" i="1"/>
  <c r="G215" i="1"/>
  <c r="G395" i="1"/>
  <c r="G386" i="1"/>
  <c r="H399" i="1"/>
  <c r="H377" i="1"/>
  <c r="H255" i="1"/>
  <c r="I345" i="1"/>
  <c r="I398" i="1"/>
  <c r="J153" i="1"/>
  <c r="J461" i="1"/>
  <c r="G311" i="1"/>
  <c r="H141" i="1"/>
  <c r="J82" i="1"/>
  <c r="H82" i="1"/>
  <c r="I252" i="1"/>
  <c r="H252" i="1"/>
  <c r="J212" i="1"/>
  <c r="G212" i="1"/>
  <c r="H212" i="1"/>
  <c r="H215" i="1"/>
  <c r="I395" i="1"/>
  <c r="H386" i="1"/>
  <c r="J106" i="1"/>
  <c r="H318" i="1"/>
  <c r="J399" i="1"/>
  <c r="H164" i="1"/>
  <c r="H345" i="1"/>
  <c r="H260" i="1"/>
  <c r="H225" i="1"/>
  <c r="I387" i="1"/>
  <c r="H32" i="1"/>
  <c r="J401" i="1"/>
  <c r="G385" i="1"/>
  <c r="J456" i="1"/>
  <c r="H456" i="1"/>
  <c r="I120" i="1"/>
  <c r="G120" i="1"/>
  <c r="I353" i="1"/>
  <c r="I383" i="1"/>
  <c r="G383" i="1"/>
  <c r="I137" i="1"/>
  <c r="G137" i="1"/>
  <c r="I474" i="1"/>
  <c r="G474" i="1"/>
  <c r="H474" i="1"/>
  <c r="J302" i="1"/>
  <c r="G302" i="1"/>
  <c r="H302" i="1"/>
  <c r="J344" i="1"/>
  <c r="I344" i="1"/>
  <c r="H344" i="1"/>
  <c r="J162" i="1"/>
  <c r="I162" i="1"/>
  <c r="H162" i="1"/>
  <c r="G162" i="1"/>
  <c r="J400" i="1"/>
  <c r="J372" i="1"/>
  <c r="H275" i="1"/>
  <c r="J275" i="1"/>
  <c r="H323" i="1"/>
  <c r="J323" i="1"/>
  <c r="I215" i="1"/>
  <c r="H395" i="1"/>
  <c r="I399" i="1"/>
  <c r="J249" i="1"/>
  <c r="H116" i="1"/>
  <c r="J345" i="1"/>
  <c r="H42" i="1"/>
  <c r="H412" i="1"/>
  <c r="H134" i="1"/>
  <c r="G193" i="1"/>
  <c r="I225" i="1"/>
  <c r="J91" i="1"/>
  <c r="G213" i="1"/>
  <c r="H333" i="1"/>
  <c r="H385" i="1"/>
  <c r="H280" i="1"/>
  <c r="G425" i="1"/>
  <c r="J353" i="1"/>
  <c r="J311" i="1"/>
  <c r="J215" i="1"/>
  <c r="H173" i="1"/>
  <c r="J395" i="1"/>
  <c r="H249" i="1"/>
  <c r="H191" i="1"/>
  <c r="H330" i="1"/>
  <c r="G412" i="1"/>
  <c r="I212" i="1"/>
  <c r="H193" i="1"/>
  <c r="H127" i="1"/>
  <c r="G225" i="1"/>
  <c r="H213" i="1"/>
  <c r="H425" i="1"/>
  <c r="J234" i="1"/>
  <c r="H138" i="1"/>
  <c r="J315" i="1"/>
  <c r="J211" i="1"/>
  <c r="I240" i="1"/>
  <c r="I193" i="1"/>
  <c r="G323" i="1"/>
  <c r="I213" i="1"/>
  <c r="I385" i="1"/>
  <c r="J425" i="1"/>
  <c r="H499" i="1"/>
  <c r="J312" i="1"/>
  <c r="H101" i="1"/>
  <c r="H240" i="1"/>
  <c r="I412" i="1"/>
  <c r="J107" i="1"/>
  <c r="G349" i="1"/>
  <c r="G251" i="1"/>
  <c r="J81" i="1"/>
  <c r="H31" i="1"/>
  <c r="J31" i="1"/>
  <c r="H155" i="1"/>
  <c r="J155" i="1"/>
  <c r="J477" i="1"/>
  <c r="H477" i="1"/>
  <c r="I493" i="1"/>
  <c r="I155" i="1"/>
  <c r="G155" i="1"/>
  <c r="G104" i="1"/>
  <c r="I104" i="1"/>
  <c r="G122" i="1"/>
  <c r="I122" i="1"/>
  <c r="I82" i="1"/>
  <c r="G82" i="1"/>
  <c r="I31" i="1"/>
  <c r="G31" i="1"/>
  <c r="H102" i="1"/>
  <c r="J235" i="1"/>
  <c r="H235" i="1"/>
  <c r="J156" i="1"/>
  <c r="H156" i="1"/>
  <c r="I446" i="1"/>
  <c r="G446" i="1"/>
  <c r="G336" i="1"/>
  <c r="I336" i="1"/>
  <c r="J338" i="1"/>
  <c r="H450" i="1"/>
  <c r="J450" i="1"/>
  <c r="J69" i="1"/>
  <c r="H69" i="1"/>
  <c r="H351" i="1"/>
  <c r="I494" i="1"/>
  <c r="G494" i="1"/>
  <c r="J494" i="1"/>
  <c r="H494" i="1"/>
  <c r="G477" i="1"/>
  <c r="I477" i="1"/>
  <c r="I304" i="1"/>
  <c r="G304" i="1"/>
  <c r="J493" i="1"/>
  <c r="H493" i="1"/>
  <c r="I69" i="1"/>
  <c r="G69" i="1"/>
  <c r="G39" i="1"/>
  <c r="G236" i="1"/>
  <c r="I236" i="1"/>
  <c r="H236" i="1"/>
  <c r="J236" i="1"/>
  <c r="J120" i="1"/>
  <c r="H120" i="1"/>
  <c r="H201" i="1"/>
  <c r="J201" i="1"/>
  <c r="H352" i="1"/>
  <c r="I421" i="1"/>
  <c r="G421" i="1"/>
  <c r="I275" i="1"/>
  <c r="G275" i="1"/>
  <c r="J256" i="1"/>
  <c r="J384" i="1"/>
  <c r="H384" i="1"/>
  <c r="I276" i="1"/>
  <c r="G276" i="1"/>
  <c r="G351" i="1"/>
  <c r="H403" i="1"/>
  <c r="J403" i="1"/>
  <c r="H372" i="1"/>
  <c r="J184" i="1"/>
  <c r="H184" i="1"/>
  <c r="G450" i="1"/>
  <c r="I450" i="1"/>
  <c r="I403" i="1"/>
  <c r="G403" i="1"/>
  <c r="J420" i="1"/>
  <c r="H420" i="1"/>
  <c r="J149" i="1"/>
  <c r="H149" i="1"/>
  <c r="J446" i="1"/>
  <c r="I420" i="1"/>
  <c r="G420" i="1"/>
  <c r="I21" i="1"/>
  <c r="G21" i="1"/>
  <c r="I235" i="1"/>
  <c r="D367" i="8"/>
  <c r="D408" i="8"/>
  <c r="D353" i="8"/>
  <c r="D399" i="8"/>
  <c r="D380" i="8"/>
  <c r="D485" i="8"/>
  <c r="D329" i="8"/>
  <c r="D395" i="8"/>
  <c r="D382" i="8"/>
  <c r="D366" i="8"/>
  <c r="D376" i="8"/>
  <c r="D494" i="8"/>
  <c r="D350" i="8"/>
  <c r="D375" i="8"/>
  <c r="D435" i="8"/>
  <c r="D351" i="8"/>
  <c r="D428" i="8"/>
  <c r="D356" i="8"/>
  <c r="D461" i="8"/>
  <c r="D441" i="8"/>
  <c r="D300" i="8"/>
  <c r="D404" i="8"/>
  <c r="D391" i="8"/>
  <c r="D469" i="8"/>
  <c r="D359" i="8"/>
  <c r="D490" i="8"/>
  <c r="D346" i="8"/>
  <c r="D474" i="8"/>
  <c r="D484" i="8"/>
  <c r="D340" i="8"/>
  <c r="D489" i="8"/>
  <c r="D315" i="8"/>
  <c r="D420" i="8"/>
  <c r="D401" i="8"/>
  <c r="D363" i="8"/>
  <c r="D103" i="8"/>
  <c r="D383" i="8"/>
  <c r="D370" i="8"/>
  <c r="D498" i="8"/>
  <c r="D354" i="8"/>
  <c r="D66" i="8"/>
  <c r="D482" i="8"/>
  <c r="D338" i="8"/>
  <c r="D476" i="8"/>
  <c r="D413" i="8"/>
  <c r="D475" i="8"/>
  <c r="D336" i="8"/>
  <c r="D440" i="8"/>
  <c r="D421" i="8"/>
  <c r="D384" i="8"/>
  <c r="D369" i="8"/>
  <c r="D371" i="8"/>
  <c r="D358" i="8"/>
  <c r="D486" i="8"/>
  <c r="D496" i="8"/>
  <c r="D352" i="8"/>
  <c r="D470" i="8"/>
  <c r="D326" i="8"/>
  <c r="D182" i="8"/>
  <c r="D451" i="8"/>
  <c r="D456" i="8"/>
  <c r="D433" i="8"/>
  <c r="D459" i="8"/>
  <c r="D69" i="8"/>
  <c r="D447" i="8"/>
  <c r="D297" i="8"/>
  <c r="D403" i="8"/>
  <c r="D344" i="8"/>
  <c r="D284" i="8"/>
  <c r="D493" i="8"/>
  <c r="D125" i="8"/>
  <c r="D372" i="8"/>
  <c r="D443" i="8"/>
  <c r="D299" i="8"/>
  <c r="D430" i="8"/>
  <c r="D414" i="8"/>
  <c r="D126" i="8"/>
  <c r="D424" i="8"/>
  <c r="D398" i="8"/>
  <c r="D333" i="8"/>
  <c r="D396" i="8"/>
  <c r="D108" i="8"/>
  <c r="D355" i="8"/>
  <c r="D327" i="8"/>
  <c r="D481" i="8"/>
  <c r="D444" i="8"/>
  <c r="D240" i="8"/>
  <c r="D243" i="8"/>
  <c r="D432" i="8"/>
  <c r="D335" i="8"/>
  <c r="D418" i="8"/>
  <c r="D462" i="8"/>
  <c r="D328" i="8"/>
  <c r="D124" i="8"/>
  <c r="D446" i="8"/>
  <c r="D331" i="8"/>
  <c r="D393" i="8"/>
  <c r="D377" i="8"/>
  <c r="D277" i="8"/>
  <c r="D464" i="8"/>
  <c r="D452" i="8"/>
  <c r="D323" i="8"/>
  <c r="D406" i="8"/>
  <c r="D154" i="8"/>
  <c r="D450" i="8"/>
  <c r="D234" i="8"/>
  <c r="D316" i="8"/>
  <c r="D434" i="8"/>
  <c r="D386" i="8"/>
  <c r="D348" i="8"/>
  <c r="D325" i="8"/>
  <c r="D455" i="8"/>
  <c r="D448" i="8"/>
  <c r="D373" i="8"/>
  <c r="D379" i="8"/>
  <c r="D236" i="8"/>
  <c r="D423" i="8"/>
  <c r="D313" i="8"/>
  <c r="D497" i="8"/>
  <c r="D332" i="8"/>
  <c r="D397" i="8"/>
  <c r="D319" i="8"/>
  <c r="D301" i="8"/>
  <c r="D473" i="8"/>
  <c r="D311" i="8"/>
  <c r="D394" i="8"/>
  <c r="D130" i="8"/>
  <c r="D438" i="8"/>
  <c r="D174" i="8"/>
  <c r="D422" i="8"/>
  <c r="D491" i="8"/>
  <c r="D480" i="8"/>
  <c r="D463" i="8"/>
  <c r="D197" i="8"/>
  <c r="D445" i="8"/>
  <c r="D385" i="8"/>
  <c r="D472" i="8"/>
  <c r="D33" i="8"/>
  <c r="D405" i="8"/>
  <c r="D416" i="8"/>
  <c r="D378" i="8"/>
  <c r="D460" i="8"/>
  <c r="D362" i="8"/>
  <c r="D320" i="8"/>
  <c r="D449" i="8"/>
  <c r="D411" i="8"/>
  <c r="D347" i="8"/>
  <c r="D6" i="8"/>
  <c r="D388" i="8"/>
  <c r="D387" i="8"/>
  <c r="D307" i="8"/>
  <c r="D417" i="8"/>
  <c r="D321" i="8"/>
  <c r="D261" i="8"/>
  <c r="D289" i="8"/>
  <c r="D334" i="8"/>
  <c r="D426" i="8"/>
  <c r="D410" i="8"/>
  <c r="D170" i="8"/>
  <c r="D176" i="8"/>
  <c r="D309" i="8"/>
  <c r="D457" i="8"/>
  <c r="D471" i="8"/>
  <c r="D263" i="8"/>
  <c r="D390" i="8"/>
  <c r="D409" i="8"/>
  <c r="D500" i="8"/>
  <c r="D465" i="8"/>
  <c r="D467" i="8"/>
  <c r="D114" i="8"/>
  <c r="D244" i="8"/>
  <c r="D134" i="8"/>
  <c r="D487" i="8"/>
  <c r="D102" i="8"/>
  <c r="D488" i="8"/>
  <c r="D442" i="8"/>
  <c r="D121" i="8"/>
  <c r="D439" i="8"/>
  <c r="D360" i="8"/>
  <c r="D425" i="8"/>
  <c r="D303" i="8"/>
  <c r="D106" i="8"/>
  <c r="D402" i="8"/>
  <c r="D477" i="8"/>
  <c r="D479" i="8"/>
  <c r="D374" i="8"/>
  <c r="D483" i="8"/>
  <c r="D298" i="8"/>
  <c r="D16" i="8"/>
  <c r="D147" i="8"/>
  <c r="D283" i="8"/>
  <c r="D468" i="8"/>
  <c r="D308" i="8"/>
  <c r="D400" i="8"/>
  <c r="D178" i="8"/>
  <c r="D148" i="8"/>
  <c r="D437" i="8"/>
  <c r="D499" i="8"/>
  <c r="D492" i="8"/>
  <c r="D271" i="8"/>
  <c r="D296" i="8"/>
  <c r="D324" i="8"/>
  <c r="D341" i="8"/>
  <c r="D75" i="8"/>
  <c r="D267" i="8"/>
  <c r="D431" i="8"/>
  <c r="D478" i="8"/>
  <c r="D306" i="8"/>
  <c r="D436" i="8"/>
  <c r="D98" i="8"/>
  <c r="D312" i="8"/>
  <c r="D389" i="8"/>
  <c r="D453" i="8"/>
  <c r="D495" i="8"/>
  <c r="D429" i="8"/>
  <c r="D337" i="8"/>
  <c r="D365" i="8"/>
  <c r="D361" i="8"/>
  <c r="D177" i="8"/>
  <c r="D169" i="8"/>
  <c r="D415" i="8"/>
  <c r="D419" i="8"/>
  <c r="D466" i="8"/>
  <c r="D250" i="8"/>
  <c r="D294" i="8"/>
  <c r="D412" i="8"/>
  <c r="D211" i="8"/>
  <c r="D392" i="8"/>
  <c r="D233" i="8"/>
  <c r="D36" i="8"/>
  <c r="D357" i="8"/>
  <c r="D427" i="8"/>
  <c r="D381" i="8"/>
  <c r="D368" i="8"/>
  <c r="D407" i="8"/>
  <c r="D454" i="8"/>
  <c r="D278" i="8"/>
  <c r="D458" i="8"/>
  <c r="D220" i="8" l="1"/>
  <c r="D118" i="8"/>
  <c r="D151" i="8"/>
  <c r="D200" i="8"/>
  <c r="D76" i="8"/>
  <c r="H1" i="1"/>
  <c r="J1" i="1"/>
  <c r="G1" i="1"/>
  <c r="D94" i="8"/>
  <c r="D152" i="8"/>
  <c r="D39" i="8"/>
  <c r="D345" i="8"/>
  <c r="D38" i="8"/>
  <c r="D364" i="8"/>
  <c r="D68" i="8"/>
  <c r="D139" i="8"/>
  <c r="D91" i="8"/>
  <c r="D276" i="8"/>
  <c r="D281" i="8"/>
  <c r="D193" i="8"/>
  <c r="D305" i="8"/>
  <c r="D302" i="8"/>
  <c r="D339" i="8"/>
  <c r="D304" i="8"/>
  <c r="D322" i="8"/>
  <c r="D142" i="8"/>
  <c r="D317" i="8"/>
  <c r="D342" i="8"/>
  <c r="D349" i="8"/>
  <c r="D83" i="8"/>
  <c r="D295" i="8"/>
  <c r="D157" i="8"/>
  <c r="D222" i="8"/>
  <c r="D58" i="8"/>
  <c r="D67" i="8"/>
  <c r="D184" i="8"/>
  <c r="D201" i="8"/>
  <c r="D310" i="8"/>
  <c r="D61" i="8"/>
  <c r="D314" i="8"/>
  <c r="D115" i="8"/>
  <c r="D318" i="8"/>
  <c r="D5" i="8"/>
  <c r="D270" i="8"/>
  <c r="D113" i="8"/>
  <c r="D223" i="8"/>
  <c r="D34" i="8"/>
  <c r="D164" i="8"/>
  <c r="D225" i="8"/>
  <c r="D212" i="8"/>
  <c r="D24" i="8"/>
  <c r="D30" i="8"/>
  <c r="D43" i="8"/>
  <c r="D131" i="8"/>
  <c r="D256" i="8"/>
  <c r="D266" i="8"/>
  <c r="D56" i="8"/>
  <c r="D93" i="8"/>
  <c r="D247" i="8"/>
  <c r="D248" i="8"/>
  <c r="D202" i="8"/>
  <c r="D84" i="8"/>
  <c r="D196" i="8"/>
  <c r="D40" i="8"/>
  <c r="D104" i="8"/>
  <c r="D117" i="8"/>
  <c r="D57" i="8"/>
  <c r="D133" i="8"/>
  <c r="D92" i="8"/>
  <c r="D23" i="8"/>
  <c r="D77" i="8"/>
  <c r="D52" i="8"/>
  <c r="D163" i="8"/>
  <c r="D49" i="8"/>
  <c r="D101" i="8"/>
  <c r="D291" i="8"/>
  <c r="D203" i="8"/>
  <c r="D205" i="8"/>
  <c r="D292" i="8"/>
  <c r="D255" i="8"/>
  <c r="D74" i="8"/>
  <c r="D116" i="8"/>
  <c r="D285" i="8"/>
  <c r="D195" i="8"/>
  <c r="D265" i="8"/>
  <c r="D90" i="8"/>
  <c r="D135" i="8"/>
  <c r="D31" i="8"/>
  <c r="D73" i="8"/>
  <c r="D286" i="8"/>
  <c r="D48" i="8"/>
  <c r="D143" i="8"/>
  <c r="D158" i="8"/>
  <c r="D183" i="8"/>
  <c r="D59" i="8"/>
  <c r="D257" i="8"/>
  <c r="D260" i="8"/>
  <c r="D123" i="8"/>
  <c r="D207" i="8"/>
  <c r="D44" i="8"/>
  <c r="D10" i="8"/>
  <c r="D65" i="8"/>
  <c r="D27" i="8"/>
  <c r="D162" i="8"/>
  <c r="D181" i="8"/>
  <c r="D253" i="8"/>
  <c r="D129" i="8"/>
  <c r="D150" i="8"/>
  <c r="D160" i="8"/>
  <c r="D264" i="8"/>
  <c r="D166" i="8"/>
  <c r="D254" i="8"/>
  <c r="D11" i="8"/>
  <c r="D13" i="8"/>
  <c r="D224" i="8"/>
  <c r="D149" i="8"/>
  <c r="D259" i="8"/>
  <c r="D140" i="8"/>
  <c r="D206" i="8"/>
  <c r="D60" i="8"/>
  <c r="D246" i="8"/>
  <c r="D208" i="8"/>
  <c r="D210" i="8"/>
  <c r="D71" i="8"/>
  <c r="D167" i="8"/>
  <c r="D192" i="8"/>
  <c r="D18" i="8"/>
  <c r="D188" i="8"/>
  <c r="D9" i="8"/>
  <c r="D8" i="8"/>
  <c r="D47" i="8"/>
  <c r="D189" i="8"/>
  <c r="D110" i="8"/>
  <c r="D62" i="8"/>
  <c r="D231" i="8"/>
  <c r="D262" i="8"/>
  <c r="D171" i="8"/>
  <c r="D122" i="8"/>
  <c r="D4" i="8"/>
  <c r="D217" i="8"/>
  <c r="D79" i="8"/>
  <c r="D111" i="8"/>
  <c r="D272" i="8"/>
  <c r="D19" i="8"/>
  <c r="D282" i="8"/>
  <c r="D85" i="8"/>
  <c r="D29" i="8"/>
  <c r="D155" i="8"/>
  <c r="D245" i="8"/>
  <c r="D54" i="8"/>
  <c r="D137" i="8"/>
  <c r="D80" i="8"/>
  <c r="D82" i="8"/>
  <c r="D12" i="8"/>
  <c r="D269" i="8"/>
  <c r="D241" i="8"/>
  <c r="D146" i="8"/>
  <c r="D229" i="8"/>
  <c r="D187" i="8"/>
  <c r="D26" i="8"/>
  <c r="D161" i="8"/>
  <c r="D293" i="8"/>
  <c r="D165" i="8"/>
  <c r="D119" i="8"/>
  <c r="D273" i="8"/>
  <c r="D3" i="8"/>
  <c r="D156" i="8"/>
  <c r="D127" i="8"/>
  <c r="D279" i="8"/>
  <c r="D226" i="8"/>
  <c r="D21" i="8"/>
  <c r="D96" i="8"/>
  <c r="D199" i="8"/>
  <c r="D86" i="8"/>
  <c r="D63" i="8"/>
  <c r="D179" i="8"/>
  <c r="D45" i="8"/>
  <c r="D22" i="8"/>
  <c r="D132" i="8"/>
  <c r="D191" i="8"/>
  <c r="D268" i="8"/>
  <c r="D2" i="8"/>
  <c r="D218" i="8"/>
  <c r="D258" i="8"/>
  <c r="D230" i="8"/>
  <c r="D190" i="8"/>
  <c r="D136" i="8"/>
  <c r="D32" i="8"/>
  <c r="D50" i="8"/>
  <c r="D153" i="8"/>
  <c r="D42" i="8"/>
  <c r="D213" i="8"/>
  <c r="D232" i="8"/>
  <c r="D290" i="8"/>
  <c r="D288" i="8"/>
  <c r="D185" i="8"/>
  <c r="D275" i="8"/>
  <c r="D35" i="8"/>
  <c r="D138" i="8"/>
  <c r="D41" i="8"/>
  <c r="D20" i="8"/>
  <c r="D14" i="8"/>
  <c r="D249" i="8"/>
  <c r="D204" i="8"/>
  <c r="D280" i="8"/>
  <c r="D168" i="8"/>
  <c r="D51" i="8"/>
  <c r="D128" i="8"/>
  <c r="D70" i="8"/>
  <c r="D95" i="8"/>
  <c r="D37" i="8"/>
  <c r="D186" i="8"/>
  <c r="D144" i="8"/>
  <c r="D237" i="8"/>
  <c r="D216" i="8"/>
  <c r="D172" i="8"/>
  <c r="D99" i="8"/>
  <c r="D252" i="8"/>
  <c r="D55" i="8"/>
  <c r="D235" i="8"/>
  <c r="D7" i="8"/>
  <c r="D72" i="8"/>
  <c r="D28" i="8"/>
  <c r="D287" i="8"/>
  <c r="D46" i="8"/>
  <c r="D100" i="8"/>
  <c r="D221" i="8"/>
  <c r="D219" i="8"/>
  <c r="D274" i="8"/>
  <c r="D112" i="8"/>
  <c r="D180" i="8"/>
  <c r="D242" i="8"/>
  <c r="D145" i="8"/>
  <c r="D214" i="8"/>
  <c r="D175" i="8"/>
  <c r="D239" i="8"/>
  <c r="D159" i="8"/>
  <c r="D17" i="8"/>
  <c r="D109" i="8"/>
  <c r="D78" i="8"/>
  <c r="D97" i="8"/>
  <c r="D198" i="8"/>
  <c r="D15" i="8"/>
  <c r="D89" i="8"/>
  <c r="D228" i="8"/>
  <c r="D173" i="8"/>
  <c r="D330" i="8"/>
  <c r="D81" i="8"/>
  <c r="D105" i="8"/>
  <c r="D141" i="8"/>
  <c r="D64" i="8"/>
  <c r="D227" i="8"/>
  <c r="D120" i="8"/>
  <c r="D194" i="8"/>
  <c r="D209" i="8"/>
  <c r="D215" i="8"/>
  <c r="D53" i="8"/>
  <c r="D238" i="8"/>
  <c r="D251" i="8"/>
  <c r="D1" i="8"/>
  <c r="D107" i="8"/>
  <c r="D25" i="8"/>
  <c r="D88" i="8"/>
  <c r="D87" i="8"/>
  <c r="G7" i="3"/>
  <c r="H7" i="3"/>
  <c r="I7" i="3" s="1"/>
  <c r="D1" i="3" l="1"/>
  <c r="G8" i="3"/>
  <c r="H8" i="3"/>
  <c r="I8" i="3" s="1"/>
  <c r="E313" i="3"/>
  <c r="F313" i="3" s="1"/>
  <c r="K313" i="3" s="1"/>
  <c r="E107" i="3"/>
  <c r="F107" i="3" s="1"/>
  <c r="K107" i="3" s="1"/>
  <c r="D328" i="3"/>
  <c r="J328" i="3" s="1"/>
  <c r="D244" i="3"/>
  <c r="J244" i="3" s="1"/>
  <c r="D260" i="3"/>
  <c r="J260" i="3" s="1"/>
  <c r="E338" i="3"/>
  <c r="F338" i="3" s="1"/>
  <c r="K338" i="3" s="1"/>
  <c r="D412" i="3"/>
  <c r="J412" i="3" s="1"/>
  <c r="D467" i="3"/>
  <c r="J467" i="3" s="1"/>
  <c r="E308" i="3"/>
  <c r="F308" i="3" s="1"/>
  <c r="K308" i="3" s="1"/>
  <c r="D395" i="3"/>
  <c r="J395" i="3" s="1"/>
  <c r="E251" i="3"/>
  <c r="F251" i="3" s="1"/>
  <c r="K251" i="3" s="1"/>
  <c r="E117" i="3"/>
  <c r="F117" i="3" s="1"/>
  <c r="K117" i="3" s="1"/>
  <c r="N117" i="3" s="1"/>
  <c r="E289" i="3"/>
  <c r="F289" i="3" s="1"/>
  <c r="K289" i="3" s="1"/>
  <c r="D34" i="3"/>
  <c r="J34" i="3" s="1"/>
  <c r="E11" i="3"/>
  <c r="F11" i="3" s="1"/>
  <c r="K11" i="3" s="1"/>
  <c r="E292" i="3"/>
  <c r="F292" i="3" s="1"/>
  <c r="K292" i="3" s="1"/>
  <c r="L292" i="3" s="1"/>
  <c r="D118" i="3"/>
  <c r="J118" i="3" s="1"/>
  <c r="E412" i="3"/>
  <c r="F412" i="3" s="1"/>
  <c r="K412" i="3" s="1"/>
  <c r="N412" i="3" s="1"/>
  <c r="D53" i="3"/>
  <c r="J53" i="3" s="1"/>
  <c r="D57" i="3"/>
  <c r="J57" i="3" s="1"/>
  <c r="D215" i="3"/>
  <c r="J215" i="3" s="1"/>
  <c r="E195" i="3"/>
  <c r="F195" i="3" s="1"/>
  <c r="K195" i="3" s="1"/>
  <c r="L195" i="3" s="1"/>
  <c r="D372" i="3"/>
  <c r="J372" i="3" s="1"/>
  <c r="D363" i="3"/>
  <c r="J363" i="3" s="1"/>
  <c r="E49" i="3"/>
  <c r="F49" i="3" s="1"/>
  <c r="K49" i="3" s="1"/>
  <c r="N49" i="3" s="1"/>
  <c r="D84" i="3"/>
  <c r="J84" i="3" s="1"/>
  <c r="E467" i="3"/>
  <c r="F467" i="3" s="1"/>
  <c r="K467" i="3" s="1"/>
  <c r="D117" i="3"/>
  <c r="J117" i="3" s="1"/>
  <c r="E436" i="3"/>
  <c r="F436" i="3" s="1"/>
  <c r="K436" i="3" s="1"/>
  <c r="D185" i="3"/>
  <c r="J185" i="3" s="1"/>
  <c r="D246" i="3"/>
  <c r="J246" i="3" s="1"/>
  <c r="D18" i="3"/>
  <c r="J18" i="3" s="1"/>
  <c r="D401" i="3"/>
  <c r="J401" i="3" s="1"/>
  <c r="E353" i="3"/>
  <c r="F353" i="3" s="1"/>
  <c r="K353" i="3" s="1"/>
  <c r="D439" i="3"/>
  <c r="J439" i="3" s="1"/>
  <c r="E229" i="3"/>
  <c r="F229" i="3" s="1"/>
  <c r="K229" i="3" s="1"/>
  <c r="E369" i="3"/>
  <c r="F369" i="3" s="1"/>
  <c r="K369" i="3" s="1"/>
  <c r="D210" i="3"/>
  <c r="J210" i="3" s="1"/>
  <c r="D48" i="3"/>
  <c r="J48" i="3" s="1"/>
  <c r="E172" i="3"/>
  <c r="F172" i="3" s="1"/>
  <c r="K172" i="3" s="1"/>
  <c r="E83" i="3"/>
  <c r="F83" i="3" s="1"/>
  <c r="K83" i="3" s="1"/>
  <c r="E394" i="3"/>
  <c r="F394" i="3" s="1"/>
  <c r="K394" i="3" s="1"/>
  <c r="D20" i="3"/>
  <c r="J20" i="3" s="1"/>
  <c r="D274" i="3"/>
  <c r="J274" i="3" s="1"/>
  <c r="D460" i="3"/>
  <c r="J460" i="3" s="1"/>
  <c r="E470" i="3"/>
  <c r="F470" i="3" s="1"/>
  <c r="K470" i="3" s="1"/>
  <c r="N470" i="3" s="1"/>
  <c r="D32" i="3"/>
  <c r="J32" i="3" s="1"/>
  <c r="D329" i="3"/>
  <c r="J329" i="3" s="1"/>
  <c r="D233" i="3"/>
  <c r="J233" i="3" s="1"/>
  <c r="D425" i="3"/>
  <c r="J425" i="3" s="1"/>
  <c r="E459" i="3"/>
  <c r="F459" i="3" s="1"/>
  <c r="K459" i="3" s="1"/>
  <c r="N459" i="3" s="1"/>
  <c r="D8" i="3"/>
  <c r="D89" i="3"/>
  <c r="J89" i="3" s="1"/>
  <c r="E21" i="3"/>
  <c r="F21" i="3" s="1"/>
  <c r="K21" i="3" s="1"/>
  <c r="E212" i="3"/>
  <c r="F212" i="3" s="1"/>
  <c r="K212" i="3" s="1"/>
  <c r="N212" i="3" s="1"/>
  <c r="E478" i="3"/>
  <c r="F478" i="3" s="1"/>
  <c r="K478" i="3" s="1"/>
  <c r="N478" i="3" s="1"/>
  <c r="E82" i="3"/>
  <c r="F82" i="3" s="1"/>
  <c r="K82" i="3" s="1"/>
  <c r="L82" i="3" s="1"/>
  <c r="E214" i="3"/>
  <c r="F214" i="3" s="1"/>
  <c r="K214" i="3" s="1"/>
  <c r="L214" i="3" s="1"/>
  <c r="D164" i="3"/>
  <c r="J164" i="3" s="1"/>
  <c r="D427" i="3"/>
  <c r="J427" i="3" s="1"/>
  <c r="E197" i="3"/>
  <c r="F197" i="3" s="1"/>
  <c r="K197" i="3" s="1"/>
  <c r="N197" i="3" s="1"/>
  <c r="D159" i="3"/>
  <c r="J159" i="3" s="1"/>
  <c r="D142" i="3"/>
  <c r="J142" i="3" s="1"/>
  <c r="E5" i="3"/>
  <c r="F5" i="3" s="1"/>
  <c r="K5" i="3" s="1"/>
  <c r="E98" i="3"/>
  <c r="F98" i="3" s="1"/>
  <c r="K98" i="3" s="1"/>
  <c r="D191" i="3"/>
  <c r="J191" i="3" s="1"/>
  <c r="E161" i="3"/>
  <c r="F161" i="3" s="1"/>
  <c r="K161" i="3" s="1"/>
  <c r="E194" i="3"/>
  <c r="F194" i="3" s="1"/>
  <c r="K194" i="3" s="1"/>
  <c r="E7" i="3"/>
  <c r="F7" i="3" s="1"/>
  <c r="K7" i="3" s="1"/>
  <c r="E276" i="3"/>
  <c r="F276" i="3" s="1"/>
  <c r="K276" i="3" s="1"/>
  <c r="E415" i="3"/>
  <c r="F415" i="3" s="1"/>
  <c r="K415" i="3" s="1"/>
  <c r="N415" i="3" s="1"/>
  <c r="E255" i="3"/>
  <c r="F255" i="3" s="1"/>
  <c r="K255" i="3" s="1"/>
  <c r="D129" i="3"/>
  <c r="J129" i="3" s="1"/>
  <c r="D195" i="3"/>
  <c r="J195" i="3" s="1"/>
  <c r="E447" i="3"/>
  <c r="F447" i="3" s="1"/>
  <c r="K447" i="3" s="1"/>
  <c r="E300" i="3"/>
  <c r="F300" i="3" s="1"/>
  <c r="K300" i="3" s="1"/>
  <c r="N300" i="3" s="1"/>
  <c r="E226" i="3"/>
  <c r="F226" i="3" s="1"/>
  <c r="K226" i="3" s="1"/>
  <c r="N226" i="3" s="1"/>
  <c r="E316" i="3"/>
  <c r="F316" i="3" s="1"/>
  <c r="K316" i="3" s="1"/>
  <c r="D21" i="3"/>
  <c r="J21" i="3" s="1"/>
  <c r="D74" i="3"/>
  <c r="J74" i="3" s="1"/>
  <c r="D286" i="3"/>
  <c r="J286" i="3" s="1"/>
  <c r="E354" i="3"/>
  <c r="F354" i="3" s="1"/>
  <c r="K354" i="3" s="1"/>
  <c r="L354" i="3" s="1"/>
  <c r="D339" i="3"/>
  <c r="J339" i="3" s="1"/>
  <c r="D131" i="3"/>
  <c r="J131" i="3" s="1"/>
  <c r="D320" i="3"/>
  <c r="J320" i="3" s="1"/>
  <c r="D10" i="3"/>
  <c r="J10" i="3" s="1"/>
  <c r="D356" i="3"/>
  <c r="J356" i="3" s="1"/>
  <c r="E319" i="3"/>
  <c r="F319" i="3" s="1"/>
  <c r="K319" i="3" s="1"/>
  <c r="L319" i="3" s="1"/>
  <c r="D441" i="3"/>
  <c r="J441" i="3" s="1"/>
  <c r="E177" i="3"/>
  <c r="F177" i="3" s="1"/>
  <c r="K177" i="3" s="1"/>
  <c r="D211" i="3"/>
  <c r="J211" i="3" s="1"/>
  <c r="E296" i="3"/>
  <c r="F296" i="3" s="1"/>
  <c r="K296" i="3" s="1"/>
  <c r="E231" i="3"/>
  <c r="F231" i="3" s="1"/>
  <c r="K231" i="3" s="1"/>
  <c r="L231" i="3" s="1"/>
  <c r="E249" i="3"/>
  <c r="F249" i="3" s="1"/>
  <c r="K249" i="3" s="1"/>
  <c r="D188" i="3"/>
  <c r="J188" i="3" s="1"/>
  <c r="E487" i="3"/>
  <c r="F487" i="3" s="1"/>
  <c r="K487" i="3" s="1"/>
  <c r="L487" i="3" s="1"/>
  <c r="D331" i="3"/>
  <c r="J331" i="3" s="1"/>
  <c r="D484" i="3"/>
  <c r="J484" i="3" s="1"/>
  <c r="D452" i="3"/>
  <c r="J452" i="3" s="1"/>
  <c r="D240" i="3"/>
  <c r="J240" i="3" s="1"/>
  <c r="E247" i="3"/>
  <c r="F247" i="3" s="1"/>
  <c r="K247" i="3" s="1"/>
  <c r="D75" i="3"/>
  <c r="J75" i="3" s="1"/>
  <c r="D98" i="3"/>
  <c r="J98" i="3" s="1"/>
  <c r="D66" i="3"/>
  <c r="J66" i="3" s="1"/>
  <c r="E160" i="3"/>
  <c r="F160" i="3" s="1"/>
  <c r="K160" i="3" s="1"/>
  <c r="E416" i="3"/>
  <c r="F416" i="3" s="1"/>
  <c r="K416" i="3" s="1"/>
  <c r="E34" i="3"/>
  <c r="F34" i="3" s="1"/>
  <c r="K34" i="3" s="1"/>
  <c r="N34" i="3" s="1"/>
  <c r="D308" i="3"/>
  <c r="J308" i="3" s="1"/>
  <c r="D3" i="3"/>
  <c r="J3" i="3" s="1"/>
  <c r="E455" i="3"/>
  <c r="F455" i="3" s="1"/>
  <c r="K455" i="3" s="1"/>
  <c r="N455" i="3" s="1"/>
  <c r="E252" i="3"/>
  <c r="F252" i="3" s="1"/>
  <c r="K252" i="3" s="1"/>
  <c r="D495" i="3"/>
  <c r="J495" i="3" s="1"/>
  <c r="E220" i="3"/>
  <c r="F220" i="3" s="1"/>
  <c r="K220" i="3" s="1"/>
  <c r="D189" i="3"/>
  <c r="J189" i="3" s="1"/>
  <c r="E408" i="3"/>
  <c r="F408" i="3" s="1"/>
  <c r="K408" i="3" s="1"/>
  <c r="L408" i="3" s="1"/>
  <c r="D338" i="3"/>
  <c r="J338" i="3" s="1"/>
  <c r="E119" i="3"/>
  <c r="F119" i="3" s="1"/>
  <c r="K119" i="3" s="1"/>
  <c r="D161" i="3"/>
  <c r="J161" i="3" s="1"/>
  <c r="D303" i="3"/>
  <c r="J303" i="3" s="1"/>
  <c r="E491" i="3"/>
  <c r="F491" i="3" s="1"/>
  <c r="K491" i="3" s="1"/>
  <c r="N491" i="3" s="1"/>
  <c r="E406" i="3"/>
  <c r="F406" i="3" s="1"/>
  <c r="K406" i="3" s="1"/>
  <c r="E110" i="3"/>
  <c r="F110" i="3" s="1"/>
  <c r="K110" i="3" s="1"/>
  <c r="D351" i="3"/>
  <c r="J351" i="3" s="1"/>
  <c r="D325" i="3"/>
  <c r="J325" i="3" s="1"/>
  <c r="D391" i="3"/>
  <c r="J391" i="3" s="1"/>
  <c r="D287" i="3"/>
  <c r="J287" i="3" s="1"/>
  <c r="E234" i="3"/>
  <c r="F234" i="3" s="1"/>
  <c r="K234" i="3" s="1"/>
  <c r="N234" i="3" s="1"/>
  <c r="E46" i="3"/>
  <c r="F46" i="3" s="1"/>
  <c r="K46" i="3" s="1"/>
  <c r="D176" i="3"/>
  <c r="J176" i="3" s="1"/>
  <c r="E379" i="3"/>
  <c r="F379" i="3" s="1"/>
  <c r="K379" i="3" s="1"/>
  <c r="D474" i="3"/>
  <c r="J474" i="3" s="1"/>
  <c r="E211" i="3"/>
  <c r="F211" i="3" s="1"/>
  <c r="K211" i="3" s="1"/>
  <c r="E473" i="3"/>
  <c r="F473" i="3" s="1"/>
  <c r="K473" i="3" s="1"/>
  <c r="E146" i="3"/>
  <c r="F146" i="3" s="1"/>
  <c r="K146" i="3" s="1"/>
  <c r="D99" i="3"/>
  <c r="J99" i="3" s="1"/>
  <c r="E452" i="3"/>
  <c r="F452" i="3" s="1"/>
  <c r="K452" i="3" s="1"/>
  <c r="E435" i="3"/>
  <c r="F435" i="3" s="1"/>
  <c r="K435" i="3" s="1"/>
  <c r="E218" i="3"/>
  <c r="F218" i="3" s="1"/>
  <c r="K218" i="3" s="1"/>
  <c r="E17" i="3"/>
  <c r="F17" i="3" s="1"/>
  <c r="K17" i="3" s="1"/>
  <c r="D496" i="3"/>
  <c r="J496" i="3" s="1"/>
  <c r="E113" i="3"/>
  <c r="F113" i="3" s="1"/>
  <c r="K113" i="3" s="1"/>
  <c r="E238" i="3"/>
  <c r="F238" i="3" s="1"/>
  <c r="K238" i="3" s="1"/>
  <c r="L238" i="3" s="1"/>
  <c r="E430" i="3"/>
  <c r="F430" i="3" s="1"/>
  <c r="K430" i="3" s="1"/>
  <c r="D293" i="3"/>
  <c r="J293" i="3" s="1"/>
  <c r="E282" i="3"/>
  <c r="F282" i="3" s="1"/>
  <c r="K282" i="3" s="1"/>
  <c r="L282" i="3" s="1"/>
  <c r="E124" i="3"/>
  <c r="F124" i="3" s="1"/>
  <c r="K124" i="3" s="1"/>
  <c r="D365" i="3"/>
  <c r="J365" i="3" s="1"/>
  <c r="E131" i="3"/>
  <c r="F131" i="3" s="1"/>
  <c r="K131" i="3" s="1"/>
  <c r="D77" i="3"/>
  <c r="J77" i="3" s="1"/>
  <c r="D63" i="3"/>
  <c r="J63" i="3" s="1"/>
  <c r="E150" i="3"/>
  <c r="F150" i="3" s="1"/>
  <c r="K150" i="3" s="1"/>
  <c r="D374" i="3"/>
  <c r="J374" i="3" s="1"/>
  <c r="E371" i="3"/>
  <c r="F371" i="3" s="1"/>
  <c r="K371" i="3" s="1"/>
  <c r="N371" i="3" s="1"/>
  <c r="E318" i="3"/>
  <c r="F318" i="3" s="1"/>
  <c r="K318" i="3" s="1"/>
  <c r="D205" i="3"/>
  <c r="J205" i="3" s="1"/>
  <c r="E301" i="3"/>
  <c r="F301" i="3" s="1"/>
  <c r="K301" i="3" s="1"/>
  <c r="D312" i="3"/>
  <c r="J312" i="3" s="1"/>
  <c r="D319" i="3"/>
  <c r="J319" i="3" s="1"/>
  <c r="D165" i="3"/>
  <c r="J165" i="3" s="1"/>
  <c r="D311" i="3"/>
  <c r="J311" i="3" s="1"/>
  <c r="D134" i="3"/>
  <c r="J134" i="3" s="1"/>
  <c r="E475" i="3"/>
  <c r="F475" i="3" s="1"/>
  <c r="K475" i="3" s="1"/>
  <c r="E426" i="3"/>
  <c r="F426" i="3" s="1"/>
  <c r="K426" i="3" s="1"/>
  <c r="E28" i="3"/>
  <c r="F28" i="3" s="1"/>
  <c r="K28" i="3" s="1"/>
  <c r="D373" i="3"/>
  <c r="J373" i="3" s="1"/>
  <c r="D430" i="3"/>
  <c r="J430" i="3" s="1"/>
  <c r="E274" i="3"/>
  <c r="F274" i="3" s="1"/>
  <c r="K274" i="3" s="1"/>
  <c r="D280" i="3"/>
  <c r="J280" i="3" s="1"/>
  <c r="E130" i="3"/>
  <c r="F130" i="3" s="1"/>
  <c r="K130" i="3" s="1"/>
  <c r="L130" i="3" s="1"/>
  <c r="D450" i="3"/>
  <c r="J450" i="3" s="1"/>
  <c r="D482" i="3"/>
  <c r="J482" i="3" s="1"/>
  <c r="E109" i="3"/>
  <c r="F109" i="3" s="1"/>
  <c r="K109" i="3" s="1"/>
  <c r="N109" i="3" s="1"/>
  <c r="E87" i="3"/>
  <c r="F87" i="3" s="1"/>
  <c r="K87" i="3" s="1"/>
  <c r="N87" i="3" s="1"/>
  <c r="E263" i="3"/>
  <c r="F263" i="3" s="1"/>
  <c r="K263" i="3" s="1"/>
  <c r="E317" i="3"/>
  <c r="F317" i="3" s="1"/>
  <c r="K317" i="3" s="1"/>
  <c r="E297" i="3"/>
  <c r="F297" i="3" s="1"/>
  <c r="K297" i="3" s="1"/>
  <c r="L297" i="3" s="1"/>
  <c r="D58" i="3"/>
  <c r="J58" i="3" s="1"/>
  <c r="D453" i="3"/>
  <c r="J453" i="3" s="1"/>
  <c r="D73" i="3"/>
  <c r="J73" i="3" s="1"/>
  <c r="D487" i="3"/>
  <c r="J487" i="3" s="1"/>
  <c r="D101" i="3"/>
  <c r="J101" i="3" s="1"/>
  <c r="E77" i="3"/>
  <c r="F77" i="3" s="1"/>
  <c r="K77" i="3" s="1"/>
  <c r="N77" i="3" s="1"/>
  <c r="D276" i="3"/>
  <c r="J276" i="3" s="1"/>
  <c r="D360" i="3"/>
  <c r="J360" i="3" s="1"/>
  <c r="E59" i="3"/>
  <c r="F59" i="3" s="1"/>
  <c r="K59" i="3" s="1"/>
  <c r="D67" i="3"/>
  <c r="J67" i="3" s="1"/>
  <c r="E37" i="3"/>
  <c r="F37" i="3" s="1"/>
  <c r="K37" i="3" s="1"/>
  <c r="L37" i="3" s="1"/>
  <c r="E469" i="3"/>
  <c r="F469" i="3" s="1"/>
  <c r="K469" i="3" s="1"/>
  <c r="E440" i="3"/>
  <c r="F440" i="3" s="1"/>
  <c r="K440" i="3" s="1"/>
  <c r="E356" i="3"/>
  <c r="F356" i="3" s="1"/>
  <c r="K356" i="3" s="1"/>
  <c r="E136" i="3"/>
  <c r="F136" i="3" s="1"/>
  <c r="K136" i="3" s="1"/>
  <c r="E45" i="3"/>
  <c r="F45" i="3" s="1"/>
  <c r="K45" i="3" s="1"/>
  <c r="N45" i="3" s="1"/>
  <c r="E303" i="3"/>
  <c r="F303" i="3" s="1"/>
  <c r="K303" i="3" s="1"/>
  <c r="E383" i="3"/>
  <c r="F383" i="3" s="1"/>
  <c r="K383" i="3" s="1"/>
  <c r="D182" i="3"/>
  <c r="J182" i="3" s="1"/>
  <c r="E154" i="3"/>
  <c r="F154" i="3" s="1"/>
  <c r="K154" i="3" s="1"/>
  <c r="D43" i="3"/>
  <c r="J43" i="3" s="1"/>
  <c r="E389" i="3"/>
  <c r="F389" i="3" s="1"/>
  <c r="K389" i="3" s="1"/>
  <c r="D49" i="3"/>
  <c r="J49" i="3" s="1"/>
  <c r="D396" i="3"/>
  <c r="J396" i="3" s="1"/>
  <c r="E69" i="3"/>
  <c r="F69" i="3" s="1"/>
  <c r="K69" i="3" s="1"/>
  <c r="E134" i="3"/>
  <c r="F134" i="3" s="1"/>
  <c r="K134" i="3" s="1"/>
  <c r="D115" i="3"/>
  <c r="J115" i="3" s="1"/>
  <c r="E203" i="3"/>
  <c r="F203" i="3" s="1"/>
  <c r="K203" i="3" s="1"/>
  <c r="D193" i="3"/>
  <c r="J193" i="3" s="1"/>
  <c r="D384" i="3"/>
  <c r="J384" i="3" s="1"/>
  <c r="E291" i="3"/>
  <c r="F291" i="3" s="1"/>
  <c r="K291" i="3" s="1"/>
  <c r="E365" i="3"/>
  <c r="F365" i="3" s="1"/>
  <c r="K365" i="3" s="1"/>
  <c r="E386" i="3"/>
  <c r="F386" i="3" s="1"/>
  <c r="K386" i="3" s="1"/>
  <c r="D402" i="3"/>
  <c r="J402" i="3" s="1"/>
  <c r="E102" i="3"/>
  <c r="F102" i="3" s="1"/>
  <c r="K102" i="3" s="1"/>
  <c r="L102" i="3" s="1"/>
  <c r="D206" i="3"/>
  <c r="J206" i="3" s="1"/>
  <c r="D236" i="3"/>
  <c r="J236" i="3" s="1"/>
  <c r="D152" i="3"/>
  <c r="J152" i="3" s="1"/>
  <c r="E129" i="3"/>
  <c r="F129" i="3" s="1"/>
  <c r="K129" i="3" s="1"/>
  <c r="E105" i="3"/>
  <c r="F105" i="3" s="1"/>
  <c r="K105" i="3" s="1"/>
  <c r="N105" i="3" s="1"/>
  <c r="E337" i="3"/>
  <c r="F337" i="3" s="1"/>
  <c r="K337" i="3" s="1"/>
  <c r="D87" i="3"/>
  <c r="J87" i="3" s="1"/>
  <c r="D486" i="3"/>
  <c r="J486" i="3" s="1"/>
  <c r="D27" i="3"/>
  <c r="J27" i="3" s="1"/>
  <c r="D25" i="3"/>
  <c r="J25" i="3" s="1"/>
  <c r="E64" i="3"/>
  <c r="F64" i="3" s="1"/>
  <c r="K64" i="3" s="1"/>
  <c r="E407" i="3"/>
  <c r="F407" i="3" s="1"/>
  <c r="K407" i="3" s="1"/>
  <c r="L407" i="3" s="1"/>
  <c r="E14" i="3"/>
  <c r="F14" i="3" s="1"/>
  <c r="K14" i="3" s="1"/>
  <c r="L14" i="3" s="1"/>
  <c r="D254" i="3"/>
  <c r="J254" i="3" s="1"/>
  <c r="E328" i="3"/>
  <c r="F328" i="3" s="1"/>
  <c r="K328" i="3" s="1"/>
  <c r="L328" i="3" s="1"/>
  <c r="D249" i="3"/>
  <c r="J249" i="3" s="1"/>
  <c r="E320" i="3"/>
  <c r="F320" i="3" s="1"/>
  <c r="K320" i="3" s="1"/>
  <c r="L320" i="3" s="1"/>
  <c r="E56" i="3"/>
  <c r="F56" i="3" s="1"/>
  <c r="K56" i="3" s="1"/>
  <c r="E264" i="3"/>
  <c r="F264" i="3" s="1"/>
  <c r="K264" i="3" s="1"/>
  <c r="E4" i="3"/>
  <c r="F4" i="3" s="1"/>
  <c r="K4" i="3" s="1"/>
  <c r="L4" i="3" s="1"/>
  <c r="E449" i="3"/>
  <c r="F449" i="3" s="1"/>
  <c r="K449" i="3" s="1"/>
  <c r="N449" i="3" s="1"/>
  <c r="D81" i="3"/>
  <c r="J81" i="3" s="1"/>
  <c r="E302" i="3"/>
  <c r="F302" i="3" s="1"/>
  <c r="K302" i="3" s="1"/>
  <c r="N302" i="3" s="1"/>
  <c r="D93" i="3"/>
  <c r="J93" i="3" s="1"/>
  <c r="E400" i="3"/>
  <c r="F400" i="3" s="1"/>
  <c r="K400" i="3" s="1"/>
  <c r="D263" i="3"/>
  <c r="J263" i="3" s="1"/>
  <c r="E410" i="3"/>
  <c r="F410" i="3" s="1"/>
  <c r="K410" i="3" s="1"/>
  <c r="E490" i="3"/>
  <c r="F490" i="3" s="1"/>
  <c r="K490" i="3" s="1"/>
  <c r="E50" i="3"/>
  <c r="F50" i="3" s="1"/>
  <c r="K50" i="3" s="1"/>
  <c r="D455" i="3"/>
  <c r="J455" i="3" s="1"/>
  <c r="E329" i="3"/>
  <c r="F329" i="3" s="1"/>
  <c r="K329" i="3" s="1"/>
  <c r="D393" i="3"/>
  <c r="J393" i="3" s="1"/>
  <c r="E139" i="3"/>
  <c r="F139" i="3" s="1"/>
  <c r="K139" i="3" s="1"/>
  <c r="E253" i="3"/>
  <c r="F253" i="3" s="1"/>
  <c r="K253" i="3" s="1"/>
  <c r="L253" i="3" s="1"/>
  <c r="D17" i="3"/>
  <c r="J17" i="3" s="1"/>
  <c r="D199" i="3"/>
  <c r="J199" i="3" s="1"/>
  <c r="D378" i="3"/>
  <c r="J378" i="3" s="1"/>
  <c r="E142" i="3"/>
  <c r="F142" i="3" s="1"/>
  <c r="K142" i="3" s="1"/>
  <c r="N142" i="3" s="1"/>
  <c r="E8" i="3"/>
  <c r="F8" i="3" s="1"/>
  <c r="E405" i="3"/>
  <c r="F405" i="3" s="1"/>
  <c r="K405" i="3" s="1"/>
  <c r="D262" i="3"/>
  <c r="J262" i="3" s="1"/>
  <c r="E399" i="3"/>
  <c r="F399" i="3" s="1"/>
  <c r="K399" i="3" s="1"/>
  <c r="D350" i="3"/>
  <c r="J350" i="3" s="1"/>
  <c r="D432" i="3"/>
  <c r="J432" i="3" s="1"/>
  <c r="E310" i="3"/>
  <c r="F310" i="3" s="1"/>
  <c r="K310" i="3" s="1"/>
  <c r="D440" i="3"/>
  <c r="J440" i="3" s="1"/>
  <c r="D403" i="3"/>
  <c r="J403" i="3" s="1"/>
  <c r="E40" i="3"/>
  <c r="F40" i="3" s="1"/>
  <c r="K40" i="3" s="1"/>
  <c r="D389" i="3"/>
  <c r="J389" i="3" s="1"/>
  <c r="E434" i="3"/>
  <c r="F434" i="3" s="1"/>
  <c r="K434" i="3" s="1"/>
  <c r="D197" i="3"/>
  <c r="J197" i="3" s="1"/>
  <c r="E357" i="3"/>
  <c r="F357" i="3" s="1"/>
  <c r="K357" i="3" s="1"/>
  <c r="D39" i="3"/>
  <c r="J39" i="3" s="1"/>
  <c r="D259" i="3"/>
  <c r="J259" i="3" s="1"/>
  <c r="E90" i="3"/>
  <c r="F90" i="3" s="1"/>
  <c r="K90" i="3" s="1"/>
  <c r="D435" i="3"/>
  <c r="J435" i="3" s="1"/>
  <c r="D198" i="3"/>
  <c r="J198" i="3" s="1"/>
  <c r="E2" i="3"/>
  <c r="F2" i="3" s="1"/>
  <c r="K2" i="3" s="1"/>
  <c r="N2" i="3" s="1"/>
  <c r="D424" i="3"/>
  <c r="J424" i="3" s="1"/>
  <c r="E271" i="3"/>
  <c r="F271" i="3" s="1"/>
  <c r="K271" i="3" s="1"/>
  <c r="L271" i="3" s="1"/>
  <c r="D470" i="3"/>
  <c r="J470" i="3" s="1"/>
  <c r="E372" i="3"/>
  <c r="F372" i="3" s="1"/>
  <c r="K372" i="3" s="1"/>
  <c r="N372" i="3" s="1"/>
  <c r="D33" i="3"/>
  <c r="J33" i="3" s="1"/>
  <c r="E67" i="3"/>
  <c r="F67" i="3" s="1"/>
  <c r="K67" i="3" s="1"/>
  <c r="N67" i="3" s="1"/>
  <c r="E411" i="3"/>
  <c r="F411" i="3" s="1"/>
  <c r="K411" i="3" s="1"/>
  <c r="D108" i="3"/>
  <c r="J108" i="3" s="1"/>
  <c r="E12" i="3"/>
  <c r="F12" i="3" s="1"/>
  <c r="K12" i="3" s="1"/>
  <c r="D243" i="3"/>
  <c r="J243" i="3" s="1"/>
  <c r="E192" i="3"/>
  <c r="F192" i="3" s="1"/>
  <c r="K192" i="3" s="1"/>
  <c r="L192" i="3" s="1"/>
  <c r="D313" i="3"/>
  <c r="J313" i="3" s="1"/>
  <c r="D289" i="3"/>
  <c r="J289" i="3" s="1"/>
  <c r="D228" i="3"/>
  <c r="J228" i="3" s="1"/>
  <c r="E349" i="3"/>
  <c r="F349" i="3" s="1"/>
  <c r="K349" i="3" s="1"/>
  <c r="E147" i="3"/>
  <c r="F147" i="3" s="1"/>
  <c r="K147" i="3" s="1"/>
  <c r="E275" i="3"/>
  <c r="F275" i="3" s="1"/>
  <c r="K275" i="3" s="1"/>
  <c r="E325" i="3"/>
  <c r="F325" i="3" s="1"/>
  <c r="K325" i="3" s="1"/>
  <c r="N325" i="3" s="1"/>
  <c r="E144" i="3"/>
  <c r="F144" i="3" s="1"/>
  <c r="K144" i="3" s="1"/>
  <c r="D231" i="3"/>
  <c r="J231" i="3" s="1"/>
  <c r="E85" i="3"/>
  <c r="F85" i="3" s="1"/>
  <c r="K85" i="3" s="1"/>
  <c r="E401" i="3"/>
  <c r="F401" i="3" s="1"/>
  <c r="K401" i="3" s="1"/>
  <c r="N401" i="3" s="1"/>
  <c r="D291" i="3"/>
  <c r="J291" i="3" s="1"/>
  <c r="E385" i="3"/>
  <c r="F385" i="3" s="1"/>
  <c r="K385" i="3" s="1"/>
  <c r="E439" i="3"/>
  <c r="F439" i="3" s="1"/>
  <c r="K439" i="3" s="1"/>
  <c r="E25" i="3"/>
  <c r="F25" i="3" s="1"/>
  <c r="K25" i="3" s="1"/>
  <c r="D451" i="3"/>
  <c r="J451" i="3" s="1"/>
  <c r="E454" i="3"/>
  <c r="F454" i="3" s="1"/>
  <c r="K454" i="3" s="1"/>
  <c r="D229" i="3"/>
  <c r="J229" i="3" s="1"/>
  <c r="D282" i="3"/>
  <c r="J282" i="3" s="1"/>
  <c r="D83" i="3"/>
  <c r="J83" i="3" s="1"/>
  <c r="D232" i="3"/>
  <c r="J232" i="3" s="1"/>
  <c r="E193" i="3"/>
  <c r="F193" i="3" s="1"/>
  <c r="K193" i="3" s="1"/>
  <c r="E38" i="3"/>
  <c r="F38" i="3" s="1"/>
  <c r="K38" i="3" s="1"/>
  <c r="D497" i="3"/>
  <c r="J497" i="3" s="1"/>
  <c r="E44" i="3"/>
  <c r="F44" i="3" s="1"/>
  <c r="K44" i="3" s="1"/>
  <c r="N44" i="3" s="1"/>
  <c r="D416" i="3"/>
  <c r="J416" i="3" s="1"/>
  <c r="D23" i="3"/>
  <c r="J23" i="3" s="1"/>
  <c r="E344" i="3"/>
  <c r="F344" i="3" s="1"/>
  <c r="K344" i="3" s="1"/>
  <c r="E103" i="3"/>
  <c r="F103" i="3" s="1"/>
  <c r="K103" i="3" s="1"/>
  <c r="L103" i="3" s="1"/>
  <c r="E457" i="3"/>
  <c r="F457" i="3" s="1"/>
  <c r="K457" i="3" s="1"/>
  <c r="N457" i="3" s="1"/>
  <c r="E295" i="3"/>
  <c r="F295" i="3" s="1"/>
  <c r="K295" i="3" s="1"/>
  <c r="N295" i="3" s="1"/>
  <c r="D78" i="3"/>
  <c r="J78" i="3" s="1"/>
  <c r="E236" i="3"/>
  <c r="F236" i="3" s="1"/>
  <c r="K236" i="3" s="1"/>
  <c r="N236" i="3" s="1"/>
  <c r="D417" i="3"/>
  <c r="J417" i="3" s="1"/>
  <c r="D310" i="3"/>
  <c r="J310" i="3" s="1"/>
  <c r="E339" i="3"/>
  <c r="F339" i="3" s="1"/>
  <c r="K339" i="3" s="1"/>
  <c r="D16" i="3"/>
  <c r="J16" i="3" s="1"/>
  <c r="D323" i="3"/>
  <c r="J323" i="3" s="1"/>
  <c r="E159" i="3"/>
  <c r="F159" i="3" s="1"/>
  <c r="K159" i="3" s="1"/>
  <c r="E398" i="3"/>
  <c r="F398" i="3" s="1"/>
  <c r="K398" i="3" s="1"/>
  <c r="L398" i="3" s="1"/>
  <c r="D266" i="3"/>
  <c r="J266" i="3" s="1"/>
  <c r="D364" i="3"/>
  <c r="J364" i="3" s="1"/>
  <c r="E343" i="3"/>
  <c r="F343" i="3" s="1"/>
  <c r="K343" i="3" s="1"/>
  <c r="D261" i="3"/>
  <c r="J261" i="3" s="1"/>
  <c r="D400" i="3"/>
  <c r="J400" i="3" s="1"/>
  <c r="E311" i="3"/>
  <c r="F311" i="3" s="1"/>
  <c r="K311" i="3" s="1"/>
  <c r="N311" i="3" s="1"/>
  <c r="E444" i="3"/>
  <c r="F444" i="3" s="1"/>
  <c r="K444" i="3" s="1"/>
  <c r="E240" i="3"/>
  <c r="F240" i="3" s="1"/>
  <c r="K240" i="3" s="1"/>
  <c r="L240" i="3" s="1"/>
  <c r="E348" i="3"/>
  <c r="F348" i="3" s="1"/>
  <c r="K348" i="3" s="1"/>
  <c r="L348" i="3" s="1"/>
  <c r="E181" i="3"/>
  <c r="F181" i="3" s="1"/>
  <c r="K181" i="3" s="1"/>
  <c r="D300" i="3"/>
  <c r="J300" i="3" s="1"/>
  <c r="E309" i="3"/>
  <c r="F309" i="3" s="1"/>
  <c r="K309" i="3" s="1"/>
  <c r="L309" i="3" s="1"/>
  <c r="E307" i="3"/>
  <c r="F307" i="3" s="1"/>
  <c r="K307" i="3" s="1"/>
  <c r="E335" i="3"/>
  <c r="F335" i="3" s="1"/>
  <c r="K335" i="3" s="1"/>
  <c r="D166" i="3"/>
  <c r="J166" i="3" s="1"/>
  <c r="D321" i="3"/>
  <c r="J321" i="3" s="1"/>
  <c r="D445" i="3"/>
  <c r="J445" i="3" s="1"/>
  <c r="E500" i="3"/>
  <c r="F500" i="3" s="1"/>
  <c r="K500" i="3" s="1"/>
  <c r="N500" i="3" s="1"/>
  <c r="D494" i="3"/>
  <c r="J494" i="3" s="1"/>
  <c r="D224" i="3"/>
  <c r="J224" i="3" s="1"/>
  <c r="D248" i="3"/>
  <c r="J248" i="3" s="1"/>
  <c r="D214" i="3"/>
  <c r="J214" i="3" s="1"/>
  <c r="E204" i="3"/>
  <c r="F204" i="3" s="1"/>
  <c r="K204" i="3" s="1"/>
  <c r="E358" i="3"/>
  <c r="F358" i="3" s="1"/>
  <c r="K358" i="3" s="1"/>
  <c r="L358" i="3" s="1"/>
  <c r="E158" i="3"/>
  <c r="F158" i="3" s="1"/>
  <c r="K158" i="3" s="1"/>
  <c r="E202" i="3"/>
  <c r="F202" i="3" s="1"/>
  <c r="K202" i="3" s="1"/>
  <c r="D190" i="3"/>
  <c r="J190" i="3" s="1"/>
  <c r="D109" i="3"/>
  <c r="J109" i="3" s="1"/>
  <c r="D35" i="3"/>
  <c r="J35" i="3" s="1"/>
  <c r="D318" i="3"/>
  <c r="J318" i="3" s="1"/>
  <c r="D428" i="3"/>
  <c r="J428" i="3" s="1"/>
  <c r="D203" i="3"/>
  <c r="J203" i="3" s="1"/>
  <c r="E75" i="3"/>
  <c r="F75" i="3" s="1"/>
  <c r="K75" i="3" s="1"/>
  <c r="N75" i="3" s="1"/>
  <c r="D241" i="3"/>
  <c r="J241" i="3" s="1"/>
  <c r="E241" i="3"/>
  <c r="F241" i="3" s="1"/>
  <c r="K241" i="3" s="1"/>
  <c r="N241" i="3" s="1"/>
  <c r="D278" i="3"/>
  <c r="J278" i="3" s="1"/>
  <c r="D121" i="3"/>
  <c r="J121" i="3" s="1"/>
  <c r="E151" i="3"/>
  <c r="F151" i="3" s="1"/>
  <c r="K151" i="3" s="1"/>
  <c r="E425" i="3"/>
  <c r="F425" i="3" s="1"/>
  <c r="K425" i="3" s="1"/>
  <c r="D136" i="3"/>
  <c r="J136" i="3" s="1"/>
  <c r="E420" i="3"/>
  <c r="F420" i="3" s="1"/>
  <c r="K420" i="3" s="1"/>
  <c r="E163" i="3"/>
  <c r="F163" i="3" s="1"/>
  <c r="K163" i="3" s="1"/>
  <c r="D119" i="3"/>
  <c r="J119" i="3" s="1"/>
  <c r="E397" i="3"/>
  <c r="F397" i="3" s="1"/>
  <c r="K397" i="3" s="1"/>
  <c r="E288" i="3"/>
  <c r="F288" i="3" s="1"/>
  <c r="K288" i="3" s="1"/>
  <c r="D143" i="3"/>
  <c r="J143" i="3" s="1"/>
  <c r="D411" i="3"/>
  <c r="J411" i="3" s="1"/>
  <c r="D218" i="3"/>
  <c r="J218" i="3" s="1"/>
  <c r="E200" i="3"/>
  <c r="F200" i="3" s="1"/>
  <c r="K200" i="3" s="1"/>
  <c r="L200" i="3" s="1"/>
  <c r="E431" i="3"/>
  <c r="F431" i="3" s="1"/>
  <c r="K431" i="3" s="1"/>
  <c r="L431" i="3" s="1"/>
  <c r="E112" i="3"/>
  <c r="F112" i="3" s="1"/>
  <c r="K112" i="3" s="1"/>
  <c r="E244" i="3"/>
  <c r="F244" i="3" s="1"/>
  <c r="K244" i="3" s="1"/>
  <c r="D7" i="3"/>
  <c r="J7" i="3" s="1"/>
  <c r="D62" i="3"/>
  <c r="J62" i="3" s="1"/>
  <c r="E441" i="3"/>
  <c r="F441" i="3" s="1"/>
  <c r="K441" i="3" s="1"/>
  <c r="D138" i="3"/>
  <c r="J138" i="3" s="1"/>
  <c r="E164" i="3"/>
  <c r="F164" i="3" s="1"/>
  <c r="K164" i="3" s="1"/>
  <c r="L164" i="3" s="1"/>
  <c r="D399" i="3"/>
  <c r="J399" i="3" s="1"/>
  <c r="D157" i="3"/>
  <c r="J157" i="3" s="1"/>
  <c r="D390" i="3"/>
  <c r="J390" i="3" s="1"/>
  <c r="E168" i="3"/>
  <c r="F168" i="3" s="1"/>
  <c r="K168" i="3" s="1"/>
  <c r="D163" i="3"/>
  <c r="J163" i="3" s="1"/>
  <c r="D45" i="3"/>
  <c r="J45" i="3" s="1"/>
  <c r="E26" i="3"/>
  <c r="F26" i="3" s="1"/>
  <c r="K26" i="3" s="1"/>
  <c r="N26" i="3" s="1"/>
  <c r="D212" i="3"/>
  <c r="J212" i="3" s="1"/>
  <c r="E61" i="3"/>
  <c r="F61" i="3" s="1"/>
  <c r="K61" i="3" s="1"/>
  <c r="E428" i="3"/>
  <c r="F428" i="3" s="1"/>
  <c r="K428" i="3" s="1"/>
  <c r="L428" i="3" s="1"/>
  <c r="E402" i="3"/>
  <c r="F402" i="3" s="1"/>
  <c r="K402" i="3" s="1"/>
  <c r="L402" i="3" s="1"/>
  <c r="E184" i="3"/>
  <c r="F184" i="3" s="1"/>
  <c r="K184" i="3" s="1"/>
  <c r="L184" i="3" s="1"/>
  <c r="D346" i="3"/>
  <c r="J346" i="3" s="1"/>
  <c r="D394" i="3"/>
  <c r="J394" i="3" s="1"/>
  <c r="E223" i="3"/>
  <c r="F223" i="3" s="1"/>
  <c r="K223" i="3" s="1"/>
  <c r="E76" i="3"/>
  <c r="F76" i="3" s="1"/>
  <c r="K76" i="3" s="1"/>
  <c r="L76" i="3" s="1"/>
  <c r="D226" i="3"/>
  <c r="J226" i="3" s="1"/>
  <c r="E126" i="3"/>
  <c r="F126" i="3" s="1"/>
  <c r="K126" i="3" s="1"/>
  <c r="D170" i="3"/>
  <c r="J170" i="3" s="1"/>
  <c r="D38" i="3"/>
  <c r="J38" i="3" s="1"/>
  <c r="D162" i="3"/>
  <c r="J162" i="3" s="1"/>
  <c r="E156" i="3"/>
  <c r="F156" i="3" s="1"/>
  <c r="K156" i="3" s="1"/>
  <c r="E370" i="3"/>
  <c r="F370" i="3" s="1"/>
  <c r="K370" i="3" s="1"/>
  <c r="E63" i="3"/>
  <c r="F63" i="3" s="1"/>
  <c r="K63" i="3" s="1"/>
  <c r="D173" i="3"/>
  <c r="J173" i="3" s="1"/>
  <c r="D407" i="3"/>
  <c r="J407" i="3" s="1"/>
  <c r="E81" i="3"/>
  <c r="F81" i="3" s="1"/>
  <c r="K81" i="3" s="1"/>
  <c r="D145" i="3"/>
  <c r="J145" i="3" s="1"/>
  <c r="D447" i="3"/>
  <c r="J447" i="3" s="1"/>
  <c r="E216" i="3"/>
  <c r="F216" i="3" s="1"/>
  <c r="K216" i="3" s="1"/>
  <c r="L216" i="3" s="1"/>
  <c r="D150" i="3"/>
  <c r="J150" i="3" s="1"/>
  <c r="E133" i="3"/>
  <c r="F133" i="3" s="1"/>
  <c r="K133" i="3" s="1"/>
  <c r="D65" i="3"/>
  <c r="J65" i="3" s="1"/>
  <c r="E72" i="3"/>
  <c r="F72" i="3" s="1"/>
  <c r="K72" i="3" s="1"/>
  <c r="E20" i="3"/>
  <c r="F20" i="3" s="1"/>
  <c r="K20" i="3" s="1"/>
  <c r="E157" i="3"/>
  <c r="F157" i="3" s="1"/>
  <c r="K157" i="3" s="1"/>
  <c r="D86" i="3"/>
  <c r="J86" i="3" s="1"/>
  <c r="D409" i="3"/>
  <c r="J409" i="3" s="1"/>
  <c r="D219" i="3"/>
  <c r="J219" i="3" s="1"/>
  <c r="D277" i="3"/>
  <c r="J277" i="3" s="1"/>
  <c r="D124" i="3"/>
  <c r="J124" i="3" s="1"/>
  <c r="E239" i="3"/>
  <c r="F239" i="3" s="1"/>
  <c r="K239" i="3" s="1"/>
  <c r="E39" i="3"/>
  <c r="F39" i="3" s="1"/>
  <c r="K39" i="3" s="1"/>
  <c r="D208" i="3"/>
  <c r="J208" i="3" s="1"/>
  <c r="D355" i="3"/>
  <c r="J355" i="3" s="1"/>
  <c r="D466" i="3"/>
  <c r="J466" i="3" s="1"/>
  <c r="E445" i="3"/>
  <c r="F445" i="3" s="1"/>
  <c r="K445" i="3" s="1"/>
  <c r="E414" i="3"/>
  <c r="F414" i="3" s="1"/>
  <c r="K414" i="3" s="1"/>
  <c r="D42" i="3"/>
  <c r="J42" i="3" s="1"/>
  <c r="D225" i="3"/>
  <c r="J225" i="3" s="1"/>
  <c r="E472" i="3"/>
  <c r="F472" i="3" s="1"/>
  <c r="K472" i="3" s="1"/>
  <c r="D492" i="3"/>
  <c r="J492" i="3" s="1"/>
  <c r="D242" i="3"/>
  <c r="J242" i="3" s="1"/>
  <c r="E47" i="3"/>
  <c r="F47" i="3" s="1"/>
  <c r="K47" i="3" s="1"/>
  <c r="E122" i="3"/>
  <c r="F122" i="3" s="1"/>
  <c r="K122" i="3" s="1"/>
  <c r="E118" i="3"/>
  <c r="F118" i="3" s="1"/>
  <c r="K118" i="3" s="1"/>
  <c r="N118" i="3" s="1"/>
  <c r="E362" i="3"/>
  <c r="F362" i="3" s="1"/>
  <c r="K362" i="3" s="1"/>
  <c r="D147" i="3"/>
  <c r="J147" i="3" s="1"/>
  <c r="D366" i="3"/>
  <c r="J366" i="3" s="1"/>
  <c r="E485" i="3"/>
  <c r="F485" i="3" s="1"/>
  <c r="K485" i="3" s="1"/>
  <c r="D238" i="3"/>
  <c r="J238" i="3" s="1"/>
  <c r="E433" i="3"/>
  <c r="F433" i="3" s="1"/>
  <c r="K433" i="3" s="1"/>
  <c r="L433" i="3" s="1"/>
  <c r="E429" i="3"/>
  <c r="F429" i="3" s="1"/>
  <c r="K429" i="3" s="1"/>
  <c r="E215" i="3"/>
  <c r="F215" i="3" s="1"/>
  <c r="K215" i="3" s="1"/>
  <c r="E178" i="3"/>
  <c r="F178" i="3" s="1"/>
  <c r="K178" i="3" s="1"/>
  <c r="E162" i="3"/>
  <c r="F162" i="3" s="1"/>
  <c r="K162" i="3" s="1"/>
  <c r="N162" i="3" s="1"/>
  <c r="E29" i="3"/>
  <c r="F29" i="3" s="1"/>
  <c r="K29" i="3" s="1"/>
  <c r="L29" i="3" s="1"/>
  <c r="E245" i="3"/>
  <c r="F245" i="3" s="1"/>
  <c r="K245" i="3" s="1"/>
  <c r="E298" i="3"/>
  <c r="F298" i="3" s="1"/>
  <c r="K298" i="3" s="1"/>
  <c r="E418" i="3"/>
  <c r="F418" i="3" s="1"/>
  <c r="K418" i="3" s="1"/>
  <c r="N418" i="3" s="1"/>
  <c r="D270" i="3"/>
  <c r="J270" i="3" s="1"/>
  <c r="E474" i="3"/>
  <c r="F474" i="3" s="1"/>
  <c r="K474" i="3" s="1"/>
  <c r="E125" i="3"/>
  <c r="F125" i="3" s="1"/>
  <c r="K125" i="3" s="1"/>
  <c r="D301" i="3"/>
  <c r="J301" i="3" s="1"/>
  <c r="D94" i="3"/>
  <c r="J94" i="3" s="1"/>
  <c r="E499" i="3"/>
  <c r="F499" i="3" s="1"/>
  <c r="K499" i="3" s="1"/>
  <c r="N499" i="3" s="1"/>
  <c r="D196" i="3"/>
  <c r="J196" i="3" s="1"/>
  <c r="E188" i="3"/>
  <c r="F188" i="3" s="1"/>
  <c r="K188" i="3" s="1"/>
  <c r="L188" i="3" s="1"/>
  <c r="D154" i="3"/>
  <c r="J154" i="3" s="1"/>
  <c r="D353" i="3"/>
  <c r="J353" i="3" s="1"/>
  <c r="D367" i="3"/>
  <c r="J367" i="3" s="1"/>
  <c r="E93" i="3"/>
  <c r="F93" i="3" s="1"/>
  <c r="K93" i="3" s="1"/>
  <c r="D245" i="3"/>
  <c r="J245" i="3" s="1"/>
  <c r="E458" i="3"/>
  <c r="F458" i="3" s="1"/>
  <c r="K458" i="3" s="1"/>
  <c r="N458" i="3" s="1"/>
  <c r="E43" i="3"/>
  <c r="F43" i="3" s="1"/>
  <c r="K43" i="3" s="1"/>
  <c r="E80" i="3"/>
  <c r="F80" i="3" s="1"/>
  <c r="K80" i="3" s="1"/>
  <c r="L80" i="3" s="1"/>
  <c r="D184" i="3"/>
  <c r="J184" i="3" s="1"/>
  <c r="D105" i="3"/>
  <c r="J105" i="3" s="1"/>
  <c r="D472" i="3"/>
  <c r="J472" i="3" s="1"/>
  <c r="E266" i="3"/>
  <c r="F266" i="3" s="1"/>
  <c r="K266" i="3" s="1"/>
  <c r="N266" i="3" s="1"/>
  <c r="E96" i="3"/>
  <c r="F96" i="3" s="1"/>
  <c r="K96" i="3" s="1"/>
  <c r="E477" i="3"/>
  <c r="F477" i="3" s="1"/>
  <c r="K477" i="3" s="1"/>
  <c r="E101" i="3"/>
  <c r="F101" i="3" s="1"/>
  <c r="K101" i="3" s="1"/>
  <c r="N101" i="3" s="1"/>
  <c r="E332" i="3"/>
  <c r="F332" i="3" s="1"/>
  <c r="K332" i="3" s="1"/>
  <c r="N332" i="3" s="1"/>
  <c r="D342" i="3"/>
  <c r="J342" i="3" s="1"/>
  <c r="D448" i="3"/>
  <c r="J448" i="3" s="1"/>
  <c r="E361" i="3"/>
  <c r="F361" i="3" s="1"/>
  <c r="K361" i="3" s="1"/>
  <c r="N361" i="3" s="1"/>
  <c r="D476" i="3"/>
  <c r="J476" i="3" s="1"/>
  <c r="E52" i="3"/>
  <c r="F52" i="3" s="1"/>
  <c r="K52" i="3" s="1"/>
  <c r="L52" i="3" s="1"/>
  <c r="D56" i="3"/>
  <c r="J56" i="3" s="1"/>
  <c r="E58" i="3"/>
  <c r="F58" i="3" s="1"/>
  <c r="K58" i="3" s="1"/>
  <c r="E123" i="3"/>
  <c r="F123" i="3" s="1"/>
  <c r="K123" i="3" s="1"/>
  <c r="D361" i="3"/>
  <c r="J361" i="3" s="1"/>
  <c r="D235" i="3"/>
  <c r="J235" i="3" s="1"/>
  <c r="D488" i="3"/>
  <c r="J488" i="3" s="1"/>
  <c r="E336" i="3"/>
  <c r="F336" i="3" s="1"/>
  <c r="K336" i="3" s="1"/>
  <c r="D268" i="3"/>
  <c r="J268" i="3" s="1"/>
  <c r="E111" i="3"/>
  <c r="F111" i="3" s="1"/>
  <c r="K111" i="3" s="1"/>
  <c r="N111" i="3" s="1"/>
  <c r="D349" i="3"/>
  <c r="J349" i="3" s="1"/>
  <c r="D202" i="3"/>
  <c r="J202" i="3" s="1"/>
  <c r="E272" i="3"/>
  <c r="F272" i="3" s="1"/>
  <c r="K272" i="3" s="1"/>
  <c r="D132" i="3"/>
  <c r="J132" i="3" s="1"/>
  <c r="E148" i="3"/>
  <c r="F148" i="3" s="1"/>
  <c r="K148" i="3" s="1"/>
  <c r="N148" i="3" s="1"/>
  <c r="E99" i="3"/>
  <c r="F99" i="3" s="1"/>
  <c r="K99" i="3" s="1"/>
  <c r="D381" i="3"/>
  <c r="J381" i="3" s="1"/>
  <c r="E189" i="3"/>
  <c r="F189" i="3" s="1"/>
  <c r="K189" i="3" s="1"/>
  <c r="E182" i="3"/>
  <c r="F182" i="3" s="1"/>
  <c r="K182" i="3" s="1"/>
  <c r="N182" i="3" s="1"/>
  <c r="E176" i="3"/>
  <c r="F176" i="3" s="1"/>
  <c r="K176" i="3" s="1"/>
  <c r="E437" i="3"/>
  <c r="F437" i="3" s="1"/>
  <c r="K437" i="3" s="1"/>
  <c r="E391" i="3"/>
  <c r="F391" i="3" s="1"/>
  <c r="K391" i="3" s="1"/>
  <c r="E153" i="3"/>
  <c r="F153" i="3" s="1"/>
  <c r="K153" i="3" s="1"/>
  <c r="D256" i="3"/>
  <c r="J256" i="3" s="1"/>
  <c r="D14" i="3"/>
  <c r="J14" i="3" s="1"/>
  <c r="E18" i="3"/>
  <c r="F18" i="3" s="1"/>
  <c r="K18" i="3" s="1"/>
  <c r="D127" i="3"/>
  <c r="J127" i="3" s="1"/>
  <c r="D414" i="3"/>
  <c r="J414" i="3" s="1"/>
  <c r="E15" i="3"/>
  <c r="F15" i="3" s="1"/>
  <c r="K15" i="3" s="1"/>
  <c r="D60" i="3"/>
  <c r="J60" i="3" s="1"/>
  <c r="E66" i="3"/>
  <c r="F66" i="3" s="1"/>
  <c r="K66" i="3" s="1"/>
  <c r="L66" i="3" s="1"/>
  <c r="D133" i="3"/>
  <c r="J133" i="3" s="1"/>
  <c r="E33" i="3"/>
  <c r="F33" i="3" s="1"/>
  <c r="K33" i="3" s="1"/>
  <c r="D304" i="3"/>
  <c r="J304" i="3" s="1"/>
  <c r="D431" i="3"/>
  <c r="J431" i="3" s="1"/>
  <c r="D183" i="3"/>
  <c r="J183" i="3" s="1"/>
  <c r="D297" i="3"/>
  <c r="J297" i="3" s="1"/>
  <c r="E267" i="3"/>
  <c r="F267" i="3" s="1"/>
  <c r="K267" i="3" s="1"/>
  <c r="L267" i="3" s="1"/>
  <c r="E128" i="3"/>
  <c r="F128" i="3" s="1"/>
  <c r="K128" i="3" s="1"/>
  <c r="D265" i="3"/>
  <c r="J265" i="3" s="1"/>
  <c r="E219" i="3"/>
  <c r="F219" i="3" s="1"/>
  <c r="K219" i="3" s="1"/>
  <c r="D251" i="3"/>
  <c r="J251" i="3" s="1"/>
  <c r="E149" i="3"/>
  <c r="F149" i="3" s="1"/>
  <c r="K149" i="3" s="1"/>
  <c r="N149" i="3" s="1"/>
  <c r="D468" i="3"/>
  <c r="J468" i="3" s="1"/>
  <c r="E95" i="3"/>
  <c r="F95" i="3" s="1"/>
  <c r="K95" i="3" s="1"/>
  <c r="N95" i="3" s="1"/>
  <c r="D347" i="3"/>
  <c r="J347" i="3" s="1"/>
  <c r="D171" i="3"/>
  <c r="J171" i="3" s="1"/>
  <c r="D337" i="3"/>
  <c r="J337" i="3" s="1"/>
  <c r="E213" i="3"/>
  <c r="F213" i="3" s="1"/>
  <c r="K213" i="3" s="1"/>
  <c r="L213" i="3" s="1"/>
  <c r="E419" i="3"/>
  <c r="F419" i="3" s="1"/>
  <c r="K419" i="3" s="1"/>
  <c r="N419" i="3" s="1"/>
  <c r="E262" i="3"/>
  <c r="F262" i="3" s="1"/>
  <c r="K262" i="3" s="1"/>
  <c r="L262" i="3" s="1"/>
  <c r="D388" i="3"/>
  <c r="J388" i="3" s="1"/>
  <c r="E51" i="3"/>
  <c r="F51" i="3" s="1"/>
  <c r="K51" i="3" s="1"/>
  <c r="E285" i="3"/>
  <c r="F285" i="3" s="1"/>
  <c r="K285" i="3" s="1"/>
  <c r="E496" i="3"/>
  <c r="F496" i="3" s="1"/>
  <c r="K496" i="3" s="1"/>
  <c r="N496" i="3" s="1"/>
  <c r="D255" i="3"/>
  <c r="J255" i="3" s="1"/>
  <c r="D316" i="3"/>
  <c r="J316" i="3" s="1"/>
  <c r="D397" i="3"/>
  <c r="J397" i="3" s="1"/>
  <c r="D426" i="3"/>
  <c r="J426" i="3" s="1"/>
  <c r="E404" i="3"/>
  <c r="F404" i="3" s="1"/>
  <c r="K404" i="3" s="1"/>
  <c r="E366" i="3"/>
  <c r="F366" i="3" s="1"/>
  <c r="K366" i="3" s="1"/>
  <c r="E106" i="3"/>
  <c r="F106" i="3" s="1"/>
  <c r="K106" i="3" s="1"/>
  <c r="L106" i="3" s="1"/>
  <c r="D234" i="3"/>
  <c r="J234" i="3" s="1"/>
  <c r="D404" i="3"/>
  <c r="J404" i="3" s="1"/>
  <c r="D383" i="3"/>
  <c r="J383" i="3" s="1"/>
  <c r="E432" i="3"/>
  <c r="F432" i="3" s="1"/>
  <c r="K432" i="3" s="1"/>
  <c r="D382" i="3"/>
  <c r="J382" i="3" s="1"/>
  <c r="E423" i="3"/>
  <c r="F423" i="3" s="1"/>
  <c r="K423" i="3" s="1"/>
  <c r="D498" i="3"/>
  <c r="J498" i="3" s="1"/>
  <c r="E91" i="3"/>
  <c r="F91" i="3" s="1"/>
  <c r="K91" i="3" s="1"/>
  <c r="N91" i="3" s="1"/>
  <c r="E256" i="3"/>
  <c r="F256" i="3" s="1"/>
  <c r="K256" i="3" s="1"/>
  <c r="E74" i="3"/>
  <c r="F74" i="3" s="1"/>
  <c r="K74" i="3" s="1"/>
  <c r="D421" i="3"/>
  <c r="J421" i="3" s="1"/>
  <c r="E462" i="3"/>
  <c r="F462" i="3" s="1"/>
  <c r="K462" i="3" s="1"/>
  <c r="D392" i="3"/>
  <c r="J392" i="3" s="1"/>
  <c r="E19" i="3"/>
  <c r="F19" i="3" s="1"/>
  <c r="K19" i="3" s="1"/>
  <c r="D307" i="3"/>
  <c r="J307" i="3" s="1"/>
  <c r="D59" i="3"/>
  <c r="J59" i="3" s="1"/>
  <c r="E10" i="3"/>
  <c r="F10" i="3" s="1"/>
  <c r="K10" i="3" s="1"/>
  <c r="N10" i="3" s="1"/>
  <c r="E13" i="3"/>
  <c r="F13" i="3" s="1"/>
  <c r="K13" i="3" s="1"/>
  <c r="N13" i="3" s="1"/>
  <c r="E242" i="3"/>
  <c r="F242" i="3" s="1"/>
  <c r="K242" i="3" s="1"/>
  <c r="D128" i="3"/>
  <c r="J128" i="3" s="1"/>
  <c r="E355" i="3"/>
  <c r="F355" i="3" s="1"/>
  <c r="K355" i="3" s="1"/>
  <c r="D155" i="3"/>
  <c r="J155" i="3" s="1"/>
  <c r="E235" i="3"/>
  <c r="F235" i="3" s="1"/>
  <c r="K235" i="3" s="1"/>
  <c r="N235" i="3" s="1"/>
  <c r="E476" i="3"/>
  <c r="F476" i="3" s="1"/>
  <c r="K476" i="3" s="1"/>
  <c r="N476" i="3" s="1"/>
  <c r="D345" i="3"/>
  <c r="J345" i="3" s="1"/>
  <c r="E254" i="3"/>
  <c r="F254" i="3" s="1"/>
  <c r="K254" i="3" s="1"/>
  <c r="D44" i="3"/>
  <c r="J44" i="3" s="1"/>
  <c r="E486" i="3"/>
  <c r="F486" i="3" s="1"/>
  <c r="K486" i="3" s="1"/>
  <c r="E257" i="3"/>
  <c r="F257" i="3" s="1"/>
  <c r="K257" i="3" s="1"/>
  <c r="E186" i="3"/>
  <c r="F186" i="3" s="1"/>
  <c r="K186" i="3" s="1"/>
  <c r="E321" i="3"/>
  <c r="F321" i="3" s="1"/>
  <c r="K321" i="3" s="1"/>
  <c r="L321" i="3" s="1"/>
  <c r="D194" i="3"/>
  <c r="J194" i="3" s="1"/>
  <c r="D26" i="3"/>
  <c r="J26" i="3" s="1"/>
  <c r="E342" i="3"/>
  <c r="F342" i="3" s="1"/>
  <c r="K342" i="3" s="1"/>
  <c r="L342" i="3" s="1"/>
  <c r="E270" i="3"/>
  <c r="F270" i="3" s="1"/>
  <c r="K270" i="3" s="1"/>
  <c r="L270" i="3" s="1"/>
  <c r="E482" i="3"/>
  <c r="F482" i="3" s="1"/>
  <c r="K482" i="3" s="1"/>
  <c r="E450" i="3"/>
  <c r="F450" i="3" s="1"/>
  <c r="K450" i="3" s="1"/>
  <c r="E376" i="3"/>
  <c r="F376" i="3" s="1"/>
  <c r="K376" i="3" s="1"/>
  <c r="N376" i="3" s="1"/>
  <c r="E41" i="3"/>
  <c r="F41" i="3" s="1"/>
  <c r="K41" i="3" s="1"/>
  <c r="E221" i="3"/>
  <c r="F221" i="3" s="1"/>
  <c r="K221" i="3" s="1"/>
  <c r="E393" i="3"/>
  <c r="F393" i="3" s="1"/>
  <c r="K393" i="3" s="1"/>
  <c r="N393" i="3" s="1"/>
  <c r="D398" i="3"/>
  <c r="J398" i="3" s="1"/>
  <c r="E73" i="3"/>
  <c r="F73" i="3" s="1"/>
  <c r="K73" i="3" s="1"/>
  <c r="L73" i="3" s="1"/>
  <c r="E367" i="3"/>
  <c r="F367" i="3" s="1"/>
  <c r="K367" i="3" s="1"/>
  <c r="E230" i="3"/>
  <c r="F230" i="3" s="1"/>
  <c r="K230" i="3" s="1"/>
  <c r="D272" i="3"/>
  <c r="J272" i="3" s="1"/>
  <c r="D480" i="3"/>
  <c r="J480" i="3" s="1"/>
  <c r="D186" i="3"/>
  <c r="J186" i="3" s="1"/>
  <c r="D146" i="3"/>
  <c r="J146" i="3" s="1"/>
  <c r="E442" i="3"/>
  <c r="F442" i="3" s="1"/>
  <c r="K442" i="3" s="1"/>
  <c r="E205" i="3"/>
  <c r="F205" i="3" s="1"/>
  <c r="K205" i="3" s="1"/>
  <c r="E378" i="3"/>
  <c r="F378" i="3" s="1"/>
  <c r="K378" i="3" s="1"/>
  <c r="E171" i="3"/>
  <c r="F171" i="3" s="1"/>
  <c r="K171" i="3" s="1"/>
  <c r="D167" i="3"/>
  <c r="J167" i="3" s="1"/>
  <c r="E30" i="3"/>
  <c r="F30" i="3" s="1"/>
  <c r="K30" i="3" s="1"/>
  <c r="L30" i="3" s="1"/>
  <c r="D376" i="3"/>
  <c r="J376" i="3" s="1"/>
  <c r="E217" i="3"/>
  <c r="F217" i="3" s="1"/>
  <c r="K217" i="3" s="1"/>
  <c r="D72" i="3"/>
  <c r="J72" i="3" s="1"/>
  <c r="D100" i="3"/>
  <c r="J100" i="3" s="1"/>
  <c r="D315" i="3"/>
  <c r="J315" i="3" s="1"/>
  <c r="E465" i="3"/>
  <c r="F465" i="3" s="1"/>
  <c r="K465" i="3" s="1"/>
  <c r="N465" i="3" s="1"/>
  <c r="E206" i="3"/>
  <c r="F206" i="3" s="1"/>
  <c r="K206" i="3" s="1"/>
  <c r="L206" i="3" s="1"/>
  <c r="D15" i="3"/>
  <c r="J15" i="3" s="1"/>
  <c r="D299" i="3"/>
  <c r="J299" i="3" s="1"/>
  <c r="E368" i="3"/>
  <c r="F368" i="3" s="1"/>
  <c r="K368" i="3" s="1"/>
  <c r="D446" i="3"/>
  <c r="J446" i="3" s="1"/>
  <c r="D156" i="3"/>
  <c r="J156" i="3" s="1"/>
  <c r="E381" i="3"/>
  <c r="F381" i="3" s="1"/>
  <c r="K381" i="3" s="1"/>
  <c r="N381" i="3" s="1"/>
  <c r="D104" i="3"/>
  <c r="J104" i="3" s="1"/>
  <c r="D37" i="3"/>
  <c r="J37" i="3" s="1"/>
  <c r="D71" i="3"/>
  <c r="J71" i="3" s="1"/>
  <c r="E84" i="3"/>
  <c r="F84" i="3" s="1"/>
  <c r="K84" i="3" s="1"/>
  <c r="D295" i="3"/>
  <c r="J295" i="3" s="1"/>
  <c r="D357" i="3"/>
  <c r="J357" i="3" s="1"/>
  <c r="D419" i="3"/>
  <c r="J419" i="3" s="1"/>
  <c r="E191" i="3"/>
  <c r="F191" i="3" s="1"/>
  <c r="K191" i="3" s="1"/>
  <c r="D294" i="3"/>
  <c r="J294" i="3" s="1"/>
  <c r="E471" i="3"/>
  <c r="F471" i="3" s="1"/>
  <c r="K471" i="3" s="1"/>
  <c r="N471" i="3" s="1"/>
  <c r="D436" i="3"/>
  <c r="J436" i="3" s="1"/>
  <c r="D491" i="3"/>
  <c r="J491" i="3" s="1"/>
  <c r="E100" i="3"/>
  <c r="F100" i="3" s="1"/>
  <c r="K100" i="3" s="1"/>
  <c r="L100" i="3" s="1"/>
  <c r="E497" i="3"/>
  <c r="F497" i="3" s="1"/>
  <c r="K497" i="3" s="1"/>
  <c r="E413" i="3"/>
  <c r="F413" i="3" s="1"/>
  <c r="K413" i="3" s="1"/>
  <c r="D41" i="3"/>
  <c r="J41" i="3" s="1"/>
  <c r="E409" i="3"/>
  <c r="F409" i="3" s="1"/>
  <c r="K409" i="3" s="1"/>
  <c r="D88" i="3"/>
  <c r="J88" i="3" s="1"/>
  <c r="D126" i="3"/>
  <c r="J126" i="3" s="1"/>
  <c r="D28" i="3"/>
  <c r="J28" i="3" s="1"/>
  <c r="E35" i="3"/>
  <c r="F35" i="3" s="1"/>
  <c r="K35" i="3" s="1"/>
  <c r="E299" i="3"/>
  <c r="F299" i="3" s="1"/>
  <c r="K299" i="3" s="1"/>
  <c r="L299" i="3" s="1"/>
  <c r="E88" i="3"/>
  <c r="F88" i="3" s="1"/>
  <c r="K88" i="3" s="1"/>
  <c r="L88" i="3" s="1"/>
  <c r="E259" i="3"/>
  <c r="F259" i="3" s="1"/>
  <c r="K259" i="3" s="1"/>
  <c r="D96" i="3"/>
  <c r="J96" i="3" s="1"/>
  <c r="D148" i="3"/>
  <c r="J148" i="3" s="1"/>
  <c r="D247" i="3"/>
  <c r="J247" i="3" s="1"/>
  <c r="E382" i="3"/>
  <c r="F382" i="3" s="1"/>
  <c r="K382" i="3" s="1"/>
  <c r="E468" i="3"/>
  <c r="F468" i="3" s="1"/>
  <c r="K468" i="3" s="1"/>
  <c r="N468" i="3" s="1"/>
  <c r="E479" i="3"/>
  <c r="F479" i="3" s="1"/>
  <c r="K479" i="3" s="1"/>
  <c r="D5" i="3"/>
  <c r="J5" i="3" s="1"/>
  <c r="E165" i="3"/>
  <c r="F165" i="3" s="1"/>
  <c r="K165" i="3" s="1"/>
  <c r="D85" i="3"/>
  <c r="J85" i="3" s="1"/>
  <c r="E281" i="3"/>
  <c r="F281" i="3" s="1"/>
  <c r="K281" i="3" s="1"/>
  <c r="N281" i="3" s="1"/>
  <c r="D387" i="3"/>
  <c r="J387" i="3" s="1"/>
  <c r="E427" i="3"/>
  <c r="F427" i="3" s="1"/>
  <c r="K427" i="3" s="1"/>
  <c r="D216" i="3"/>
  <c r="J216" i="3" s="1"/>
  <c r="D279" i="3"/>
  <c r="J279" i="3" s="1"/>
  <c r="E489" i="3"/>
  <c r="F489" i="3" s="1"/>
  <c r="K489" i="3" s="1"/>
  <c r="E422" i="3"/>
  <c r="F422" i="3" s="1"/>
  <c r="K422" i="3" s="1"/>
  <c r="N422" i="3" s="1"/>
  <c r="D413" i="3"/>
  <c r="J413" i="3" s="1"/>
  <c r="D24" i="3"/>
  <c r="J24" i="3" s="1"/>
  <c r="D95" i="3"/>
  <c r="J95" i="3" s="1"/>
  <c r="E104" i="3"/>
  <c r="F104" i="3" s="1"/>
  <c r="K104" i="3" s="1"/>
  <c r="D51" i="3"/>
  <c r="J51" i="3" s="1"/>
  <c r="E269" i="3"/>
  <c r="F269" i="3" s="1"/>
  <c r="K269" i="3" s="1"/>
  <c r="L269" i="3" s="1"/>
  <c r="D434" i="3"/>
  <c r="J434" i="3" s="1"/>
  <c r="D6" i="3"/>
  <c r="J6" i="3" s="1"/>
  <c r="E306" i="3"/>
  <c r="F306" i="3" s="1"/>
  <c r="K306" i="3" s="1"/>
  <c r="E16" i="3"/>
  <c r="F16" i="3" s="1"/>
  <c r="K16" i="3" s="1"/>
  <c r="E284" i="3"/>
  <c r="F284" i="3" s="1"/>
  <c r="K284" i="3" s="1"/>
  <c r="N284" i="3" s="1"/>
  <c r="E495" i="3"/>
  <c r="F495" i="3" s="1"/>
  <c r="K495" i="3" s="1"/>
  <c r="D459" i="3"/>
  <c r="J459" i="3" s="1"/>
  <c r="D130" i="3"/>
  <c r="J130" i="3" s="1"/>
  <c r="D433" i="3"/>
  <c r="J433" i="3" s="1"/>
  <c r="E375" i="3"/>
  <c r="F375" i="3" s="1"/>
  <c r="K375" i="3" s="1"/>
  <c r="E175" i="3"/>
  <c r="F175" i="3" s="1"/>
  <c r="K175" i="3" s="1"/>
  <c r="E23" i="3"/>
  <c r="F23" i="3" s="1"/>
  <c r="K23" i="3" s="1"/>
  <c r="N23" i="3" s="1"/>
  <c r="E287" i="3"/>
  <c r="F287" i="3" s="1"/>
  <c r="K287" i="3" s="1"/>
  <c r="D40" i="3"/>
  <c r="J40" i="3" s="1"/>
  <c r="D500" i="3"/>
  <c r="J500" i="3" s="1"/>
  <c r="D408" i="3"/>
  <c r="J408" i="3" s="1"/>
  <c r="D13" i="3"/>
  <c r="J13" i="3" s="1"/>
  <c r="D422" i="3"/>
  <c r="J422" i="3" s="1"/>
  <c r="D92" i="3"/>
  <c r="J92" i="3" s="1"/>
  <c r="E108" i="3"/>
  <c r="F108" i="3" s="1"/>
  <c r="K108" i="3" s="1"/>
  <c r="E237" i="3"/>
  <c r="F237" i="3" s="1"/>
  <c r="K237" i="3" s="1"/>
  <c r="N237" i="3" s="1"/>
  <c r="E78" i="3"/>
  <c r="F78" i="3" s="1"/>
  <c r="K78" i="3" s="1"/>
  <c r="E180" i="3"/>
  <c r="F180" i="3" s="1"/>
  <c r="K180" i="3" s="1"/>
  <c r="L180" i="3" s="1"/>
  <c r="D158" i="3"/>
  <c r="J158" i="3" s="1"/>
  <c r="D444" i="3"/>
  <c r="J444" i="3" s="1"/>
  <c r="E116" i="3"/>
  <c r="F116" i="3" s="1"/>
  <c r="K116" i="3" s="1"/>
  <c r="E453" i="3"/>
  <c r="F453" i="3" s="1"/>
  <c r="K453" i="3" s="1"/>
  <c r="E174" i="3"/>
  <c r="F174" i="3" s="1"/>
  <c r="K174" i="3" s="1"/>
  <c r="E374" i="3"/>
  <c r="F374" i="3" s="1"/>
  <c r="K374" i="3" s="1"/>
  <c r="L374" i="3" s="1"/>
  <c r="D267" i="3"/>
  <c r="J267" i="3" s="1"/>
  <c r="E1" i="3"/>
  <c r="E27" i="3"/>
  <c r="F27" i="3" s="1"/>
  <c r="K27" i="3" s="1"/>
  <c r="L27" i="3" s="1"/>
  <c r="E360" i="3"/>
  <c r="F360" i="3" s="1"/>
  <c r="K360" i="3" s="1"/>
  <c r="L360" i="3" s="1"/>
  <c r="E261" i="3"/>
  <c r="F261" i="3" s="1"/>
  <c r="K261" i="3" s="1"/>
  <c r="E312" i="3"/>
  <c r="F312" i="3" s="1"/>
  <c r="K312" i="3" s="1"/>
  <c r="D298" i="3"/>
  <c r="J298" i="3" s="1"/>
  <c r="D169" i="3"/>
  <c r="J169" i="3" s="1"/>
  <c r="E166" i="3"/>
  <c r="F166" i="3" s="1"/>
  <c r="K166" i="3" s="1"/>
  <c r="D116" i="3"/>
  <c r="J116" i="3" s="1"/>
  <c r="E167" i="3"/>
  <c r="F167" i="3" s="1"/>
  <c r="K167" i="3" s="1"/>
  <c r="D11" i="3"/>
  <c r="J11" i="3" s="1"/>
  <c r="E331" i="3"/>
  <c r="F331" i="3" s="1"/>
  <c r="K331" i="3" s="1"/>
  <c r="D324" i="3"/>
  <c r="J324" i="3" s="1"/>
  <c r="D110" i="3"/>
  <c r="J110" i="3" s="1"/>
  <c r="E461" i="3"/>
  <c r="F461" i="3" s="1"/>
  <c r="K461" i="3" s="1"/>
  <c r="L461" i="3" s="1"/>
  <c r="E305" i="3"/>
  <c r="F305" i="3" s="1"/>
  <c r="K305" i="3" s="1"/>
  <c r="E71" i="3"/>
  <c r="F71" i="3" s="1"/>
  <c r="K71" i="3" s="1"/>
  <c r="N71" i="3" s="1"/>
  <c r="E315" i="3"/>
  <c r="F315" i="3" s="1"/>
  <c r="K315" i="3" s="1"/>
  <c r="L315" i="3" s="1"/>
  <c r="D220" i="3"/>
  <c r="J220" i="3" s="1"/>
  <c r="E380" i="3"/>
  <c r="F380" i="3" s="1"/>
  <c r="K380" i="3" s="1"/>
  <c r="L380" i="3" s="1"/>
  <c r="D181" i="3"/>
  <c r="J181" i="3" s="1"/>
  <c r="E290" i="3"/>
  <c r="F290" i="3" s="1"/>
  <c r="K290" i="3" s="1"/>
  <c r="E388" i="3"/>
  <c r="F388" i="3" s="1"/>
  <c r="K388" i="3" s="1"/>
  <c r="D306" i="3"/>
  <c r="J306" i="3" s="1"/>
  <c r="D135" i="3"/>
  <c r="J135" i="3" s="1"/>
  <c r="D179" i="3"/>
  <c r="J179" i="3" s="1"/>
  <c r="D275" i="3"/>
  <c r="J275" i="3" s="1"/>
  <c r="D180" i="3"/>
  <c r="J180" i="3" s="1"/>
  <c r="E137" i="3"/>
  <c r="F137" i="3" s="1"/>
  <c r="K137" i="3" s="1"/>
  <c r="L137" i="3" s="1"/>
  <c r="D209" i="3"/>
  <c r="J209" i="3" s="1"/>
  <c r="D309" i="3"/>
  <c r="J309" i="3" s="1"/>
  <c r="E210" i="3"/>
  <c r="F210" i="3" s="1"/>
  <c r="K210" i="3" s="1"/>
  <c r="E278" i="3"/>
  <c r="F278" i="3" s="1"/>
  <c r="K278" i="3" s="1"/>
  <c r="E209" i="3"/>
  <c r="F209" i="3" s="1"/>
  <c r="K209" i="3" s="1"/>
  <c r="D375" i="3"/>
  <c r="J375" i="3" s="1"/>
  <c r="D410" i="3"/>
  <c r="J410" i="3" s="1"/>
  <c r="E293" i="3"/>
  <c r="F293" i="3" s="1"/>
  <c r="K293" i="3" s="1"/>
  <c r="D415" i="3"/>
  <c r="J415" i="3" s="1"/>
  <c r="E377" i="3"/>
  <c r="F377" i="3" s="1"/>
  <c r="K377" i="3" s="1"/>
  <c r="N377" i="3" s="1"/>
  <c r="D68" i="3"/>
  <c r="J68" i="3" s="1"/>
  <c r="E384" i="3"/>
  <c r="F384" i="3" s="1"/>
  <c r="K384" i="3" s="1"/>
  <c r="D485" i="3"/>
  <c r="J485" i="3" s="1"/>
  <c r="D332" i="3"/>
  <c r="J332" i="3" s="1"/>
  <c r="D222" i="3"/>
  <c r="J222" i="3" s="1"/>
  <c r="E207" i="3"/>
  <c r="F207" i="3" s="1"/>
  <c r="K207" i="3" s="1"/>
  <c r="E32" i="3"/>
  <c r="F32" i="3" s="1"/>
  <c r="K32" i="3" s="1"/>
  <c r="N32" i="3" s="1"/>
  <c r="D438" i="3"/>
  <c r="J438" i="3" s="1"/>
  <c r="E155" i="3"/>
  <c r="F155" i="3" s="1"/>
  <c r="K155" i="3" s="1"/>
  <c r="N155" i="3" s="1"/>
  <c r="E304" i="3"/>
  <c r="F304" i="3" s="1"/>
  <c r="K304" i="3" s="1"/>
  <c r="D281" i="3"/>
  <c r="J281" i="3" s="1"/>
  <c r="E466" i="3"/>
  <c r="F466" i="3" s="1"/>
  <c r="K466" i="3" s="1"/>
  <c r="E121" i="3"/>
  <c r="F121" i="3" s="1"/>
  <c r="K121" i="3" s="1"/>
  <c r="D290" i="3"/>
  <c r="J290" i="3" s="1"/>
  <c r="D120" i="3"/>
  <c r="J120" i="3" s="1"/>
  <c r="D371" i="3"/>
  <c r="J371" i="3" s="1"/>
  <c r="D257" i="3"/>
  <c r="J257" i="3" s="1"/>
  <c r="D107" i="3"/>
  <c r="J107" i="3" s="1"/>
  <c r="E456" i="3"/>
  <c r="F456" i="3" s="1"/>
  <c r="K456" i="3" s="1"/>
  <c r="L456" i="3" s="1"/>
  <c r="D358" i="3"/>
  <c r="J358" i="3" s="1"/>
  <c r="D175" i="3"/>
  <c r="J175" i="3" s="1"/>
  <c r="E395" i="3"/>
  <c r="F395" i="3" s="1"/>
  <c r="K395" i="3" s="1"/>
  <c r="L395" i="3" s="1"/>
  <c r="E446" i="3"/>
  <c r="F446" i="3" s="1"/>
  <c r="K446" i="3" s="1"/>
  <c r="E173" i="3"/>
  <c r="F173" i="3" s="1"/>
  <c r="K173" i="3" s="1"/>
  <c r="D125" i="3"/>
  <c r="J125" i="3" s="1"/>
  <c r="D111" i="3"/>
  <c r="J111" i="3" s="1"/>
  <c r="D334" i="3"/>
  <c r="J334" i="3" s="1"/>
  <c r="E140" i="3"/>
  <c r="F140" i="3" s="1"/>
  <c r="K140" i="3" s="1"/>
  <c r="E463" i="3"/>
  <c r="F463" i="3" s="1"/>
  <c r="K463" i="3" s="1"/>
  <c r="D102" i="3"/>
  <c r="J102" i="3" s="1"/>
  <c r="D178" i="3"/>
  <c r="J178" i="3" s="1"/>
  <c r="E403" i="3"/>
  <c r="F403" i="3" s="1"/>
  <c r="K403" i="3" s="1"/>
  <c r="D76" i="3"/>
  <c r="J76" i="3" s="1"/>
  <c r="E273" i="3"/>
  <c r="F273" i="3" s="1"/>
  <c r="K273" i="3" s="1"/>
  <c r="L273" i="3" s="1"/>
  <c r="D151" i="3"/>
  <c r="J151" i="3" s="1"/>
  <c r="D149" i="3"/>
  <c r="J149" i="3" s="1"/>
  <c r="D4" i="3"/>
  <c r="J4" i="3" s="1"/>
  <c r="D341" i="3"/>
  <c r="J341" i="3" s="1"/>
  <c r="D213" i="3"/>
  <c r="J213" i="3" s="1"/>
  <c r="E392" i="3"/>
  <c r="F392" i="3" s="1"/>
  <c r="K392" i="3" s="1"/>
  <c r="N392" i="3" s="1"/>
  <c r="E250" i="3"/>
  <c r="F250" i="3" s="1"/>
  <c r="K250" i="3" s="1"/>
  <c r="L250" i="3" s="1"/>
  <c r="E279" i="3"/>
  <c r="F279" i="3" s="1"/>
  <c r="K279" i="3" s="1"/>
  <c r="L279" i="3" s="1"/>
  <c r="E314" i="3"/>
  <c r="F314" i="3" s="1"/>
  <c r="K314" i="3" s="1"/>
  <c r="D137" i="3"/>
  <c r="J137" i="3" s="1"/>
  <c r="D481" i="3"/>
  <c r="J481" i="3" s="1"/>
  <c r="E345" i="3"/>
  <c r="F345" i="3" s="1"/>
  <c r="K345" i="3" s="1"/>
  <c r="E268" i="3"/>
  <c r="F268" i="3" s="1"/>
  <c r="K268" i="3" s="1"/>
  <c r="D237" i="3"/>
  <c r="J237" i="3" s="1"/>
  <c r="D22" i="3"/>
  <c r="J22" i="3" s="1"/>
  <c r="E9" i="3"/>
  <c r="F9" i="3" s="1"/>
  <c r="K9" i="3" s="1"/>
  <c r="D140" i="3"/>
  <c r="J140" i="3" s="1"/>
  <c r="D123" i="3"/>
  <c r="J123" i="3" s="1"/>
  <c r="D207" i="3"/>
  <c r="J207" i="3" s="1"/>
  <c r="D221" i="3"/>
  <c r="J221" i="3" s="1"/>
  <c r="E79" i="3"/>
  <c r="F79" i="3" s="1"/>
  <c r="K79" i="3" s="1"/>
  <c r="N79" i="3" s="1"/>
  <c r="D284" i="3"/>
  <c r="J284" i="3" s="1"/>
  <c r="D479" i="3"/>
  <c r="J479" i="3" s="1"/>
  <c r="E183" i="3"/>
  <c r="F183" i="3" s="1"/>
  <c r="K183" i="3" s="1"/>
  <c r="L183" i="3" s="1"/>
  <c r="D457" i="3"/>
  <c r="J457" i="3" s="1"/>
  <c r="E283" i="3"/>
  <c r="F283" i="3" s="1"/>
  <c r="K283" i="3" s="1"/>
  <c r="D322" i="3"/>
  <c r="J322" i="3" s="1"/>
  <c r="D192" i="3"/>
  <c r="J192" i="3" s="1"/>
  <c r="E57" i="3"/>
  <c r="F57" i="3" s="1"/>
  <c r="K57" i="3" s="1"/>
  <c r="E243" i="3"/>
  <c r="F243" i="3" s="1"/>
  <c r="K243" i="3" s="1"/>
  <c r="E86" i="3"/>
  <c r="F86" i="3" s="1"/>
  <c r="K86" i="3" s="1"/>
  <c r="E132" i="3"/>
  <c r="F132" i="3" s="1"/>
  <c r="K132" i="3" s="1"/>
  <c r="N132" i="3" s="1"/>
  <c r="E53" i="3"/>
  <c r="F53" i="3" s="1"/>
  <c r="K53" i="3" s="1"/>
  <c r="D343" i="3"/>
  <c r="J343" i="3" s="1"/>
  <c r="E179" i="3"/>
  <c r="F179" i="3" s="1"/>
  <c r="K179" i="3" s="1"/>
  <c r="L179" i="3" s="1"/>
  <c r="D359" i="3"/>
  <c r="J359" i="3" s="1"/>
  <c r="D36" i="3"/>
  <c r="J36" i="3" s="1"/>
  <c r="E323" i="3"/>
  <c r="F323" i="3" s="1"/>
  <c r="K323" i="3" s="1"/>
  <c r="L323" i="3" s="1"/>
  <c r="D2" i="3"/>
  <c r="D443" i="3"/>
  <c r="J443" i="3" s="1"/>
  <c r="D478" i="3"/>
  <c r="J478" i="3" s="1"/>
  <c r="E233" i="3"/>
  <c r="F233" i="3" s="1"/>
  <c r="K233" i="3" s="1"/>
  <c r="L233" i="3" s="1"/>
  <c r="E114" i="3"/>
  <c r="F114" i="3" s="1"/>
  <c r="K114" i="3" s="1"/>
  <c r="D362" i="3"/>
  <c r="J362" i="3" s="1"/>
  <c r="D352" i="3"/>
  <c r="J352" i="3" s="1"/>
  <c r="D288" i="3"/>
  <c r="J288" i="3" s="1"/>
  <c r="D113" i="3"/>
  <c r="J113" i="3" s="1"/>
  <c r="D200" i="3"/>
  <c r="J200" i="3" s="1"/>
  <c r="E198" i="3"/>
  <c r="F198" i="3" s="1"/>
  <c r="K198" i="3" s="1"/>
  <c r="L198" i="3" s="1"/>
  <c r="E443" i="3"/>
  <c r="F443" i="3" s="1"/>
  <c r="K443" i="3" s="1"/>
  <c r="D114" i="3"/>
  <c r="J114" i="3" s="1"/>
  <c r="E54" i="3"/>
  <c r="F54" i="3" s="1"/>
  <c r="K54" i="3" s="1"/>
  <c r="N54" i="3" s="1"/>
  <c r="D160" i="3"/>
  <c r="J160" i="3" s="1"/>
  <c r="E387" i="3"/>
  <c r="F387" i="3" s="1"/>
  <c r="K387" i="3" s="1"/>
  <c r="E62" i="3"/>
  <c r="F62" i="3" s="1"/>
  <c r="K62" i="3" s="1"/>
  <c r="N62" i="3" s="1"/>
  <c r="E225" i="3"/>
  <c r="F225" i="3" s="1"/>
  <c r="K225" i="3" s="1"/>
  <c r="D177" i="3"/>
  <c r="J177" i="3" s="1"/>
  <c r="D61" i="3"/>
  <c r="J61" i="3" s="1"/>
  <c r="D330" i="3"/>
  <c r="J330" i="3" s="1"/>
  <c r="D490" i="3"/>
  <c r="J490" i="3" s="1"/>
  <c r="D50" i="3"/>
  <c r="J50" i="3" s="1"/>
  <c r="E258" i="3"/>
  <c r="F258" i="3" s="1"/>
  <c r="K258" i="3" s="1"/>
  <c r="D420" i="3"/>
  <c r="J420" i="3" s="1"/>
  <c r="D296" i="3"/>
  <c r="J296" i="3" s="1"/>
  <c r="E208" i="3"/>
  <c r="F208" i="3" s="1"/>
  <c r="K208" i="3" s="1"/>
  <c r="D489" i="3"/>
  <c r="J489" i="3" s="1"/>
  <c r="E396" i="3"/>
  <c r="F396" i="3" s="1"/>
  <c r="K396" i="3" s="1"/>
  <c r="L396" i="3" s="1"/>
  <c r="D454" i="3"/>
  <c r="J454" i="3" s="1"/>
  <c r="E92" i="3"/>
  <c r="F92" i="3" s="1"/>
  <c r="K92" i="3" s="1"/>
  <c r="E36" i="3"/>
  <c r="F36" i="3" s="1"/>
  <c r="K36" i="3" s="1"/>
  <c r="D250" i="3"/>
  <c r="J250" i="3" s="1"/>
  <c r="E373" i="3"/>
  <c r="F373" i="3" s="1"/>
  <c r="K373" i="3" s="1"/>
  <c r="D385" i="3"/>
  <c r="J385" i="3" s="1"/>
  <c r="D31" i="3"/>
  <c r="J31" i="3" s="1"/>
  <c r="E448" i="3"/>
  <c r="F448" i="3" s="1"/>
  <c r="K448" i="3" s="1"/>
  <c r="L448" i="3" s="1"/>
  <c r="D463" i="3"/>
  <c r="J463" i="3" s="1"/>
  <c r="D464" i="3"/>
  <c r="J464" i="3" s="1"/>
  <c r="E340" i="3"/>
  <c r="F340" i="3" s="1"/>
  <c r="K340" i="3" s="1"/>
  <c r="E464" i="3"/>
  <c r="F464" i="3" s="1"/>
  <c r="K464" i="3" s="1"/>
  <c r="N464" i="3" s="1"/>
  <c r="E248" i="3"/>
  <c r="F248" i="3" s="1"/>
  <c r="K248" i="3" s="1"/>
  <c r="N248" i="3" s="1"/>
  <c r="E246" i="3"/>
  <c r="F246" i="3" s="1"/>
  <c r="K246" i="3" s="1"/>
  <c r="N246" i="3" s="1"/>
  <c r="E190" i="3"/>
  <c r="F190" i="3" s="1"/>
  <c r="K190" i="3" s="1"/>
  <c r="E127" i="3"/>
  <c r="F127" i="3" s="1"/>
  <c r="K127" i="3" s="1"/>
  <c r="N127" i="3" s="1"/>
  <c r="E322" i="3"/>
  <c r="F322" i="3" s="1"/>
  <c r="K322" i="3" s="1"/>
  <c r="N322" i="3" s="1"/>
  <c r="E488" i="3"/>
  <c r="F488" i="3" s="1"/>
  <c r="K488" i="3" s="1"/>
  <c r="L488" i="3" s="1"/>
  <c r="D29" i="3"/>
  <c r="J29" i="3" s="1"/>
  <c r="E326" i="3"/>
  <c r="F326" i="3" s="1"/>
  <c r="K326" i="3" s="1"/>
  <c r="L326" i="3" s="1"/>
  <c r="E60" i="3"/>
  <c r="F60" i="3" s="1"/>
  <c r="K60" i="3" s="1"/>
  <c r="D174" i="3"/>
  <c r="J174" i="3" s="1"/>
  <c r="E334" i="3"/>
  <c r="F334" i="3" s="1"/>
  <c r="K334" i="3" s="1"/>
  <c r="E481" i="3"/>
  <c r="F481" i="3" s="1"/>
  <c r="K481" i="3" s="1"/>
  <c r="E170" i="3"/>
  <c r="F170" i="3" s="1"/>
  <c r="K170" i="3" s="1"/>
  <c r="N170" i="3" s="1"/>
  <c r="D354" i="3"/>
  <c r="J354" i="3" s="1"/>
  <c r="E68" i="3"/>
  <c r="F68" i="3" s="1"/>
  <c r="K68" i="3" s="1"/>
  <c r="L68" i="3" s="1"/>
  <c r="E22" i="3"/>
  <c r="F22" i="3" s="1"/>
  <c r="K22" i="3" s="1"/>
  <c r="L22" i="3" s="1"/>
  <c r="E24" i="3"/>
  <c r="F24" i="3" s="1"/>
  <c r="K24" i="3" s="1"/>
  <c r="D264" i="3"/>
  <c r="J264" i="3" s="1"/>
  <c r="E138" i="3"/>
  <c r="F138" i="3" s="1"/>
  <c r="K138" i="3" s="1"/>
  <c r="D380" i="3"/>
  <c r="J380" i="3" s="1"/>
  <c r="E228" i="3"/>
  <c r="F228" i="3" s="1"/>
  <c r="K228" i="3" s="1"/>
  <c r="L228" i="3" s="1"/>
  <c r="E352" i="3"/>
  <c r="F352" i="3" s="1"/>
  <c r="K352" i="3" s="1"/>
  <c r="L352" i="3" s="1"/>
  <c r="D406" i="3"/>
  <c r="J406" i="3" s="1"/>
  <c r="E201" i="3"/>
  <c r="F201" i="3" s="1"/>
  <c r="K201" i="3" s="1"/>
  <c r="E498" i="3"/>
  <c r="F498" i="3" s="1"/>
  <c r="K498" i="3" s="1"/>
  <c r="D91" i="3"/>
  <c r="J91" i="3" s="1"/>
  <c r="D405" i="3"/>
  <c r="J405" i="3" s="1"/>
  <c r="D370" i="3"/>
  <c r="J370" i="3" s="1"/>
  <c r="D473" i="3"/>
  <c r="J473" i="3" s="1"/>
  <c r="D79" i="3"/>
  <c r="J79" i="3" s="1"/>
  <c r="D336" i="3"/>
  <c r="J336" i="3" s="1"/>
  <c r="E196" i="3"/>
  <c r="F196" i="3" s="1"/>
  <c r="K196" i="3" s="1"/>
  <c r="N196" i="3" s="1"/>
  <c r="E185" i="3"/>
  <c r="F185" i="3" s="1"/>
  <c r="K185" i="3" s="1"/>
  <c r="E199" i="3"/>
  <c r="F199" i="3" s="1"/>
  <c r="K199" i="3" s="1"/>
  <c r="D335" i="3"/>
  <c r="J335" i="3" s="1"/>
  <c r="E451" i="3"/>
  <c r="F451" i="3" s="1"/>
  <c r="K451" i="3" s="1"/>
  <c r="D302" i="3"/>
  <c r="J302" i="3" s="1"/>
  <c r="E265" i="3"/>
  <c r="F265" i="3" s="1"/>
  <c r="K265" i="3" s="1"/>
  <c r="E286" i="3"/>
  <c r="F286" i="3" s="1"/>
  <c r="K286" i="3" s="1"/>
  <c r="D112" i="3"/>
  <c r="J112" i="3" s="1"/>
  <c r="E483" i="3"/>
  <c r="F483" i="3" s="1"/>
  <c r="K483" i="3" s="1"/>
  <c r="E494" i="3"/>
  <c r="F494" i="3" s="1"/>
  <c r="K494" i="3" s="1"/>
  <c r="N494" i="3" s="1"/>
  <c r="E227" i="3"/>
  <c r="F227" i="3" s="1"/>
  <c r="K227" i="3" s="1"/>
  <c r="N227" i="3" s="1"/>
  <c r="D252" i="3"/>
  <c r="J252" i="3" s="1"/>
  <c r="E115" i="3"/>
  <c r="F115" i="3" s="1"/>
  <c r="K115" i="3" s="1"/>
  <c r="D456" i="3"/>
  <c r="J456" i="3" s="1"/>
  <c r="D379" i="3"/>
  <c r="J379" i="3" s="1"/>
  <c r="E260" i="3"/>
  <c r="F260" i="3" s="1"/>
  <c r="K260" i="3" s="1"/>
  <c r="N260" i="3" s="1"/>
  <c r="D103" i="3"/>
  <c r="J103" i="3" s="1"/>
  <c r="E70" i="3"/>
  <c r="F70" i="3" s="1"/>
  <c r="K70" i="3" s="1"/>
  <c r="D469" i="3"/>
  <c r="J469" i="3" s="1"/>
  <c r="E364" i="3"/>
  <c r="F364" i="3" s="1"/>
  <c r="K364" i="3" s="1"/>
  <c r="E480" i="3"/>
  <c r="F480" i="3" s="1"/>
  <c r="K480" i="3" s="1"/>
  <c r="N480" i="3" s="1"/>
  <c r="D269" i="3"/>
  <c r="J269" i="3" s="1"/>
  <c r="D227" i="3"/>
  <c r="J227" i="3" s="1"/>
  <c r="D475" i="3"/>
  <c r="J475" i="3" s="1"/>
  <c r="E141" i="3"/>
  <c r="F141" i="3" s="1"/>
  <c r="K141" i="3" s="1"/>
  <c r="N141" i="3" s="1"/>
  <c r="D80" i="3"/>
  <c r="J80" i="3" s="1"/>
  <c r="D52" i="3"/>
  <c r="J52" i="3" s="1"/>
  <c r="D217" i="3"/>
  <c r="J217" i="3" s="1"/>
  <c r="E224" i="3"/>
  <c r="F224" i="3" s="1"/>
  <c r="K224" i="3" s="1"/>
  <c r="E363" i="3"/>
  <c r="F363" i="3" s="1"/>
  <c r="K363" i="3" s="1"/>
  <c r="N363" i="3" s="1"/>
  <c r="D271" i="3"/>
  <c r="J271" i="3" s="1"/>
  <c r="E492" i="3"/>
  <c r="F492" i="3" s="1"/>
  <c r="K492" i="3" s="1"/>
  <c r="D46" i="3"/>
  <c r="J46" i="3" s="1"/>
  <c r="D223" i="3"/>
  <c r="J223" i="3" s="1"/>
  <c r="D458" i="3"/>
  <c r="J458" i="3" s="1"/>
  <c r="E350" i="3"/>
  <c r="F350" i="3" s="1"/>
  <c r="K350" i="3" s="1"/>
  <c r="L350" i="3" s="1"/>
  <c r="D483" i="3"/>
  <c r="J483" i="3" s="1"/>
  <c r="D64" i="3"/>
  <c r="J64" i="3" s="1"/>
  <c r="D82" i="3"/>
  <c r="J82" i="3" s="1"/>
  <c r="E390" i="3"/>
  <c r="F390" i="3" s="1"/>
  <c r="K390" i="3" s="1"/>
  <c r="E135" i="3"/>
  <c r="F135" i="3" s="1"/>
  <c r="K135" i="3" s="1"/>
  <c r="D69" i="3"/>
  <c r="J69" i="3" s="1"/>
  <c r="D429" i="3"/>
  <c r="J429" i="3" s="1"/>
  <c r="E280" i="3"/>
  <c r="F280" i="3" s="1"/>
  <c r="K280" i="3" s="1"/>
  <c r="L280" i="3" s="1"/>
  <c r="D19" i="3"/>
  <c r="J19" i="3" s="1"/>
  <c r="D187" i="3"/>
  <c r="J187" i="3" s="1"/>
  <c r="E222" i="3"/>
  <c r="F222" i="3" s="1"/>
  <c r="K222" i="3" s="1"/>
  <c r="L222" i="3" s="1"/>
  <c r="E169" i="3"/>
  <c r="F169" i="3" s="1"/>
  <c r="K169" i="3" s="1"/>
  <c r="E232" i="3"/>
  <c r="F232" i="3" s="1"/>
  <c r="K232" i="3" s="1"/>
  <c r="E143" i="3"/>
  <c r="F143" i="3" s="1"/>
  <c r="K143" i="3" s="1"/>
  <c r="N143" i="3" s="1"/>
  <c r="D144" i="3"/>
  <c r="J144" i="3" s="1"/>
  <c r="E346" i="3"/>
  <c r="F346" i="3" s="1"/>
  <c r="K346" i="3" s="1"/>
  <c r="E294" i="3"/>
  <c r="F294" i="3" s="1"/>
  <c r="K294" i="3" s="1"/>
  <c r="L294" i="3" s="1"/>
  <c r="E493" i="3"/>
  <c r="F493" i="3" s="1"/>
  <c r="K493" i="3" s="1"/>
  <c r="E330" i="3"/>
  <c r="F330" i="3" s="1"/>
  <c r="K330" i="3" s="1"/>
  <c r="D317" i="3"/>
  <c r="J317" i="3" s="1"/>
  <c r="D122" i="3"/>
  <c r="J122" i="3" s="1"/>
  <c r="D333" i="3"/>
  <c r="J333" i="3" s="1"/>
  <c r="E65" i="3"/>
  <c r="F65" i="3" s="1"/>
  <c r="K65" i="3" s="1"/>
  <c r="L65" i="3" s="1"/>
  <c r="D437" i="3"/>
  <c r="J437" i="3" s="1"/>
  <c r="D204" i="3"/>
  <c r="J204" i="3" s="1"/>
  <c r="E42" i="3"/>
  <c r="F42" i="3" s="1"/>
  <c r="K42" i="3" s="1"/>
  <c r="L42" i="3" s="1"/>
  <c r="D386" i="3"/>
  <c r="J386" i="3" s="1"/>
  <c r="E347" i="3"/>
  <c r="F347" i="3" s="1"/>
  <c r="K347" i="3" s="1"/>
  <c r="N347" i="3" s="1"/>
  <c r="E145" i="3"/>
  <c r="F145" i="3" s="1"/>
  <c r="K145" i="3" s="1"/>
  <c r="L145" i="3" s="1"/>
  <c r="E31" i="3"/>
  <c r="F31" i="3" s="1"/>
  <c r="K31" i="3" s="1"/>
  <c r="N31" i="3" s="1"/>
  <c r="D168" i="3"/>
  <c r="J168" i="3" s="1"/>
  <c r="E327" i="3"/>
  <c r="F327" i="3" s="1"/>
  <c r="K327" i="3" s="1"/>
  <c r="L327" i="3" s="1"/>
  <c r="D30" i="3"/>
  <c r="J30" i="3" s="1"/>
  <c r="D55" i="3"/>
  <c r="J55" i="3" s="1"/>
  <c r="D230" i="3"/>
  <c r="J230" i="3" s="1"/>
  <c r="D327" i="3"/>
  <c r="J327" i="3" s="1"/>
  <c r="E187" i="3"/>
  <c r="F187" i="3" s="1"/>
  <c r="K187" i="3" s="1"/>
  <c r="L187" i="3" s="1"/>
  <c r="D47" i="3"/>
  <c r="J47" i="3" s="1"/>
  <c r="E341" i="3"/>
  <c r="F341" i="3" s="1"/>
  <c r="K341" i="3" s="1"/>
  <c r="D283" i="3"/>
  <c r="J283" i="3" s="1"/>
  <c r="E97" i="3"/>
  <c r="F97" i="3" s="1"/>
  <c r="K97" i="3" s="1"/>
  <c r="N97" i="3" s="1"/>
  <c r="D493" i="3"/>
  <c r="J493" i="3" s="1"/>
  <c r="D90" i="3"/>
  <c r="J90" i="3" s="1"/>
  <c r="D106" i="3"/>
  <c r="J106" i="3" s="1"/>
  <c r="D477" i="3"/>
  <c r="J477" i="3" s="1"/>
  <c r="D139" i="3"/>
  <c r="J139" i="3" s="1"/>
  <c r="D340" i="3"/>
  <c r="J340" i="3" s="1"/>
  <c r="D70" i="3"/>
  <c r="J70" i="3" s="1"/>
  <c r="D418" i="3"/>
  <c r="J418" i="3" s="1"/>
  <c r="D326" i="3"/>
  <c r="J326" i="3" s="1"/>
  <c r="E460" i="3"/>
  <c r="F460" i="3" s="1"/>
  <c r="K460" i="3" s="1"/>
  <c r="L460" i="3" s="1"/>
  <c r="E333" i="3"/>
  <c r="F333" i="3" s="1"/>
  <c r="K333" i="3" s="1"/>
  <c r="L333" i="3" s="1"/>
  <c r="E421" i="3"/>
  <c r="F421" i="3" s="1"/>
  <c r="K421" i="3" s="1"/>
  <c r="D368" i="3"/>
  <c r="J368" i="3" s="1"/>
  <c r="D423" i="3"/>
  <c r="J423" i="3" s="1"/>
  <c r="D344" i="3"/>
  <c r="J344" i="3" s="1"/>
  <c r="E55" i="3"/>
  <c r="F55" i="3" s="1"/>
  <c r="K55" i="3" s="1"/>
  <c r="D499" i="3"/>
  <c r="J499" i="3" s="1"/>
  <c r="D141" i="3"/>
  <c r="J141" i="3" s="1"/>
  <c r="D201" i="3"/>
  <c r="J201" i="3" s="1"/>
  <c r="D369" i="3"/>
  <c r="J369" i="3" s="1"/>
  <c r="D462" i="3"/>
  <c r="J462" i="3" s="1"/>
  <c r="D292" i="3"/>
  <c r="J292" i="3" s="1"/>
  <c r="E359" i="3"/>
  <c r="F359" i="3" s="1"/>
  <c r="K359" i="3" s="1"/>
  <c r="N359" i="3" s="1"/>
  <c r="E6" i="3"/>
  <c r="F6" i="3" s="1"/>
  <c r="K6" i="3" s="1"/>
  <c r="D348" i="3"/>
  <c r="J348" i="3" s="1"/>
  <c r="D273" i="3"/>
  <c r="J273" i="3" s="1"/>
  <c r="E324" i="3"/>
  <c r="F324" i="3" s="1"/>
  <c r="K324" i="3" s="1"/>
  <c r="N324" i="3" s="1"/>
  <c r="D377" i="3"/>
  <c r="J377" i="3" s="1"/>
  <c r="D258" i="3"/>
  <c r="J258" i="3" s="1"/>
  <c r="E89" i="3"/>
  <c r="F89" i="3" s="1"/>
  <c r="K89" i="3" s="1"/>
  <c r="D153" i="3"/>
  <c r="J153" i="3" s="1"/>
  <c r="E417" i="3"/>
  <c r="F417" i="3" s="1"/>
  <c r="K417" i="3" s="1"/>
  <c r="D461" i="3"/>
  <c r="J461" i="3" s="1"/>
  <c r="E120" i="3"/>
  <c r="F120" i="3" s="1"/>
  <c r="K120" i="3" s="1"/>
  <c r="E351" i="3"/>
  <c r="F351" i="3" s="1"/>
  <c r="K351" i="3" s="1"/>
  <c r="L351" i="3" s="1"/>
  <c r="E152" i="3"/>
  <c r="F152" i="3" s="1"/>
  <c r="K152" i="3" s="1"/>
  <c r="D172" i="3"/>
  <c r="J172" i="3" s="1"/>
  <c r="D97" i="3"/>
  <c r="J97" i="3" s="1"/>
  <c r="E277" i="3"/>
  <c r="F277" i="3" s="1"/>
  <c r="K277" i="3" s="1"/>
  <c r="E94" i="3"/>
  <c r="F94" i="3" s="1"/>
  <c r="K94" i="3" s="1"/>
  <c r="N94" i="3" s="1"/>
  <c r="D285" i="3"/>
  <c r="J285" i="3" s="1"/>
  <c r="E3" i="3"/>
  <c r="F3" i="3" s="1"/>
  <c r="K3" i="3" s="1"/>
  <c r="L3" i="3" s="1"/>
  <c r="E48" i="3"/>
  <c r="F48" i="3" s="1"/>
  <c r="K48" i="3" s="1"/>
  <c r="D305" i="3"/>
  <c r="J305" i="3" s="1"/>
  <c r="D253" i="3"/>
  <c r="J253" i="3" s="1"/>
  <c r="D442" i="3"/>
  <c r="J442" i="3" s="1"/>
  <c r="D239" i="3"/>
  <c r="J239" i="3" s="1"/>
  <c r="D465" i="3"/>
  <c r="J465" i="3" s="1"/>
  <c r="E484" i="3"/>
  <c r="F484" i="3" s="1"/>
  <c r="K484" i="3" s="1"/>
  <c r="N484" i="3" s="1"/>
  <c r="D314" i="3"/>
  <c r="J314" i="3" s="1"/>
  <c r="E424" i="3"/>
  <c r="F424" i="3" s="1"/>
  <c r="K424" i="3" s="1"/>
  <c r="D12" i="3"/>
  <c r="J12" i="3" s="1"/>
  <c r="E438" i="3"/>
  <c r="F438" i="3" s="1"/>
  <c r="K438" i="3" s="1"/>
  <c r="D54" i="3"/>
  <c r="J54" i="3" s="1"/>
  <c r="D9" i="3"/>
  <c r="J9" i="3" s="1"/>
  <c r="D471" i="3"/>
  <c r="J471" i="3" s="1"/>
  <c r="D449" i="3"/>
  <c r="J449" i="3" s="1"/>
  <c r="M469" i="3" l="1"/>
  <c r="O407" i="3"/>
  <c r="M292" i="3"/>
  <c r="M29" i="3"/>
  <c r="L197" i="3"/>
  <c r="J8" i="3"/>
  <c r="O215" i="3"/>
  <c r="O444" i="3"/>
  <c r="N319" i="3"/>
  <c r="L459" i="3"/>
  <c r="O210" i="3"/>
  <c r="N292" i="3"/>
  <c r="M252" i="3"/>
  <c r="M101" i="3"/>
  <c r="N35" i="3"/>
  <c r="L139" i="3"/>
  <c r="M459" i="3"/>
  <c r="K8" i="3"/>
  <c r="N8" i="3" s="1"/>
  <c r="O471" i="3"/>
  <c r="O349" i="3"/>
  <c r="L400" i="3"/>
  <c r="N400" i="3"/>
  <c r="L194" i="3"/>
  <c r="M371" i="3"/>
  <c r="N238" i="3"/>
  <c r="O354" i="3"/>
  <c r="M238" i="3"/>
  <c r="M287" i="3"/>
  <c r="N386" i="3"/>
  <c r="M5" i="3"/>
  <c r="N282" i="3"/>
  <c r="L49" i="3"/>
  <c r="O30" i="3"/>
  <c r="L20" i="3"/>
  <c r="M337" i="3"/>
  <c r="L371" i="3"/>
  <c r="L142" i="3"/>
  <c r="N454" i="3"/>
  <c r="L386" i="3"/>
  <c r="N313" i="3"/>
  <c r="N245" i="3"/>
  <c r="O441" i="3"/>
  <c r="M313" i="3"/>
  <c r="L313" i="3"/>
  <c r="L87" i="3"/>
  <c r="N29" i="3"/>
  <c r="L105" i="3"/>
  <c r="N354" i="3"/>
  <c r="M317" i="3"/>
  <c r="O122" i="3"/>
  <c r="N475" i="3"/>
  <c r="N407" i="3"/>
  <c r="O26" i="3"/>
  <c r="L491" i="3"/>
  <c r="M47" i="3"/>
  <c r="M456" i="3"/>
  <c r="O219" i="3"/>
  <c r="L34" i="3"/>
  <c r="L325" i="3"/>
  <c r="M26" i="3"/>
  <c r="N318" i="3"/>
  <c r="O437" i="3"/>
  <c r="N15" i="3"/>
  <c r="N52" i="3"/>
  <c r="L219" i="3"/>
  <c r="N219" i="3"/>
  <c r="L478" i="3"/>
  <c r="M105" i="3"/>
  <c r="N20" i="3"/>
  <c r="L414" i="3"/>
  <c r="N397" i="3"/>
  <c r="M344" i="3"/>
  <c r="L397" i="3"/>
  <c r="L344" i="3"/>
  <c r="N344" i="3"/>
  <c r="L23" i="3"/>
  <c r="N137" i="3"/>
  <c r="N283" i="3"/>
  <c r="L241" i="3"/>
  <c r="O449" i="3"/>
  <c r="O364" i="3"/>
  <c r="N352" i="3"/>
  <c r="N102" i="3"/>
  <c r="N269" i="3"/>
  <c r="M103" i="3"/>
  <c r="N437" i="3"/>
  <c r="O266" i="3"/>
  <c r="L422" i="3"/>
  <c r="N4" i="3"/>
  <c r="L204" i="3"/>
  <c r="N192" i="3"/>
  <c r="L281" i="3"/>
  <c r="M396" i="3"/>
  <c r="O396" i="3"/>
  <c r="O287" i="3"/>
  <c r="L340" i="3"/>
  <c r="O87" i="3"/>
  <c r="M380" i="3"/>
  <c r="N250" i="3"/>
  <c r="L48" i="3"/>
  <c r="M104" i="3"/>
  <c r="M299" i="3"/>
  <c r="L464" i="3"/>
  <c r="O241" i="3"/>
  <c r="O49" i="3"/>
  <c r="N304" i="3"/>
  <c r="L449" i="3"/>
  <c r="N74" i="3"/>
  <c r="N188" i="3"/>
  <c r="L254" i="3"/>
  <c r="L298" i="3"/>
  <c r="L95" i="3"/>
  <c r="O476" i="3"/>
  <c r="L74" i="3"/>
  <c r="M117" i="3"/>
  <c r="M471" i="3"/>
  <c r="L437" i="3"/>
  <c r="N253" i="3"/>
  <c r="L304" i="3"/>
  <c r="M342" i="3"/>
  <c r="O69" i="3"/>
  <c r="L317" i="3"/>
  <c r="O453" i="3"/>
  <c r="N299" i="3"/>
  <c r="M69" i="3"/>
  <c r="M475" i="3"/>
  <c r="O290" i="3"/>
  <c r="L10" i="3"/>
  <c r="L339" i="3"/>
  <c r="L475" i="3"/>
  <c r="L471" i="3"/>
  <c r="M254" i="3"/>
  <c r="L457" i="3"/>
  <c r="N180" i="3"/>
  <c r="L405" i="3"/>
  <c r="O405" i="3"/>
  <c r="M266" i="3"/>
  <c r="N294" i="3"/>
  <c r="L174" i="3"/>
  <c r="L266" i="3"/>
  <c r="L97" i="3"/>
  <c r="M290" i="3"/>
  <c r="N69" i="3"/>
  <c r="O254" i="3"/>
  <c r="N405" i="3"/>
  <c r="O475" i="3"/>
  <c r="L382" i="3"/>
  <c r="N164" i="3"/>
  <c r="M68" i="3"/>
  <c r="L69" i="3"/>
  <c r="N317" i="3"/>
  <c r="N270" i="3"/>
  <c r="N195" i="3"/>
  <c r="O177" i="3"/>
  <c r="O250" i="3"/>
  <c r="O68" i="3"/>
  <c r="M245" i="3"/>
  <c r="M145" i="3"/>
  <c r="M45" i="3"/>
  <c r="O340" i="3"/>
  <c r="N213" i="3"/>
  <c r="L381" i="3"/>
  <c r="M414" i="3"/>
  <c r="N380" i="3"/>
  <c r="N414" i="3"/>
  <c r="N395" i="3"/>
  <c r="O282" i="3"/>
  <c r="N340" i="3"/>
  <c r="L101" i="3"/>
  <c r="N456" i="3"/>
  <c r="N191" i="3"/>
  <c r="O456" i="3"/>
  <c r="O200" i="3"/>
  <c r="N224" i="3"/>
  <c r="O145" i="3"/>
  <c r="L170" i="3"/>
  <c r="N200" i="3"/>
  <c r="L341" i="3"/>
  <c r="M452" i="3"/>
  <c r="O101" i="3"/>
  <c r="N341" i="3"/>
  <c r="L191" i="3"/>
  <c r="M54" i="3"/>
  <c r="O397" i="3"/>
  <c r="O105" i="3"/>
  <c r="M161" i="3"/>
  <c r="M461" i="3"/>
  <c r="M144" i="3"/>
  <c r="O339" i="3"/>
  <c r="M52" i="3"/>
  <c r="M410" i="3"/>
  <c r="N342" i="3"/>
  <c r="O48" i="3"/>
  <c r="M349" i="3"/>
  <c r="L421" i="3"/>
  <c r="O313" i="3"/>
  <c r="M84" i="3"/>
  <c r="N48" i="3"/>
  <c r="M223" i="3"/>
  <c r="L465" i="3"/>
  <c r="O342" i="3"/>
  <c r="N326" i="3"/>
  <c r="L363" i="3"/>
  <c r="M225" i="3"/>
  <c r="O269" i="3"/>
  <c r="L2" i="3"/>
  <c r="N421" i="3"/>
  <c r="M453" i="3"/>
  <c r="O465" i="3"/>
  <c r="O459" i="3"/>
  <c r="L283" i="3"/>
  <c r="M326" i="3"/>
  <c r="O283" i="3"/>
  <c r="M288" i="3"/>
  <c r="O144" i="3"/>
  <c r="O457" i="3"/>
  <c r="M200" i="3"/>
  <c r="N68" i="3"/>
  <c r="M263" i="3"/>
  <c r="M227" i="3"/>
  <c r="L419" i="3"/>
  <c r="N228" i="3"/>
  <c r="M283" i="3"/>
  <c r="N398" i="3"/>
  <c r="N14" i="3"/>
  <c r="M194" i="3"/>
  <c r="L454" i="3"/>
  <c r="L26" i="3"/>
  <c r="L111" i="3"/>
  <c r="L318" i="3"/>
  <c r="N167" i="3"/>
  <c r="L284" i="3"/>
  <c r="L287" i="3"/>
  <c r="M457" i="3"/>
  <c r="L332" i="3"/>
  <c r="N37" i="3"/>
  <c r="N139" i="3"/>
  <c r="L346" i="3"/>
  <c r="N351" i="3"/>
  <c r="L132" i="3"/>
  <c r="O458" i="3"/>
  <c r="M397" i="3"/>
  <c r="L15" i="3"/>
  <c r="L44" i="3"/>
  <c r="L169" i="3"/>
  <c r="N350" i="3"/>
  <c r="L372" i="3"/>
  <c r="N204" i="3"/>
  <c r="M354" i="3"/>
  <c r="O419" i="3"/>
  <c r="M332" i="3"/>
  <c r="O4" i="3"/>
  <c r="M403" i="3"/>
  <c r="O130" i="3"/>
  <c r="M318" i="3"/>
  <c r="L35" i="3"/>
  <c r="N169" i="3"/>
  <c r="O326" i="3"/>
  <c r="N323" i="3"/>
  <c r="O54" i="3"/>
  <c r="O194" i="3"/>
  <c r="N346" i="3"/>
  <c r="L167" i="3"/>
  <c r="L45" i="3"/>
  <c r="N3" i="3"/>
  <c r="L458" i="3"/>
  <c r="M204" i="3"/>
  <c r="M192" i="3"/>
  <c r="O281" i="3"/>
  <c r="M44" i="3"/>
  <c r="O14" i="3"/>
  <c r="M284" i="3"/>
  <c r="O454" i="3"/>
  <c r="O464" i="3"/>
  <c r="N279" i="3"/>
  <c r="O45" i="3"/>
  <c r="N130" i="3"/>
  <c r="N194" i="3"/>
  <c r="L237" i="3"/>
  <c r="N287" i="3"/>
  <c r="L77" i="3"/>
  <c r="O35" i="3"/>
  <c r="M35" i="3"/>
  <c r="M458" i="3"/>
  <c r="O352" i="3"/>
  <c r="M307" i="3"/>
  <c r="L300" i="3"/>
  <c r="O327" i="3"/>
  <c r="M341" i="3"/>
  <c r="M305" i="3"/>
  <c r="O216" i="3"/>
  <c r="O123" i="3"/>
  <c r="O23" i="3"/>
  <c r="O291" i="3"/>
  <c r="M206" i="3"/>
  <c r="O164" i="3"/>
  <c r="O421" i="3"/>
  <c r="M472" i="3"/>
  <c r="M64" i="3"/>
  <c r="M479" i="3"/>
  <c r="M140" i="3"/>
  <c r="O111" i="3"/>
  <c r="O222" i="3"/>
  <c r="M360" i="3"/>
  <c r="N76" i="3"/>
  <c r="M406" i="3"/>
  <c r="L426" i="3"/>
  <c r="O192" i="3"/>
  <c r="O60" i="3"/>
  <c r="M443" i="3"/>
  <c r="M382" i="3"/>
  <c r="M357" i="3"/>
  <c r="M110" i="3"/>
  <c r="O247" i="3"/>
  <c r="O131" i="3"/>
  <c r="M142" i="3"/>
  <c r="N461" i="3"/>
  <c r="M141" i="3"/>
  <c r="N174" i="3"/>
  <c r="N254" i="3"/>
  <c r="M201" i="3"/>
  <c r="O167" i="3"/>
  <c r="O372" i="3"/>
  <c r="L359" i="3"/>
  <c r="L290" i="3"/>
  <c r="M437" i="3"/>
  <c r="M177" i="3"/>
  <c r="M102" i="3"/>
  <c r="M375" i="3"/>
  <c r="O289" i="3"/>
  <c r="O496" i="3"/>
  <c r="M195" i="3"/>
  <c r="O379" i="3"/>
  <c r="M191" i="3"/>
  <c r="O443" i="3"/>
  <c r="N82" i="3"/>
  <c r="L406" i="3"/>
  <c r="M112" i="3"/>
  <c r="O121" i="3"/>
  <c r="M408" i="3"/>
  <c r="O88" i="3"/>
  <c r="O132" i="3"/>
  <c r="M190" i="3"/>
  <c r="O455" i="3"/>
  <c r="M43" i="3"/>
  <c r="M301" i="3"/>
  <c r="O363" i="3"/>
  <c r="L295" i="3"/>
  <c r="M30" i="3"/>
  <c r="N276" i="3"/>
  <c r="L92" i="3"/>
  <c r="M167" i="3"/>
  <c r="M311" i="3"/>
  <c r="M372" i="3"/>
  <c r="O304" i="3"/>
  <c r="L494" i="3"/>
  <c r="O381" i="3"/>
  <c r="M85" i="3"/>
  <c r="N183" i="3"/>
  <c r="O61" i="3"/>
  <c r="L324" i="3"/>
  <c r="L455" i="3"/>
  <c r="M304" i="3"/>
  <c r="L476" i="3"/>
  <c r="M61" i="3"/>
  <c r="N222" i="3"/>
  <c r="O102" i="3"/>
  <c r="M137" i="3"/>
  <c r="L224" i="3"/>
  <c r="N145" i="3"/>
  <c r="N360" i="3"/>
  <c r="L54" i="3"/>
  <c r="M321" i="3"/>
  <c r="M418" i="3"/>
  <c r="O276" i="3"/>
  <c r="O29" i="3"/>
  <c r="N110" i="3"/>
  <c r="O55" i="3"/>
  <c r="O114" i="3"/>
  <c r="M320" i="3"/>
  <c r="O376" i="3"/>
  <c r="M249" i="3"/>
  <c r="O318" i="3"/>
  <c r="M381" i="3"/>
  <c r="N107" i="3"/>
  <c r="O484" i="3"/>
  <c r="M441" i="3"/>
  <c r="O142" i="3"/>
  <c r="O382" i="3"/>
  <c r="O460" i="3"/>
  <c r="N382" i="3"/>
  <c r="N262" i="3"/>
  <c r="M454" i="3"/>
  <c r="N339" i="3"/>
  <c r="O141" i="3"/>
  <c r="M421" i="3"/>
  <c r="M339" i="3"/>
  <c r="N92" i="3"/>
  <c r="L141" i="3"/>
  <c r="N298" i="3"/>
  <c r="N408" i="3"/>
  <c r="L500" i="3"/>
  <c r="L468" i="3"/>
  <c r="O431" i="3"/>
  <c r="O137" i="3"/>
  <c r="N463" i="3"/>
  <c r="L463" i="3"/>
  <c r="L221" i="3"/>
  <c r="N221" i="3"/>
  <c r="N277" i="3"/>
  <c r="M72" i="3"/>
  <c r="L120" i="3"/>
  <c r="N120" i="3"/>
  <c r="M120" i="3"/>
  <c r="M135" i="3"/>
  <c r="O135" i="3"/>
  <c r="O483" i="3"/>
  <c r="M483" i="3"/>
  <c r="N481" i="3"/>
  <c r="L481" i="3"/>
  <c r="M377" i="3"/>
  <c r="O377" i="3"/>
  <c r="L377" i="3"/>
  <c r="L108" i="3"/>
  <c r="N108" i="3"/>
  <c r="N153" i="3"/>
  <c r="N99" i="3"/>
  <c r="O99" i="3"/>
  <c r="L99" i="3"/>
  <c r="M99" i="3"/>
  <c r="O445" i="3"/>
  <c r="L445" i="3"/>
  <c r="M445" i="3"/>
  <c r="N445" i="3"/>
  <c r="N12" i="3"/>
  <c r="L136" i="3"/>
  <c r="N136" i="3"/>
  <c r="N274" i="3"/>
  <c r="O12" i="3"/>
  <c r="N175" i="3"/>
  <c r="M386" i="3"/>
  <c r="O386" i="3"/>
  <c r="M184" i="3"/>
  <c r="L56" i="3"/>
  <c r="N56" i="3"/>
  <c r="N135" i="3"/>
  <c r="M352" i="3"/>
  <c r="N275" i="3"/>
  <c r="L135" i="3"/>
  <c r="O380" i="3"/>
  <c r="L125" i="3"/>
  <c r="L438" i="3"/>
  <c r="O438" i="3"/>
  <c r="N438" i="3"/>
  <c r="M438" i="3"/>
  <c r="L347" i="3"/>
  <c r="L115" i="3"/>
  <c r="O115" i="3"/>
  <c r="N115" i="3"/>
  <c r="L392" i="3"/>
  <c r="N293" i="3"/>
  <c r="L293" i="3"/>
  <c r="L230" i="3"/>
  <c r="N230" i="3"/>
  <c r="L19" i="3"/>
  <c r="N19" i="3"/>
  <c r="L176" i="3"/>
  <c r="L118" i="3"/>
  <c r="N72" i="3"/>
  <c r="L72" i="3"/>
  <c r="O346" i="3"/>
  <c r="M346" i="3"/>
  <c r="N441" i="3"/>
  <c r="L441" i="3"/>
  <c r="M159" i="3"/>
  <c r="L159" i="3"/>
  <c r="N159" i="3"/>
  <c r="N129" i="3"/>
  <c r="L129" i="3"/>
  <c r="L203" i="3"/>
  <c r="N203" i="3"/>
  <c r="O208" i="3"/>
  <c r="N335" i="3"/>
  <c r="M335" i="3"/>
  <c r="O335" i="3"/>
  <c r="N251" i="3"/>
  <c r="L251" i="3"/>
  <c r="M464" i="3"/>
  <c r="N483" i="3"/>
  <c r="M241" i="3"/>
  <c r="N176" i="3"/>
  <c r="O159" i="3"/>
  <c r="L483" i="3"/>
  <c r="M56" i="3"/>
  <c r="L208" i="3"/>
  <c r="N208" i="3"/>
  <c r="L12" i="3"/>
  <c r="N27" i="3"/>
  <c r="N106" i="3"/>
  <c r="L275" i="3"/>
  <c r="L153" i="3"/>
  <c r="N125" i="3"/>
  <c r="L274" i="3"/>
  <c r="L94" i="3"/>
  <c r="M94" i="3"/>
  <c r="O94" i="3"/>
  <c r="L149" i="3"/>
  <c r="O149" i="3"/>
  <c r="M149" i="3"/>
  <c r="L336" i="3"/>
  <c r="M336" i="3"/>
  <c r="N336" i="3"/>
  <c r="N93" i="3"/>
  <c r="L93" i="3"/>
  <c r="L81" i="3"/>
  <c r="N81" i="3"/>
  <c r="O300" i="3"/>
  <c r="M300" i="3"/>
  <c r="O197" i="3"/>
  <c r="M197" i="3"/>
  <c r="N64" i="3"/>
  <c r="O64" i="3"/>
  <c r="M293" i="3"/>
  <c r="O293" i="3"/>
  <c r="O220" i="3"/>
  <c r="N477" i="3"/>
  <c r="L64" i="3"/>
  <c r="M497" i="3"/>
  <c r="O203" i="3"/>
  <c r="M75" i="3"/>
  <c r="O481" i="3"/>
  <c r="M481" i="3"/>
  <c r="M179" i="3"/>
  <c r="M333" i="3"/>
  <c r="N88" i="3"/>
  <c r="O190" i="3"/>
  <c r="M449" i="3"/>
  <c r="L357" i="3"/>
  <c r="O338" i="3"/>
  <c r="O221" i="3"/>
  <c r="O120" i="3"/>
  <c r="N432" i="3"/>
  <c r="O468" i="3"/>
  <c r="O305" i="3"/>
  <c r="L276" i="3"/>
  <c r="O406" i="3"/>
  <c r="O230" i="3"/>
  <c r="O336" i="3"/>
  <c r="O217" i="3"/>
  <c r="O39" i="3"/>
  <c r="O176" i="3"/>
  <c r="O53" i="3"/>
  <c r="O275" i="3"/>
  <c r="O70" i="3"/>
  <c r="O479" i="3"/>
  <c r="M150" i="3"/>
  <c r="M87" i="3"/>
  <c r="O271" i="3"/>
  <c r="O158" i="3"/>
  <c r="N66" i="3"/>
  <c r="N431" i="3"/>
  <c r="N206" i="3"/>
  <c r="M468" i="3"/>
  <c r="M389" i="3"/>
  <c r="M373" i="3"/>
  <c r="O267" i="3"/>
  <c r="O118" i="3"/>
  <c r="O429" i="3"/>
  <c r="N173" i="3"/>
  <c r="N210" i="3"/>
  <c r="M198" i="3"/>
  <c r="M431" i="3"/>
  <c r="O371" i="3"/>
  <c r="L107" i="3"/>
  <c r="N406" i="3"/>
  <c r="M271" i="3"/>
  <c r="L393" i="3"/>
  <c r="L67" i="3"/>
  <c r="N36" i="3"/>
  <c r="O286" i="3"/>
  <c r="O425" i="3"/>
  <c r="O18" i="3"/>
  <c r="M476" i="3"/>
  <c r="O370" i="3"/>
  <c r="O359" i="3"/>
  <c r="O16" i="3"/>
  <c r="O100" i="3"/>
  <c r="O392" i="3"/>
  <c r="O488" i="3"/>
  <c r="O367" i="3"/>
  <c r="M39" i="3"/>
  <c r="M38" i="3"/>
  <c r="M228" i="3"/>
  <c r="O393" i="3"/>
  <c r="O152" i="3"/>
  <c r="O430" i="3"/>
  <c r="M374" i="3"/>
  <c r="O233" i="3"/>
  <c r="M343" i="3"/>
  <c r="O206" i="3"/>
  <c r="O374" i="3"/>
  <c r="M50" i="3"/>
  <c r="O5" i="3"/>
  <c r="M76" i="3"/>
  <c r="O334" i="3"/>
  <c r="M207" i="3"/>
  <c r="M169" i="3"/>
  <c r="M422" i="3"/>
  <c r="M279" i="3"/>
  <c r="O235" i="3"/>
  <c r="O47" i="3"/>
  <c r="O466" i="3"/>
  <c r="O173" i="3"/>
  <c r="O7" i="3"/>
  <c r="O108" i="3"/>
  <c r="O432" i="3"/>
  <c r="M312" i="3"/>
  <c r="M74" i="3"/>
  <c r="M20" i="3"/>
  <c r="M53" i="3"/>
  <c r="M34" i="3"/>
  <c r="M22" i="3"/>
  <c r="L210" i="3"/>
  <c r="O341" i="3"/>
  <c r="M296" i="3"/>
  <c r="M114" i="3"/>
  <c r="O343" i="3"/>
  <c r="M368" i="3"/>
  <c r="O297" i="3"/>
  <c r="M115" i="3"/>
  <c r="O360" i="3"/>
  <c r="M351" i="3"/>
  <c r="O10" i="3"/>
  <c r="M129" i="3"/>
  <c r="O191" i="3"/>
  <c r="O329" i="3"/>
  <c r="M185" i="3"/>
  <c r="O240" i="3"/>
  <c r="M470" i="3"/>
  <c r="O388" i="3"/>
  <c r="N240" i="3"/>
  <c r="M208" i="3"/>
  <c r="O408" i="3"/>
  <c r="O469" i="3"/>
  <c r="M130" i="3"/>
  <c r="O3" i="3"/>
  <c r="O452" i="3"/>
  <c r="N22" i="3"/>
  <c r="O22" i="3"/>
  <c r="J2" i="3"/>
  <c r="O288" i="3"/>
  <c r="M276" i="3"/>
  <c r="O112" i="3"/>
  <c r="L412" i="3"/>
  <c r="M327" i="3"/>
  <c r="M210" i="3"/>
  <c r="M281" i="3"/>
  <c r="M164" i="3"/>
  <c r="N198" i="3"/>
  <c r="O104" i="3"/>
  <c r="M285" i="3"/>
  <c r="M275" i="3"/>
  <c r="L173" i="3"/>
  <c r="N271" i="3"/>
  <c r="M369" i="3"/>
  <c r="O369" i="3"/>
  <c r="O463" i="3"/>
  <c r="M463" i="3"/>
  <c r="O489" i="3"/>
  <c r="M146" i="3"/>
  <c r="O146" i="3"/>
  <c r="M196" i="3"/>
  <c r="O196" i="3"/>
  <c r="N122" i="3"/>
  <c r="L122" i="3"/>
  <c r="M65" i="3"/>
  <c r="O65" i="3"/>
  <c r="N163" i="3"/>
  <c r="O163" i="3"/>
  <c r="L163" i="3"/>
  <c r="L181" i="3"/>
  <c r="N181" i="3"/>
  <c r="O147" i="3"/>
  <c r="L147" i="3"/>
  <c r="M147" i="3"/>
  <c r="N147" i="3"/>
  <c r="O365" i="3"/>
  <c r="M365" i="3"/>
  <c r="L59" i="3"/>
  <c r="N59" i="3"/>
  <c r="O319" i="3"/>
  <c r="M319" i="3"/>
  <c r="L473" i="3"/>
  <c r="N473" i="3"/>
  <c r="O473" i="3"/>
  <c r="M473" i="3"/>
  <c r="L416" i="3"/>
  <c r="N416" i="3"/>
  <c r="L447" i="3"/>
  <c r="M447" i="3"/>
  <c r="N447" i="3"/>
  <c r="O228" i="3"/>
  <c r="M220" i="3"/>
  <c r="O442" i="3"/>
  <c r="M442" i="3"/>
  <c r="L232" i="3"/>
  <c r="N199" i="3"/>
  <c r="L199" i="3"/>
  <c r="O107" i="3"/>
  <c r="M107" i="3"/>
  <c r="L41" i="3"/>
  <c r="O41" i="3"/>
  <c r="O155" i="3"/>
  <c r="M155" i="3"/>
  <c r="M255" i="3"/>
  <c r="O255" i="3"/>
  <c r="N96" i="3"/>
  <c r="L96" i="3"/>
  <c r="M27" i="3"/>
  <c r="O27" i="3"/>
  <c r="M487" i="3"/>
  <c r="L150" i="3"/>
  <c r="N150" i="3"/>
  <c r="O391" i="3"/>
  <c r="M391" i="3"/>
  <c r="M7" i="3"/>
  <c r="L477" i="3"/>
  <c r="M286" i="3"/>
  <c r="N55" i="3"/>
  <c r="L55" i="3"/>
  <c r="N42" i="3"/>
  <c r="N315" i="3"/>
  <c r="O315" i="3"/>
  <c r="M315" i="3"/>
  <c r="L366" i="3"/>
  <c r="O251" i="3"/>
  <c r="M251" i="3"/>
  <c r="M361" i="3"/>
  <c r="O361" i="3"/>
  <c r="O390" i="3"/>
  <c r="M390" i="3"/>
  <c r="M136" i="3"/>
  <c r="O136" i="3"/>
  <c r="O307" i="3"/>
  <c r="L307" i="3"/>
  <c r="N307" i="3"/>
  <c r="O246" i="3"/>
  <c r="M246" i="3"/>
  <c r="N497" i="3"/>
  <c r="O296" i="3"/>
  <c r="M430" i="3"/>
  <c r="O161" i="3"/>
  <c r="O477" i="3"/>
  <c r="M477" i="3"/>
  <c r="N330" i="3"/>
  <c r="L330" i="3"/>
  <c r="N492" i="3"/>
  <c r="L492" i="3"/>
  <c r="L334" i="3"/>
  <c r="N334" i="3"/>
  <c r="M420" i="3"/>
  <c r="L114" i="3"/>
  <c r="N114" i="3"/>
  <c r="O257" i="3"/>
  <c r="M257" i="3"/>
  <c r="L331" i="3"/>
  <c r="O331" i="3"/>
  <c r="N331" i="3"/>
  <c r="M331" i="3"/>
  <c r="F1" i="3"/>
  <c r="K1" i="3" s="1"/>
  <c r="U1" i="3" s="1"/>
  <c r="N205" i="3"/>
  <c r="L205" i="3"/>
  <c r="N423" i="3"/>
  <c r="L423" i="3"/>
  <c r="N474" i="3"/>
  <c r="L474" i="3"/>
  <c r="M492" i="3"/>
  <c r="O492" i="3"/>
  <c r="L425" i="3"/>
  <c r="N425" i="3"/>
  <c r="M232" i="3"/>
  <c r="O350" i="3"/>
  <c r="M350" i="3"/>
  <c r="N297" i="3"/>
  <c r="J1" i="3"/>
  <c r="L252" i="3"/>
  <c r="N252" i="3"/>
  <c r="M21" i="3"/>
  <c r="O21" i="3"/>
  <c r="O395" i="3"/>
  <c r="M395" i="3"/>
  <c r="M466" i="3"/>
  <c r="M489" i="3"/>
  <c r="O351" i="3"/>
  <c r="L369" i="3"/>
  <c r="M172" i="3"/>
  <c r="O172" i="3"/>
  <c r="L79" i="3"/>
  <c r="O79" i="3"/>
  <c r="N261" i="3"/>
  <c r="L261" i="3"/>
  <c r="N257" i="3"/>
  <c r="L257" i="3"/>
  <c r="M86" i="3"/>
  <c r="O86" i="3"/>
  <c r="L151" i="3"/>
  <c r="O151" i="3"/>
  <c r="L50" i="3"/>
  <c r="N50" i="3"/>
  <c r="O50" i="3"/>
  <c r="N469" i="3"/>
  <c r="L469" i="3"/>
  <c r="L28" i="3"/>
  <c r="O28" i="3"/>
  <c r="N28" i="3"/>
  <c r="M28" i="3"/>
  <c r="N218" i="3"/>
  <c r="L218" i="3"/>
  <c r="M393" i="3"/>
  <c r="L497" i="3"/>
  <c r="L32" i="3"/>
  <c r="M176" i="3"/>
  <c r="M240" i="3"/>
  <c r="N411" i="3"/>
  <c r="M222" i="3"/>
  <c r="N6" i="3"/>
  <c r="L6" i="3"/>
  <c r="M90" i="3"/>
  <c r="O90" i="3"/>
  <c r="M265" i="3"/>
  <c r="O265" i="3"/>
  <c r="N265" i="3"/>
  <c r="L265" i="3"/>
  <c r="M60" i="3"/>
  <c r="N60" i="3"/>
  <c r="N258" i="3"/>
  <c r="L258" i="3"/>
  <c r="N443" i="3"/>
  <c r="O415" i="3"/>
  <c r="M415" i="3"/>
  <c r="L427" i="3"/>
  <c r="N427" i="3"/>
  <c r="O186" i="3"/>
  <c r="M186" i="3"/>
  <c r="L58" i="3"/>
  <c r="O58" i="3"/>
  <c r="N58" i="3"/>
  <c r="N485" i="3"/>
  <c r="L485" i="3"/>
  <c r="L158" i="3"/>
  <c r="L490" i="3"/>
  <c r="N490" i="3"/>
  <c r="O73" i="3"/>
  <c r="O312" i="3"/>
  <c r="O301" i="3"/>
  <c r="M444" i="3"/>
  <c r="O472" i="3"/>
  <c r="L215" i="3"/>
  <c r="O447" i="3"/>
  <c r="O317" i="3"/>
  <c r="O74" i="3"/>
  <c r="M49" i="3"/>
  <c r="O207" i="3"/>
  <c r="M24" i="3"/>
  <c r="M480" i="3"/>
  <c r="M388" i="3"/>
  <c r="O366" i="3"/>
  <c r="M250" i="3"/>
  <c r="O43" i="3"/>
  <c r="O284" i="3"/>
  <c r="M23" i="3"/>
  <c r="M12" i="3"/>
  <c r="O59" i="3"/>
  <c r="M432" i="3"/>
  <c r="L75" i="3"/>
  <c r="M488" i="3"/>
  <c r="L175" i="3"/>
  <c r="M175" i="3"/>
  <c r="M151" i="3"/>
  <c r="N151" i="3"/>
  <c r="O175" i="3"/>
  <c r="M280" i="3"/>
  <c r="N305" i="3"/>
  <c r="N301" i="3"/>
  <c r="M132" i="3"/>
  <c r="M88" i="3"/>
  <c r="M152" i="3"/>
  <c r="O279" i="3"/>
  <c r="N328" i="3"/>
  <c r="L60" i="3"/>
  <c r="M376" i="3"/>
  <c r="N41" i="3"/>
  <c r="N158" i="3"/>
  <c r="N489" i="3"/>
  <c r="O113" i="3"/>
  <c r="M178" i="3"/>
  <c r="M59" i="3"/>
  <c r="O225" i="3"/>
  <c r="M33" i="3"/>
  <c r="O134" i="3"/>
  <c r="M205" i="3"/>
  <c r="N390" i="3"/>
  <c r="L390" i="3"/>
  <c r="M324" i="3"/>
  <c r="O324" i="3"/>
  <c r="M234" i="3"/>
  <c r="O234" i="3"/>
  <c r="L128" i="3"/>
  <c r="O224" i="3"/>
  <c r="M224" i="3"/>
  <c r="N25" i="3"/>
  <c r="L25" i="3"/>
  <c r="N90" i="3"/>
  <c r="N220" i="3"/>
  <c r="L220" i="3"/>
  <c r="M273" i="3"/>
  <c r="O273" i="3"/>
  <c r="O46" i="3"/>
  <c r="M46" i="3"/>
  <c r="N488" i="3"/>
  <c r="N179" i="3"/>
  <c r="O180" i="3"/>
  <c r="M180" i="3"/>
  <c r="N375" i="3"/>
  <c r="L375" i="3"/>
  <c r="M446" i="3"/>
  <c r="O446" i="3"/>
  <c r="L367" i="3"/>
  <c r="N367" i="3"/>
  <c r="L462" i="3"/>
  <c r="N462" i="3"/>
  <c r="M462" i="3"/>
  <c r="O462" i="3"/>
  <c r="M239" i="3"/>
  <c r="L239" i="3"/>
  <c r="N239" i="3"/>
  <c r="O239" i="3"/>
  <c r="N184" i="3"/>
  <c r="L389" i="3"/>
  <c r="N389" i="3"/>
  <c r="L211" i="3"/>
  <c r="M211" i="3"/>
  <c r="O211" i="3"/>
  <c r="N338" i="3"/>
  <c r="L338" i="3"/>
  <c r="O184" i="3"/>
  <c r="N378" i="3"/>
  <c r="L90" i="3"/>
  <c r="M424" i="3"/>
  <c r="L424" i="3"/>
  <c r="O424" i="3"/>
  <c r="N424" i="3"/>
  <c r="N225" i="3"/>
  <c r="L225" i="3"/>
  <c r="O213" i="3"/>
  <c r="M213" i="3"/>
  <c r="O375" i="3"/>
  <c r="O13" i="3"/>
  <c r="M13" i="3"/>
  <c r="L165" i="3"/>
  <c r="O165" i="3"/>
  <c r="M165" i="3"/>
  <c r="O321" i="3"/>
  <c r="N321" i="3"/>
  <c r="M498" i="3"/>
  <c r="O498" i="3"/>
  <c r="M242" i="3"/>
  <c r="O242" i="3"/>
  <c r="M402" i="3"/>
  <c r="N402" i="3"/>
  <c r="O494" i="3"/>
  <c r="M494" i="3"/>
  <c r="M193" i="3"/>
  <c r="N193" i="3"/>
  <c r="L193" i="3"/>
  <c r="O193" i="3"/>
  <c r="M259" i="3"/>
  <c r="O259" i="3"/>
  <c r="L329" i="3"/>
  <c r="N329" i="3"/>
  <c r="O236" i="3"/>
  <c r="M236" i="3"/>
  <c r="M496" i="3"/>
  <c r="N160" i="3"/>
  <c r="L160" i="3"/>
  <c r="O160" i="3"/>
  <c r="L229" i="3"/>
  <c r="N229" i="3"/>
  <c r="M229" i="3"/>
  <c r="O260" i="3"/>
  <c r="M260" i="3"/>
  <c r="O314" i="3"/>
  <c r="M314" i="3"/>
  <c r="L185" i="3"/>
  <c r="N185" i="3"/>
  <c r="M322" i="3"/>
  <c r="L312" i="3"/>
  <c r="N312" i="3"/>
  <c r="N217" i="3"/>
  <c r="L217" i="3"/>
  <c r="M217" i="3"/>
  <c r="N186" i="3"/>
  <c r="L186" i="3"/>
  <c r="N404" i="3"/>
  <c r="O404" i="3"/>
  <c r="M404" i="3"/>
  <c r="L33" i="3"/>
  <c r="N33" i="3"/>
  <c r="N244" i="3"/>
  <c r="L244" i="3"/>
  <c r="N385" i="3"/>
  <c r="O385" i="3"/>
  <c r="L385" i="3"/>
  <c r="M385" i="3"/>
  <c r="N379" i="3"/>
  <c r="L379" i="3"/>
  <c r="M379" i="3"/>
  <c r="N289" i="3"/>
  <c r="L289" i="3"/>
  <c r="M18" i="3"/>
  <c r="M392" i="3"/>
  <c r="L277" i="3"/>
  <c r="O322" i="3"/>
  <c r="M143" i="3"/>
  <c r="L404" i="3"/>
  <c r="O487" i="3"/>
  <c r="L7" i="3"/>
  <c r="N7" i="3"/>
  <c r="O153" i="3"/>
  <c r="M153" i="3"/>
  <c r="M423" i="3"/>
  <c r="O423" i="3"/>
  <c r="M82" i="3"/>
  <c r="O82" i="3"/>
  <c r="M264" i="3"/>
  <c r="O31" i="3"/>
  <c r="M31" i="3"/>
  <c r="N243" i="3"/>
  <c r="L243" i="3"/>
  <c r="M243" i="3"/>
  <c r="O243" i="3"/>
  <c r="N450" i="3"/>
  <c r="L450" i="3"/>
  <c r="M450" i="3"/>
  <c r="L182" i="3"/>
  <c r="O218" i="3"/>
  <c r="M218" i="3"/>
  <c r="L202" i="3"/>
  <c r="M202" i="3"/>
  <c r="O202" i="3"/>
  <c r="N202" i="3"/>
  <c r="N40" i="3"/>
  <c r="L40" i="3"/>
  <c r="L302" i="3"/>
  <c r="M302" i="3"/>
  <c r="O302" i="3"/>
  <c r="M63" i="3"/>
  <c r="L316" i="3"/>
  <c r="O368" i="3"/>
  <c r="O76" i="3"/>
  <c r="L235" i="3"/>
  <c r="L484" i="3"/>
  <c r="M484" i="3"/>
  <c r="L89" i="3"/>
  <c r="N89" i="3"/>
  <c r="L24" i="3"/>
  <c r="O24" i="3"/>
  <c r="O330" i="3"/>
  <c r="M330" i="3"/>
  <c r="M125" i="3"/>
  <c r="O125" i="3"/>
  <c r="L306" i="3"/>
  <c r="M306" i="3"/>
  <c r="N306" i="3"/>
  <c r="O306" i="3"/>
  <c r="M491" i="3"/>
  <c r="O491" i="3"/>
  <c r="N30" i="3"/>
  <c r="L18" i="3"/>
  <c r="N18" i="3"/>
  <c r="L43" i="3"/>
  <c r="L157" i="3"/>
  <c r="O157" i="3"/>
  <c r="M157" i="3"/>
  <c r="M262" i="3"/>
  <c r="O262" i="3"/>
  <c r="O461" i="3"/>
  <c r="O480" i="3"/>
  <c r="M334" i="3"/>
  <c r="M419" i="3"/>
  <c r="L411" i="3"/>
  <c r="N273" i="3"/>
  <c r="M378" i="3"/>
  <c r="O252" i="3"/>
  <c r="M436" i="3"/>
  <c r="O56" i="3"/>
  <c r="O416" i="3"/>
  <c r="M73" i="3"/>
  <c r="O63" i="3"/>
  <c r="M221" i="3"/>
  <c r="L480" i="3"/>
  <c r="M4" i="3"/>
  <c r="L301" i="3"/>
  <c r="M367" i="3"/>
  <c r="N267" i="3"/>
  <c r="O20" i="3"/>
  <c r="O238" i="3"/>
  <c r="N187" i="3"/>
  <c r="M42" i="3"/>
  <c r="O179" i="3"/>
  <c r="M289" i="3"/>
  <c r="O414" i="3"/>
  <c r="O72" i="3"/>
  <c r="O299" i="3"/>
  <c r="N365" i="3"/>
  <c r="O344" i="3"/>
  <c r="M89" i="3"/>
  <c r="N366" i="3"/>
  <c r="L378" i="3"/>
  <c r="N211" i="3"/>
  <c r="M455" i="3"/>
  <c r="M499" i="3"/>
  <c r="O499" i="3"/>
  <c r="N373" i="3"/>
  <c r="L373" i="3"/>
  <c r="O237" i="3"/>
  <c r="M237" i="3"/>
  <c r="L166" i="3"/>
  <c r="N166" i="3"/>
  <c r="M92" i="3"/>
  <c r="O92" i="3"/>
  <c r="O51" i="3"/>
  <c r="M51" i="3"/>
  <c r="O316" i="3"/>
  <c r="M316" i="3"/>
  <c r="L148" i="3"/>
  <c r="M148" i="3"/>
  <c r="O148" i="3"/>
  <c r="O109" i="3"/>
  <c r="M109" i="3"/>
  <c r="L38" i="3"/>
  <c r="N38" i="3"/>
  <c r="O38" i="3"/>
  <c r="O25" i="3"/>
  <c r="M303" i="3"/>
  <c r="O303" i="3"/>
  <c r="L11" i="3"/>
  <c r="O11" i="3"/>
  <c r="N11" i="3"/>
  <c r="M425" i="3"/>
  <c r="M97" i="3"/>
  <c r="O97" i="3"/>
  <c r="O187" i="3"/>
  <c r="M187" i="3"/>
  <c r="O362" i="3"/>
  <c r="M362" i="3"/>
  <c r="N268" i="3"/>
  <c r="O268" i="3"/>
  <c r="L268" i="3"/>
  <c r="M268" i="3"/>
  <c r="M126" i="3"/>
  <c r="O126" i="3"/>
  <c r="L84" i="3"/>
  <c r="N84" i="3"/>
  <c r="O84" i="3"/>
  <c r="L47" i="3"/>
  <c r="N47" i="3"/>
  <c r="M170" i="3"/>
  <c r="O170" i="3"/>
  <c r="M400" i="3"/>
  <c r="O400" i="3"/>
  <c r="N434" i="3"/>
  <c r="L434" i="3"/>
  <c r="M434" i="3"/>
  <c r="L113" i="3"/>
  <c r="N113" i="3"/>
  <c r="O495" i="3"/>
  <c r="M495" i="3"/>
  <c r="M188" i="3"/>
  <c r="O188" i="3"/>
  <c r="N232" i="3"/>
  <c r="N333" i="3"/>
  <c r="O333" i="3"/>
  <c r="M19" i="3"/>
  <c r="O19" i="3"/>
  <c r="O80" i="3"/>
  <c r="M80" i="3"/>
  <c r="M298" i="3"/>
  <c r="O298" i="3"/>
  <c r="O433" i="3"/>
  <c r="M433" i="3"/>
  <c r="L259" i="3"/>
  <c r="N259" i="3"/>
  <c r="L376" i="3"/>
  <c r="L496" i="3"/>
  <c r="L178" i="3"/>
  <c r="O178" i="3"/>
  <c r="N178" i="3"/>
  <c r="N126" i="3"/>
  <c r="L126" i="3"/>
  <c r="M261" i="3"/>
  <c r="O261" i="3"/>
  <c r="N320" i="3"/>
  <c r="O325" i="3"/>
  <c r="M325" i="3"/>
  <c r="L212" i="3"/>
  <c r="N417" i="3"/>
  <c r="L417" i="3"/>
  <c r="N280" i="3"/>
  <c r="O280" i="3"/>
  <c r="M364" i="3"/>
  <c r="L364" i="3"/>
  <c r="N364" i="3"/>
  <c r="M138" i="3"/>
  <c r="L138" i="3"/>
  <c r="L71" i="3"/>
  <c r="L116" i="3"/>
  <c r="M116" i="3"/>
  <c r="O116" i="3"/>
  <c r="N116" i="3"/>
  <c r="N104" i="3"/>
  <c r="L104" i="3"/>
  <c r="N355" i="3"/>
  <c r="L355" i="3"/>
  <c r="N285" i="3"/>
  <c r="O285" i="3"/>
  <c r="N428" i="3"/>
  <c r="N309" i="3"/>
  <c r="O309" i="3"/>
  <c r="L236" i="3"/>
  <c r="M440" i="3"/>
  <c r="N440" i="3"/>
  <c r="L440" i="3"/>
  <c r="O373" i="3"/>
  <c r="L17" i="3"/>
  <c r="N17" i="3"/>
  <c r="L119" i="3"/>
  <c r="M119" i="3"/>
  <c r="N119" i="3"/>
  <c r="O119" i="3"/>
  <c r="N249" i="3"/>
  <c r="L249" i="3"/>
  <c r="N394" i="3"/>
  <c r="L394" i="3"/>
  <c r="O394" i="3"/>
  <c r="M394" i="3"/>
  <c r="O185" i="3"/>
  <c r="M173" i="3"/>
  <c r="O422" i="3"/>
  <c r="O52" i="3"/>
  <c r="O497" i="3"/>
  <c r="O332" i="3"/>
  <c r="M253" i="3"/>
  <c r="O253" i="3"/>
  <c r="M348" i="3"/>
  <c r="O348" i="3"/>
  <c r="L196" i="3"/>
  <c r="L127" i="3"/>
  <c r="L53" i="3"/>
  <c r="N53" i="3"/>
  <c r="L209" i="3"/>
  <c r="M209" i="3"/>
  <c r="O209" i="3"/>
  <c r="N209" i="3"/>
  <c r="O15" i="3"/>
  <c r="M15" i="3"/>
  <c r="O128" i="3"/>
  <c r="M128" i="3"/>
  <c r="L51" i="3"/>
  <c r="M133" i="3"/>
  <c r="O133" i="3"/>
  <c r="L272" i="3"/>
  <c r="M272" i="3"/>
  <c r="N272" i="3"/>
  <c r="O272" i="3"/>
  <c r="N80" i="3"/>
  <c r="M429" i="3"/>
  <c r="M428" i="3"/>
  <c r="O428" i="3"/>
  <c r="L343" i="3"/>
  <c r="N343" i="3"/>
  <c r="O67" i="3"/>
  <c r="M67" i="3"/>
  <c r="N399" i="3"/>
  <c r="L399" i="3"/>
  <c r="O249" i="3"/>
  <c r="L134" i="3"/>
  <c r="N134" i="3"/>
  <c r="M134" i="3"/>
  <c r="M338" i="3"/>
  <c r="N231" i="3"/>
  <c r="O231" i="3"/>
  <c r="M231" i="3"/>
  <c r="N98" i="3"/>
  <c r="L98" i="3"/>
  <c r="N21" i="3"/>
  <c r="L83" i="3"/>
  <c r="N83" i="3"/>
  <c r="O83" i="3"/>
  <c r="M83" i="3"/>
  <c r="N436" i="3"/>
  <c r="L436" i="3"/>
  <c r="O308" i="3"/>
  <c r="L308" i="3"/>
  <c r="M308" i="3"/>
  <c r="N308" i="3"/>
  <c r="M41" i="3"/>
  <c r="M108" i="3"/>
  <c r="L285" i="3"/>
  <c r="N152" i="3"/>
  <c r="L152" i="3"/>
  <c r="N190" i="3"/>
  <c r="L190" i="3"/>
  <c r="L387" i="3"/>
  <c r="N387" i="3"/>
  <c r="L57" i="3"/>
  <c r="N57" i="3"/>
  <c r="N403" i="3"/>
  <c r="O403" i="3"/>
  <c r="L403" i="3"/>
  <c r="N466" i="3"/>
  <c r="L466" i="3"/>
  <c r="N388" i="3"/>
  <c r="L388" i="3"/>
  <c r="L479" i="3"/>
  <c r="N479" i="3"/>
  <c r="N442" i="3"/>
  <c r="L442" i="3"/>
  <c r="L486" i="3"/>
  <c r="N486" i="3"/>
  <c r="O183" i="3"/>
  <c r="M183" i="3"/>
  <c r="N189" i="3"/>
  <c r="L189" i="3"/>
  <c r="O270" i="3"/>
  <c r="M270" i="3"/>
  <c r="M355" i="3"/>
  <c r="O355" i="3"/>
  <c r="N370" i="3"/>
  <c r="L370" i="3"/>
  <c r="O399" i="3"/>
  <c r="M399" i="3"/>
  <c r="M121" i="3"/>
  <c r="O78" i="3"/>
  <c r="M78" i="3"/>
  <c r="L401" i="3"/>
  <c r="O81" i="3"/>
  <c r="M81" i="3"/>
  <c r="O482" i="3"/>
  <c r="M482" i="3"/>
  <c r="O77" i="3"/>
  <c r="M77" i="3"/>
  <c r="O75" i="3"/>
  <c r="O320" i="3"/>
  <c r="N43" i="3"/>
  <c r="N429" i="3"/>
  <c r="M340" i="3"/>
  <c r="O450" i="3"/>
  <c r="M11" i="3"/>
  <c r="M79" i="3"/>
  <c r="O387" i="3"/>
  <c r="M387" i="3"/>
  <c r="M10" i="3"/>
  <c r="N100" i="3"/>
  <c r="M111" i="3"/>
  <c r="N24" i="3"/>
  <c r="M291" i="3"/>
  <c r="O258" i="3"/>
  <c r="O410" i="3"/>
  <c r="O264" i="3"/>
  <c r="O129" i="3"/>
  <c r="L365" i="3"/>
  <c r="M407" i="3"/>
  <c r="M277" i="3"/>
  <c r="M58" i="3"/>
  <c r="M203" i="3"/>
  <c r="O223" i="3"/>
  <c r="O434" i="3"/>
  <c r="L489" i="3"/>
  <c r="N128" i="3"/>
  <c r="L21" i="3"/>
  <c r="M17" i="3"/>
  <c r="O143" i="3"/>
  <c r="L143" i="3"/>
  <c r="N140" i="3"/>
  <c r="L140" i="3"/>
  <c r="O140" i="3"/>
  <c r="L16" i="3"/>
  <c r="N16" i="3"/>
  <c r="L413" i="3"/>
  <c r="M413" i="3"/>
  <c r="N413" i="3"/>
  <c r="L256" i="3"/>
  <c r="N256" i="3"/>
  <c r="M256" i="3"/>
  <c r="O256" i="3"/>
  <c r="N391" i="3"/>
  <c r="L391" i="3"/>
  <c r="L162" i="3"/>
  <c r="O162" i="3"/>
  <c r="L39" i="3"/>
  <c r="N39" i="3"/>
  <c r="M62" i="3"/>
  <c r="O62" i="3"/>
  <c r="O166" i="3"/>
  <c r="M166" i="3"/>
  <c r="M323" i="3"/>
  <c r="O323" i="3"/>
  <c r="N310" i="3"/>
  <c r="L310" i="3"/>
  <c r="M310" i="3"/>
  <c r="O310" i="3"/>
  <c r="L264" i="3"/>
  <c r="N264" i="3"/>
  <c r="N487" i="3"/>
  <c r="M57" i="3"/>
  <c r="O57" i="3"/>
  <c r="O413" i="3"/>
  <c r="N207" i="3"/>
  <c r="L207" i="3"/>
  <c r="O96" i="3"/>
  <c r="M96" i="3"/>
  <c r="L91" i="3"/>
  <c r="O171" i="3"/>
  <c r="M171" i="3"/>
  <c r="M353" i="3"/>
  <c r="O353" i="3"/>
  <c r="L133" i="3"/>
  <c r="N133" i="3"/>
  <c r="L168" i="3"/>
  <c r="O168" i="3"/>
  <c r="N168" i="3"/>
  <c r="N420" i="3"/>
  <c r="L420" i="3"/>
  <c r="L356" i="3"/>
  <c r="N356" i="3"/>
  <c r="M356" i="3"/>
  <c r="O356" i="3"/>
  <c r="L109" i="3"/>
  <c r="O274" i="3"/>
  <c r="M274" i="3"/>
  <c r="O277" i="3"/>
  <c r="M370" i="3"/>
  <c r="M359" i="3"/>
  <c r="O139" i="3"/>
  <c r="M139" i="3"/>
  <c r="M490" i="3"/>
  <c r="O490" i="3"/>
  <c r="L86" i="3"/>
  <c r="N86" i="3"/>
  <c r="L368" i="3"/>
  <c r="N368" i="3"/>
  <c r="N73" i="3"/>
  <c r="O417" i="3"/>
  <c r="M417" i="3"/>
  <c r="N439" i="3"/>
  <c r="L439" i="3"/>
  <c r="M199" i="3"/>
  <c r="O199" i="3"/>
  <c r="M474" i="3"/>
  <c r="O474" i="3"/>
  <c r="L161" i="3"/>
  <c r="N161" i="3"/>
  <c r="O42" i="3"/>
  <c r="O232" i="3"/>
  <c r="M267" i="3"/>
  <c r="M235" i="3"/>
  <c r="L335" i="3"/>
  <c r="O181" i="3"/>
  <c r="O169" i="3"/>
  <c r="M297" i="3"/>
  <c r="N369" i="3"/>
  <c r="M55" i="3"/>
  <c r="M91" i="3"/>
  <c r="O91" i="3"/>
  <c r="N448" i="3"/>
  <c r="L62" i="3"/>
  <c r="N121" i="3"/>
  <c r="L409" i="3"/>
  <c r="N409" i="3"/>
  <c r="M409" i="3"/>
  <c r="O409" i="3"/>
  <c r="O71" i="3"/>
  <c r="M71" i="3"/>
  <c r="O154" i="3"/>
  <c r="M154" i="3"/>
  <c r="M215" i="3"/>
  <c r="N215" i="3"/>
  <c r="M226" i="3"/>
  <c r="O226" i="3"/>
  <c r="O389" i="3"/>
  <c r="O93" i="3"/>
  <c r="M93" i="3"/>
  <c r="O66" i="3"/>
  <c r="M66" i="3"/>
  <c r="M329" i="3"/>
  <c r="M439" i="3"/>
  <c r="O439" i="3"/>
  <c r="M25" i="3"/>
  <c r="M168" i="3"/>
  <c r="M106" i="3"/>
  <c r="O106" i="3"/>
  <c r="L493" i="3"/>
  <c r="N493" i="3"/>
  <c r="N286" i="3"/>
  <c r="L286" i="3"/>
  <c r="O174" i="3"/>
  <c r="M174" i="3"/>
  <c r="M233" i="3"/>
  <c r="N233" i="3"/>
  <c r="O345" i="3"/>
  <c r="M345" i="3"/>
  <c r="N345" i="3"/>
  <c r="L345" i="3"/>
  <c r="M485" i="3"/>
  <c r="O485" i="3"/>
  <c r="L305" i="3"/>
  <c r="M37" i="3"/>
  <c r="O37" i="3"/>
  <c r="M127" i="3"/>
  <c r="O127" i="3"/>
  <c r="N123" i="3"/>
  <c r="L123" i="3"/>
  <c r="M123" i="3"/>
  <c r="L63" i="3"/>
  <c r="N112" i="3"/>
  <c r="L112" i="3"/>
  <c r="M486" i="3"/>
  <c r="O486" i="3"/>
  <c r="L154" i="3"/>
  <c r="N154" i="3"/>
  <c r="O98" i="3"/>
  <c r="M98" i="3"/>
  <c r="L255" i="3"/>
  <c r="N255" i="3"/>
  <c r="M427" i="3"/>
  <c r="O427" i="3"/>
  <c r="O32" i="3"/>
  <c r="M32" i="3"/>
  <c r="M244" i="3"/>
  <c r="O244" i="3"/>
  <c r="M122" i="3"/>
  <c r="N348" i="3"/>
  <c r="L322" i="3"/>
  <c r="O195" i="3"/>
  <c r="O440" i="3"/>
  <c r="M163" i="3"/>
  <c r="M363" i="3"/>
  <c r="L70" i="3"/>
  <c r="M70" i="3"/>
  <c r="N70" i="3"/>
  <c r="N498" i="3"/>
  <c r="L498" i="3"/>
  <c r="L36" i="3"/>
  <c r="M36" i="3"/>
  <c r="O36" i="3"/>
  <c r="L278" i="3"/>
  <c r="O278" i="3"/>
  <c r="N278" i="3"/>
  <c r="M278" i="3"/>
  <c r="O95" i="3"/>
  <c r="M95" i="3"/>
  <c r="M398" i="3"/>
  <c r="O398" i="3"/>
  <c r="N242" i="3"/>
  <c r="L242" i="3"/>
  <c r="M347" i="3"/>
  <c r="O347" i="3"/>
  <c r="L361" i="3"/>
  <c r="L499" i="3"/>
  <c r="L472" i="3"/>
  <c r="N472" i="3"/>
  <c r="O150" i="3"/>
  <c r="N444" i="3"/>
  <c r="L444" i="3"/>
  <c r="N357" i="3"/>
  <c r="O357" i="3"/>
  <c r="O182" i="3"/>
  <c r="M182" i="3"/>
  <c r="N296" i="3"/>
  <c r="L296" i="3"/>
  <c r="O89" i="3"/>
  <c r="L429" i="3"/>
  <c r="M282" i="3"/>
  <c r="N63" i="3"/>
  <c r="M216" i="3"/>
  <c r="M162" i="3"/>
  <c r="M158" i="3"/>
  <c r="N165" i="3"/>
  <c r="M100" i="3"/>
  <c r="N51" i="3"/>
  <c r="L121" i="3"/>
  <c r="N157" i="3"/>
  <c r="O138" i="3"/>
  <c r="N138" i="3"/>
  <c r="O420" i="3"/>
  <c r="L443" i="3"/>
  <c r="O378" i="3"/>
  <c r="O34" i="3"/>
  <c r="M405" i="3"/>
  <c r="N316" i="3"/>
  <c r="N5" i="3"/>
  <c r="L201" i="3"/>
  <c r="N201" i="3"/>
  <c r="O201" i="3"/>
  <c r="L246" i="3"/>
  <c r="L482" i="3"/>
  <c r="N156" i="3"/>
  <c r="L156" i="3"/>
  <c r="O156" i="3"/>
  <c r="O411" i="3"/>
  <c r="O17" i="3"/>
  <c r="L383" i="3"/>
  <c r="N383" i="3"/>
  <c r="L131" i="3"/>
  <c r="N131" i="3"/>
  <c r="L435" i="3"/>
  <c r="N435" i="3"/>
  <c r="M156" i="3"/>
  <c r="M14" i="3"/>
  <c r="N482" i="3"/>
  <c r="L418" i="3"/>
  <c r="M309" i="3"/>
  <c r="O44" i="3"/>
  <c r="O436" i="3"/>
  <c r="N451" i="3"/>
  <c r="N396" i="3"/>
  <c r="M160" i="3"/>
  <c r="L446" i="3"/>
  <c r="N446" i="3"/>
  <c r="N384" i="3"/>
  <c r="O384" i="3"/>
  <c r="L384" i="3"/>
  <c r="O40" i="3"/>
  <c r="M247" i="3"/>
  <c r="L245" i="3"/>
  <c r="O245" i="3"/>
  <c r="N223" i="3"/>
  <c r="L223" i="3"/>
  <c r="L337" i="3"/>
  <c r="O337" i="3"/>
  <c r="L303" i="3"/>
  <c r="N303" i="3"/>
  <c r="L263" i="3"/>
  <c r="O263" i="3"/>
  <c r="L124" i="3"/>
  <c r="N124" i="3"/>
  <c r="L234" i="3"/>
  <c r="O189" i="3"/>
  <c r="L177" i="3"/>
  <c r="N177" i="3"/>
  <c r="M48" i="3"/>
  <c r="M401" i="3"/>
  <c r="N467" i="3"/>
  <c r="L467" i="3"/>
  <c r="O467" i="3"/>
  <c r="N460" i="3"/>
  <c r="M460" i="3"/>
  <c r="O358" i="3"/>
  <c r="M358" i="3"/>
  <c r="M500" i="3"/>
  <c r="O124" i="3"/>
  <c r="M124" i="3"/>
  <c r="M16" i="3"/>
  <c r="L85" i="3"/>
  <c r="O85" i="3"/>
  <c r="L46" i="3"/>
  <c r="N46" i="3"/>
  <c r="L247" i="3"/>
  <c r="N247" i="3"/>
  <c r="O198" i="3"/>
  <c r="N426" i="3"/>
  <c r="N327" i="3"/>
  <c r="N65" i="3"/>
  <c r="L227" i="3"/>
  <c r="O227" i="3"/>
  <c r="O383" i="3"/>
  <c r="N362" i="3"/>
  <c r="M219" i="3"/>
  <c r="O212" i="3"/>
  <c r="M212" i="3"/>
  <c r="N144" i="3"/>
  <c r="L144" i="3"/>
  <c r="L410" i="3"/>
  <c r="N410" i="3"/>
  <c r="M465" i="3"/>
  <c r="M40" i="3"/>
  <c r="O292" i="3"/>
  <c r="M412" i="3"/>
  <c r="L13" i="3"/>
  <c r="N85" i="3"/>
  <c r="O204" i="3"/>
  <c r="M118" i="3"/>
  <c r="M366" i="3"/>
  <c r="O103" i="3"/>
  <c r="N337" i="3"/>
  <c r="O33" i="3"/>
  <c r="O401" i="3"/>
  <c r="M230" i="3"/>
  <c r="M3" i="3"/>
  <c r="L415" i="3"/>
  <c r="L470" i="3"/>
  <c r="O470" i="3"/>
  <c r="M478" i="3"/>
  <c r="O478" i="3"/>
  <c r="O6" i="3"/>
  <c r="M448" i="3"/>
  <c r="L311" i="3"/>
  <c r="O311" i="3"/>
  <c r="O229" i="3"/>
  <c r="L291" i="3"/>
  <c r="N291" i="3"/>
  <c r="L430" i="3"/>
  <c r="N430" i="3"/>
  <c r="L110" i="3"/>
  <c r="O110" i="3"/>
  <c r="M131" i="3"/>
  <c r="L226" i="3"/>
  <c r="M214" i="3"/>
  <c r="N214" i="3"/>
  <c r="O214" i="3"/>
  <c r="N172" i="3"/>
  <c r="L172" i="3"/>
  <c r="M328" i="3"/>
  <c r="M6" i="3"/>
  <c r="M411" i="3"/>
  <c r="O418" i="3"/>
  <c r="O448" i="3"/>
  <c r="N216" i="3"/>
  <c r="O412" i="3"/>
  <c r="M416" i="3"/>
  <c r="L248" i="3"/>
  <c r="M248" i="3"/>
  <c r="O248" i="3"/>
  <c r="L453" i="3"/>
  <c r="N495" i="3"/>
  <c r="L495" i="3"/>
  <c r="M294" i="3"/>
  <c r="O294" i="3"/>
  <c r="L171" i="3"/>
  <c r="N171" i="3"/>
  <c r="L288" i="3"/>
  <c r="M384" i="3"/>
  <c r="O328" i="3"/>
  <c r="O435" i="3"/>
  <c r="O205" i="3"/>
  <c r="M451" i="3"/>
  <c r="N103" i="3"/>
  <c r="N263" i="3"/>
  <c r="N453" i="3"/>
  <c r="M189" i="3"/>
  <c r="L155" i="3"/>
  <c r="N358" i="3"/>
  <c r="O117" i="3"/>
  <c r="M383" i="3"/>
  <c r="L5" i="3"/>
  <c r="M258" i="3"/>
  <c r="M493" i="3"/>
  <c r="L432" i="3"/>
  <c r="O426" i="3"/>
  <c r="O500" i="3"/>
  <c r="L260" i="3"/>
  <c r="M113" i="3"/>
  <c r="L314" i="3"/>
  <c r="N314" i="3"/>
  <c r="M181" i="3"/>
  <c r="L78" i="3"/>
  <c r="N78" i="3"/>
  <c r="M426" i="3"/>
  <c r="N433" i="3"/>
  <c r="N349" i="3"/>
  <c r="L349" i="3"/>
  <c r="O402" i="3"/>
  <c r="L117" i="3"/>
  <c r="O295" i="3"/>
  <c r="N288" i="3"/>
  <c r="M467" i="3"/>
  <c r="M269" i="3"/>
  <c r="M295" i="3"/>
  <c r="L61" i="3"/>
  <c r="N61" i="3"/>
  <c r="M435" i="3"/>
  <c r="L362" i="3"/>
  <c r="O451" i="3"/>
  <c r="N374" i="3"/>
  <c r="O493" i="3"/>
  <c r="L451" i="3"/>
  <c r="L31" i="3"/>
  <c r="L353" i="3"/>
  <c r="N353" i="3"/>
  <c r="L452" i="3"/>
  <c r="N452" i="3"/>
  <c r="N290" i="3"/>
  <c r="N146" i="3"/>
  <c r="L146" i="3"/>
  <c r="N9" i="3"/>
  <c r="L9" i="3"/>
  <c r="M9" i="3"/>
  <c r="O9" i="3"/>
  <c r="W8" i="3" l="1"/>
  <c r="W20" i="3"/>
  <c r="W32" i="3"/>
  <c r="W44" i="3"/>
  <c r="W9" i="3"/>
  <c r="W21" i="3"/>
  <c r="W33" i="3"/>
  <c r="W45" i="3"/>
  <c r="W10" i="3"/>
  <c r="W22" i="3"/>
  <c r="W34" i="3"/>
  <c r="W46" i="3"/>
  <c r="W11" i="3"/>
  <c r="W23" i="3"/>
  <c r="W35" i="3"/>
  <c r="W47" i="3"/>
  <c r="W12" i="3"/>
  <c r="W24" i="3"/>
  <c r="W36" i="3"/>
  <c r="W48" i="3"/>
  <c r="W13" i="3"/>
  <c r="W25" i="3"/>
  <c r="W37" i="3"/>
  <c r="W49" i="3"/>
  <c r="W2" i="3"/>
  <c r="W14" i="3"/>
  <c r="W26" i="3"/>
  <c r="W38" i="3"/>
  <c r="W50" i="3"/>
  <c r="W3" i="3"/>
  <c r="W15" i="3"/>
  <c r="W27" i="3"/>
  <c r="W39" i="3"/>
  <c r="W1" i="3"/>
  <c r="W4" i="3"/>
  <c r="W16" i="3"/>
  <c r="W28" i="3"/>
  <c r="W40" i="3"/>
  <c r="W5" i="3"/>
  <c r="W17" i="3"/>
  <c r="W29" i="3"/>
  <c r="W41" i="3"/>
  <c r="W6" i="3"/>
  <c r="W18" i="3"/>
  <c r="W30" i="3"/>
  <c r="W42" i="3"/>
  <c r="W7" i="3"/>
  <c r="W19" i="3"/>
  <c r="W31" i="3"/>
  <c r="W43" i="3"/>
  <c r="O2" i="3"/>
  <c r="M8" i="3"/>
  <c r="L8" i="3"/>
  <c r="O8" i="3"/>
  <c r="M2" i="3"/>
  <c r="N1" i="3"/>
  <c r="L1" i="3"/>
  <c r="M1" i="3"/>
  <c r="O1" i="3"/>
  <c r="C248" i="8"/>
  <c r="Y248" i="8" s="1"/>
  <c r="C143" i="8"/>
  <c r="Y143" i="8" s="1"/>
  <c r="C470" i="8"/>
  <c r="Y470" i="8" s="1"/>
  <c r="C303" i="8"/>
  <c r="Y303" i="8" s="1"/>
  <c r="C64" i="8"/>
  <c r="Y64" i="8" s="1"/>
  <c r="C135" i="8"/>
  <c r="Y135" i="8" s="1"/>
  <c r="C297" i="8"/>
  <c r="Y297" i="8" s="1"/>
  <c r="C291" i="8"/>
  <c r="Y291" i="8" s="1"/>
  <c r="C494" i="8"/>
  <c r="Y494" i="8" s="1"/>
  <c r="C164" i="8"/>
  <c r="Y164" i="8" s="1"/>
  <c r="C161" i="8"/>
  <c r="Y161" i="8" s="1"/>
  <c r="C2" i="8"/>
  <c r="Y2" i="8" s="1"/>
  <c r="C471" i="8"/>
  <c r="Y471" i="8" s="1"/>
  <c r="C387" i="8"/>
  <c r="Y387" i="8" s="1"/>
  <c r="C29" i="8"/>
  <c r="Y29" i="8" s="1"/>
  <c r="C411" i="8"/>
  <c r="Y411" i="8" s="1"/>
  <c r="C261" i="8"/>
  <c r="Y261" i="8" s="1"/>
  <c r="C252" i="8"/>
  <c r="Y252" i="8" s="1"/>
  <c r="C457" i="8"/>
  <c r="Y457" i="8" s="1"/>
  <c r="C73" i="8"/>
  <c r="Y73" i="8" s="1"/>
  <c r="C453" i="8"/>
  <c r="Y453" i="8" s="1"/>
  <c r="E303" i="8"/>
  <c r="E331" i="8"/>
  <c r="E77" i="8"/>
  <c r="E319" i="8"/>
  <c r="F319" i="8" s="1"/>
  <c r="E9" i="8"/>
  <c r="F9" i="8" s="1"/>
  <c r="E103" i="8"/>
  <c r="E242" i="8"/>
  <c r="E144" i="8"/>
  <c r="E263" i="8"/>
  <c r="E217" i="8"/>
  <c r="F217" i="8" s="1"/>
  <c r="E289" i="8"/>
  <c r="E433" i="8"/>
  <c r="E276" i="8"/>
  <c r="E30" i="8"/>
  <c r="E312" i="8"/>
  <c r="F312" i="8" s="1"/>
  <c r="E229" i="8"/>
  <c r="E391" i="8"/>
  <c r="E141" i="8"/>
  <c r="E3" i="8"/>
  <c r="E286" i="8"/>
  <c r="E133" i="8"/>
  <c r="F133" i="8" s="1"/>
  <c r="E182" i="8"/>
  <c r="F182" i="8" s="1"/>
  <c r="E259" i="8"/>
  <c r="F259" i="8" s="1"/>
  <c r="E254" i="8"/>
  <c r="E474" i="8"/>
  <c r="E316" i="8"/>
  <c r="E473" i="8"/>
  <c r="E500" i="8"/>
  <c r="E63" i="8"/>
  <c r="E187" i="8"/>
  <c r="E301" i="8"/>
  <c r="E126" i="8"/>
  <c r="E451" i="8"/>
  <c r="E81" i="8"/>
  <c r="E334" i="8"/>
  <c r="E366" i="8"/>
  <c r="E446" i="8"/>
  <c r="E412" i="8"/>
  <c r="E33" i="8"/>
  <c r="E84" i="8"/>
  <c r="E152" i="8"/>
  <c r="E232" i="8"/>
  <c r="F232" i="8" s="1"/>
  <c r="E480" i="8"/>
  <c r="F480" i="8" s="1"/>
  <c r="E443" i="8"/>
  <c r="E475" i="8"/>
  <c r="F475" i="8" s="1"/>
  <c r="E410" i="8"/>
  <c r="E413" i="8"/>
  <c r="E444" i="8"/>
  <c r="E447" i="8"/>
  <c r="E83" i="8"/>
  <c r="E340" i="8"/>
  <c r="F340" i="8" s="1"/>
  <c r="E291" i="8"/>
  <c r="E237" i="8"/>
  <c r="E493" i="8"/>
  <c r="E90" i="8"/>
  <c r="E278" i="8"/>
  <c r="E496" i="8"/>
  <c r="E492" i="8"/>
  <c r="E490" i="8"/>
  <c r="F490" i="8" s="1"/>
  <c r="G490" i="8" s="1"/>
  <c r="E449" i="8"/>
  <c r="E270" i="8"/>
  <c r="E418" i="8"/>
  <c r="E112" i="8"/>
  <c r="E353" i="8"/>
  <c r="E385" i="8"/>
  <c r="E155" i="8"/>
  <c r="F155" i="8" s="1"/>
  <c r="E398" i="8"/>
  <c r="F398" i="8" s="1"/>
  <c r="E376" i="8"/>
  <c r="E361" i="8"/>
  <c r="E455" i="8"/>
  <c r="E359" i="8"/>
  <c r="F359" i="8" s="1"/>
  <c r="E437" i="8"/>
  <c r="E494" i="8"/>
  <c r="E438" i="8"/>
  <c r="E48" i="8"/>
  <c r="F48" i="8" s="1"/>
  <c r="E381" i="8"/>
  <c r="F381" i="8" s="1"/>
  <c r="G381" i="8" s="1"/>
  <c r="E404" i="8"/>
  <c r="E252" i="8"/>
  <c r="F252" i="8" s="1"/>
  <c r="H252" i="8" l="1"/>
  <c r="J252" i="8"/>
  <c r="G319" i="8"/>
  <c r="C434" i="8"/>
  <c r="Y434" i="8" s="1"/>
  <c r="C154" i="8"/>
  <c r="Y154" i="8" s="1"/>
  <c r="F443" i="8"/>
  <c r="E122" i="8"/>
  <c r="F122" i="8" s="1"/>
  <c r="E309" i="8"/>
  <c r="F309" i="8" s="1"/>
  <c r="E190" i="8"/>
  <c r="F190" i="8" s="1"/>
  <c r="E29" i="8"/>
  <c r="F29" i="8" s="1"/>
  <c r="J29" i="8" s="1"/>
  <c r="C88" i="8"/>
  <c r="Y88" i="8" s="1"/>
  <c r="C31" i="8"/>
  <c r="Y31" i="8" s="1"/>
  <c r="C112" i="8"/>
  <c r="Y112" i="8" s="1"/>
  <c r="F413" i="8"/>
  <c r="I413" i="8" s="1"/>
  <c r="F242" i="8"/>
  <c r="G242" i="8" s="1"/>
  <c r="C244" i="8"/>
  <c r="Y244" i="8" s="1"/>
  <c r="F237" i="8"/>
  <c r="C313" i="8"/>
  <c r="Y313" i="8" s="1"/>
  <c r="E8" i="8"/>
  <c r="F8" i="8" s="1"/>
  <c r="E134" i="8"/>
  <c r="F134" i="8" s="1"/>
  <c r="E157" i="8"/>
  <c r="F157" i="8" s="1"/>
  <c r="G157" i="8" s="1"/>
  <c r="E488" i="8"/>
  <c r="F488" i="8" s="1"/>
  <c r="E108" i="8"/>
  <c r="F108" i="8" s="1"/>
  <c r="E137" i="8"/>
  <c r="F137" i="8" s="1"/>
  <c r="E176" i="8"/>
  <c r="F176" i="8" s="1"/>
  <c r="E135" i="8"/>
  <c r="F135" i="8" s="1"/>
  <c r="J135" i="8" s="1"/>
  <c r="E10" i="8"/>
  <c r="F10" i="8" s="1"/>
  <c r="E400" i="8"/>
  <c r="F400" i="8" s="1"/>
  <c r="E36" i="8"/>
  <c r="F36" i="8" s="1"/>
  <c r="E441" i="8"/>
  <c r="F441" i="8" s="1"/>
  <c r="G441" i="8" s="1"/>
  <c r="E388" i="8"/>
  <c r="F388" i="8" s="1"/>
  <c r="I388" i="8" s="1"/>
  <c r="E113" i="8"/>
  <c r="F113" i="8" s="1"/>
  <c r="C118" i="8"/>
  <c r="Y118" i="8" s="1"/>
  <c r="C473" i="8"/>
  <c r="Y473" i="8" s="1"/>
  <c r="C44" i="8"/>
  <c r="Y44" i="8" s="1"/>
  <c r="E216" i="8"/>
  <c r="F216" i="8" s="1"/>
  <c r="E463" i="8"/>
  <c r="F463" i="8" s="1"/>
  <c r="E70" i="8"/>
  <c r="F70" i="8" s="1"/>
  <c r="E111" i="8"/>
  <c r="F111" i="8" s="1"/>
  <c r="E320" i="8"/>
  <c r="F320" i="8" s="1"/>
  <c r="E150" i="8"/>
  <c r="F150" i="8" s="1"/>
  <c r="G150" i="8" s="1"/>
  <c r="E56" i="8"/>
  <c r="F56" i="8" s="1"/>
  <c r="C82" i="8"/>
  <c r="Y82" i="8" s="1"/>
  <c r="C410" i="8"/>
  <c r="Y410" i="8" s="1"/>
  <c r="C416" i="8"/>
  <c r="Y416" i="8" s="1"/>
  <c r="E167" i="8"/>
  <c r="F167" i="8" s="1"/>
  <c r="E308" i="8"/>
  <c r="F308" i="8" s="1"/>
  <c r="E54" i="8"/>
  <c r="F54" i="8" s="1"/>
  <c r="I54" i="8" s="1"/>
  <c r="E371" i="8"/>
  <c r="F371" i="8" s="1"/>
  <c r="E477" i="8"/>
  <c r="F477" i="8" s="1"/>
  <c r="E197" i="8"/>
  <c r="F197" i="8" s="1"/>
  <c r="G197" i="8" s="1"/>
  <c r="E118" i="8"/>
  <c r="F118" i="8" s="1"/>
  <c r="C204" i="8"/>
  <c r="Y204" i="8" s="1"/>
  <c r="C374" i="8"/>
  <c r="Y374" i="8" s="1"/>
  <c r="C165" i="8"/>
  <c r="Y165" i="8" s="1"/>
  <c r="C110" i="8"/>
  <c r="Y110" i="8" s="1"/>
  <c r="C415" i="8"/>
  <c r="Y415" i="8" s="1"/>
  <c r="C463" i="8"/>
  <c r="Y463" i="8" s="1"/>
  <c r="C76" i="8"/>
  <c r="Y76" i="8" s="1"/>
  <c r="C102" i="8"/>
  <c r="Y102" i="8" s="1"/>
  <c r="E92" i="8"/>
  <c r="F92" i="8" s="1"/>
  <c r="E257" i="8"/>
  <c r="F257" i="8" s="1"/>
  <c r="E43" i="8"/>
  <c r="F43" i="8" s="1"/>
  <c r="E435" i="8"/>
  <c r="F435" i="8" s="1"/>
  <c r="E459" i="8"/>
  <c r="F459" i="8" s="1"/>
  <c r="E347" i="8"/>
  <c r="F347" i="8" s="1"/>
  <c r="E210" i="8"/>
  <c r="F210" i="8" s="1"/>
  <c r="E368" i="8"/>
  <c r="F368" i="8" s="1"/>
  <c r="E116" i="8"/>
  <c r="F116" i="8" s="1"/>
  <c r="E146" i="8"/>
  <c r="F146" i="8" s="1"/>
  <c r="E196" i="8"/>
  <c r="F196" i="8" s="1"/>
  <c r="E105" i="8"/>
  <c r="F105" i="8" s="1"/>
  <c r="I105" i="8" s="1"/>
  <c r="E431" i="8"/>
  <c r="F431" i="8" s="1"/>
  <c r="E360" i="8"/>
  <c r="F360" i="8" s="1"/>
  <c r="E55" i="8"/>
  <c r="F55" i="8" s="1"/>
  <c r="E147" i="8"/>
  <c r="F147" i="8" s="1"/>
  <c r="G147" i="8" s="1"/>
  <c r="E5" i="8"/>
  <c r="F5" i="8" s="1"/>
  <c r="E292" i="8"/>
  <c r="F292" i="8" s="1"/>
  <c r="E221" i="8"/>
  <c r="F221" i="8" s="1"/>
  <c r="E148" i="8"/>
  <c r="F148" i="8" s="1"/>
  <c r="I148" i="8" s="1"/>
  <c r="F63" i="8"/>
  <c r="E11" i="8"/>
  <c r="F11" i="8" s="1"/>
  <c r="E294" i="8"/>
  <c r="F294" i="8" s="1"/>
  <c r="E202" i="8"/>
  <c r="F202" i="8" s="1"/>
  <c r="E282" i="8"/>
  <c r="F282" i="8" s="1"/>
  <c r="E349" i="8"/>
  <c r="F349" i="8" s="1"/>
  <c r="I349" i="8" s="1"/>
  <c r="E73" i="8"/>
  <c r="F73" i="8" s="1"/>
  <c r="H73" i="8" s="1"/>
  <c r="E52" i="8"/>
  <c r="F52" i="8" s="1"/>
  <c r="C257" i="8"/>
  <c r="Y257" i="8" s="1"/>
  <c r="C191" i="8"/>
  <c r="Y191" i="8" s="1"/>
  <c r="C121" i="8"/>
  <c r="Y121" i="8" s="1"/>
  <c r="C237" i="8"/>
  <c r="Y237" i="8" s="1"/>
  <c r="C286" i="8"/>
  <c r="Y286" i="8" s="1"/>
  <c r="C496" i="8"/>
  <c r="Y496" i="8" s="1"/>
  <c r="F449" i="8"/>
  <c r="I449" i="8" s="1"/>
  <c r="C87" i="8"/>
  <c r="Y87" i="8" s="1"/>
  <c r="E321" i="8"/>
  <c r="F321" i="8" s="1"/>
  <c r="E151" i="8"/>
  <c r="F151" i="8" s="1"/>
  <c r="E255" i="8"/>
  <c r="F255" i="8" s="1"/>
  <c r="E94" i="8"/>
  <c r="F94" i="8" s="1"/>
  <c r="E170" i="8"/>
  <c r="F170" i="8" s="1"/>
  <c r="E311" i="8"/>
  <c r="F311" i="8" s="1"/>
  <c r="E38" i="8"/>
  <c r="F38" i="8" s="1"/>
  <c r="E166" i="8"/>
  <c r="F166" i="8" s="1"/>
  <c r="E82" i="8"/>
  <c r="F82" i="8" s="1"/>
  <c r="E345" i="8"/>
  <c r="F345" i="8" s="1"/>
  <c r="F331" i="8"/>
  <c r="F500" i="8"/>
  <c r="G500" i="8" s="1"/>
  <c r="C394" i="8"/>
  <c r="Y394" i="8" s="1"/>
  <c r="C80" i="8"/>
  <c r="Y80" i="8" s="1"/>
  <c r="C158" i="8"/>
  <c r="Y158" i="8" s="1"/>
  <c r="C199" i="8"/>
  <c r="Y199" i="8" s="1"/>
  <c r="C360" i="8"/>
  <c r="Y360" i="8" s="1"/>
  <c r="C446" i="8"/>
  <c r="Y446" i="8" s="1"/>
  <c r="C439" i="8"/>
  <c r="Y439" i="8" s="1"/>
  <c r="C90" i="8"/>
  <c r="Y90" i="8" s="1"/>
  <c r="C391" i="8"/>
  <c r="Y391" i="8" s="1"/>
  <c r="C105" i="8"/>
  <c r="Y105" i="8" s="1"/>
  <c r="C49" i="8"/>
  <c r="Y49" i="8" s="1"/>
  <c r="E352" i="8"/>
  <c r="F352" i="8" s="1"/>
  <c r="E358" i="8"/>
  <c r="F358" i="8" s="1"/>
  <c r="E186" i="8"/>
  <c r="F186" i="8" s="1"/>
  <c r="E384" i="8"/>
  <c r="F384" i="8" s="1"/>
  <c r="G384" i="8" s="1"/>
  <c r="E395" i="8"/>
  <c r="F395" i="8" s="1"/>
  <c r="E375" i="8"/>
  <c r="F375" i="8" s="1"/>
  <c r="E7" i="8"/>
  <c r="F7" i="8" s="1"/>
  <c r="E343" i="8"/>
  <c r="F343" i="8" s="1"/>
  <c r="E171" i="8"/>
  <c r="F171" i="8" s="1"/>
  <c r="E173" i="8"/>
  <c r="F173" i="8" s="1"/>
  <c r="E256" i="8"/>
  <c r="F256" i="8" s="1"/>
  <c r="E416" i="8"/>
  <c r="F416" i="8" s="1"/>
  <c r="E101" i="8"/>
  <c r="F101" i="8" s="1"/>
  <c r="E239" i="8"/>
  <c r="F239" i="8" s="1"/>
  <c r="E290" i="8"/>
  <c r="F290" i="8" s="1"/>
  <c r="E212" i="8"/>
  <c r="F212" i="8" s="1"/>
  <c r="E310" i="8"/>
  <c r="F310" i="8" s="1"/>
  <c r="E203" i="8"/>
  <c r="F203" i="8" s="1"/>
  <c r="E342" i="8"/>
  <c r="F342" i="8" s="1"/>
  <c r="E53" i="8"/>
  <c r="F53" i="8" s="1"/>
  <c r="E392" i="8"/>
  <c r="F392" i="8" s="1"/>
  <c r="E223" i="8"/>
  <c r="F223" i="8" s="1"/>
  <c r="E104" i="8"/>
  <c r="F104" i="8" s="1"/>
  <c r="E355" i="8"/>
  <c r="F355" i="8" s="1"/>
  <c r="E409" i="8"/>
  <c r="F409" i="8" s="1"/>
  <c r="C223" i="8"/>
  <c r="Y223" i="8" s="1"/>
  <c r="F410" i="8"/>
  <c r="C301" i="8"/>
  <c r="Y301" i="8" s="1"/>
  <c r="C493" i="8"/>
  <c r="Y493" i="8" s="1"/>
  <c r="C19" i="8"/>
  <c r="Y19" i="8" s="1"/>
  <c r="C39" i="8"/>
  <c r="Y39" i="8" s="1"/>
  <c r="F112" i="8"/>
  <c r="G112" i="8" s="1"/>
  <c r="C307" i="8"/>
  <c r="Y307" i="8" s="1"/>
  <c r="C274" i="8"/>
  <c r="Y274" i="8" s="1"/>
  <c r="C447" i="8"/>
  <c r="Y447" i="8" s="1"/>
  <c r="C122" i="8"/>
  <c r="Y122" i="8" s="1"/>
  <c r="C417" i="8"/>
  <c r="Y417" i="8" s="1"/>
  <c r="C392" i="8"/>
  <c r="Y392" i="8" s="1"/>
  <c r="C228" i="8"/>
  <c r="Y228" i="8" s="1"/>
  <c r="E338" i="8"/>
  <c r="F338" i="8" s="1"/>
  <c r="E482" i="8"/>
  <c r="F482" i="8" s="1"/>
  <c r="E304" i="8"/>
  <c r="F304" i="8" s="1"/>
  <c r="E93" i="8"/>
  <c r="F93" i="8" s="1"/>
  <c r="E21" i="8"/>
  <c r="F21" i="8" s="1"/>
  <c r="E129" i="8"/>
  <c r="F129" i="8" s="1"/>
  <c r="E275" i="8"/>
  <c r="F275" i="8" s="1"/>
  <c r="E426" i="8"/>
  <c r="F426" i="8" s="1"/>
  <c r="E387" i="8"/>
  <c r="F387" i="8" s="1"/>
  <c r="H387" i="8" s="1"/>
  <c r="E80" i="8"/>
  <c r="F80" i="8" s="1"/>
  <c r="E32" i="8"/>
  <c r="F32" i="8" s="1"/>
  <c r="E200" i="8"/>
  <c r="F200" i="8" s="1"/>
  <c r="E58" i="8"/>
  <c r="F58" i="8" s="1"/>
  <c r="E220" i="8"/>
  <c r="F220" i="8" s="1"/>
  <c r="E50" i="8"/>
  <c r="F50" i="8" s="1"/>
  <c r="E489" i="8"/>
  <c r="F489" i="8" s="1"/>
  <c r="E78" i="8"/>
  <c r="F78" i="8" s="1"/>
  <c r="E153" i="8"/>
  <c r="F153" i="8" s="1"/>
  <c r="E207" i="8"/>
  <c r="F207" i="8" s="1"/>
  <c r="E205" i="8"/>
  <c r="F205" i="8" s="1"/>
  <c r="E287" i="8"/>
  <c r="F287" i="8" s="1"/>
  <c r="E497" i="8"/>
  <c r="F497" i="8" s="1"/>
  <c r="E191" i="8"/>
  <c r="F191" i="8" s="1"/>
  <c r="E139" i="8"/>
  <c r="F139" i="8" s="1"/>
  <c r="I139" i="8" s="1"/>
  <c r="E246" i="8"/>
  <c r="F246" i="8" s="1"/>
  <c r="E222" i="8"/>
  <c r="F222" i="8" s="1"/>
  <c r="C37" i="8"/>
  <c r="Y37" i="8" s="1"/>
  <c r="C436" i="8"/>
  <c r="Y436" i="8" s="1"/>
  <c r="C475" i="8"/>
  <c r="Y475" i="8" s="1"/>
  <c r="C302" i="8"/>
  <c r="Y302" i="8" s="1"/>
  <c r="C340" i="8"/>
  <c r="Y340" i="8" s="1"/>
  <c r="C318" i="8"/>
  <c r="Y318" i="8" s="1"/>
  <c r="C469" i="8"/>
  <c r="Y469" i="8" s="1"/>
  <c r="C15" i="8"/>
  <c r="Y15" i="8" s="1"/>
  <c r="C181" i="8"/>
  <c r="Y181" i="8" s="1"/>
  <c r="C497" i="8"/>
  <c r="Y497" i="8" s="1"/>
  <c r="C125" i="8"/>
  <c r="Y125" i="8" s="1"/>
  <c r="F301" i="8"/>
  <c r="G301" i="8" s="1"/>
  <c r="C258" i="8"/>
  <c r="Y258" i="8" s="1"/>
  <c r="F376" i="8"/>
  <c r="C60" i="8"/>
  <c r="Y60" i="8" s="1"/>
  <c r="E266" i="8"/>
  <c r="F266" i="8" s="1"/>
  <c r="E22" i="8"/>
  <c r="F22" i="8" s="1"/>
  <c r="E230" i="8"/>
  <c r="F230" i="8" s="1"/>
  <c r="E434" i="8"/>
  <c r="F434" i="8" s="1"/>
  <c r="I434" i="8" s="1"/>
  <c r="E328" i="8"/>
  <c r="F328" i="8" s="1"/>
  <c r="E99" i="8"/>
  <c r="F99" i="8" s="1"/>
  <c r="E285" i="8"/>
  <c r="F285" i="8" s="1"/>
  <c r="E214" i="8"/>
  <c r="F214" i="8" s="1"/>
  <c r="E295" i="8"/>
  <c r="F295" i="8" s="1"/>
  <c r="E213" i="8"/>
  <c r="F213" i="8" s="1"/>
  <c r="E356" i="8"/>
  <c r="F356" i="8" s="1"/>
  <c r="E394" i="8"/>
  <c r="F394" i="8" s="1"/>
  <c r="E71" i="8"/>
  <c r="F71" i="8" s="1"/>
  <c r="E57" i="8"/>
  <c r="F57" i="8" s="1"/>
  <c r="E35" i="8"/>
  <c r="F35" i="8" s="1"/>
  <c r="G35" i="8" s="1"/>
  <c r="E106" i="8"/>
  <c r="F106" i="8" s="1"/>
  <c r="E495" i="8"/>
  <c r="F495" i="8" s="1"/>
  <c r="E268" i="8"/>
  <c r="F268" i="8" s="1"/>
  <c r="E228" i="8"/>
  <c r="F228" i="8" s="1"/>
  <c r="E250" i="8"/>
  <c r="F250" i="8" s="1"/>
  <c r="E231" i="8"/>
  <c r="F231" i="8" s="1"/>
  <c r="G231" i="8" s="1"/>
  <c r="E298" i="8"/>
  <c r="F298" i="8" s="1"/>
  <c r="E317" i="8"/>
  <c r="F317" i="8" s="1"/>
  <c r="E47" i="8"/>
  <c r="F47" i="8" s="1"/>
  <c r="E76" i="8"/>
  <c r="F76" i="8" s="1"/>
  <c r="C152" i="8"/>
  <c r="Y152" i="8" s="1"/>
  <c r="C326" i="8"/>
  <c r="Y326" i="8" s="1"/>
  <c r="C230" i="8"/>
  <c r="Y230" i="8" s="1"/>
  <c r="C373" i="8"/>
  <c r="Y373" i="8" s="1"/>
  <c r="C242" i="8"/>
  <c r="Y242" i="8" s="1"/>
  <c r="C219" i="8"/>
  <c r="Y219" i="8" s="1"/>
  <c r="F366" i="8"/>
  <c r="I366" i="8" s="1"/>
  <c r="C489" i="8"/>
  <c r="Y489" i="8" s="1"/>
  <c r="C81" i="8"/>
  <c r="Y81" i="8" s="1"/>
  <c r="C68" i="8"/>
  <c r="Y68" i="8" s="1"/>
  <c r="F289" i="8"/>
  <c r="C207" i="8"/>
  <c r="Y207" i="8" s="1"/>
  <c r="E491" i="8"/>
  <c r="F491" i="8" s="1"/>
  <c r="E264" i="8"/>
  <c r="F264" i="8" s="1"/>
  <c r="G264" i="8" s="1"/>
  <c r="E378" i="8"/>
  <c r="F378" i="8" s="1"/>
  <c r="E460" i="8"/>
  <c r="F460" i="8" s="1"/>
  <c r="I460" i="8" s="1"/>
  <c r="E88" i="8"/>
  <c r="F88" i="8" s="1"/>
  <c r="E125" i="8"/>
  <c r="F125" i="8" s="1"/>
  <c r="E142" i="8"/>
  <c r="F142" i="8" s="1"/>
  <c r="I142" i="8" s="1"/>
  <c r="E37" i="8"/>
  <c r="F37" i="8" s="1"/>
  <c r="E397" i="8"/>
  <c r="F397" i="8" s="1"/>
  <c r="E61" i="8"/>
  <c r="F61" i="8" s="1"/>
  <c r="G61" i="8" s="1"/>
  <c r="E322" i="8"/>
  <c r="F322" i="8" s="1"/>
  <c r="E20" i="8"/>
  <c r="F20" i="8" s="1"/>
  <c r="E26" i="8"/>
  <c r="F26" i="8" s="1"/>
  <c r="I26" i="8" s="1"/>
  <c r="E457" i="8"/>
  <c r="F457" i="8" s="1"/>
  <c r="H457" i="8" s="1"/>
  <c r="E41" i="8"/>
  <c r="F41" i="8" s="1"/>
  <c r="E185" i="8"/>
  <c r="F185" i="8" s="1"/>
  <c r="E249" i="8"/>
  <c r="F249" i="8" s="1"/>
  <c r="E211" i="8"/>
  <c r="F211" i="8" s="1"/>
  <c r="E269" i="8"/>
  <c r="F269" i="8" s="1"/>
  <c r="E273" i="8"/>
  <c r="F273" i="8" s="1"/>
  <c r="G273" i="8" s="1"/>
  <c r="E436" i="8"/>
  <c r="F436" i="8" s="1"/>
  <c r="E442" i="8"/>
  <c r="F442" i="8" s="1"/>
  <c r="E432" i="8"/>
  <c r="F432" i="8" s="1"/>
  <c r="E13" i="8"/>
  <c r="F13" i="8" s="1"/>
  <c r="E149" i="8"/>
  <c r="F149" i="8" s="1"/>
  <c r="E380" i="8"/>
  <c r="F380" i="8" s="1"/>
  <c r="E59" i="8"/>
  <c r="F59" i="8" s="1"/>
  <c r="I59" i="8" s="1"/>
  <c r="E262" i="8"/>
  <c r="F262" i="8" s="1"/>
  <c r="E265" i="8"/>
  <c r="F265" i="8" s="1"/>
  <c r="E370" i="8"/>
  <c r="F370" i="8" s="1"/>
  <c r="E183" i="8"/>
  <c r="F183" i="8" s="1"/>
  <c r="E219" i="8"/>
  <c r="F219" i="8" s="1"/>
  <c r="C454" i="8"/>
  <c r="Y454" i="8" s="1"/>
  <c r="C57" i="8"/>
  <c r="Y57" i="8" s="1"/>
  <c r="C485" i="8"/>
  <c r="Y485" i="8" s="1"/>
  <c r="C178" i="8"/>
  <c r="Y178" i="8" s="1"/>
  <c r="C42" i="8"/>
  <c r="Y42" i="8" s="1"/>
  <c r="C28" i="8"/>
  <c r="Y28" i="8" s="1"/>
  <c r="C17" i="8"/>
  <c r="Y17" i="8" s="1"/>
  <c r="F77" i="8"/>
  <c r="I77" i="8" s="1"/>
  <c r="C9" i="8"/>
  <c r="Y9" i="8" s="1"/>
  <c r="C119" i="8"/>
  <c r="Y119" i="8" s="1"/>
  <c r="C212" i="8"/>
  <c r="Y212" i="8" s="1"/>
  <c r="E288" i="8"/>
  <c r="F288" i="8" s="1"/>
  <c r="E233" i="8"/>
  <c r="F233" i="8" s="1"/>
  <c r="E128" i="8"/>
  <c r="F128" i="8" s="1"/>
  <c r="E429" i="8"/>
  <c r="F429" i="8" s="1"/>
  <c r="E109" i="8"/>
  <c r="F109" i="8" s="1"/>
  <c r="E336" i="8"/>
  <c r="F336" i="8" s="1"/>
  <c r="E307" i="8"/>
  <c r="F307" i="8" s="1"/>
  <c r="E45" i="8"/>
  <c r="F45" i="8" s="1"/>
  <c r="E17" i="8"/>
  <c r="F17" i="8" s="1"/>
  <c r="I17" i="8" s="1"/>
  <c r="E175" i="8"/>
  <c r="F175" i="8" s="1"/>
  <c r="E241" i="8"/>
  <c r="F241" i="8" s="1"/>
  <c r="E161" i="8"/>
  <c r="F161" i="8" s="1"/>
  <c r="H161" i="8" s="1"/>
  <c r="E49" i="8"/>
  <c r="F49" i="8" s="1"/>
  <c r="I49" i="8" s="1"/>
  <c r="E326" i="8"/>
  <c r="F326" i="8" s="1"/>
  <c r="E102" i="8"/>
  <c r="F102" i="8" s="1"/>
  <c r="E4" i="8"/>
  <c r="F4" i="8" s="1"/>
  <c r="E332" i="8"/>
  <c r="F332" i="8" s="1"/>
  <c r="G332" i="8" s="1"/>
  <c r="E467" i="8"/>
  <c r="F467" i="8" s="1"/>
  <c r="E299" i="8"/>
  <c r="F299" i="8" s="1"/>
  <c r="E362" i="8"/>
  <c r="F362" i="8" s="1"/>
  <c r="E344" i="8"/>
  <c r="F344" i="8" s="1"/>
  <c r="E91" i="8"/>
  <c r="F91" i="8" s="1"/>
  <c r="G91" i="8" s="1"/>
  <c r="E499" i="8"/>
  <c r="F499" i="8" s="1"/>
  <c r="E386" i="8"/>
  <c r="F386" i="8" s="1"/>
  <c r="C195" i="8"/>
  <c r="Y195" i="8" s="1"/>
  <c r="C46" i="8"/>
  <c r="Y46" i="8" s="1"/>
  <c r="C319" i="8"/>
  <c r="Y319" i="8" s="1"/>
  <c r="C33" i="8"/>
  <c r="Y33" i="8" s="1"/>
  <c r="C277" i="8"/>
  <c r="Y277" i="8" s="1"/>
  <c r="C336" i="8"/>
  <c r="Y336" i="8" s="1"/>
  <c r="C227" i="8"/>
  <c r="Y227" i="8" s="1"/>
  <c r="C413" i="8"/>
  <c r="Y413" i="8" s="1"/>
  <c r="E420" i="8"/>
  <c r="F420" i="8" s="1"/>
  <c r="G420" i="8" s="1"/>
  <c r="E393" i="8"/>
  <c r="F393" i="8" s="1"/>
  <c r="E96" i="8"/>
  <c r="F96" i="8" s="1"/>
  <c r="E16" i="8"/>
  <c r="F16" i="8" s="1"/>
  <c r="G16" i="8" s="1"/>
  <c r="E486" i="8"/>
  <c r="F486" i="8" s="1"/>
  <c r="G486" i="8" s="1"/>
  <c r="E382" i="8"/>
  <c r="F382" i="8" s="1"/>
  <c r="E357" i="8"/>
  <c r="F357" i="8" s="1"/>
  <c r="E253" i="8"/>
  <c r="F253" i="8" s="1"/>
  <c r="E119" i="8"/>
  <c r="F119" i="8" s="1"/>
  <c r="E461" i="8"/>
  <c r="F461" i="8" s="1"/>
  <c r="E2" i="8"/>
  <c r="F2" i="8" s="1"/>
  <c r="H2" i="8" s="1"/>
  <c r="E417" i="8"/>
  <c r="F417" i="8" s="1"/>
  <c r="E462" i="8"/>
  <c r="F462" i="8" s="1"/>
  <c r="E293" i="8"/>
  <c r="F293" i="8" s="1"/>
  <c r="E69" i="8"/>
  <c r="F69" i="8" s="1"/>
  <c r="E199" i="8"/>
  <c r="F199" i="8" s="1"/>
  <c r="E306" i="8"/>
  <c r="F306" i="8" s="1"/>
  <c r="G306" i="8" s="1"/>
  <c r="E18" i="8"/>
  <c r="F18" i="8" s="1"/>
  <c r="E274" i="8"/>
  <c r="F274" i="8" s="1"/>
  <c r="E248" i="8"/>
  <c r="F248" i="8" s="1"/>
  <c r="J248" i="8" s="1"/>
  <c r="E120" i="8"/>
  <c r="F120" i="8" s="1"/>
  <c r="E354" i="8"/>
  <c r="F354" i="8" s="1"/>
  <c r="G354" i="8" s="1"/>
  <c r="E189" i="8"/>
  <c r="F189" i="8" s="1"/>
  <c r="E330" i="8"/>
  <c r="F330" i="8" s="1"/>
  <c r="E136" i="8"/>
  <c r="F136" i="8" s="1"/>
  <c r="I136" i="8" s="1"/>
  <c r="E329" i="8"/>
  <c r="F329" i="8" s="1"/>
  <c r="E403" i="8"/>
  <c r="F403" i="8" s="1"/>
  <c r="E177" i="8"/>
  <c r="F177" i="8" s="1"/>
  <c r="E440" i="8"/>
  <c r="F440" i="8" s="1"/>
  <c r="E107" i="8"/>
  <c r="F107" i="8" s="1"/>
  <c r="G107" i="8" s="1"/>
  <c r="C465" i="8"/>
  <c r="Y465" i="8" s="1"/>
  <c r="C84" i="8"/>
  <c r="Y84" i="8" s="1"/>
  <c r="F278" i="8"/>
  <c r="I278" i="8" s="1"/>
  <c r="C488" i="8"/>
  <c r="Y488" i="8" s="1"/>
  <c r="C62" i="8"/>
  <c r="Y62" i="8" s="1"/>
  <c r="C287" i="8"/>
  <c r="Y287" i="8" s="1"/>
  <c r="C403" i="8"/>
  <c r="Y403" i="8" s="1"/>
  <c r="G182" i="8"/>
  <c r="I182" i="8"/>
  <c r="G48" i="8"/>
  <c r="I48" i="8"/>
  <c r="G232" i="8"/>
  <c r="I232" i="8"/>
  <c r="G480" i="8"/>
  <c r="I480" i="8"/>
  <c r="G312" i="8"/>
  <c r="I312" i="8"/>
  <c r="I398" i="8"/>
  <c r="G398" i="8"/>
  <c r="I340" i="8"/>
  <c r="G340" i="8"/>
  <c r="I475" i="8"/>
  <c r="G475" i="8"/>
  <c r="I490" i="8"/>
  <c r="G217" i="8"/>
  <c r="I217" i="8"/>
  <c r="G9" i="8"/>
  <c r="G259" i="8"/>
  <c r="I259" i="8"/>
  <c r="I319" i="8"/>
  <c r="I9" i="8"/>
  <c r="I133" i="8"/>
  <c r="G133" i="8"/>
  <c r="I381" i="8"/>
  <c r="G359" i="8"/>
  <c r="I359" i="8"/>
  <c r="I155" i="8"/>
  <c r="G155" i="8"/>
  <c r="G252" i="8"/>
  <c r="I252" i="8"/>
  <c r="E244" i="8"/>
  <c r="F244" i="8" s="1"/>
  <c r="E351" i="8"/>
  <c r="F351" i="8" s="1"/>
  <c r="E364" i="8"/>
  <c r="F364" i="8" s="1"/>
  <c r="E271" i="8"/>
  <c r="F271" i="8" s="1"/>
  <c r="E115" i="8"/>
  <c r="F115" i="8" s="1"/>
  <c r="E390" i="8"/>
  <c r="F390" i="8" s="1"/>
  <c r="E325" i="8"/>
  <c r="F325" i="8" s="1"/>
  <c r="E75" i="8"/>
  <c r="F75" i="8" s="1"/>
  <c r="E14" i="8"/>
  <c r="F14" i="8" s="1"/>
  <c r="E277" i="8"/>
  <c r="F277" i="8" s="1"/>
  <c r="E160" i="8"/>
  <c r="F160" i="8" s="1"/>
  <c r="E138" i="8"/>
  <c r="F138" i="8" s="1"/>
  <c r="E315" i="8"/>
  <c r="F315" i="8" s="1"/>
  <c r="E143" i="8"/>
  <c r="F143" i="8" s="1"/>
  <c r="H143" i="8" s="1"/>
  <c r="E79" i="8"/>
  <c r="F79" i="8" s="1"/>
  <c r="E402" i="8"/>
  <c r="F402" i="8" s="1"/>
  <c r="E363" i="8"/>
  <c r="F363" i="8" s="1"/>
  <c r="E369" i="8"/>
  <c r="F369" i="8" s="1"/>
  <c r="E130" i="8"/>
  <c r="F130" i="8" s="1"/>
  <c r="E218" i="8"/>
  <c r="F218" i="8" s="1"/>
  <c r="E169" i="8"/>
  <c r="F169" i="8" s="1"/>
  <c r="E468" i="8"/>
  <c r="F468" i="8" s="1"/>
  <c r="E283" i="8"/>
  <c r="F283" i="8" s="1"/>
  <c r="E401" i="8"/>
  <c r="F401" i="8" s="1"/>
  <c r="E100" i="8"/>
  <c r="F100" i="8" s="1"/>
  <c r="E415" i="8"/>
  <c r="F415" i="8" s="1"/>
  <c r="E1" i="8"/>
  <c r="E24" i="8"/>
  <c r="F24" i="8" s="1"/>
  <c r="E377" i="8"/>
  <c r="F377" i="8" s="1"/>
  <c r="E314" i="8"/>
  <c r="F314" i="8" s="1"/>
  <c r="F303" i="8"/>
  <c r="H303" i="8" s="1"/>
  <c r="C100" i="8"/>
  <c r="Y100" i="8" s="1"/>
  <c r="C214" i="8"/>
  <c r="Y214" i="8" s="1"/>
  <c r="C425" i="8"/>
  <c r="Y425" i="8" s="1"/>
  <c r="C309" i="8"/>
  <c r="Y309" i="8" s="1"/>
  <c r="C294" i="8"/>
  <c r="Y294" i="8" s="1"/>
  <c r="C200" i="8"/>
  <c r="Y200" i="8" s="1"/>
  <c r="C419" i="8"/>
  <c r="Y419" i="8" s="1"/>
  <c r="F144" i="8"/>
  <c r="F316" i="8"/>
  <c r="C449" i="8"/>
  <c r="Y449" i="8" s="1"/>
  <c r="C13" i="8"/>
  <c r="Y13" i="8" s="1"/>
  <c r="C159" i="8"/>
  <c r="Y159" i="8" s="1"/>
  <c r="C343" i="8"/>
  <c r="Y343" i="8" s="1"/>
  <c r="C359" i="8"/>
  <c r="Y359" i="8" s="1"/>
  <c r="C177" i="8"/>
  <c r="Y177" i="8" s="1"/>
  <c r="C186" i="8"/>
  <c r="Y186" i="8" s="1"/>
  <c r="C346" i="8"/>
  <c r="Y346" i="8" s="1"/>
  <c r="C298" i="8"/>
  <c r="Y298" i="8" s="1"/>
  <c r="C398" i="8"/>
  <c r="Y398" i="8" s="1"/>
  <c r="C168" i="8"/>
  <c r="Y168" i="8" s="1"/>
  <c r="C423" i="8"/>
  <c r="Y423" i="8" s="1"/>
  <c r="C293" i="8"/>
  <c r="Y293" i="8" s="1"/>
  <c r="C282" i="8"/>
  <c r="Y282" i="8" s="1"/>
  <c r="F84" i="8"/>
  <c r="C266" i="8"/>
  <c r="Y266" i="8" s="1"/>
  <c r="C34" i="8"/>
  <c r="Y34" i="8" s="1"/>
  <c r="C104" i="8"/>
  <c r="Y104" i="8" s="1"/>
  <c r="C123" i="8"/>
  <c r="Y123" i="8" s="1"/>
  <c r="C478" i="8"/>
  <c r="Y478" i="8" s="1"/>
  <c r="C317" i="8"/>
  <c r="Y317" i="8" s="1"/>
  <c r="C386" i="8"/>
  <c r="Y386" i="8" s="1"/>
  <c r="C444" i="8"/>
  <c r="Y444" i="8" s="1"/>
  <c r="C111" i="8"/>
  <c r="Y111" i="8" s="1"/>
  <c r="C316" i="8"/>
  <c r="Y316" i="8" s="1"/>
  <c r="C431" i="8"/>
  <c r="Y431" i="8" s="1"/>
  <c r="C160" i="8"/>
  <c r="Y160" i="8" s="1"/>
  <c r="C162" i="8"/>
  <c r="Y162" i="8" s="1"/>
  <c r="C179" i="8"/>
  <c r="Y179" i="8" s="1"/>
  <c r="C339" i="8"/>
  <c r="Y339" i="8" s="1"/>
  <c r="C196" i="8"/>
  <c r="Y196" i="8" s="1"/>
  <c r="C407" i="8"/>
  <c r="Y407" i="8" s="1"/>
  <c r="C139" i="8"/>
  <c r="Y139" i="8" s="1"/>
  <c r="C92" i="8"/>
  <c r="Y92" i="8" s="1"/>
  <c r="C231" i="8"/>
  <c r="Y231" i="8" s="1"/>
  <c r="C56" i="8"/>
  <c r="Y56" i="8" s="1"/>
  <c r="C187" i="8"/>
  <c r="Y187" i="8" s="1"/>
  <c r="C218" i="8"/>
  <c r="Y218" i="8" s="1"/>
  <c r="C421" i="8"/>
  <c r="Y421" i="8" s="1"/>
  <c r="C323" i="8"/>
  <c r="Y323" i="8" s="1"/>
  <c r="C355" i="8"/>
  <c r="Y355" i="8" s="1"/>
  <c r="C71" i="8"/>
  <c r="Y71" i="8" s="1"/>
  <c r="F437" i="8"/>
  <c r="C292" i="8"/>
  <c r="Y292" i="8" s="1"/>
  <c r="C45" i="8"/>
  <c r="Y45" i="8" s="1"/>
  <c r="C365" i="8"/>
  <c r="Y365" i="8" s="1"/>
  <c r="C94" i="8"/>
  <c r="Y94" i="8" s="1"/>
  <c r="C482" i="8"/>
  <c r="Y482" i="8" s="1"/>
  <c r="C95" i="8"/>
  <c r="Y95" i="8" s="1"/>
  <c r="C442" i="8"/>
  <c r="Y442" i="8" s="1"/>
  <c r="C53" i="8"/>
  <c r="Y53" i="8" s="1"/>
  <c r="C271" i="8"/>
  <c r="Y271" i="8" s="1"/>
  <c r="C126" i="8"/>
  <c r="Y126" i="8" s="1"/>
  <c r="C348" i="8"/>
  <c r="Y348" i="8" s="1"/>
  <c r="C296" i="8"/>
  <c r="Y296" i="8" s="1"/>
  <c r="C268" i="8"/>
  <c r="Y268" i="8" s="1"/>
  <c r="F385" i="8"/>
  <c r="C249" i="8"/>
  <c r="Y249" i="8" s="1"/>
  <c r="C239" i="8"/>
  <c r="Y239" i="8" s="1"/>
  <c r="C75" i="8"/>
  <c r="Y75" i="8" s="1"/>
  <c r="C357" i="8"/>
  <c r="Y357" i="8" s="1"/>
  <c r="C290" i="8"/>
  <c r="Y290" i="8" s="1"/>
  <c r="C384" i="8"/>
  <c r="Y384" i="8" s="1"/>
  <c r="C375" i="8"/>
  <c r="Y375" i="8" s="1"/>
  <c r="C267" i="8"/>
  <c r="Y267" i="8" s="1"/>
  <c r="C379" i="8"/>
  <c r="Y379" i="8" s="1"/>
  <c r="F276" i="8"/>
  <c r="C459" i="8"/>
  <c r="Y459" i="8" s="1"/>
  <c r="C20" i="8"/>
  <c r="Y20" i="8" s="1"/>
  <c r="C456" i="8"/>
  <c r="Y456" i="8" s="1"/>
  <c r="F433" i="8"/>
  <c r="C58" i="8"/>
  <c r="Y58" i="8" s="1"/>
  <c r="C427" i="8"/>
  <c r="Y427" i="8" s="1"/>
  <c r="C233" i="8"/>
  <c r="Y233" i="8" s="1"/>
  <c r="C36" i="8"/>
  <c r="Y36" i="8" s="1"/>
  <c r="C429" i="8"/>
  <c r="Y429" i="8" s="1"/>
  <c r="C275" i="8"/>
  <c r="Y275" i="8" s="1"/>
  <c r="C197" i="8"/>
  <c r="Y197" i="8" s="1"/>
  <c r="F83" i="8"/>
  <c r="C345" i="8"/>
  <c r="Y345" i="8" s="1"/>
  <c r="C48" i="8"/>
  <c r="Y48" i="8" s="1"/>
  <c r="C184" i="8"/>
  <c r="Y184" i="8" s="1"/>
  <c r="C380" i="8"/>
  <c r="Y380" i="8" s="1"/>
  <c r="C405" i="8"/>
  <c r="Y405" i="8" s="1"/>
  <c r="C235" i="8"/>
  <c r="Y235" i="8" s="1"/>
  <c r="C50" i="8"/>
  <c r="Y50" i="8" s="1"/>
  <c r="C163" i="8"/>
  <c r="Y163" i="8" s="1"/>
  <c r="C3" i="8"/>
  <c r="Y3" i="8" s="1"/>
  <c r="C155" i="8"/>
  <c r="Y155" i="8" s="1"/>
  <c r="C98" i="8"/>
  <c r="Y98" i="8" s="1"/>
  <c r="C138" i="8"/>
  <c r="Y138" i="8" s="1"/>
  <c r="C455" i="8"/>
  <c r="Y455" i="8" s="1"/>
  <c r="C40" i="8"/>
  <c r="Y40" i="8" s="1"/>
  <c r="C246" i="8"/>
  <c r="Y246" i="8" s="1"/>
  <c r="C347" i="8"/>
  <c r="Y347" i="8" s="1"/>
  <c r="C89" i="8"/>
  <c r="Y89" i="8" s="1"/>
  <c r="C376" i="8"/>
  <c r="Y376" i="8" s="1"/>
  <c r="C206" i="8"/>
  <c r="Y206" i="8" s="1"/>
  <c r="C107" i="8"/>
  <c r="Y107" i="8" s="1"/>
  <c r="C150" i="8"/>
  <c r="Y150" i="8" s="1"/>
  <c r="C349" i="8"/>
  <c r="Y349" i="8" s="1"/>
  <c r="C320" i="8"/>
  <c r="Y320" i="8" s="1"/>
  <c r="C265" i="8"/>
  <c r="Y265" i="8" s="1"/>
  <c r="C322" i="8"/>
  <c r="Y322" i="8" s="1"/>
  <c r="C153" i="8"/>
  <c r="Y153" i="8" s="1"/>
  <c r="C400" i="8"/>
  <c r="Y400" i="8" s="1"/>
  <c r="C366" i="8"/>
  <c r="Y366" i="8" s="1"/>
  <c r="C437" i="8"/>
  <c r="Y437" i="8" s="1"/>
  <c r="C452" i="8"/>
  <c r="Y452" i="8" s="1"/>
  <c r="C460" i="8"/>
  <c r="Y460" i="8" s="1"/>
  <c r="C78" i="8"/>
  <c r="Y78" i="8" s="1"/>
  <c r="C369" i="8"/>
  <c r="Y369" i="8" s="1"/>
  <c r="C175" i="8"/>
  <c r="Y175" i="8" s="1"/>
  <c r="C25" i="8"/>
  <c r="Y25" i="8" s="1"/>
  <c r="C269" i="8"/>
  <c r="Y269" i="8" s="1"/>
  <c r="C499" i="8"/>
  <c r="Y499" i="8" s="1"/>
  <c r="C354" i="8"/>
  <c r="Y354" i="8" s="1"/>
  <c r="C240" i="8"/>
  <c r="Y240" i="8" s="1"/>
  <c r="C201" i="8"/>
  <c r="Y201" i="8" s="1"/>
  <c r="C250" i="8"/>
  <c r="Y250" i="8" s="1"/>
  <c r="F493" i="8"/>
  <c r="C458" i="8"/>
  <c r="Y458" i="8" s="1"/>
  <c r="C70" i="8"/>
  <c r="Y70" i="8" s="1"/>
  <c r="F81" i="8"/>
  <c r="C289" i="8"/>
  <c r="Y289" i="8" s="1"/>
  <c r="C422" i="8"/>
  <c r="Y422" i="8" s="1"/>
  <c r="C243" i="8"/>
  <c r="Y243" i="8" s="1"/>
  <c r="C47" i="8"/>
  <c r="Y47" i="8" s="1"/>
  <c r="C74" i="8"/>
  <c r="Y74" i="8" s="1"/>
  <c r="C216" i="8"/>
  <c r="Y216" i="8" s="1"/>
  <c r="C16" i="8"/>
  <c r="Y16" i="8" s="1"/>
  <c r="C93" i="8"/>
  <c r="Y93" i="8" s="1"/>
  <c r="C65" i="8"/>
  <c r="Y65" i="8" s="1"/>
  <c r="C208" i="8"/>
  <c r="Y208" i="8" s="1"/>
  <c r="C234" i="8"/>
  <c r="Y234" i="8" s="1"/>
  <c r="F270" i="8"/>
  <c r="C77" i="8"/>
  <c r="Y77" i="8" s="1"/>
  <c r="C134" i="8"/>
  <c r="Y134" i="8" s="1"/>
  <c r="C330" i="8"/>
  <c r="Y330" i="8" s="1"/>
  <c r="C327" i="8"/>
  <c r="Y327" i="8" s="1"/>
  <c r="C106" i="8"/>
  <c r="Y106" i="8" s="1"/>
  <c r="C312" i="8"/>
  <c r="Y312" i="8" s="1"/>
  <c r="C337" i="8"/>
  <c r="Y337" i="8" s="1"/>
  <c r="C435" i="8"/>
  <c r="Y435" i="8" s="1"/>
  <c r="F152" i="8"/>
  <c r="C331" i="8"/>
  <c r="Y331" i="8" s="1"/>
  <c r="C141" i="8"/>
  <c r="Y141" i="8" s="1"/>
  <c r="C402" i="8"/>
  <c r="Y402" i="8" s="1"/>
  <c r="C399" i="8"/>
  <c r="Y399" i="8" s="1"/>
  <c r="C241" i="8"/>
  <c r="Y241" i="8" s="1"/>
  <c r="C310" i="8"/>
  <c r="Y310" i="8" s="1"/>
  <c r="C364" i="8"/>
  <c r="Y364" i="8" s="1"/>
  <c r="C299" i="8"/>
  <c r="Y299" i="8" s="1"/>
  <c r="C278" i="8"/>
  <c r="Y278" i="8" s="1"/>
  <c r="C188" i="8"/>
  <c r="Y188" i="8" s="1"/>
  <c r="C232" i="8"/>
  <c r="Y232" i="8" s="1"/>
  <c r="C54" i="8"/>
  <c r="Y54" i="8" s="1"/>
  <c r="C351" i="8"/>
  <c r="Y351" i="8" s="1"/>
  <c r="C404" i="8"/>
  <c r="Y404" i="8" s="1"/>
  <c r="F141" i="8"/>
  <c r="F444" i="8"/>
  <c r="C342" i="8"/>
  <c r="Y342" i="8" s="1"/>
  <c r="C270" i="8"/>
  <c r="Y270" i="8" s="1"/>
  <c r="C420" i="8"/>
  <c r="Y420" i="8" s="1"/>
  <c r="C308" i="8"/>
  <c r="Y308" i="8" s="1"/>
  <c r="C217" i="8"/>
  <c r="Y217" i="8" s="1"/>
  <c r="C381" i="8"/>
  <c r="Y381" i="8" s="1"/>
  <c r="C22" i="8"/>
  <c r="Y22" i="8" s="1"/>
  <c r="C466" i="8"/>
  <c r="Y466" i="8" s="1"/>
  <c r="C414" i="8"/>
  <c r="Y414" i="8" s="1"/>
  <c r="C273" i="8"/>
  <c r="Y273" i="8" s="1"/>
  <c r="F286" i="8"/>
  <c r="C116" i="8"/>
  <c r="Y116" i="8" s="1"/>
  <c r="C24" i="8"/>
  <c r="Y24" i="8" s="1"/>
  <c r="C430" i="8"/>
  <c r="Y430" i="8" s="1"/>
  <c r="C61" i="8"/>
  <c r="Y61" i="8" s="1"/>
  <c r="C467" i="8"/>
  <c r="Y467" i="8" s="1"/>
  <c r="C481" i="8"/>
  <c r="Y481" i="8" s="1"/>
  <c r="C12" i="8"/>
  <c r="Y12" i="8" s="1"/>
  <c r="C91" i="8"/>
  <c r="Y91" i="8" s="1"/>
  <c r="C97" i="8"/>
  <c r="Y97" i="8" s="1"/>
  <c r="C10" i="8"/>
  <c r="Y10" i="8" s="1"/>
  <c r="C23" i="8"/>
  <c r="Y23" i="8" s="1"/>
  <c r="C385" i="8"/>
  <c r="Y385" i="8" s="1"/>
  <c r="C433" i="8"/>
  <c r="Y433" i="8" s="1"/>
  <c r="C124" i="8"/>
  <c r="Y124" i="8" s="1"/>
  <c r="C4" i="8"/>
  <c r="Y4" i="8" s="1"/>
  <c r="C441" i="8"/>
  <c r="Y441" i="8" s="1"/>
  <c r="C314" i="8"/>
  <c r="Y314" i="8" s="1"/>
  <c r="C306" i="8"/>
  <c r="Y306" i="8" s="1"/>
  <c r="C115" i="8"/>
  <c r="Y115" i="8" s="1"/>
  <c r="C83" i="8"/>
  <c r="Y83" i="8" s="1"/>
  <c r="C395" i="8"/>
  <c r="Y395" i="8" s="1"/>
  <c r="C474" i="8"/>
  <c r="Y474" i="8" s="1"/>
  <c r="C367" i="8"/>
  <c r="Y367" i="8" s="1"/>
  <c r="F353" i="8"/>
  <c r="C389" i="8"/>
  <c r="Y389" i="8" s="1"/>
  <c r="C288" i="8"/>
  <c r="Y288" i="8" s="1"/>
  <c r="C498" i="8"/>
  <c r="Y498" i="8" s="1"/>
  <c r="C174" i="8"/>
  <c r="Y174" i="8" s="1"/>
  <c r="C211" i="8"/>
  <c r="Y211" i="8" s="1"/>
  <c r="C477" i="8"/>
  <c r="Y477" i="8" s="1"/>
  <c r="C79" i="8"/>
  <c r="Y79" i="8" s="1"/>
  <c r="C445" i="8"/>
  <c r="Y445" i="8" s="1"/>
  <c r="C281" i="8"/>
  <c r="Y281" i="8" s="1"/>
  <c r="C500" i="8"/>
  <c r="Y500" i="8" s="1"/>
  <c r="C280" i="8"/>
  <c r="Y280" i="8" s="1"/>
  <c r="C279" i="8"/>
  <c r="Y279" i="8" s="1"/>
  <c r="C361" i="8"/>
  <c r="Y361" i="8" s="1"/>
  <c r="C51" i="8"/>
  <c r="Y51" i="8" s="1"/>
  <c r="C382" i="8"/>
  <c r="Y382" i="8" s="1"/>
  <c r="F229" i="8"/>
  <c r="C7" i="8"/>
  <c r="Y7" i="8" s="1"/>
  <c r="C136" i="8"/>
  <c r="Y136" i="8" s="1"/>
  <c r="C448" i="8"/>
  <c r="Y448" i="8" s="1"/>
  <c r="C176" i="8"/>
  <c r="Y176" i="8" s="1"/>
  <c r="C151" i="8"/>
  <c r="Y151" i="8" s="1"/>
  <c r="C182" i="8"/>
  <c r="Y182" i="8" s="1"/>
  <c r="C27" i="8"/>
  <c r="Y27" i="8" s="1"/>
  <c r="C21" i="8"/>
  <c r="Y21" i="8" s="1"/>
  <c r="C409" i="8"/>
  <c r="Y409" i="8" s="1"/>
  <c r="C226" i="8"/>
  <c r="Y226" i="8" s="1"/>
  <c r="F451" i="8"/>
  <c r="C491" i="8"/>
  <c r="Y491" i="8" s="1"/>
  <c r="C464" i="8"/>
  <c r="Y464" i="8" s="1"/>
  <c r="F90" i="8"/>
  <c r="C408" i="8"/>
  <c r="Y408" i="8" s="1"/>
  <c r="F391" i="8"/>
  <c r="C255" i="8"/>
  <c r="Y255" i="8" s="1"/>
  <c r="C215" i="8"/>
  <c r="Y215" i="8" s="1"/>
  <c r="C131" i="8"/>
  <c r="Y131" i="8" s="1"/>
  <c r="C130" i="8"/>
  <c r="Y130" i="8" s="1"/>
  <c r="C156" i="8"/>
  <c r="Y156" i="8" s="1"/>
  <c r="C363" i="8"/>
  <c r="Y363" i="8" s="1"/>
  <c r="C229" i="8"/>
  <c r="Y229" i="8" s="1"/>
  <c r="C406" i="8"/>
  <c r="Y406" i="8" s="1"/>
  <c r="C32" i="8"/>
  <c r="Y32" i="8" s="1"/>
  <c r="C225" i="8"/>
  <c r="Y225" i="8" s="1"/>
  <c r="C209" i="8"/>
  <c r="Y209" i="8" s="1"/>
  <c r="C85" i="8"/>
  <c r="Y85" i="8" s="1"/>
  <c r="C333" i="8"/>
  <c r="Y333" i="8" s="1"/>
  <c r="C169" i="8"/>
  <c r="Y169" i="8" s="1"/>
  <c r="C222" i="8"/>
  <c r="Y222" i="8" s="1"/>
  <c r="C272" i="8"/>
  <c r="Y272" i="8" s="1"/>
  <c r="C426" i="8"/>
  <c r="Y426" i="8" s="1"/>
  <c r="C260" i="8"/>
  <c r="Y260" i="8" s="1"/>
  <c r="C52" i="8"/>
  <c r="Y52" i="8" s="1"/>
  <c r="C341" i="8"/>
  <c r="Y341" i="8" s="1"/>
  <c r="C472" i="8"/>
  <c r="Y472" i="8" s="1"/>
  <c r="C86" i="8"/>
  <c r="Y86" i="8" s="1"/>
  <c r="F263" i="8"/>
  <c r="C397" i="8"/>
  <c r="Y397" i="8" s="1"/>
  <c r="C173" i="8"/>
  <c r="Y173" i="8" s="1"/>
  <c r="C264" i="8"/>
  <c r="Y264" i="8" s="1"/>
  <c r="C305" i="8"/>
  <c r="Y305" i="8" s="1"/>
  <c r="C329" i="8"/>
  <c r="Y329" i="8" s="1"/>
  <c r="C114" i="8"/>
  <c r="Y114" i="8" s="1"/>
  <c r="F446" i="8"/>
  <c r="C328" i="8"/>
  <c r="Y328" i="8" s="1"/>
  <c r="C285" i="8"/>
  <c r="Y285" i="8" s="1"/>
  <c r="C383" i="8"/>
  <c r="Y383" i="8" s="1"/>
  <c r="C487" i="8"/>
  <c r="Y487" i="8" s="1"/>
  <c r="C300" i="8"/>
  <c r="Y300" i="8" s="1"/>
  <c r="C157" i="8"/>
  <c r="Y157" i="8" s="1"/>
  <c r="F447" i="8"/>
  <c r="C335" i="8"/>
  <c r="Y335" i="8" s="1"/>
  <c r="C38" i="8"/>
  <c r="Y38" i="8" s="1"/>
  <c r="C259" i="8"/>
  <c r="Y259" i="8" s="1"/>
  <c r="C67" i="8"/>
  <c r="Y67" i="8" s="1"/>
  <c r="F3" i="8"/>
  <c r="C101" i="8"/>
  <c r="Y101" i="8" s="1"/>
  <c r="C332" i="8"/>
  <c r="Y332" i="8" s="1"/>
  <c r="F187" i="8"/>
  <c r="F33" i="8"/>
  <c r="E154" i="8"/>
  <c r="F154" i="8" s="1"/>
  <c r="E448" i="8"/>
  <c r="F448" i="8" s="1"/>
  <c r="E165" i="8"/>
  <c r="F165" i="8" s="1"/>
  <c r="E234" i="8"/>
  <c r="F234" i="8" s="1"/>
  <c r="E34" i="8"/>
  <c r="F34" i="8" s="1"/>
  <c r="E181" i="8"/>
  <c r="F181" i="8" s="1"/>
  <c r="E132" i="8"/>
  <c r="F132" i="8" s="1"/>
  <c r="E372" i="8"/>
  <c r="F372" i="8" s="1"/>
  <c r="E162" i="8"/>
  <c r="F162" i="8" s="1"/>
  <c r="E180" i="8"/>
  <c r="F180" i="8" s="1"/>
  <c r="E25" i="8"/>
  <c r="F25" i="8" s="1"/>
  <c r="E72" i="8"/>
  <c r="F72" i="8" s="1"/>
  <c r="E227" i="8"/>
  <c r="F227" i="8" s="1"/>
  <c r="E470" i="8"/>
  <c r="F470" i="8" s="1"/>
  <c r="H470" i="8" s="1"/>
  <c r="E374" i="8"/>
  <c r="F374" i="8" s="1"/>
  <c r="E156" i="8"/>
  <c r="F156" i="8" s="1"/>
  <c r="E425" i="8"/>
  <c r="F425" i="8" s="1"/>
  <c r="E498" i="8"/>
  <c r="F498" i="8" s="1"/>
  <c r="E178" i="8"/>
  <c r="F178" i="8" s="1"/>
  <c r="E478" i="8"/>
  <c r="F478" i="8" s="1"/>
  <c r="E67" i="8"/>
  <c r="F67" i="8" s="1"/>
  <c r="E209" i="8"/>
  <c r="F209" i="8" s="1"/>
  <c r="E64" i="8"/>
  <c r="F64" i="8" s="1"/>
  <c r="H64" i="8" s="1"/>
  <c r="E247" i="8"/>
  <c r="F247" i="8" s="1"/>
  <c r="E23" i="8"/>
  <c r="F23" i="8" s="1"/>
  <c r="E476" i="8"/>
  <c r="F476" i="8" s="1"/>
  <c r="E123" i="8"/>
  <c r="F123" i="8" s="1"/>
  <c r="E85" i="8"/>
  <c r="F85" i="8" s="1"/>
  <c r="E117" i="8"/>
  <c r="F117" i="8" s="1"/>
  <c r="E145" i="8"/>
  <c r="F145" i="8" s="1"/>
  <c r="E208" i="8"/>
  <c r="F208" i="8" s="1"/>
  <c r="E194" i="8"/>
  <c r="F194" i="8" s="1"/>
  <c r="E318" i="8"/>
  <c r="F318" i="8" s="1"/>
  <c r="E464" i="8"/>
  <c r="F464" i="8" s="1"/>
  <c r="E430" i="8"/>
  <c r="F430" i="8" s="1"/>
  <c r="E74" i="8"/>
  <c r="F74" i="8" s="1"/>
  <c r="E396" i="8"/>
  <c r="F396" i="8" s="1"/>
  <c r="E281" i="8"/>
  <c r="F281" i="8" s="1"/>
  <c r="E198" i="8"/>
  <c r="F198" i="8" s="1"/>
  <c r="E379" i="8"/>
  <c r="F379" i="8" s="1"/>
  <c r="E124" i="8"/>
  <c r="F124" i="8" s="1"/>
  <c r="E350" i="8"/>
  <c r="F350" i="8" s="1"/>
  <c r="E15" i="8"/>
  <c r="F15" i="8" s="1"/>
  <c r="C495" i="8"/>
  <c r="Y495" i="8" s="1"/>
  <c r="C479" i="8"/>
  <c r="Y479" i="8" s="1"/>
  <c r="C325" i="8"/>
  <c r="Y325" i="8" s="1"/>
  <c r="C352" i="8"/>
  <c r="Y352" i="8" s="1"/>
  <c r="C338" i="8"/>
  <c r="Y338" i="8" s="1"/>
  <c r="C443" i="8"/>
  <c r="Y443" i="8" s="1"/>
  <c r="C476" i="8"/>
  <c r="Y476" i="8" s="1"/>
  <c r="C170" i="8"/>
  <c r="Y170" i="8" s="1"/>
  <c r="C492" i="8"/>
  <c r="Y492" i="8" s="1"/>
  <c r="C295" i="8"/>
  <c r="Y295" i="8" s="1"/>
  <c r="C149" i="8"/>
  <c r="Y149" i="8" s="1"/>
  <c r="C490" i="8"/>
  <c r="Y490" i="8" s="1"/>
  <c r="C14" i="8"/>
  <c r="Y14" i="8" s="1"/>
  <c r="C30" i="8"/>
  <c r="Y30" i="8" s="1"/>
  <c r="C132" i="8"/>
  <c r="Y132" i="8" s="1"/>
  <c r="C69" i="8"/>
  <c r="Y69" i="8" s="1"/>
  <c r="C202" i="8"/>
  <c r="Y202" i="8" s="1"/>
  <c r="C388" i="8"/>
  <c r="Y388" i="8" s="1"/>
  <c r="F291" i="8"/>
  <c r="H291" i="8" s="1"/>
  <c r="C393" i="8"/>
  <c r="Y393" i="8" s="1"/>
  <c r="C137" i="8"/>
  <c r="Y137" i="8" s="1"/>
  <c r="C236" i="8"/>
  <c r="Y236" i="8" s="1"/>
  <c r="C432" i="8"/>
  <c r="Y432" i="8" s="1"/>
  <c r="F30" i="8"/>
  <c r="C171" i="8"/>
  <c r="Y171" i="8" s="1"/>
  <c r="C194" i="8"/>
  <c r="Y194" i="8" s="1"/>
  <c r="C311" i="8"/>
  <c r="Y311" i="8" s="1"/>
  <c r="C350" i="8"/>
  <c r="Y350" i="8" s="1"/>
  <c r="C18" i="8"/>
  <c r="Y18" i="8" s="1"/>
  <c r="C113" i="8"/>
  <c r="Y113" i="8" s="1"/>
  <c r="C418" i="8"/>
  <c r="Y418" i="8" s="1"/>
  <c r="C412" i="8"/>
  <c r="Y412" i="8" s="1"/>
  <c r="C140" i="8"/>
  <c r="Y140" i="8" s="1"/>
  <c r="C253" i="8"/>
  <c r="Y253" i="8" s="1"/>
  <c r="C344" i="8"/>
  <c r="Y344" i="8" s="1"/>
  <c r="C183" i="8"/>
  <c r="Y183" i="8" s="1"/>
  <c r="F496" i="8"/>
  <c r="C6" i="8"/>
  <c r="Y6" i="8" s="1"/>
  <c r="C146" i="8"/>
  <c r="Y146" i="8" s="1"/>
  <c r="F492" i="8"/>
  <c r="C356" i="8"/>
  <c r="Y356" i="8" s="1"/>
  <c r="C193" i="8"/>
  <c r="Y193" i="8" s="1"/>
  <c r="C109" i="8"/>
  <c r="Y109" i="8" s="1"/>
  <c r="C368" i="8"/>
  <c r="Y368" i="8" s="1"/>
  <c r="C148" i="8"/>
  <c r="Y148" i="8" s="1"/>
  <c r="E471" i="8"/>
  <c r="F471" i="8" s="1"/>
  <c r="H471" i="8" s="1"/>
  <c r="E204" i="8"/>
  <c r="F204" i="8" s="1"/>
  <c r="E327" i="8"/>
  <c r="F327" i="8" s="1"/>
  <c r="E422" i="8"/>
  <c r="F422" i="8" s="1"/>
  <c r="E373" i="8"/>
  <c r="F373" i="8" s="1"/>
  <c r="E184" i="8"/>
  <c r="F184" i="8" s="1"/>
  <c r="E339" i="8"/>
  <c r="F339" i="8" s="1"/>
  <c r="E300" i="8"/>
  <c r="F300" i="8" s="1"/>
  <c r="E454" i="8"/>
  <c r="F454" i="8" s="1"/>
  <c r="E408" i="8"/>
  <c r="F408" i="8" s="1"/>
  <c r="E140" i="8"/>
  <c r="F140" i="8" s="1"/>
  <c r="E235" i="8"/>
  <c r="F235" i="8" s="1"/>
  <c r="E399" i="8"/>
  <c r="F399" i="8" s="1"/>
  <c r="E188" i="8"/>
  <c r="F188" i="8" s="1"/>
  <c r="E452" i="8"/>
  <c r="F452" i="8" s="1"/>
  <c r="E479" i="8"/>
  <c r="F479" i="8" s="1"/>
  <c r="E168" i="8"/>
  <c r="F168" i="8" s="1"/>
  <c r="E27" i="8"/>
  <c r="F27" i="8" s="1"/>
  <c r="E407" i="8"/>
  <c r="F407" i="8" s="1"/>
  <c r="E427" i="8"/>
  <c r="F427" i="8" s="1"/>
  <c r="E419" i="8"/>
  <c r="F419" i="8" s="1"/>
  <c r="E240" i="8"/>
  <c r="F240" i="8" s="1"/>
  <c r="E279" i="8"/>
  <c r="F279" i="8" s="1"/>
  <c r="E456" i="8"/>
  <c r="F456" i="8" s="1"/>
  <c r="E258" i="8"/>
  <c r="F258" i="8" s="1"/>
  <c r="E65" i="8"/>
  <c r="F65" i="8" s="1"/>
  <c r="E95" i="8"/>
  <c r="F95" i="8" s="1"/>
  <c r="E201" i="8"/>
  <c r="F201" i="8" s="1"/>
  <c r="E424" i="8"/>
  <c r="F424" i="8" s="1"/>
  <c r="E389" i="8"/>
  <c r="F389" i="8" s="1"/>
  <c r="E346" i="8"/>
  <c r="F346" i="8" s="1"/>
  <c r="E485" i="8"/>
  <c r="F485" i="8" s="1"/>
  <c r="E414" i="8"/>
  <c r="F414" i="8" s="1"/>
  <c r="E121" i="8"/>
  <c r="F121" i="8" s="1"/>
  <c r="E367" i="8"/>
  <c r="F367" i="8" s="1"/>
  <c r="E44" i="8"/>
  <c r="F44" i="8" s="1"/>
  <c r="E284" i="8"/>
  <c r="F284" i="8" s="1"/>
  <c r="E236" i="8"/>
  <c r="F236" i="8" s="1"/>
  <c r="E383" i="8"/>
  <c r="F383" i="8" s="1"/>
  <c r="E12" i="8"/>
  <c r="F12" i="8" s="1"/>
  <c r="E192" i="8"/>
  <c r="F192" i="8" s="1"/>
  <c r="C117" i="8"/>
  <c r="Y117" i="8" s="1"/>
  <c r="C198" i="8"/>
  <c r="Y198" i="8" s="1"/>
  <c r="F361" i="8"/>
  <c r="C370" i="8"/>
  <c r="Y370" i="8" s="1"/>
  <c r="C321" i="8"/>
  <c r="Y321" i="8" s="1"/>
  <c r="C128" i="8"/>
  <c r="Y128" i="8" s="1"/>
  <c r="C396" i="8"/>
  <c r="Y396" i="8" s="1"/>
  <c r="C324" i="8"/>
  <c r="Y324" i="8" s="1"/>
  <c r="C120" i="8"/>
  <c r="Y120" i="8" s="1"/>
  <c r="C220" i="8"/>
  <c r="Y220" i="8" s="1"/>
  <c r="C145" i="8"/>
  <c r="Y145" i="8" s="1"/>
  <c r="C262" i="8"/>
  <c r="Y262" i="8" s="1"/>
  <c r="C378" i="8"/>
  <c r="Y378" i="8" s="1"/>
  <c r="C129" i="8"/>
  <c r="Y129" i="8" s="1"/>
  <c r="C358" i="8"/>
  <c r="Y358" i="8" s="1"/>
  <c r="C486" i="8"/>
  <c r="Y486" i="8" s="1"/>
  <c r="C238" i="8"/>
  <c r="Y238" i="8" s="1"/>
  <c r="C304" i="8"/>
  <c r="Y304" i="8" s="1"/>
  <c r="C440" i="8"/>
  <c r="Y440" i="8" s="1"/>
  <c r="C180" i="8"/>
  <c r="Y180" i="8" s="1"/>
  <c r="C66" i="8"/>
  <c r="Y66" i="8" s="1"/>
  <c r="C213" i="8"/>
  <c r="Y213" i="8" s="1"/>
  <c r="C166" i="8"/>
  <c r="Y166" i="8" s="1"/>
  <c r="C254" i="8"/>
  <c r="Y254" i="8" s="1"/>
  <c r="C424" i="8"/>
  <c r="Y424" i="8" s="1"/>
  <c r="F334" i="8"/>
  <c r="C362" i="8"/>
  <c r="Y362" i="8" s="1"/>
  <c r="C35" i="8"/>
  <c r="Y35" i="8" s="1"/>
  <c r="C276" i="8"/>
  <c r="Y276" i="8" s="1"/>
  <c r="C167" i="8"/>
  <c r="Y167" i="8" s="1"/>
  <c r="C480" i="8"/>
  <c r="Y480" i="8" s="1"/>
  <c r="C484" i="8"/>
  <c r="Y484" i="8" s="1"/>
  <c r="C210" i="8"/>
  <c r="Y210" i="8" s="1"/>
  <c r="C41" i="8"/>
  <c r="Y41" i="8" s="1"/>
  <c r="C103" i="8"/>
  <c r="Y103" i="8" s="1"/>
  <c r="C133" i="8"/>
  <c r="Y133" i="8" s="1"/>
  <c r="C108" i="8"/>
  <c r="Y108" i="8" s="1"/>
  <c r="F404" i="8"/>
  <c r="F438" i="8"/>
  <c r="C334" i="8"/>
  <c r="Y334" i="8" s="1"/>
  <c r="C99" i="8"/>
  <c r="Y99" i="8" s="1"/>
  <c r="C224" i="8"/>
  <c r="Y224" i="8" s="1"/>
  <c r="C147" i="8"/>
  <c r="Y147" i="8" s="1"/>
  <c r="C192" i="8"/>
  <c r="Y192" i="8" s="1"/>
  <c r="F126" i="8"/>
  <c r="F455" i="8"/>
  <c r="C245" i="8"/>
  <c r="Y245" i="8" s="1"/>
  <c r="C11" i="8"/>
  <c r="Y11" i="8" s="1"/>
  <c r="F473" i="8"/>
  <c r="C221" i="8"/>
  <c r="Y221" i="8" s="1"/>
  <c r="F254" i="8"/>
  <c r="C263" i="8"/>
  <c r="Y263" i="8" s="1"/>
  <c r="C127" i="8"/>
  <c r="Y127" i="8" s="1"/>
  <c r="C315" i="8"/>
  <c r="Y315" i="8" s="1"/>
  <c r="C390" i="8"/>
  <c r="Y390" i="8" s="1"/>
  <c r="C450" i="8"/>
  <c r="Y450" i="8" s="1"/>
  <c r="F494" i="8"/>
  <c r="H494" i="8" s="1"/>
  <c r="C96" i="8"/>
  <c r="Y96" i="8" s="1"/>
  <c r="E98" i="8"/>
  <c r="F98" i="8" s="1"/>
  <c r="E450" i="8"/>
  <c r="F450" i="8" s="1"/>
  <c r="E225" i="8"/>
  <c r="F225" i="8" s="1"/>
  <c r="E31" i="8"/>
  <c r="F31" i="8" s="1"/>
  <c r="E215" i="8"/>
  <c r="F215" i="8" s="1"/>
  <c r="E89" i="8"/>
  <c r="F89" i="8" s="1"/>
  <c r="E193" i="8"/>
  <c r="F193" i="8" s="1"/>
  <c r="E280" i="8"/>
  <c r="F280" i="8" s="1"/>
  <c r="E131" i="8"/>
  <c r="F131" i="8" s="1"/>
  <c r="E337" i="8"/>
  <c r="F337" i="8" s="1"/>
  <c r="E174" i="8"/>
  <c r="F174" i="8" s="1"/>
  <c r="E158" i="8"/>
  <c r="F158" i="8" s="1"/>
  <c r="E224" i="8"/>
  <c r="F224" i="8" s="1"/>
  <c r="E313" i="8"/>
  <c r="F313" i="8" s="1"/>
  <c r="E87" i="8"/>
  <c r="F87" i="8" s="1"/>
  <c r="E472" i="8"/>
  <c r="F472" i="8" s="1"/>
  <c r="E481" i="8"/>
  <c r="F481" i="8" s="1"/>
  <c r="E159" i="8"/>
  <c r="F159" i="8" s="1"/>
  <c r="E323" i="8"/>
  <c r="F323" i="8" s="1"/>
  <c r="E46" i="8"/>
  <c r="F46" i="8" s="1"/>
  <c r="C205" i="8"/>
  <c r="Y205" i="8" s="1"/>
  <c r="C144" i="8"/>
  <c r="Y144" i="8" s="1"/>
  <c r="C428" i="8"/>
  <c r="Y428" i="8" s="1"/>
  <c r="C203" i="8"/>
  <c r="Y203" i="8" s="1"/>
  <c r="C461" i="8"/>
  <c r="Y461" i="8" s="1"/>
  <c r="C438" i="8"/>
  <c r="Y438" i="8" s="1"/>
  <c r="C353" i="8"/>
  <c r="Y353" i="8" s="1"/>
  <c r="C247" i="8"/>
  <c r="Y247" i="8" s="1"/>
  <c r="C401" i="8"/>
  <c r="Y401" i="8" s="1"/>
  <c r="F418" i="8"/>
  <c r="C43" i="8"/>
  <c r="Y43" i="8" s="1"/>
  <c r="C55" i="8"/>
  <c r="Y55" i="8" s="1"/>
  <c r="C189" i="8"/>
  <c r="Y189" i="8" s="1"/>
  <c r="C59" i="8"/>
  <c r="Y59" i="8" s="1"/>
  <c r="C251" i="8"/>
  <c r="Y251" i="8" s="1"/>
  <c r="F474" i="8"/>
  <c r="E238" i="8"/>
  <c r="F238" i="8" s="1"/>
  <c r="E42" i="8"/>
  <c r="F42" i="8" s="1"/>
  <c r="E179" i="8"/>
  <c r="F179" i="8" s="1"/>
  <c r="E335" i="8"/>
  <c r="F335" i="8" s="1"/>
  <c r="E484" i="8"/>
  <c r="F484" i="8" s="1"/>
  <c r="E453" i="8"/>
  <c r="F453" i="8" s="1"/>
  <c r="J453" i="8" s="1"/>
  <c r="E439" i="8"/>
  <c r="F439" i="8" s="1"/>
  <c r="E469" i="8"/>
  <c r="F469" i="8" s="1"/>
  <c r="E487" i="8"/>
  <c r="F487" i="8" s="1"/>
  <c r="E267" i="8"/>
  <c r="F267" i="8" s="1"/>
  <c r="E305" i="8"/>
  <c r="F305" i="8" s="1"/>
  <c r="E19" i="8"/>
  <c r="F19" i="8" s="1"/>
  <c r="E324" i="8"/>
  <c r="F324" i="8" s="1"/>
  <c r="E272" i="8"/>
  <c r="F272" i="8" s="1"/>
  <c r="E172" i="8"/>
  <c r="F172" i="8" s="1"/>
  <c r="E226" i="8"/>
  <c r="F226" i="8" s="1"/>
  <c r="E110" i="8"/>
  <c r="F110" i="8" s="1"/>
  <c r="E28" i="8"/>
  <c r="F28" i="8" s="1"/>
  <c r="E445" i="8"/>
  <c r="F445" i="8" s="1"/>
  <c r="E297" i="8"/>
  <c r="F297" i="8" s="1"/>
  <c r="H297" i="8" s="1"/>
  <c r="E60" i="8"/>
  <c r="F60" i="8" s="1"/>
  <c r="E406" i="8"/>
  <c r="F406" i="8" s="1"/>
  <c r="E62" i="8"/>
  <c r="F62" i="8" s="1"/>
  <c r="E40" i="8"/>
  <c r="F40" i="8" s="1"/>
  <c r="E39" i="8"/>
  <c r="F39" i="8" s="1"/>
  <c r="E66" i="8"/>
  <c r="F66" i="8" s="1"/>
  <c r="E6" i="8"/>
  <c r="F6" i="8" s="1"/>
  <c r="E348" i="8"/>
  <c r="F348" i="8" s="1"/>
  <c r="E163" i="8"/>
  <c r="F163" i="8" s="1"/>
  <c r="E423" i="8"/>
  <c r="F423" i="8" s="1"/>
  <c r="E86" i="8"/>
  <c r="F86" i="8" s="1"/>
  <c r="E466" i="8"/>
  <c r="F466" i="8" s="1"/>
  <c r="E114" i="8"/>
  <c r="F114" i="8" s="1"/>
  <c r="E97" i="8"/>
  <c r="F97" i="8" s="1"/>
  <c r="E458" i="8"/>
  <c r="F458" i="8" s="1"/>
  <c r="E245" i="8"/>
  <c r="F245" i="8" s="1"/>
  <c r="E341" i="8"/>
  <c r="F341" i="8" s="1"/>
  <c r="E164" i="8"/>
  <c r="F164" i="8" s="1"/>
  <c r="H164" i="8" s="1"/>
  <c r="E260" i="8"/>
  <c r="F260" i="8" s="1"/>
  <c r="E302" i="8"/>
  <c r="F302" i="8" s="1"/>
  <c r="E195" i="8"/>
  <c r="F195" i="8" s="1"/>
  <c r="E483" i="8"/>
  <c r="F483" i="8" s="1"/>
  <c r="E127" i="8"/>
  <c r="F127" i="8" s="1"/>
  <c r="E405" i="8"/>
  <c r="F405" i="8" s="1"/>
  <c r="E411" i="8"/>
  <c r="F411" i="8" s="1"/>
  <c r="H411" i="8" s="1"/>
  <c r="E421" i="8"/>
  <c r="F421" i="8" s="1"/>
  <c r="E243" i="8"/>
  <c r="F243" i="8" s="1"/>
  <c r="E68" i="8"/>
  <c r="F68" i="8" s="1"/>
  <c r="E261" i="8"/>
  <c r="F261" i="8" s="1"/>
  <c r="H261" i="8" s="1"/>
  <c r="E465" i="8"/>
  <c r="F465" i="8" s="1"/>
  <c r="E428" i="8"/>
  <c r="F428" i="8" s="1"/>
  <c r="E206" i="8"/>
  <c r="F206" i="8" s="1"/>
  <c r="E365" i="8"/>
  <c r="F365" i="8" s="1"/>
  <c r="E251" i="8"/>
  <c r="F251" i="8" s="1"/>
  <c r="E333" i="8"/>
  <c r="F333" i="8" s="1"/>
  <c r="E51" i="8"/>
  <c r="F51" i="8" s="1"/>
  <c r="C185" i="8"/>
  <c r="Y185" i="8" s="1"/>
  <c r="C468" i="8"/>
  <c r="Y468" i="8" s="1"/>
  <c r="C172" i="8"/>
  <c r="Y172" i="8" s="1"/>
  <c r="C283" i="8"/>
  <c r="Y283" i="8" s="1"/>
  <c r="C5" i="8"/>
  <c r="Y5" i="8" s="1"/>
  <c r="C8" i="8"/>
  <c r="Y8" i="8" s="1"/>
  <c r="C72" i="8"/>
  <c r="Y72" i="8" s="1"/>
  <c r="C284" i="8"/>
  <c r="Y284" i="8" s="1"/>
  <c r="C371" i="8"/>
  <c r="Y371" i="8" s="1"/>
  <c r="C63" i="8"/>
  <c r="Y63" i="8" s="1"/>
  <c r="F412" i="8"/>
  <c r="C372" i="8"/>
  <c r="Y372" i="8" s="1"/>
  <c r="C483" i="8"/>
  <c r="Y483" i="8" s="1"/>
  <c r="C256" i="8"/>
  <c r="Y256" i="8" s="1"/>
  <c r="C142" i="8"/>
  <c r="Y142" i="8" s="1"/>
  <c r="F103" i="8"/>
  <c r="C451" i="8"/>
  <c r="Y451" i="8" s="1"/>
  <c r="C377" i="8"/>
  <c r="Y377" i="8" s="1"/>
  <c r="C462" i="8"/>
  <c r="Y462" i="8" s="1"/>
  <c r="C26" i="8"/>
  <c r="Y26" i="8" s="1"/>
  <c r="C190" i="8"/>
  <c r="Y190" i="8" s="1"/>
  <c r="H29" i="8" l="1"/>
  <c r="H127" i="8"/>
  <c r="H321" i="8"/>
  <c r="H109" i="8"/>
  <c r="H157" i="8"/>
  <c r="H91" i="8"/>
  <c r="H437" i="8"/>
  <c r="H75" i="8"/>
  <c r="H465" i="8"/>
  <c r="H436" i="8"/>
  <c r="H39" i="8"/>
  <c r="H446" i="8"/>
  <c r="H191" i="8"/>
  <c r="H374" i="8"/>
  <c r="H35" i="8"/>
  <c r="H443" i="8"/>
  <c r="H448" i="8"/>
  <c r="H381" i="8"/>
  <c r="H16" i="8"/>
  <c r="H380" i="8"/>
  <c r="H231" i="8"/>
  <c r="H454" i="8"/>
  <c r="H37" i="8"/>
  <c r="H362" i="8"/>
  <c r="H18" i="8"/>
  <c r="H225" i="8"/>
  <c r="H477" i="8"/>
  <c r="H312" i="8"/>
  <c r="H456" i="8"/>
  <c r="H92" i="8"/>
  <c r="H199" i="8"/>
  <c r="H129" i="8"/>
  <c r="H464" i="8"/>
  <c r="H308" i="8"/>
  <c r="H153" i="8"/>
  <c r="H317" i="8"/>
  <c r="H462" i="8"/>
  <c r="H378" i="8"/>
  <c r="H132" i="8"/>
  <c r="H332" i="8"/>
  <c r="H406" i="8"/>
  <c r="H61" i="8"/>
  <c r="H47" i="8"/>
  <c r="H345" i="8"/>
  <c r="H292" i="8"/>
  <c r="H294" i="8"/>
  <c r="H119" i="8"/>
  <c r="H8" i="8"/>
  <c r="H438" i="8"/>
  <c r="H254" i="8"/>
  <c r="H52" i="8"/>
  <c r="H498" i="8"/>
  <c r="H330" i="8"/>
  <c r="H138" i="8"/>
  <c r="H451" i="8"/>
  <c r="H461" i="8"/>
  <c r="H245" i="8"/>
  <c r="H145" i="8"/>
  <c r="H171" i="8"/>
  <c r="H363" i="8"/>
  <c r="H226" i="8"/>
  <c r="H51" i="8"/>
  <c r="H288" i="8"/>
  <c r="H124" i="8"/>
  <c r="H24" i="8"/>
  <c r="H342" i="8"/>
  <c r="H241" i="8"/>
  <c r="H134" i="8"/>
  <c r="H422" i="8"/>
  <c r="H25" i="8"/>
  <c r="H320" i="8"/>
  <c r="H98" i="8"/>
  <c r="H197" i="8"/>
  <c r="H379" i="8"/>
  <c r="H348" i="8"/>
  <c r="H71" i="8"/>
  <c r="H339" i="8"/>
  <c r="H104" i="8"/>
  <c r="H177" i="8"/>
  <c r="H425" i="8"/>
  <c r="H403" i="8"/>
  <c r="H373" i="8"/>
  <c r="H15" i="8"/>
  <c r="H417" i="8"/>
  <c r="H87" i="8"/>
  <c r="H102" i="8"/>
  <c r="H31" i="8"/>
  <c r="H248" i="8"/>
  <c r="H283" i="8"/>
  <c r="H203" i="8"/>
  <c r="H96" i="8"/>
  <c r="H41" i="8"/>
  <c r="H213" i="8"/>
  <c r="H220" i="8"/>
  <c r="H183" i="8"/>
  <c r="H490" i="8"/>
  <c r="H67" i="8"/>
  <c r="H114" i="8"/>
  <c r="H426" i="8"/>
  <c r="H156" i="8"/>
  <c r="H409" i="8"/>
  <c r="H361" i="8"/>
  <c r="H389" i="8"/>
  <c r="H433" i="8"/>
  <c r="H116" i="8"/>
  <c r="H399" i="8"/>
  <c r="H77" i="8"/>
  <c r="H289" i="8"/>
  <c r="H175" i="8"/>
  <c r="H349" i="8"/>
  <c r="H155" i="8"/>
  <c r="H275" i="8"/>
  <c r="H267" i="8"/>
  <c r="H126" i="8"/>
  <c r="H355" i="8"/>
  <c r="H179" i="8"/>
  <c r="H34" i="8"/>
  <c r="H359" i="8"/>
  <c r="H214" i="8"/>
  <c r="H287" i="8"/>
  <c r="H413" i="8"/>
  <c r="H17" i="8"/>
  <c r="H230" i="8"/>
  <c r="H469" i="8"/>
  <c r="H122" i="8"/>
  <c r="H49" i="8"/>
  <c r="H76" i="8"/>
  <c r="H44" i="8"/>
  <c r="H88" i="8"/>
  <c r="H397" i="8"/>
  <c r="H93" i="8"/>
  <c r="H111" i="8"/>
  <c r="H313" i="8"/>
  <c r="H370" i="8"/>
  <c r="H300" i="8"/>
  <c r="H337" i="8"/>
  <c r="H444" i="8"/>
  <c r="H258" i="8"/>
  <c r="H401" i="8"/>
  <c r="H356" i="8"/>
  <c r="H86" i="8"/>
  <c r="H278" i="8"/>
  <c r="H184" i="8"/>
  <c r="H419" i="8"/>
  <c r="H244" i="8"/>
  <c r="H284" i="8"/>
  <c r="H221" i="8"/>
  <c r="H352" i="8"/>
  <c r="H211" i="8"/>
  <c r="H40" i="8"/>
  <c r="H325" i="8"/>
  <c r="H441" i="8"/>
  <c r="H459" i="8"/>
  <c r="H377" i="8"/>
  <c r="H11" i="8"/>
  <c r="H4" i="8"/>
  <c r="H166" i="8"/>
  <c r="H210" i="8"/>
  <c r="H66" i="8"/>
  <c r="H120" i="8"/>
  <c r="H344" i="8"/>
  <c r="H432" i="8"/>
  <c r="H149" i="8"/>
  <c r="H259" i="8"/>
  <c r="H329" i="8"/>
  <c r="H272" i="8"/>
  <c r="H130" i="8"/>
  <c r="H21" i="8"/>
  <c r="H279" i="8"/>
  <c r="H385" i="8"/>
  <c r="H402" i="8"/>
  <c r="H369" i="8"/>
  <c r="H150" i="8"/>
  <c r="H3" i="8"/>
  <c r="H429" i="8"/>
  <c r="H375" i="8"/>
  <c r="H271" i="8"/>
  <c r="H323" i="8"/>
  <c r="H162" i="8"/>
  <c r="H266" i="8"/>
  <c r="H343" i="8"/>
  <c r="H100" i="8"/>
  <c r="H62" i="8"/>
  <c r="H227" i="8"/>
  <c r="H28" i="8"/>
  <c r="H326" i="8"/>
  <c r="H318" i="8"/>
  <c r="H447" i="8"/>
  <c r="H105" i="8"/>
  <c r="H496" i="8"/>
  <c r="H463" i="8"/>
  <c r="H473" i="8"/>
  <c r="H476" i="8"/>
  <c r="H176" i="8"/>
  <c r="H435" i="8"/>
  <c r="H89" i="8"/>
  <c r="H482" i="8"/>
  <c r="H63" i="8"/>
  <c r="H486" i="8"/>
  <c r="H193" i="8"/>
  <c r="H209" i="8"/>
  <c r="H12" i="8"/>
  <c r="H366" i="8"/>
  <c r="H94" i="8"/>
  <c r="H81" i="8"/>
  <c r="H360" i="8"/>
  <c r="H202" i="8"/>
  <c r="H217" i="8"/>
  <c r="H240" i="8"/>
  <c r="H249" i="8"/>
  <c r="H398" i="8"/>
  <c r="H195" i="8"/>
  <c r="H493" i="8"/>
  <c r="H434" i="8"/>
  <c r="H26" i="8"/>
  <c r="H350" i="8"/>
  <c r="H32" i="8"/>
  <c r="H467" i="8"/>
  <c r="H74" i="8"/>
  <c r="H48" i="8"/>
  <c r="H45" i="8"/>
  <c r="H200" i="8"/>
  <c r="H212" i="8"/>
  <c r="H125" i="8"/>
  <c r="H301" i="8"/>
  <c r="H353" i="8"/>
  <c r="H117" i="8"/>
  <c r="H146" i="8"/>
  <c r="H491" i="8"/>
  <c r="H420" i="8"/>
  <c r="H499" i="8"/>
  <c r="H268" i="8"/>
  <c r="H346" i="8"/>
  <c r="H497" i="8"/>
  <c r="H133" i="8"/>
  <c r="H194" i="8"/>
  <c r="H229" i="8"/>
  <c r="H430" i="8"/>
  <c r="H243" i="8"/>
  <c r="H123" i="8"/>
  <c r="H223" i="8"/>
  <c r="H5" i="8"/>
  <c r="H103" i="8"/>
  <c r="H495" i="8"/>
  <c r="H260" i="8"/>
  <c r="H251" i="8"/>
  <c r="H428" i="8"/>
  <c r="H468" i="8"/>
  <c r="H59" i="8"/>
  <c r="H450" i="8"/>
  <c r="H180" i="8"/>
  <c r="H236" i="8"/>
  <c r="H305" i="8"/>
  <c r="H131" i="8"/>
  <c r="H280" i="8"/>
  <c r="H23" i="8"/>
  <c r="H404" i="8"/>
  <c r="H234" i="8"/>
  <c r="H78" i="8"/>
  <c r="H163" i="8"/>
  <c r="H384" i="8"/>
  <c r="H421" i="8"/>
  <c r="H391" i="8"/>
  <c r="H286" i="8"/>
  <c r="H415" i="8"/>
  <c r="H416" i="8"/>
  <c r="H276" i="8"/>
  <c r="H85" i="8"/>
  <c r="H83" i="8"/>
  <c r="H22" i="8"/>
  <c r="H250" i="8"/>
  <c r="H58" i="8"/>
  <c r="H423" i="8"/>
  <c r="J319" i="8"/>
  <c r="H319" i="8"/>
  <c r="H57" i="8"/>
  <c r="H68" i="8"/>
  <c r="H334" i="8"/>
  <c r="H388" i="8"/>
  <c r="H408" i="8"/>
  <c r="H79" i="8"/>
  <c r="H188" i="8"/>
  <c r="H347" i="8"/>
  <c r="H239" i="8"/>
  <c r="H168" i="8"/>
  <c r="H46" i="8"/>
  <c r="H257" i="8"/>
  <c r="H204" i="8"/>
  <c r="H154" i="8"/>
  <c r="H190" i="8"/>
  <c r="H358" i="8"/>
  <c r="H338" i="8"/>
  <c r="H487" i="8"/>
  <c r="H136" i="8"/>
  <c r="H481" i="8"/>
  <c r="H216" i="8"/>
  <c r="H246" i="8"/>
  <c r="H386" i="8"/>
  <c r="H489" i="8"/>
  <c r="H198" i="8"/>
  <c r="H472" i="8"/>
  <c r="H314" i="8"/>
  <c r="H106" i="8"/>
  <c r="H20" i="8"/>
  <c r="H139" i="8"/>
  <c r="H108" i="8"/>
  <c r="H311" i="8"/>
  <c r="H341" i="8"/>
  <c r="H174" i="8"/>
  <c r="H327" i="8"/>
  <c r="H455" i="8"/>
  <c r="H407" i="8"/>
  <c r="H219" i="8"/>
  <c r="H80" i="8"/>
  <c r="H6" i="8"/>
  <c r="H479" i="8"/>
  <c r="H328" i="8"/>
  <c r="H270" i="8"/>
  <c r="H269" i="8"/>
  <c r="H296" i="8"/>
  <c r="H186" i="8"/>
  <c r="J9" i="8"/>
  <c r="H9" i="8"/>
  <c r="H242" i="8"/>
  <c r="H181" i="8"/>
  <c r="H392" i="8"/>
  <c r="H394" i="8"/>
  <c r="H14" i="8"/>
  <c r="H142" i="8"/>
  <c r="H172" i="8"/>
  <c r="H256" i="8"/>
  <c r="H144" i="8"/>
  <c r="H192" i="8"/>
  <c r="H484" i="8"/>
  <c r="H324" i="8"/>
  <c r="H253" i="8"/>
  <c r="H295" i="8"/>
  <c r="H38" i="8"/>
  <c r="H222" i="8"/>
  <c r="H27" i="8"/>
  <c r="H367" i="8"/>
  <c r="H273" i="8"/>
  <c r="H141" i="8"/>
  <c r="H70" i="8"/>
  <c r="H107" i="8"/>
  <c r="H36" i="8"/>
  <c r="H53" i="8"/>
  <c r="H160" i="8"/>
  <c r="H159" i="8"/>
  <c r="H488" i="8"/>
  <c r="H336" i="8"/>
  <c r="H42" i="8"/>
  <c r="H152" i="8"/>
  <c r="H340" i="8"/>
  <c r="H274" i="8"/>
  <c r="H118" i="8"/>
  <c r="H483" i="8"/>
  <c r="H185" i="8"/>
  <c r="H189" i="8"/>
  <c r="H205" i="8"/>
  <c r="H390" i="8"/>
  <c r="H147" i="8"/>
  <c r="H480" i="8"/>
  <c r="H440" i="8"/>
  <c r="H396" i="8"/>
  <c r="H148" i="8"/>
  <c r="H140" i="8"/>
  <c r="H137" i="8"/>
  <c r="H492" i="8"/>
  <c r="H335" i="8"/>
  <c r="H264" i="8"/>
  <c r="H169" i="8"/>
  <c r="H215" i="8"/>
  <c r="H182" i="8"/>
  <c r="H500" i="8"/>
  <c r="H474" i="8"/>
  <c r="H10" i="8"/>
  <c r="H414" i="8"/>
  <c r="H351" i="8"/>
  <c r="H331" i="8"/>
  <c r="H208" i="8"/>
  <c r="H458" i="8"/>
  <c r="H460" i="8"/>
  <c r="H206" i="8"/>
  <c r="H50" i="8"/>
  <c r="H233" i="8"/>
  <c r="H290" i="8"/>
  <c r="H442" i="8"/>
  <c r="H218" i="8"/>
  <c r="H431" i="8"/>
  <c r="H282" i="8"/>
  <c r="H13" i="8"/>
  <c r="H277" i="8"/>
  <c r="H178" i="8"/>
  <c r="H207" i="8"/>
  <c r="H302" i="8"/>
  <c r="H307" i="8"/>
  <c r="H90" i="8"/>
  <c r="H237" i="8"/>
  <c r="H110" i="8"/>
  <c r="H410" i="8"/>
  <c r="H453" i="8"/>
  <c r="H135" i="8"/>
  <c r="H43" i="8"/>
  <c r="H99" i="8"/>
  <c r="H238" i="8"/>
  <c r="H418" i="8"/>
  <c r="H445" i="8"/>
  <c r="H232" i="8"/>
  <c r="H405" i="8"/>
  <c r="H56" i="8"/>
  <c r="H263" i="8"/>
  <c r="H113" i="8"/>
  <c r="H115" i="8"/>
  <c r="H201" i="8"/>
  <c r="F1" i="8"/>
  <c r="I1" i="8" s="1"/>
  <c r="AA1" i="8"/>
  <c r="H19" i="8"/>
  <c r="H371" i="8"/>
  <c r="H306" i="8"/>
  <c r="H400" i="8"/>
  <c r="H365" i="8"/>
  <c r="H247" i="8"/>
  <c r="H69" i="8"/>
  <c r="H383" i="8"/>
  <c r="H7" i="8"/>
  <c r="H299" i="8"/>
  <c r="H354" i="8"/>
  <c r="H298" i="8"/>
  <c r="H158" i="8"/>
  <c r="H72" i="8"/>
  <c r="H424" i="8"/>
  <c r="H285" i="8"/>
  <c r="H364" i="8"/>
  <c r="H322" i="8"/>
  <c r="H478" i="8"/>
  <c r="H228" i="8"/>
  <c r="H262" i="8"/>
  <c r="H30" i="8"/>
  <c r="H101" i="8"/>
  <c r="H382" i="8"/>
  <c r="H310" i="8"/>
  <c r="H265" i="8"/>
  <c r="H196" i="8"/>
  <c r="H309" i="8"/>
  <c r="H112" i="8"/>
  <c r="H372" i="8"/>
  <c r="H55" i="8"/>
  <c r="H315" i="8"/>
  <c r="H224" i="8"/>
  <c r="H167" i="8"/>
  <c r="H304" i="8"/>
  <c r="H128" i="8"/>
  <c r="H368" i="8"/>
  <c r="H412" i="8"/>
  <c r="H393" i="8"/>
  <c r="H170" i="8"/>
  <c r="H173" i="8"/>
  <c r="H333" i="8"/>
  <c r="H255" i="8"/>
  <c r="H151" i="8"/>
  <c r="H281" i="8"/>
  <c r="H395" i="8"/>
  <c r="H97" i="8"/>
  <c r="H466" i="8"/>
  <c r="H54" i="8"/>
  <c r="H65" i="8"/>
  <c r="H452" i="8"/>
  <c r="H376" i="8"/>
  <c r="H235" i="8"/>
  <c r="H427" i="8"/>
  <c r="H357" i="8"/>
  <c r="H95" i="8"/>
  <c r="H187" i="8"/>
  <c r="H316" i="8"/>
  <c r="H293" i="8"/>
  <c r="H449" i="8"/>
  <c r="H84" i="8"/>
  <c r="H33" i="8"/>
  <c r="H485" i="8"/>
  <c r="H60" i="8"/>
  <c r="H475" i="8"/>
  <c r="H439" i="8"/>
  <c r="H121" i="8"/>
  <c r="H165" i="8"/>
  <c r="H82" i="8"/>
  <c r="G347" i="8"/>
  <c r="J223" i="8"/>
  <c r="J165" i="8"/>
  <c r="G59" i="8"/>
  <c r="G148" i="8"/>
  <c r="G142" i="8"/>
  <c r="I486" i="8"/>
  <c r="G52" i="8"/>
  <c r="J475" i="8"/>
  <c r="J105" i="8"/>
  <c r="G435" i="8"/>
  <c r="I289" i="8"/>
  <c r="G136" i="8"/>
  <c r="G349" i="8"/>
  <c r="I435" i="8"/>
  <c r="J374" i="8"/>
  <c r="I331" i="8"/>
  <c r="G388" i="8"/>
  <c r="G289" i="8"/>
  <c r="G331" i="8"/>
  <c r="G54" i="8"/>
  <c r="I231" i="8"/>
  <c r="G105" i="8"/>
  <c r="I161" i="8"/>
  <c r="G161" i="8"/>
  <c r="J161" i="8"/>
  <c r="I35" i="8"/>
  <c r="G139" i="8"/>
  <c r="J286" i="8"/>
  <c r="J301" i="8"/>
  <c r="I147" i="8"/>
  <c r="G330" i="8"/>
  <c r="J488" i="8"/>
  <c r="I443" i="8"/>
  <c r="I384" i="8"/>
  <c r="I330" i="8"/>
  <c r="G237" i="8"/>
  <c r="J49" i="8"/>
  <c r="J112" i="8"/>
  <c r="J318" i="8"/>
  <c r="J471" i="8"/>
  <c r="J287" i="8"/>
  <c r="I237" i="8"/>
  <c r="I332" i="8"/>
  <c r="J326" i="8"/>
  <c r="I326" i="8"/>
  <c r="G326" i="8"/>
  <c r="I441" i="8"/>
  <c r="I91" i="8"/>
  <c r="I69" i="8"/>
  <c r="G378" i="8"/>
  <c r="I378" i="8"/>
  <c r="J416" i="8"/>
  <c r="I61" i="8"/>
  <c r="G69" i="8"/>
  <c r="G311" i="8"/>
  <c r="I157" i="8"/>
  <c r="J469" i="8"/>
  <c r="I52" i="8"/>
  <c r="I311" i="8"/>
  <c r="I264" i="8"/>
  <c r="J90" i="8"/>
  <c r="I262" i="8"/>
  <c r="J465" i="8"/>
  <c r="J154" i="8"/>
  <c r="G269" i="8"/>
  <c r="I269" i="8"/>
  <c r="G262" i="8"/>
  <c r="I70" i="8"/>
  <c r="I420" i="8"/>
  <c r="G70" i="8"/>
  <c r="J242" i="8"/>
  <c r="J340" i="8"/>
  <c r="I16" i="8"/>
  <c r="J493" i="8"/>
  <c r="G362" i="8"/>
  <c r="I362" i="8"/>
  <c r="J489" i="8"/>
  <c r="I489" i="8"/>
  <c r="G489" i="8"/>
  <c r="G56" i="8"/>
  <c r="I56" i="8"/>
  <c r="J307" i="8"/>
  <c r="G376" i="8"/>
  <c r="I376" i="8"/>
  <c r="J122" i="8"/>
  <c r="I410" i="8"/>
  <c r="J410" i="8"/>
  <c r="G410" i="8"/>
  <c r="I306" i="8"/>
  <c r="J17" i="8"/>
  <c r="I380" i="8"/>
  <c r="G380" i="8"/>
  <c r="I308" i="8"/>
  <c r="G308" i="8"/>
  <c r="G32" i="8"/>
  <c r="I32" i="8"/>
  <c r="I273" i="8"/>
  <c r="G482" i="8"/>
  <c r="I482" i="8"/>
  <c r="G63" i="8"/>
  <c r="I63" i="8"/>
  <c r="G55" i="8"/>
  <c r="I55" i="8"/>
  <c r="J46" i="8"/>
  <c r="J447" i="8"/>
  <c r="I347" i="8"/>
  <c r="I202" i="8"/>
  <c r="G449" i="8"/>
  <c r="J463" i="8"/>
  <c r="G434" i="8"/>
  <c r="J81" i="8"/>
  <c r="I461" i="8"/>
  <c r="G461" i="8"/>
  <c r="I242" i="8"/>
  <c r="J237" i="8"/>
  <c r="G17" i="8"/>
  <c r="I111" i="8"/>
  <c r="G77" i="8"/>
  <c r="G460" i="8"/>
  <c r="J230" i="8"/>
  <c r="I197" i="8"/>
  <c r="G10" i="8"/>
  <c r="I248" i="8"/>
  <c r="G248" i="8"/>
  <c r="I150" i="8"/>
  <c r="I500" i="8"/>
  <c r="J219" i="8"/>
  <c r="G241" i="8"/>
  <c r="I354" i="8"/>
  <c r="I10" i="8"/>
  <c r="I107" i="8"/>
  <c r="I112" i="8"/>
  <c r="G463" i="8"/>
  <c r="I301" i="8"/>
  <c r="J336" i="8"/>
  <c r="I463" i="8"/>
  <c r="J62" i="8"/>
  <c r="G278" i="8"/>
  <c r="G202" i="8"/>
  <c r="G111" i="8"/>
  <c r="G366" i="8"/>
  <c r="J413" i="8"/>
  <c r="G413" i="8"/>
  <c r="J434" i="8"/>
  <c r="I241" i="8"/>
  <c r="G22" i="8"/>
  <c r="I22" i="8"/>
  <c r="J28" i="8"/>
  <c r="G443" i="8"/>
  <c r="G49" i="8"/>
  <c r="I329" i="8"/>
  <c r="G329" i="8"/>
  <c r="I145" i="8"/>
  <c r="G145" i="8"/>
  <c r="I364" i="8"/>
  <c r="G364" i="8"/>
  <c r="G15" i="8"/>
  <c r="I15" i="8"/>
  <c r="J15" i="8"/>
  <c r="I350" i="8"/>
  <c r="G350" i="8"/>
  <c r="I302" i="8"/>
  <c r="G302" i="8"/>
  <c r="J302" i="8"/>
  <c r="G464" i="8"/>
  <c r="I464" i="8"/>
  <c r="I168" i="8"/>
  <c r="G168" i="8"/>
  <c r="I476" i="8"/>
  <c r="G476" i="8"/>
  <c r="I470" i="8"/>
  <c r="G470" i="8"/>
  <c r="J470" i="8"/>
  <c r="G379" i="8"/>
  <c r="I379" i="8"/>
  <c r="I367" i="8"/>
  <c r="G367" i="8"/>
  <c r="G65" i="8"/>
  <c r="I65" i="8"/>
  <c r="I87" i="8"/>
  <c r="G87" i="8"/>
  <c r="J87" i="8"/>
  <c r="I132" i="8"/>
  <c r="G132" i="8"/>
  <c r="I258" i="8"/>
  <c r="G258" i="8"/>
  <c r="J258" i="8"/>
  <c r="G218" i="8"/>
  <c r="I218" i="8"/>
  <c r="I411" i="8"/>
  <c r="G411" i="8"/>
  <c r="J411" i="8"/>
  <c r="I206" i="8"/>
  <c r="G206" i="8"/>
  <c r="I110" i="8"/>
  <c r="G110" i="8"/>
  <c r="J110" i="8"/>
  <c r="I51" i="8"/>
  <c r="G51" i="8"/>
  <c r="I383" i="8"/>
  <c r="G383" i="8"/>
  <c r="G215" i="8"/>
  <c r="I215" i="8"/>
  <c r="I236" i="8"/>
  <c r="G236" i="8"/>
  <c r="I195" i="8"/>
  <c r="G195" i="8"/>
  <c r="J195" i="8"/>
  <c r="I204" i="8"/>
  <c r="G204" i="8"/>
  <c r="J204" i="8"/>
  <c r="G456" i="8"/>
  <c r="I456" i="8"/>
  <c r="G179" i="8"/>
  <c r="I179" i="8"/>
  <c r="G42" i="8"/>
  <c r="I42" i="8"/>
  <c r="J42" i="8"/>
  <c r="I481" i="8"/>
  <c r="G481" i="8"/>
  <c r="I390" i="8"/>
  <c r="G390" i="8"/>
  <c r="G472" i="8"/>
  <c r="I472" i="8"/>
  <c r="I427" i="8"/>
  <c r="G427" i="8"/>
  <c r="I158" i="8"/>
  <c r="G158" i="8"/>
  <c r="J158" i="8"/>
  <c r="I448" i="8"/>
  <c r="G448" i="8"/>
  <c r="I297" i="8"/>
  <c r="G297" i="8"/>
  <c r="J297" i="8"/>
  <c r="G421" i="8"/>
  <c r="I421" i="8"/>
  <c r="G40" i="8"/>
  <c r="I40" i="8"/>
  <c r="G181" i="8"/>
  <c r="I181" i="8"/>
  <c r="J181" i="8"/>
  <c r="I86" i="8"/>
  <c r="G86" i="8"/>
  <c r="I159" i="8"/>
  <c r="G159" i="8"/>
  <c r="I261" i="8"/>
  <c r="G261" i="8"/>
  <c r="J261" i="8"/>
  <c r="I163" i="8"/>
  <c r="G163" i="8"/>
  <c r="I89" i="8"/>
  <c r="G89" i="8"/>
  <c r="G363" i="8"/>
  <c r="I363" i="8"/>
  <c r="J451" i="8"/>
  <c r="G251" i="8"/>
  <c r="I251" i="8"/>
  <c r="I6" i="8"/>
  <c r="G6" i="8"/>
  <c r="G439" i="8"/>
  <c r="I439" i="8"/>
  <c r="J189" i="8"/>
  <c r="J96" i="8"/>
  <c r="G389" i="8"/>
  <c r="I389" i="8"/>
  <c r="J213" i="8"/>
  <c r="I454" i="8"/>
  <c r="G454" i="8"/>
  <c r="J454" i="8"/>
  <c r="J170" i="8"/>
  <c r="G478" i="8"/>
  <c r="I478" i="8"/>
  <c r="J433" i="8"/>
  <c r="I64" i="8"/>
  <c r="G64" i="8"/>
  <c r="I76" i="8"/>
  <c r="G76" i="8"/>
  <c r="J76" i="8"/>
  <c r="G246" i="8"/>
  <c r="I246" i="8"/>
  <c r="I371" i="8"/>
  <c r="G371" i="8"/>
  <c r="I169" i="8"/>
  <c r="G169" i="8"/>
  <c r="G315" i="8"/>
  <c r="I315" i="8"/>
  <c r="G257" i="8"/>
  <c r="I257" i="8"/>
  <c r="J142" i="8"/>
  <c r="I92" i="8"/>
  <c r="G92" i="8"/>
  <c r="I66" i="8"/>
  <c r="G66" i="8"/>
  <c r="I324" i="8"/>
  <c r="G324" i="8"/>
  <c r="G418" i="8"/>
  <c r="I418" i="8"/>
  <c r="J203" i="8"/>
  <c r="G494" i="8"/>
  <c r="I494" i="8"/>
  <c r="G254" i="8"/>
  <c r="I254" i="8"/>
  <c r="J224" i="8"/>
  <c r="J180" i="8"/>
  <c r="J396" i="8"/>
  <c r="I186" i="8"/>
  <c r="G186" i="8"/>
  <c r="I370" i="8"/>
  <c r="G370" i="8"/>
  <c r="G146" i="8"/>
  <c r="I146" i="8"/>
  <c r="I240" i="8"/>
  <c r="G240" i="8"/>
  <c r="G235" i="8"/>
  <c r="I235" i="8"/>
  <c r="J354" i="8"/>
  <c r="J452" i="8"/>
  <c r="J206" i="8"/>
  <c r="G239" i="8"/>
  <c r="I239" i="8"/>
  <c r="I296" i="8"/>
  <c r="G296" i="8"/>
  <c r="J421" i="8"/>
  <c r="I333" i="8"/>
  <c r="G333" i="8"/>
  <c r="I138" i="8"/>
  <c r="G138" i="8"/>
  <c r="I103" i="8"/>
  <c r="G103" i="8"/>
  <c r="I67" i="8"/>
  <c r="G67" i="8"/>
  <c r="G164" i="8"/>
  <c r="I164" i="8"/>
  <c r="G39" i="8"/>
  <c r="I39" i="8"/>
  <c r="J276" i="8"/>
  <c r="J486" i="8"/>
  <c r="G344" i="8"/>
  <c r="I344" i="8"/>
  <c r="J236" i="8"/>
  <c r="G498" i="8"/>
  <c r="I498" i="8"/>
  <c r="G85" i="8"/>
  <c r="I85" i="8"/>
  <c r="I177" i="8"/>
  <c r="G177" i="8"/>
  <c r="J211" i="8"/>
  <c r="I116" i="8"/>
  <c r="G116" i="8"/>
  <c r="I93" i="8"/>
  <c r="G93" i="8"/>
  <c r="J467" i="8"/>
  <c r="G221" i="8"/>
  <c r="I221" i="8"/>
  <c r="J250" i="8"/>
  <c r="J175" i="8"/>
  <c r="J218" i="8"/>
  <c r="G18" i="8"/>
  <c r="I18" i="8"/>
  <c r="J343" i="8"/>
  <c r="I271" i="8"/>
  <c r="G271" i="8"/>
  <c r="J390" i="8"/>
  <c r="I99" i="8"/>
  <c r="G99" i="8"/>
  <c r="J35" i="8"/>
  <c r="G41" i="8"/>
  <c r="I41" i="8"/>
  <c r="J137" i="8"/>
  <c r="J490" i="8"/>
  <c r="J352" i="8"/>
  <c r="G395" i="8"/>
  <c r="I395" i="8"/>
  <c r="J114" i="8"/>
  <c r="J176" i="8"/>
  <c r="G491" i="8"/>
  <c r="I491" i="8"/>
  <c r="J234" i="8"/>
  <c r="J201" i="8"/>
  <c r="I416" i="8"/>
  <c r="G416" i="8"/>
  <c r="I238" i="8"/>
  <c r="G238" i="8"/>
  <c r="J375" i="8"/>
  <c r="G84" i="8"/>
  <c r="I84" i="8"/>
  <c r="J398" i="8"/>
  <c r="J100" i="8"/>
  <c r="J172" i="8"/>
  <c r="G484" i="8"/>
  <c r="I484" i="8"/>
  <c r="J401" i="8"/>
  <c r="J103" i="8"/>
  <c r="G304" i="8"/>
  <c r="I304" i="8"/>
  <c r="J117" i="8"/>
  <c r="J146" i="8"/>
  <c r="J14" i="8"/>
  <c r="I124" i="8"/>
  <c r="G124" i="8"/>
  <c r="G468" i="8"/>
  <c r="I468" i="8"/>
  <c r="J279" i="8"/>
  <c r="J270" i="8"/>
  <c r="J310" i="8"/>
  <c r="G280" i="8"/>
  <c r="I280" i="8"/>
  <c r="J106" i="8"/>
  <c r="J74" i="8"/>
  <c r="J499" i="8"/>
  <c r="J265" i="8"/>
  <c r="J459" i="8"/>
  <c r="I385" i="8"/>
  <c r="G385" i="8"/>
  <c r="J444" i="8"/>
  <c r="J298" i="8"/>
  <c r="I360" i="8"/>
  <c r="G360" i="8"/>
  <c r="I303" i="8"/>
  <c r="G303" i="8"/>
  <c r="J303" i="8"/>
  <c r="J64" i="8"/>
  <c r="I19" i="8"/>
  <c r="J19" i="8"/>
  <c r="G19" i="8"/>
  <c r="I27" i="8"/>
  <c r="G27" i="8"/>
  <c r="G191" i="8"/>
  <c r="I191" i="8"/>
  <c r="J191" i="8"/>
  <c r="J113" i="8"/>
  <c r="J448" i="8"/>
  <c r="J381" i="8"/>
  <c r="J241" i="8"/>
  <c r="J65" i="8"/>
  <c r="J78" i="8"/>
  <c r="J345" i="8"/>
  <c r="J468" i="8"/>
  <c r="I137" i="8"/>
  <c r="G137" i="8"/>
  <c r="I31" i="8"/>
  <c r="G31" i="8"/>
  <c r="J31" i="8"/>
  <c r="G429" i="8"/>
  <c r="I429" i="8"/>
  <c r="G194" i="8"/>
  <c r="I194" i="8"/>
  <c r="I459" i="8"/>
  <c r="G459" i="8"/>
  <c r="J93" i="8"/>
  <c r="G321" i="8"/>
  <c r="I321" i="8"/>
  <c r="G369" i="8"/>
  <c r="I369" i="8"/>
  <c r="J71" i="8"/>
  <c r="G244" i="8"/>
  <c r="I244" i="8"/>
  <c r="J377" i="8"/>
  <c r="I226" i="8"/>
  <c r="G226" i="8"/>
  <c r="J334" i="8"/>
  <c r="I200" i="8"/>
  <c r="G200" i="8"/>
  <c r="J260" i="8"/>
  <c r="J225" i="8"/>
  <c r="G281" i="8"/>
  <c r="I281" i="8"/>
  <c r="J182" i="8"/>
  <c r="J382" i="8"/>
  <c r="J500" i="8"/>
  <c r="J498" i="8"/>
  <c r="I353" i="8"/>
  <c r="G353" i="8"/>
  <c r="J314" i="8"/>
  <c r="I444" i="8"/>
  <c r="G444" i="8"/>
  <c r="I46" i="8"/>
  <c r="G46" i="8"/>
  <c r="J435" i="8"/>
  <c r="J330" i="8"/>
  <c r="J16" i="8"/>
  <c r="J47" i="8"/>
  <c r="G20" i="8"/>
  <c r="I20" i="8"/>
  <c r="I442" i="8"/>
  <c r="G442" i="8"/>
  <c r="J58" i="8"/>
  <c r="G162" i="8"/>
  <c r="I162" i="8"/>
  <c r="J187" i="8"/>
  <c r="J179" i="8"/>
  <c r="J317" i="8"/>
  <c r="J186" i="8"/>
  <c r="J419" i="8"/>
  <c r="J483" i="8"/>
  <c r="J284" i="8"/>
  <c r="I358" i="8"/>
  <c r="G358" i="8"/>
  <c r="J185" i="8"/>
  <c r="G423" i="8"/>
  <c r="I423" i="8"/>
  <c r="I172" i="8"/>
  <c r="G172" i="8"/>
  <c r="G487" i="8"/>
  <c r="I487" i="8"/>
  <c r="J43" i="8"/>
  <c r="G131" i="8"/>
  <c r="I131" i="8"/>
  <c r="I73" i="8"/>
  <c r="J73" i="8"/>
  <c r="G73" i="8"/>
  <c r="I438" i="8"/>
  <c r="G438" i="8"/>
  <c r="I58" i="8"/>
  <c r="G58" i="8"/>
  <c r="I334" i="8"/>
  <c r="G334" i="8"/>
  <c r="G12" i="8"/>
  <c r="I12" i="8"/>
  <c r="J129" i="8"/>
  <c r="J324" i="8"/>
  <c r="J321" i="8"/>
  <c r="I408" i="8"/>
  <c r="G408" i="8"/>
  <c r="G293" i="8"/>
  <c r="I293" i="8"/>
  <c r="J109" i="8"/>
  <c r="J253" i="8"/>
  <c r="G106" i="8"/>
  <c r="I106" i="8"/>
  <c r="I425" i="8"/>
  <c r="G425" i="8"/>
  <c r="G96" i="8"/>
  <c r="I96" i="8"/>
  <c r="J264" i="8"/>
  <c r="J426" i="8"/>
  <c r="I90" i="8"/>
  <c r="G90" i="8"/>
  <c r="J151" i="8"/>
  <c r="I212" i="8"/>
  <c r="G212" i="8"/>
  <c r="J281" i="8"/>
  <c r="J288" i="8"/>
  <c r="J367" i="8"/>
  <c r="I129" i="8"/>
  <c r="G129" i="8"/>
  <c r="J404" i="8"/>
  <c r="J278" i="8"/>
  <c r="G409" i="8"/>
  <c r="I409" i="8"/>
  <c r="J3" i="8"/>
  <c r="J296" i="8"/>
  <c r="I497" i="8"/>
  <c r="G497" i="8"/>
  <c r="J497" i="8"/>
  <c r="J439" i="8"/>
  <c r="G207" i="8"/>
  <c r="I207" i="8"/>
  <c r="J207" i="8"/>
  <c r="J212" i="8"/>
  <c r="I123" i="8"/>
  <c r="G123" i="8"/>
  <c r="I80" i="8"/>
  <c r="G80" i="8"/>
  <c r="J487" i="8"/>
  <c r="G127" i="8"/>
  <c r="I127" i="8"/>
  <c r="G140" i="8"/>
  <c r="I140" i="8"/>
  <c r="J243" i="8"/>
  <c r="J437" i="8"/>
  <c r="J53" i="8"/>
  <c r="J339" i="8"/>
  <c r="G277" i="8"/>
  <c r="I277" i="8"/>
  <c r="J164" i="8"/>
  <c r="J63" i="8"/>
  <c r="G336" i="8"/>
  <c r="I336" i="8"/>
  <c r="I245" i="8"/>
  <c r="G245" i="8"/>
  <c r="J353" i="8"/>
  <c r="G485" i="8"/>
  <c r="I485" i="8"/>
  <c r="G30" i="8"/>
  <c r="I30" i="8"/>
  <c r="J188" i="8"/>
  <c r="I405" i="8"/>
  <c r="G405" i="8"/>
  <c r="G62" i="8"/>
  <c r="I62" i="8"/>
  <c r="J251" i="8"/>
  <c r="G469" i="8"/>
  <c r="I469" i="8"/>
  <c r="I23" i="8"/>
  <c r="G23" i="8"/>
  <c r="I211" i="8"/>
  <c r="G211" i="8"/>
  <c r="J156" i="8"/>
  <c r="I305" i="8"/>
  <c r="G305" i="8"/>
  <c r="J289" i="8"/>
  <c r="J320" i="8"/>
  <c r="J427" i="8"/>
  <c r="J365" i="8"/>
  <c r="J346" i="8"/>
  <c r="J80" i="8"/>
  <c r="J494" i="8"/>
  <c r="I210" i="8"/>
  <c r="G210" i="8"/>
  <c r="I428" i="8"/>
  <c r="G428" i="8"/>
  <c r="J167" i="8"/>
  <c r="I283" i="8"/>
  <c r="G283" i="8"/>
  <c r="J18" i="8"/>
  <c r="J295" i="8"/>
  <c r="I249" i="8"/>
  <c r="G249" i="8"/>
  <c r="J341" i="8"/>
  <c r="J130" i="8"/>
  <c r="G152" i="8"/>
  <c r="I152" i="8"/>
  <c r="J442" i="8"/>
  <c r="G483" i="8"/>
  <c r="I483" i="8"/>
  <c r="J438" i="8"/>
  <c r="J66" i="8"/>
  <c r="I346" i="8"/>
  <c r="G346" i="8"/>
  <c r="J344" i="8"/>
  <c r="J432" i="8"/>
  <c r="J132" i="8"/>
  <c r="J305" i="8"/>
  <c r="J131" i="8"/>
  <c r="J372" i="8"/>
  <c r="I328" i="8"/>
  <c r="G328" i="8"/>
  <c r="G50" i="8"/>
  <c r="I50" i="8"/>
  <c r="I260" i="8"/>
  <c r="G260" i="8"/>
  <c r="I82" i="8"/>
  <c r="G82" i="8"/>
  <c r="J82" i="8"/>
  <c r="G404" i="8"/>
  <c r="I404" i="8"/>
  <c r="J193" i="8"/>
  <c r="I255" i="8"/>
  <c r="G255" i="8"/>
  <c r="J86" i="8"/>
  <c r="J333" i="8"/>
  <c r="J409" i="8"/>
  <c r="J474" i="8"/>
  <c r="J481" i="8"/>
  <c r="I392" i="8"/>
  <c r="G392" i="8"/>
  <c r="J217" i="8"/>
  <c r="I75" i="8"/>
  <c r="G75" i="8"/>
  <c r="J299" i="8"/>
  <c r="G125" i="8"/>
  <c r="I125" i="8"/>
  <c r="J125" i="8"/>
  <c r="J349" i="8"/>
  <c r="J455" i="8"/>
  <c r="J163" i="8"/>
  <c r="J380" i="8"/>
  <c r="G83" i="8"/>
  <c r="I83" i="8"/>
  <c r="J275" i="8"/>
  <c r="I433" i="8"/>
  <c r="G433" i="8"/>
  <c r="G276" i="8"/>
  <c r="I276" i="8"/>
  <c r="G214" i="8"/>
  <c r="I214" i="8"/>
  <c r="J34" i="8"/>
  <c r="J282" i="8"/>
  <c r="J177" i="8"/>
  <c r="J485" i="8"/>
  <c r="J84" i="8"/>
  <c r="G114" i="8"/>
  <c r="I114" i="8"/>
  <c r="I173" i="8"/>
  <c r="G173" i="8"/>
  <c r="I275" i="8"/>
  <c r="G275" i="8"/>
  <c r="G28" i="8"/>
  <c r="I28" i="8"/>
  <c r="J378" i="8"/>
  <c r="G361" i="8"/>
  <c r="I361" i="8"/>
  <c r="J148" i="8"/>
  <c r="G375" i="8"/>
  <c r="I375" i="8"/>
  <c r="G294" i="8"/>
  <c r="I294" i="8"/>
  <c r="G117" i="8"/>
  <c r="I117" i="8"/>
  <c r="J38" i="8"/>
  <c r="I391" i="8"/>
  <c r="G391" i="8"/>
  <c r="G477" i="8"/>
  <c r="I477" i="8"/>
  <c r="J364" i="8"/>
  <c r="J458" i="8"/>
  <c r="J50" i="8"/>
  <c r="J111" i="8"/>
  <c r="G149" i="8"/>
  <c r="I149" i="8"/>
  <c r="G365" i="8"/>
  <c r="I365" i="8"/>
  <c r="G224" i="8"/>
  <c r="I224" i="8"/>
  <c r="I113" i="8"/>
  <c r="G113" i="8"/>
  <c r="J108" i="8"/>
  <c r="G274" i="8"/>
  <c r="I274" i="8"/>
  <c r="J274" i="8"/>
  <c r="J476" i="8"/>
  <c r="G263" i="8"/>
  <c r="I263" i="8"/>
  <c r="I88" i="8"/>
  <c r="G88" i="8"/>
  <c r="J88" i="8"/>
  <c r="G357" i="8"/>
  <c r="I357" i="8"/>
  <c r="J54" i="8"/>
  <c r="I493" i="8"/>
  <c r="G493" i="8"/>
  <c r="J347" i="8"/>
  <c r="J235" i="8"/>
  <c r="J456" i="8"/>
  <c r="J196" i="8"/>
  <c r="J478" i="8"/>
  <c r="I253" i="8"/>
  <c r="G253" i="8"/>
  <c r="J425" i="8"/>
  <c r="I115" i="8"/>
  <c r="G115" i="8"/>
  <c r="J283" i="8"/>
  <c r="J428" i="8"/>
  <c r="J450" i="8"/>
  <c r="G216" i="8"/>
  <c r="I216" i="8"/>
  <c r="J440" i="8"/>
  <c r="G121" i="8"/>
  <c r="I121" i="8"/>
  <c r="J121" i="8"/>
  <c r="J183" i="8"/>
  <c r="I430" i="8"/>
  <c r="G430" i="8"/>
  <c r="G400" i="8"/>
  <c r="I400" i="8"/>
  <c r="J115" i="8"/>
  <c r="J97" i="8"/>
  <c r="J308" i="8"/>
  <c r="G322" i="8"/>
  <c r="I322" i="8"/>
  <c r="I342" i="8"/>
  <c r="G342" i="8"/>
  <c r="J322" i="8"/>
  <c r="J376" i="8"/>
  <c r="J92" i="8"/>
  <c r="J449" i="8"/>
  <c r="J214" i="8"/>
  <c r="G160" i="8"/>
  <c r="I160" i="8"/>
  <c r="G341" i="8"/>
  <c r="I341" i="8"/>
  <c r="G445" i="8"/>
  <c r="I445" i="8"/>
  <c r="I453" i="8"/>
  <c r="G453" i="8"/>
  <c r="G450" i="8"/>
  <c r="I450" i="8"/>
  <c r="J221" i="8"/>
  <c r="G79" i="8"/>
  <c r="I79" i="8"/>
  <c r="I417" i="8"/>
  <c r="G417" i="8"/>
  <c r="J417" i="8"/>
  <c r="J171" i="8"/>
  <c r="J69" i="8"/>
  <c r="J30" i="8"/>
  <c r="I178" i="8"/>
  <c r="G178" i="8"/>
  <c r="J178" i="8"/>
  <c r="J7" i="8"/>
  <c r="J174" i="8"/>
  <c r="I175" i="8"/>
  <c r="G175" i="8"/>
  <c r="G374" i="8"/>
  <c r="I374" i="8"/>
  <c r="G279" i="8"/>
  <c r="I279" i="8"/>
  <c r="J369" i="8"/>
  <c r="J249" i="8"/>
  <c r="I203" i="8"/>
  <c r="G203" i="8"/>
  <c r="G34" i="8"/>
  <c r="I34" i="8"/>
  <c r="G316" i="8"/>
  <c r="I316" i="8"/>
  <c r="J5" i="8"/>
  <c r="J144" i="8"/>
  <c r="J315" i="8"/>
  <c r="G436" i="8"/>
  <c r="I436" i="8"/>
  <c r="J436" i="8"/>
  <c r="J145" i="8"/>
  <c r="I44" i="8"/>
  <c r="G44" i="8"/>
  <c r="G496" i="8"/>
  <c r="I496" i="8"/>
  <c r="J496" i="8"/>
  <c r="J149" i="8"/>
  <c r="I4" i="8"/>
  <c r="G4" i="8"/>
  <c r="G451" i="8"/>
  <c r="I451" i="8"/>
  <c r="G229" i="8"/>
  <c r="I229" i="8"/>
  <c r="J208" i="8"/>
  <c r="J422" i="8"/>
  <c r="J366" i="8"/>
  <c r="J139" i="8"/>
  <c r="J39" i="8"/>
  <c r="J200" i="8"/>
  <c r="I402" i="8"/>
  <c r="G402" i="8"/>
  <c r="J44" i="8"/>
  <c r="J371" i="8"/>
  <c r="I335" i="8"/>
  <c r="G335" i="8"/>
  <c r="G171" i="8"/>
  <c r="I171" i="8"/>
  <c r="I320" i="8"/>
  <c r="G320" i="8"/>
  <c r="I185" i="8"/>
  <c r="G185" i="8"/>
  <c r="I432" i="8"/>
  <c r="G432" i="8"/>
  <c r="G170" i="8"/>
  <c r="I170" i="8"/>
  <c r="G5" i="8"/>
  <c r="I5" i="8"/>
  <c r="I286" i="8"/>
  <c r="G286" i="8"/>
  <c r="J312" i="8"/>
  <c r="J268" i="8"/>
  <c r="J386" i="8"/>
  <c r="G98" i="8"/>
  <c r="I98" i="8"/>
  <c r="G382" i="8"/>
  <c r="I382" i="8"/>
  <c r="J120" i="8"/>
  <c r="G118" i="8"/>
  <c r="I118" i="8"/>
  <c r="J118" i="8"/>
  <c r="I227" i="8"/>
  <c r="G227" i="8"/>
  <c r="J227" i="8"/>
  <c r="G47" i="8"/>
  <c r="I47" i="8"/>
  <c r="G100" i="8"/>
  <c r="I100" i="8"/>
  <c r="J389" i="8"/>
  <c r="G209" i="8"/>
  <c r="I209" i="8"/>
  <c r="J327" i="8"/>
  <c r="J400" i="8"/>
  <c r="G230" i="8"/>
  <c r="I230" i="8"/>
  <c r="J384" i="8"/>
  <c r="J45" i="8"/>
  <c r="I295" i="8"/>
  <c r="G295" i="8"/>
  <c r="I14" i="8"/>
  <c r="G14" i="8"/>
  <c r="G465" i="8"/>
  <c r="I465" i="8"/>
  <c r="I479" i="8"/>
  <c r="G479" i="8"/>
  <c r="G309" i="8"/>
  <c r="I309" i="8"/>
  <c r="I285" i="8"/>
  <c r="G285" i="8"/>
  <c r="I452" i="8"/>
  <c r="G452" i="8"/>
  <c r="G8" i="8"/>
  <c r="I8" i="8"/>
  <c r="J210" i="8"/>
  <c r="G424" i="8"/>
  <c r="I424" i="8"/>
  <c r="G188" i="8"/>
  <c r="I188" i="8"/>
  <c r="I184" i="8"/>
  <c r="G184" i="8"/>
  <c r="G266" i="8"/>
  <c r="I266" i="8"/>
  <c r="I208" i="8"/>
  <c r="G208" i="8"/>
  <c r="I43" i="8"/>
  <c r="G43" i="8"/>
  <c r="J32" i="8"/>
  <c r="J190" i="8"/>
  <c r="I412" i="8"/>
  <c r="G412" i="8"/>
  <c r="I122" i="8"/>
  <c r="G122" i="8"/>
  <c r="I45" i="8"/>
  <c r="G45" i="8"/>
  <c r="G97" i="8"/>
  <c r="I97" i="8"/>
  <c r="I348" i="8"/>
  <c r="G348" i="8"/>
  <c r="G396" i="8"/>
  <c r="I396" i="8"/>
  <c r="I268" i="8"/>
  <c r="G268" i="8"/>
  <c r="I126" i="8"/>
  <c r="G126" i="8"/>
  <c r="J254" i="8"/>
  <c r="J370" i="8"/>
  <c r="I201" i="8"/>
  <c r="G201" i="8"/>
  <c r="G11" i="8"/>
  <c r="I11" i="8"/>
  <c r="J388" i="8"/>
  <c r="I156" i="8"/>
  <c r="G156" i="8"/>
  <c r="I180" i="8"/>
  <c r="G180" i="8"/>
  <c r="G234" i="8"/>
  <c r="I234" i="8"/>
  <c r="J259" i="8"/>
  <c r="J300" i="8"/>
  <c r="J328" i="8"/>
  <c r="J173" i="8"/>
  <c r="G265" i="8"/>
  <c r="I265" i="8"/>
  <c r="J406" i="8"/>
  <c r="J136" i="8"/>
  <c r="J361" i="8"/>
  <c r="G166" i="8"/>
  <c r="I166" i="8"/>
  <c r="G189" i="8"/>
  <c r="I189" i="8"/>
  <c r="J23" i="8"/>
  <c r="I356" i="8"/>
  <c r="G356" i="8"/>
  <c r="I233" i="8"/>
  <c r="G233" i="8"/>
  <c r="I337" i="8"/>
  <c r="G337" i="8"/>
  <c r="J150" i="8"/>
  <c r="J429" i="8"/>
  <c r="J355" i="8"/>
  <c r="J392" i="8"/>
  <c r="I431" i="8"/>
  <c r="G431" i="8"/>
  <c r="G426" i="8"/>
  <c r="I426" i="8"/>
  <c r="I24" i="8"/>
  <c r="G24" i="8"/>
  <c r="I325" i="8"/>
  <c r="G325" i="8"/>
  <c r="J152" i="8"/>
  <c r="J257" i="8"/>
  <c r="J244" i="8"/>
  <c r="J26" i="8"/>
  <c r="G474" i="8"/>
  <c r="I474" i="8"/>
  <c r="G193" i="8"/>
  <c r="I193" i="8"/>
  <c r="J263" i="8"/>
  <c r="G397" i="8"/>
  <c r="I397" i="8"/>
  <c r="I176" i="8"/>
  <c r="G176" i="8"/>
  <c r="G372" i="8"/>
  <c r="I372" i="8"/>
  <c r="G143" i="8"/>
  <c r="I143" i="8"/>
  <c r="J143" i="8"/>
  <c r="G128" i="8"/>
  <c r="I128" i="8"/>
  <c r="J397" i="8"/>
  <c r="I102" i="8"/>
  <c r="G102" i="8"/>
  <c r="J102" i="8"/>
  <c r="J22" i="8"/>
  <c r="G151" i="8"/>
  <c r="I151" i="8"/>
  <c r="G13" i="8"/>
  <c r="I13" i="8"/>
  <c r="J266" i="8"/>
  <c r="I415" i="8"/>
  <c r="G415" i="8"/>
  <c r="J415" i="8"/>
  <c r="G292" i="8"/>
  <c r="I292" i="8"/>
  <c r="J245" i="8"/>
  <c r="G471" i="8"/>
  <c r="I471" i="8"/>
  <c r="I284" i="8"/>
  <c r="G284" i="8"/>
  <c r="J101" i="8"/>
  <c r="J226" i="8"/>
  <c r="J306" i="8"/>
  <c r="G183" i="8"/>
  <c r="I183" i="8"/>
  <c r="I174" i="8"/>
  <c r="G174" i="8"/>
  <c r="G199" i="8"/>
  <c r="I199" i="8"/>
  <c r="J199" i="8"/>
  <c r="J277" i="8"/>
  <c r="J391" i="8"/>
  <c r="G134" i="8"/>
  <c r="I134" i="8"/>
  <c r="J205" i="8"/>
  <c r="G406" i="8"/>
  <c r="I406" i="8"/>
  <c r="J443" i="8"/>
  <c r="I247" i="8"/>
  <c r="G247" i="8"/>
  <c r="J169" i="8"/>
  <c r="J280" i="8"/>
  <c r="I81" i="8"/>
  <c r="G81" i="8"/>
  <c r="G71" i="8"/>
  <c r="I71" i="8"/>
  <c r="I458" i="8"/>
  <c r="G458" i="8"/>
  <c r="G267" i="8"/>
  <c r="I267" i="8"/>
  <c r="G2" i="8"/>
  <c r="I2" i="8"/>
  <c r="J2" i="8"/>
  <c r="G36" i="8"/>
  <c r="I36" i="8"/>
  <c r="I192" i="8"/>
  <c r="G192" i="8"/>
  <c r="J220" i="8"/>
  <c r="I60" i="8"/>
  <c r="G60" i="8"/>
  <c r="I300" i="8"/>
  <c r="G300" i="8"/>
  <c r="J350" i="8"/>
  <c r="J393" i="8"/>
  <c r="I198" i="8"/>
  <c r="G198" i="8"/>
  <c r="I467" i="8"/>
  <c r="G467" i="8"/>
  <c r="I108" i="8"/>
  <c r="G108" i="8"/>
  <c r="J215" i="8"/>
  <c r="G495" i="8"/>
  <c r="I495" i="8"/>
  <c r="J72" i="8"/>
  <c r="I499" i="8"/>
  <c r="G499" i="8"/>
  <c r="I272" i="8"/>
  <c r="G272" i="8"/>
  <c r="G165" i="8"/>
  <c r="I165" i="8"/>
  <c r="I282" i="8"/>
  <c r="G282" i="8"/>
  <c r="I323" i="8"/>
  <c r="G323" i="8"/>
  <c r="I243" i="8"/>
  <c r="G243" i="8"/>
  <c r="G104" i="8"/>
  <c r="I104" i="8"/>
  <c r="J484" i="8"/>
  <c r="J166" i="8"/>
  <c r="G339" i="8"/>
  <c r="I339" i="8"/>
  <c r="J356" i="8"/>
  <c r="J492" i="8"/>
  <c r="G74" i="8"/>
  <c r="I74" i="8"/>
  <c r="J33" i="8"/>
  <c r="I33" i="8"/>
  <c r="G33" i="8"/>
  <c r="J332" i="8"/>
  <c r="G313" i="8"/>
  <c r="I313" i="8"/>
  <c r="J313" i="8"/>
  <c r="G446" i="8"/>
  <c r="I446" i="8"/>
  <c r="J446" i="8"/>
  <c r="J472" i="8"/>
  <c r="J85" i="8"/>
  <c r="J229" i="8"/>
  <c r="I228" i="8"/>
  <c r="G228" i="8"/>
  <c r="J228" i="8"/>
  <c r="J83" i="8"/>
  <c r="J10" i="8"/>
  <c r="J116" i="8"/>
  <c r="I219" i="8"/>
  <c r="G219" i="8"/>
  <c r="J351" i="8"/>
  <c r="G213" i="8"/>
  <c r="I213" i="8"/>
  <c r="J460" i="8"/>
  <c r="G457" i="8"/>
  <c r="I457" i="8"/>
  <c r="J457" i="8"/>
  <c r="I25" i="8"/>
  <c r="G25" i="8"/>
  <c r="I299" i="8"/>
  <c r="G299" i="8"/>
  <c r="J316" i="8"/>
  <c r="I78" i="8"/>
  <c r="G78" i="8"/>
  <c r="G440" i="8"/>
  <c r="I440" i="8"/>
  <c r="J359" i="8"/>
  <c r="G317" i="8"/>
  <c r="I317" i="8"/>
  <c r="J360" i="8"/>
  <c r="J60" i="8"/>
  <c r="J462" i="8"/>
  <c r="I95" i="8"/>
  <c r="G95" i="8"/>
  <c r="G68" i="8"/>
  <c r="I68" i="8"/>
  <c r="J68" i="8"/>
  <c r="I338" i="8"/>
  <c r="G338" i="8"/>
  <c r="J247" i="8"/>
  <c r="I386" i="8"/>
  <c r="G386" i="8"/>
  <c r="I225" i="8"/>
  <c r="G225" i="8"/>
  <c r="I473" i="8"/>
  <c r="G473" i="8"/>
  <c r="G7" i="8"/>
  <c r="I7" i="8"/>
  <c r="J133" i="8"/>
  <c r="J480" i="8"/>
  <c r="I190" i="8"/>
  <c r="G190" i="8"/>
  <c r="G387" i="8"/>
  <c r="I387" i="8"/>
  <c r="G419" i="8"/>
  <c r="I419" i="8"/>
  <c r="I399" i="8"/>
  <c r="G399" i="8"/>
  <c r="I373" i="8"/>
  <c r="J373" i="8"/>
  <c r="G373" i="8"/>
  <c r="G21" i="8"/>
  <c r="I21" i="8"/>
  <c r="J6" i="8"/>
  <c r="G167" i="8"/>
  <c r="I167" i="8"/>
  <c r="J140" i="8"/>
  <c r="G298" i="8"/>
  <c r="I298" i="8"/>
  <c r="G291" i="8"/>
  <c r="I291" i="8"/>
  <c r="I351" i="8"/>
  <c r="G351" i="8"/>
  <c r="G205" i="8"/>
  <c r="I205" i="8"/>
  <c r="J325" i="8"/>
  <c r="I318" i="8"/>
  <c r="G318" i="8"/>
  <c r="G57" i="8"/>
  <c r="I57" i="8"/>
  <c r="G310" i="8"/>
  <c r="I310" i="8"/>
  <c r="G37" i="8"/>
  <c r="I37" i="8"/>
  <c r="I462" i="8"/>
  <c r="G462" i="8"/>
  <c r="G53" i="8"/>
  <c r="I53" i="8"/>
  <c r="J363" i="8"/>
  <c r="J255" i="8"/>
  <c r="J51" i="8"/>
  <c r="G488" i="8"/>
  <c r="I488" i="8"/>
  <c r="J441" i="8"/>
  <c r="J385" i="8"/>
  <c r="J91" i="8"/>
  <c r="J61" i="8"/>
  <c r="J420" i="8"/>
  <c r="G343" i="8"/>
  <c r="I343" i="8"/>
  <c r="J399" i="8"/>
  <c r="J134" i="8"/>
  <c r="J216" i="8"/>
  <c r="J240" i="8"/>
  <c r="J269" i="8"/>
  <c r="J107" i="8"/>
  <c r="J138" i="8"/>
  <c r="J405" i="8"/>
  <c r="J36" i="8"/>
  <c r="J379" i="8"/>
  <c r="J290" i="8"/>
  <c r="J348" i="8"/>
  <c r="J292" i="8"/>
  <c r="J56" i="8"/>
  <c r="J162" i="8"/>
  <c r="J123" i="8"/>
  <c r="J293" i="8"/>
  <c r="I144" i="8"/>
  <c r="G144" i="8"/>
  <c r="J57" i="8"/>
  <c r="J387" i="8"/>
  <c r="J37" i="8"/>
  <c r="J291" i="8"/>
  <c r="G422" i="8"/>
  <c r="I422" i="8"/>
  <c r="J412" i="8"/>
  <c r="J311" i="8"/>
  <c r="I220" i="8"/>
  <c r="G220" i="8"/>
  <c r="J202" i="8"/>
  <c r="I288" i="8"/>
  <c r="G288" i="8"/>
  <c r="J479" i="8"/>
  <c r="I72" i="8"/>
  <c r="G72" i="8"/>
  <c r="I3" i="8"/>
  <c r="G3" i="8"/>
  <c r="J335" i="8"/>
  <c r="J383" i="8"/>
  <c r="G307" i="8"/>
  <c r="I307" i="8"/>
  <c r="J272" i="8"/>
  <c r="I407" i="8"/>
  <c r="G407" i="8"/>
  <c r="G101" i="8"/>
  <c r="I101" i="8"/>
  <c r="J21" i="8"/>
  <c r="G38" i="8"/>
  <c r="I38" i="8"/>
  <c r="I256" i="8"/>
  <c r="G256" i="8"/>
  <c r="G120" i="8"/>
  <c r="I120" i="8"/>
  <c r="J4" i="8"/>
  <c r="J12" i="8"/>
  <c r="J273" i="8"/>
  <c r="I141" i="8"/>
  <c r="G141" i="8"/>
  <c r="J232" i="8"/>
  <c r="J402" i="8"/>
  <c r="J337" i="8"/>
  <c r="J77" i="8"/>
  <c r="G250" i="8"/>
  <c r="I250" i="8"/>
  <c r="J246" i="8"/>
  <c r="J98" i="8"/>
  <c r="J197" i="8"/>
  <c r="J357" i="8"/>
  <c r="J95" i="8"/>
  <c r="I290" i="8"/>
  <c r="G290" i="8"/>
  <c r="J423" i="8"/>
  <c r="J159" i="8"/>
  <c r="J309" i="8"/>
  <c r="G314" i="8"/>
  <c r="I314" i="8"/>
  <c r="J256" i="8"/>
  <c r="J8" i="8"/>
  <c r="I466" i="8"/>
  <c r="G466" i="8"/>
  <c r="J192" i="8"/>
  <c r="J99" i="8"/>
  <c r="J424" i="8"/>
  <c r="J304" i="8"/>
  <c r="J198" i="8"/>
  <c r="J368" i="8"/>
  <c r="G196" i="8"/>
  <c r="I196" i="8"/>
  <c r="I345" i="8"/>
  <c r="G345" i="8"/>
  <c r="I119" i="8"/>
  <c r="G119" i="8"/>
  <c r="J194" i="8"/>
  <c r="G154" i="8"/>
  <c r="I154" i="8"/>
  <c r="I222" i="8"/>
  <c r="G222" i="8"/>
  <c r="I447" i="8"/>
  <c r="G447" i="8"/>
  <c r="J329" i="8"/>
  <c r="I394" i="8"/>
  <c r="J394" i="8"/>
  <c r="G394" i="8"/>
  <c r="I223" i="8"/>
  <c r="G223" i="8"/>
  <c r="J408" i="8"/>
  <c r="J464" i="8"/>
  <c r="I403" i="8"/>
  <c r="G403" i="8"/>
  <c r="J445" i="8"/>
  <c r="J477" i="8"/>
  <c r="J395" i="8"/>
  <c r="I109" i="8"/>
  <c r="G109" i="8"/>
  <c r="J430" i="8"/>
  <c r="J414" i="8"/>
  <c r="G368" i="8"/>
  <c r="I368" i="8"/>
  <c r="J141" i="8"/>
  <c r="I94" i="8"/>
  <c r="G94" i="8"/>
  <c r="J25" i="8"/>
  <c r="J153" i="8"/>
  <c r="J89" i="8"/>
  <c r="G135" i="8"/>
  <c r="I135" i="8"/>
  <c r="J184" i="8"/>
  <c r="J20" i="8"/>
  <c r="J75" i="8"/>
  <c r="J126" i="8"/>
  <c r="J482" i="8"/>
  <c r="G437" i="8"/>
  <c r="I437" i="8"/>
  <c r="J323" i="8"/>
  <c r="J160" i="8"/>
  <c r="J104" i="8"/>
  <c r="J168" i="8"/>
  <c r="J294" i="8"/>
  <c r="G401" i="8"/>
  <c r="I401" i="8"/>
  <c r="J403" i="8"/>
  <c r="J59" i="8"/>
  <c r="J55" i="8"/>
  <c r="J461" i="8"/>
  <c r="J127" i="8"/>
  <c r="J11" i="8"/>
  <c r="I455" i="8"/>
  <c r="G455" i="8"/>
  <c r="J147" i="8"/>
  <c r="J41" i="8"/>
  <c r="J362" i="8"/>
  <c r="J238" i="8"/>
  <c r="J358" i="8"/>
  <c r="J262" i="8"/>
  <c r="I393" i="8"/>
  <c r="G393" i="8"/>
  <c r="J128" i="8"/>
  <c r="I355" i="8"/>
  <c r="G355" i="8"/>
  <c r="I414" i="8"/>
  <c r="G414" i="8"/>
  <c r="I327" i="8"/>
  <c r="G327" i="8"/>
  <c r="I492" i="8"/>
  <c r="G492" i="8"/>
  <c r="J418" i="8"/>
  <c r="G287" i="8"/>
  <c r="I287" i="8"/>
  <c r="J338" i="8"/>
  <c r="J495" i="8"/>
  <c r="G352" i="8"/>
  <c r="I352" i="8"/>
  <c r="G187" i="8"/>
  <c r="I187" i="8"/>
  <c r="J67" i="8"/>
  <c r="J157" i="8"/>
  <c r="J285" i="8"/>
  <c r="G26" i="8"/>
  <c r="J52" i="8"/>
  <c r="J222" i="8"/>
  <c r="J209" i="8"/>
  <c r="J491" i="8"/>
  <c r="J27" i="8"/>
  <c r="J79" i="8"/>
  <c r="J124" i="8"/>
  <c r="J24" i="8"/>
  <c r="J466" i="8"/>
  <c r="J342" i="8"/>
  <c r="J331" i="8"/>
  <c r="I270" i="8"/>
  <c r="G270" i="8"/>
  <c r="G153" i="8"/>
  <c r="I153" i="8"/>
  <c r="J70" i="8"/>
  <c r="J40" i="8"/>
  <c r="J155" i="8"/>
  <c r="J48" i="8"/>
  <c r="J233" i="8"/>
  <c r="J267" i="8"/>
  <c r="J239" i="8"/>
  <c r="J271" i="8"/>
  <c r="J94" i="8"/>
  <c r="J231" i="8"/>
  <c r="J407" i="8"/>
  <c r="J431" i="8"/>
  <c r="J119" i="8"/>
  <c r="J13" i="8"/>
  <c r="I29" i="8"/>
  <c r="G29" i="8"/>
  <c r="I377" i="8"/>
  <c r="G377" i="8"/>
  <c r="G130" i="8"/>
  <c r="I130" i="8"/>
  <c r="J473" i="8"/>
  <c r="J1" i="8" l="1"/>
  <c r="H1" i="8"/>
  <c r="G1" i="8"/>
  <c r="AC22" i="8"/>
  <c r="AC38" i="8"/>
  <c r="AC4" i="8"/>
  <c r="AC31" i="8"/>
  <c r="AC2" i="8"/>
  <c r="AC35" i="8"/>
  <c r="AC42" i="8"/>
  <c r="AC47" i="8"/>
  <c r="AC14" i="8"/>
  <c r="AC34" i="8"/>
  <c r="AC12" i="8"/>
  <c r="AC40" i="8"/>
  <c r="AC43" i="8"/>
  <c r="AC37" i="8"/>
  <c r="AC49" i="8"/>
  <c r="AC19" i="8"/>
  <c r="AC46" i="8"/>
  <c r="AC24" i="8"/>
  <c r="AC5" i="8"/>
  <c r="AC8" i="8"/>
  <c r="AC28" i="8"/>
  <c r="AC6" i="8"/>
  <c r="AC11" i="8"/>
  <c r="AC18" i="8"/>
  <c r="AC23" i="8"/>
  <c r="AC30" i="8"/>
  <c r="AC44" i="8"/>
  <c r="AC3" i="8"/>
  <c r="AC9" i="8"/>
  <c r="AC50" i="8"/>
  <c r="AC36" i="8"/>
  <c r="AC17" i="8"/>
  <c r="AC20" i="8"/>
  <c r="AC16" i="8"/>
  <c r="AC10" i="8"/>
  <c r="AC21" i="8"/>
  <c r="AC15" i="8"/>
  <c r="AC48" i="8"/>
  <c r="AC29" i="8"/>
  <c r="AC32" i="8"/>
  <c r="AC33" i="8"/>
  <c r="AC39" i="8"/>
  <c r="AC26" i="8"/>
  <c r="AC41" i="8"/>
  <c r="AC45" i="8"/>
  <c r="AC1" i="8"/>
  <c r="AC13" i="8"/>
  <c r="AC27" i="8"/>
  <c r="AC25" i="8"/>
  <c r="AC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Trung Nghĩa Trần</author>
  </authors>
  <commentList>
    <comment ref="A1" authorId="0" shapeId="0" xr:uid="{8F3CC042-299F-4A34-A394-45DD1D4D0B2E}">
      <text>
        <r>
          <rPr>
            <b/>
            <sz val="16"/>
            <color indexed="81"/>
            <rFont val="Tahoma"/>
            <family val="2"/>
          </rPr>
          <t>M</t>
        </r>
      </text>
    </comment>
    <comment ref="B1" authorId="0" shapeId="0" xr:uid="{FDA27E9D-3ECD-48F5-8CF5-A76455865978}">
      <text>
        <r>
          <rPr>
            <b/>
            <sz val="20"/>
            <color indexed="81"/>
            <rFont val="Tahoma"/>
            <family val="2"/>
          </rPr>
          <t>X</t>
        </r>
      </text>
    </comment>
    <comment ref="C1" authorId="0" shapeId="0" xr:uid="{68371776-0792-4225-8254-2E50D362577E}">
      <text>
        <r>
          <rPr>
            <b/>
            <sz val="20"/>
            <color indexed="81"/>
            <rFont val="Tahoma"/>
            <family val="2"/>
          </rPr>
          <t>Y_c</t>
        </r>
      </text>
    </comment>
    <comment ref="D1" authorId="0" shapeId="0" xr:uid="{3EF33C2A-996E-4265-9179-26C3263B2EF5}">
      <text>
        <r>
          <rPr>
            <b/>
            <sz val="20"/>
            <color indexed="81"/>
            <rFont val="Tahoma"/>
            <family val="2"/>
          </rPr>
          <t xml:space="preserve">Y_t
</t>
        </r>
      </text>
    </comment>
    <comment ref="E1" authorId="0" shapeId="0" xr:uid="{F98BFD06-8410-45FE-B44F-48DAFCE6BD43}">
      <text>
        <r>
          <rPr>
            <b/>
            <sz val="20"/>
            <color indexed="81"/>
            <rFont val="Tahoma"/>
            <family val="2"/>
          </rPr>
          <t>dY_c/dX</t>
        </r>
      </text>
    </comment>
    <comment ref="F1" authorId="0" shapeId="0" xr:uid="{485D8E1F-A2A2-47B9-9D76-BFD396232B4B}">
      <text>
        <r>
          <rPr>
            <b/>
            <sz val="20"/>
            <color indexed="81"/>
            <rFont val="Tahoma"/>
            <family val="2"/>
          </rPr>
          <t>Theta</t>
        </r>
      </text>
    </comment>
    <comment ref="G1" authorId="0" shapeId="0" xr:uid="{22AEE3C4-F4B3-41C5-87D0-C8A2BE975E7C}">
      <text>
        <r>
          <rPr>
            <b/>
            <sz val="20"/>
            <color indexed="81"/>
            <rFont val="Tahoma"/>
            <family val="2"/>
          </rPr>
          <t>X_u</t>
        </r>
      </text>
    </comment>
    <comment ref="H1" authorId="0" shapeId="0" xr:uid="{387372D3-6032-4223-AB63-902662E4D4B8}">
      <text>
        <r>
          <rPr>
            <b/>
            <sz val="20"/>
            <color indexed="81"/>
            <rFont val="Tahoma"/>
            <family val="2"/>
          </rPr>
          <t>Y_u</t>
        </r>
      </text>
    </comment>
    <comment ref="I1" authorId="0" shapeId="0" xr:uid="{3947382B-2C66-4219-A94D-93ACDF4D7D55}">
      <text>
        <r>
          <rPr>
            <b/>
            <sz val="20"/>
            <color indexed="81"/>
            <rFont val="Tahoma"/>
            <family val="2"/>
          </rPr>
          <t xml:space="preserve">X_l
</t>
        </r>
      </text>
    </comment>
    <comment ref="J1" authorId="0" shapeId="0" xr:uid="{43AFB8AB-D1B5-4BD6-BBE6-9BDB4CBA05D6}">
      <text>
        <r>
          <rPr>
            <b/>
            <sz val="20"/>
            <color indexed="81"/>
            <rFont val="Tahoma"/>
            <family val="2"/>
          </rPr>
          <t xml:space="preserve">Y_l
</t>
        </r>
      </text>
    </comment>
    <comment ref="M1" authorId="0" shapeId="0" xr:uid="{26FC50F1-75B2-4630-BE36-DCBE4EA35FD1}">
      <text>
        <r>
          <rPr>
            <b/>
            <sz val="9"/>
            <color indexed="81"/>
            <rFont val="Tahoma"/>
            <family val="2"/>
          </rPr>
          <t>mean line</t>
        </r>
      </text>
    </comment>
    <comment ref="N1" authorId="0" shapeId="0" xr:uid="{9211DB02-4936-4A7F-8C88-DF948C579197}">
      <text>
        <r>
          <rPr>
            <b/>
            <sz val="9"/>
            <color indexed="81"/>
            <rFont val="Tahoma"/>
            <family val="2"/>
          </rPr>
          <t>1th digit input</t>
        </r>
      </text>
    </comment>
    <comment ref="O1" authorId="0" shapeId="0" xr:uid="{B7DF89BC-BC1B-4D38-80E2-97729D3F0EB5}">
      <text>
        <r>
          <rPr>
            <b/>
            <sz val="9"/>
            <color indexed="81"/>
            <rFont val="Tahoma"/>
            <family val="2"/>
          </rPr>
          <t>first digit</t>
        </r>
      </text>
    </comment>
    <comment ref="P1" authorId="0" shapeId="0" xr:uid="{9537B744-A051-4050-873E-B9052059877E}">
      <text>
        <r>
          <rPr>
            <b/>
            <sz val="9"/>
            <color indexed="81"/>
            <rFont val="Tahoma"/>
            <family val="2"/>
          </rPr>
          <t>airfoil type</t>
        </r>
      </text>
    </comment>
    <comment ref="R1" authorId="0" shapeId="0" xr:uid="{65B1B843-B861-4980-9F14-9EBA66FC0BEF}">
      <text>
        <r>
          <rPr>
            <b/>
            <sz val="9"/>
            <color indexed="81"/>
            <rFont val="Tahoma"/>
            <family val="2"/>
          </rPr>
          <t>alpha(dy/dx_x=0)</t>
        </r>
      </text>
    </comment>
    <comment ref="S1" authorId="0" shapeId="0" xr:uid="{4E7A0CC5-CF29-4736-B910-4003A5A101BA}">
      <text>
        <r>
          <rPr>
            <b/>
            <sz val="9"/>
            <color indexed="81"/>
            <rFont val="Tahoma"/>
            <family val="2"/>
          </rPr>
          <t>phi</t>
        </r>
      </text>
    </comment>
    <comment ref="T1" authorId="0" shapeId="0" xr:uid="{088AD251-4D6A-46F9-A4AF-EC0E6B2DBD56}">
      <text>
        <r>
          <rPr>
            <b/>
            <sz val="9"/>
            <color indexed="81"/>
            <rFont val="Tahoma"/>
            <family val="2"/>
          </rPr>
          <t>x(phi)</t>
        </r>
      </text>
    </comment>
    <comment ref="U1" authorId="0" shapeId="0" xr:uid="{EA84D843-AABE-4ECE-9CDE-EC077F5990E3}">
      <text>
        <r>
          <rPr>
            <b/>
            <sz val="9"/>
            <color indexed="81"/>
            <rFont val="Tahoma"/>
            <family val="2"/>
          </rPr>
          <t>y(phi)</t>
        </r>
      </text>
    </comment>
    <comment ref="A2" authorId="0" shapeId="0" xr:uid="{69EBE16B-419F-429B-B3C8-0EA38C616B6B}">
      <text>
        <r>
          <rPr>
            <b/>
            <sz val="20"/>
            <color indexed="81"/>
            <rFont val="Tahoma"/>
            <family val="2"/>
          </rPr>
          <t>P</t>
        </r>
      </text>
    </comment>
    <comment ref="N2" authorId="0" shapeId="0" xr:uid="{EDC3D972-0F8F-4DC3-86CF-A22A80EAA985}">
      <text>
        <r>
          <rPr>
            <b/>
            <sz val="9"/>
            <color indexed="81"/>
            <rFont val="Tahoma"/>
            <family val="2"/>
          </rPr>
          <t>2nd digit input</t>
        </r>
      </text>
    </comment>
    <comment ref="O2" authorId="0" shapeId="0" xr:uid="{C32A9D99-AA76-4062-A014-09CB245FC60E}">
      <text>
        <r>
          <rPr>
            <b/>
            <sz val="9"/>
            <color indexed="81"/>
            <rFont val="Tahoma"/>
            <family val="2"/>
          </rPr>
          <t>second digit</t>
        </r>
      </text>
    </comment>
    <comment ref="R2" authorId="0" shapeId="0" xr:uid="{841767E7-6DC6-4556-A695-56CC6A8802EA}">
      <text>
        <r>
          <rPr>
            <b/>
            <sz val="9"/>
            <color indexed="81"/>
            <rFont val="Tahoma"/>
            <family val="2"/>
          </rPr>
          <t>leading-edge radius</t>
        </r>
      </text>
    </comment>
    <comment ref="A3" authorId="0" shapeId="0" xr:uid="{EEAFD636-6595-49AA-AB98-53F5A931D188}">
      <text>
        <r>
          <rPr>
            <b/>
            <sz val="20"/>
            <color indexed="81"/>
            <rFont val="Tahoma"/>
            <family val="2"/>
          </rPr>
          <t>T</t>
        </r>
      </text>
    </comment>
    <comment ref="O3" authorId="0" shapeId="0" xr:uid="{9BC42D27-CB6C-4885-BA8E-74EC0F0E3417}">
      <text>
        <r>
          <rPr>
            <b/>
            <sz val="9"/>
            <color indexed="81"/>
            <rFont val="Tahoma"/>
            <family val="2"/>
          </rPr>
          <t>third digit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Trung Nghĩa Trần</author>
  </authors>
  <commentList>
    <comment ref="A1" authorId="0" shapeId="0" xr:uid="{823A4ECA-771B-4274-B3BD-0A9A78AB84DF}">
      <text>
        <r>
          <rPr>
            <b/>
            <sz val="9"/>
            <color indexed="81"/>
            <rFont val="Tahoma"/>
            <family val="2"/>
          </rPr>
          <t>Number of points</t>
        </r>
      </text>
    </comment>
    <comment ref="B1" authorId="0" shapeId="0" xr:uid="{72086D21-8779-41F8-9E7C-240E86A00F7A}">
      <text>
        <r>
          <rPr>
            <b/>
            <sz val="9"/>
            <color indexed="81"/>
            <rFont val="Tahoma"/>
            <family val="2"/>
          </rPr>
          <t>x</t>
        </r>
      </text>
    </comment>
    <comment ref="C1" authorId="0" shapeId="0" xr:uid="{45F73612-0EAC-4B51-B8A1-C82BFAA43501}">
      <text>
        <r>
          <rPr>
            <b/>
            <sz val="9"/>
            <color indexed="81"/>
            <rFont val="Tahoma"/>
            <family val="2"/>
          </rPr>
          <t>Y_t</t>
        </r>
      </text>
    </comment>
    <comment ref="D1" authorId="0" shapeId="0" xr:uid="{38181358-D959-437E-BDAE-3ADBE073C476}">
      <text>
        <r>
          <rPr>
            <b/>
            <sz val="9"/>
            <color indexed="81"/>
            <rFont val="Tahoma"/>
            <family val="2"/>
          </rPr>
          <t xml:space="preserve">Y_c(S)
</t>
        </r>
      </text>
    </comment>
    <comment ref="E1" authorId="0" shapeId="0" xr:uid="{084E1077-2FA3-486B-9687-52362F98403B}">
      <text>
        <r>
          <rPr>
            <b/>
            <sz val="9"/>
            <color indexed="81"/>
            <rFont val="Tahoma"/>
            <family val="2"/>
          </rPr>
          <t>dY_c/dX(S)</t>
        </r>
      </text>
    </comment>
    <comment ref="F1" authorId="0" shapeId="0" xr:uid="{279C3133-B396-41FE-B992-896BFDECC499}">
      <text>
        <r>
          <rPr>
            <b/>
            <sz val="9"/>
            <color indexed="81"/>
            <rFont val="Tahoma"/>
            <family val="2"/>
          </rPr>
          <t>Theta(S)</t>
        </r>
      </text>
    </comment>
    <comment ref="G1" authorId="0" shapeId="0" xr:uid="{9D07D8BD-4A47-41DC-AE02-E6D3507F7058}">
      <text>
        <r>
          <rPr>
            <b/>
            <sz val="9"/>
            <color indexed="81"/>
            <rFont val="Tahoma"/>
            <family val="2"/>
          </rPr>
          <t>Y_c(R)</t>
        </r>
      </text>
    </comment>
    <comment ref="H1" authorId="0" shapeId="0" xr:uid="{94BDB986-A337-4DCD-BBFA-2B16D4861278}">
      <text>
        <r>
          <rPr>
            <b/>
            <sz val="9"/>
            <color indexed="81"/>
            <rFont val="Tahoma"/>
            <family val="2"/>
          </rPr>
          <t>dY_c/dX(R)</t>
        </r>
      </text>
    </comment>
    <comment ref="I1" authorId="0" shapeId="0" xr:uid="{2EEEFC4F-747F-41CD-B491-43F780EAACA0}">
      <text>
        <r>
          <rPr>
            <b/>
            <sz val="9"/>
            <color indexed="81"/>
            <rFont val="Tahoma"/>
            <family val="2"/>
          </rPr>
          <t>Theta(R)</t>
        </r>
      </text>
    </comment>
    <comment ref="J1" authorId="0" shapeId="0" xr:uid="{1F539D51-05ED-48EC-9791-EE5DDE0D375B}">
      <text>
        <r>
          <rPr>
            <b/>
            <sz val="9"/>
            <color indexed="81"/>
            <rFont val="Tahoma"/>
            <family val="2"/>
          </rPr>
          <t>Y_c</t>
        </r>
      </text>
    </comment>
    <comment ref="K1" authorId="0" shapeId="0" xr:uid="{E94E8626-C167-400C-BA23-2045826A3067}">
      <text>
        <r>
          <rPr>
            <b/>
            <sz val="9"/>
            <color indexed="81"/>
            <rFont val="Tahoma"/>
            <family val="2"/>
          </rPr>
          <t>Theta</t>
        </r>
      </text>
    </comment>
    <comment ref="L1" authorId="0" shapeId="0" xr:uid="{4832F7BD-872C-490B-A60B-CDD913DD909B}">
      <text>
        <r>
          <rPr>
            <b/>
            <sz val="9"/>
            <color indexed="81"/>
            <rFont val="Tahoma"/>
            <family val="2"/>
          </rPr>
          <t>X_u</t>
        </r>
      </text>
    </comment>
    <comment ref="M1" authorId="0" shapeId="0" xr:uid="{9FCA5D0F-B763-4123-B052-2075A7557248}">
      <text>
        <r>
          <rPr>
            <b/>
            <sz val="9"/>
            <color indexed="81"/>
            <rFont val="Tahoma"/>
            <family val="2"/>
          </rPr>
          <t>Y_u</t>
        </r>
      </text>
    </comment>
    <comment ref="N1" authorId="0" shapeId="0" xr:uid="{50A30122-D703-4FDD-9F7D-5B084F8F60DE}">
      <text>
        <r>
          <rPr>
            <b/>
            <sz val="9"/>
            <color indexed="81"/>
            <rFont val="Tahoma"/>
            <family val="2"/>
          </rPr>
          <t>X_l</t>
        </r>
      </text>
    </comment>
    <comment ref="O1" authorId="0" shapeId="0" xr:uid="{9D41DC7E-6B66-4F93-840C-20F497AA5AAA}">
      <text>
        <r>
          <rPr>
            <b/>
            <sz val="9"/>
            <color indexed="81"/>
            <rFont val="Tahoma"/>
            <family val="2"/>
          </rPr>
          <t>Y_l</t>
        </r>
      </text>
    </comment>
    <comment ref="P1" authorId="0" shapeId="0" xr:uid="{21777091-37F9-4926-97AE-83103A0B9DED}">
      <text>
        <r>
          <rPr>
            <b/>
            <sz val="9"/>
            <color indexed="81"/>
            <rFont val="Tahoma"/>
            <family val="2"/>
          </rPr>
          <t>equation_ solve r</t>
        </r>
      </text>
    </comment>
    <comment ref="R1" authorId="0" shapeId="0" xr:uid="{098607A7-1987-4324-914A-3DFE8CD0ECC2}">
      <text>
        <r>
          <rPr>
            <b/>
            <sz val="9"/>
            <color indexed="81"/>
            <rFont val="Tahoma"/>
            <family val="2"/>
          </rPr>
          <t>mean line</t>
        </r>
      </text>
    </comment>
    <comment ref="U1" authorId="0" shapeId="0" xr:uid="{2662BDCF-D34B-41B2-AFBB-2D8B2C1BF0A7}">
      <text>
        <r>
          <rPr>
            <b/>
            <sz val="9"/>
            <color indexed="81"/>
            <rFont val="Tahoma"/>
            <family val="2"/>
          </rPr>
          <t>alpha</t>
        </r>
      </text>
    </comment>
    <comment ref="V1" authorId="0" shapeId="0" xr:uid="{ED4E40AC-3F92-46BE-BF1D-8FA12073CD27}">
      <text>
        <r>
          <rPr>
            <b/>
            <sz val="9"/>
            <color indexed="81"/>
            <rFont val="Tahoma"/>
            <family val="2"/>
          </rPr>
          <t>phi</t>
        </r>
      </text>
    </comment>
    <comment ref="W1" authorId="0" shapeId="0" xr:uid="{0DFA3D73-BC89-45B6-9B16-CC9EA932CE20}">
      <text>
        <r>
          <rPr>
            <b/>
            <sz val="9"/>
            <color indexed="81"/>
            <rFont val="Tahoma"/>
            <family val="2"/>
          </rPr>
          <t>x(phi)</t>
        </r>
      </text>
    </comment>
    <comment ref="X1" authorId="0" shapeId="0" xr:uid="{416A5D61-513A-4645-A52D-B2A3B1120C14}">
      <text>
        <r>
          <rPr>
            <b/>
            <sz val="9"/>
            <color indexed="81"/>
            <rFont val="Tahoma"/>
            <family val="2"/>
          </rPr>
          <t>y(phi)</t>
        </r>
      </text>
    </comment>
    <comment ref="A2" authorId="0" shapeId="0" xr:uid="{61F30568-3BA0-42FE-8A93-46E0A7C3AF78}">
      <text>
        <r>
          <rPr>
            <b/>
            <sz val="9"/>
            <color indexed="81"/>
            <rFont val="Tahoma"/>
            <family val="2"/>
          </rPr>
          <t>first digit</t>
        </r>
      </text>
    </comment>
    <comment ref="U2" authorId="0" shapeId="0" xr:uid="{BCBB9B55-9B0C-4128-8DD5-8718A9620BE6}">
      <text>
        <r>
          <rPr>
            <b/>
            <sz val="9"/>
            <color indexed="81"/>
            <rFont val="Tahoma"/>
            <family val="2"/>
          </rPr>
          <t>leading-edge radius</t>
        </r>
      </text>
    </comment>
    <comment ref="A3" authorId="0" shapeId="0" xr:uid="{C63E395B-15E9-4A6E-B10D-F3DD83304DFD}">
      <text>
        <r>
          <rPr>
            <b/>
            <sz val="9"/>
            <color indexed="81"/>
            <rFont val="Tahoma"/>
            <family val="2"/>
          </rPr>
          <t>second digit</t>
        </r>
      </text>
    </comment>
    <comment ref="A4" authorId="0" shapeId="0" xr:uid="{0B5C180D-2392-4E15-AECD-34F6DD74EF6D}">
      <text>
        <r>
          <rPr>
            <b/>
            <sz val="9"/>
            <color indexed="81"/>
            <rFont val="Tahoma"/>
            <family val="2"/>
          </rPr>
          <t>3,4th digit</t>
        </r>
      </text>
    </comment>
    <comment ref="A5" authorId="0" shapeId="0" xr:uid="{3912F05C-A2AA-4ADD-8DF7-7FAD00151F4B}">
      <text>
        <r>
          <rPr>
            <b/>
            <sz val="9"/>
            <color indexed="81"/>
            <rFont val="Tahoma"/>
            <family val="2"/>
          </rPr>
          <t>p</t>
        </r>
      </text>
    </comment>
    <comment ref="A6" authorId="0" shapeId="0" xr:uid="{556CE1BE-2001-4971-AC6A-FA615903A6DF}">
      <text>
        <r>
          <rPr>
            <b/>
            <sz val="9"/>
            <color indexed="81"/>
            <rFont val="Tahoma"/>
            <family val="2"/>
          </rPr>
          <t>maximum camber</t>
        </r>
      </text>
    </comment>
    <comment ref="A7" authorId="0" shapeId="0" xr:uid="{DBD009CC-9C59-4397-AC60-499319B03CA4}">
      <text>
        <r>
          <rPr>
            <b/>
            <sz val="9"/>
            <color indexed="81"/>
            <rFont val="Tahoma"/>
            <family val="2"/>
          </rPr>
          <t>max thickness</t>
        </r>
      </text>
    </comment>
    <comment ref="A8" authorId="0" shapeId="0" xr:uid="{841925D6-DA0F-4B48-BC25-E0690E5CD5A6}">
      <text>
        <r>
          <rPr>
            <b/>
            <sz val="9"/>
            <color indexed="81"/>
            <rFont val="Tahoma"/>
            <family val="2"/>
          </rPr>
          <t>m(S)</t>
        </r>
      </text>
    </comment>
    <comment ref="A9" authorId="0" shapeId="0" xr:uid="{854DD2B5-6B3C-475B-98DD-B2CB50F4580F}">
      <text>
        <r>
          <rPr>
            <b/>
            <sz val="9"/>
            <color indexed="81"/>
            <rFont val="Tahoma"/>
            <family val="2"/>
          </rPr>
          <t>N</t>
        </r>
      </text>
    </comment>
    <comment ref="A10" authorId="0" shapeId="0" xr:uid="{541C410F-7713-4A73-B32F-64F514932CAD}">
      <text>
        <r>
          <rPr>
            <b/>
            <sz val="9"/>
            <color indexed="81"/>
            <rFont val="Tahoma"/>
            <family val="2"/>
          </rPr>
          <t>k1(S)</t>
        </r>
      </text>
    </comment>
    <comment ref="A11" authorId="0" shapeId="0" xr:uid="{16FD7ED6-FB6C-45A1-9906-78B964B51B7F}">
      <text>
        <r>
          <rPr>
            <b/>
            <sz val="9"/>
            <color indexed="81"/>
            <rFont val="Tahoma"/>
            <family val="2"/>
          </rPr>
          <t>m(R)</t>
        </r>
      </text>
    </comment>
    <comment ref="A12" authorId="0" shapeId="0" xr:uid="{5CA504D5-78A8-4DF7-A3C3-CD2F7F1E3BC9}">
      <text>
        <r>
          <rPr>
            <b/>
            <sz val="9"/>
            <color indexed="81"/>
            <rFont val="Tahoma"/>
            <family val="2"/>
          </rPr>
          <t>k1(R)</t>
        </r>
      </text>
    </comment>
    <comment ref="A13" authorId="0" shapeId="0" xr:uid="{6F68FB04-553A-418A-9B76-F26B997F1930}">
      <text>
        <r>
          <rPr>
            <b/>
            <sz val="9"/>
            <color indexed="81"/>
            <rFont val="Tahoma"/>
            <family val="2"/>
          </rPr>
          <t>k2/k1</t>
        </r>
      </text>
    </comment>
    <comment ref="A14" authorId="0" shapeId="0" xr:uid="{200FE43D-97DA-4FA1-B7A0-79F0036A61BD}">
      <text>
        <r>
          <rPr>
            <b/>
            <sz val="9"/>
            <color indexed="81"/>
            <rFont val="Tahoma"/>
            <family val="2"/>
          </rPr>
          <t xml:space="preserve">design lift coefficient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Trung Nghĩa Trần</author>
  </authors>
  <commentList>
    <comment ref="A1" authorId="0" shapeId="0" xr:uid="{C106524A-B8CC-481B-951A-D057309F860A}">
      <text>
        <r>
          <rPr>
            <b/>
            <sz val="9"/>
            <color indexed="81"/>
            <rFont val="Tahoma"/>
            <family val="2"/>
          </rPr>
          <t>m</t>
        </r>
      </text>
    </comment>
    <comment ref="B1" authorId="0" shapeId="0" xr:uid="{17ED6F80-3A90-4F59-AA24-5FE1B49B9A76}">
      <text>
        <r>
          <rPr>
            <b/>
            <sz val="20"/>
            <color indexed="81"/>
            <rFont val="Tahoma"/>
            <family val="2"/>
          </rPr>
          <t>X</t>
        </r>
      </text>
    </comment>
    <comment ref="C1" authorId="0" shapeId="0" xr:uid="{7191031E-6438-48ED-BE7B-BF645892DAE5}">
      <text>
        <r>
          <rPr>
            <b/>
            <sz val="20"/>
            <color indexed="81"/>
            <rFont val="Tahoma"/>
            <family val="2"/>
          </rPr>
          <t>Y_c</t>
        </r>
      </text>
    </comment>
    <comment ref="D1" authorId="0" shapeId="0" xr:uid="{893248CD-1C4F-46DB-9FEC-866AB930A0EB}">
      <text>
        <r>
          <rPr>
            <b/>
            <sz val="9"/>
            <color indexed="81"/>
            <rFont val="Tahoma"/>
            <family val="2"/>
          </rPr>
          <t>yt+</t>
        </r>
      </text>
    </comment>
    <comment ref="E1" authorId="0" shapeId="0" xr:uid="{4F60964D-767C-468A-AC1A-2366343CAB9E}">
      <text>
        <r>
          <rPr>
            <b/>
            <sz val="20"/>
            <color indexed="81"/>
            <rFont val="Tahoma"/>
            <family val="2"/>
          </rPr>
          <t>dY_c/dX</t>
        </r>
      </text>
    </comment>
    <comment ref="F1" authorId="0" shapeId="0" xr:uid="{E40C79FC-F84E-4389-9EAC-B8D33FD6EEC9}">
      <text>
        <r>
          <rPr>
            <b/>
            <sz val="20"/>
            <color indexed="81"/>
            <rFont val="Tahoma"/>
            <family val="2"/>
          </rPr>
          <t>Theta</t>
        </r>
      </text>
    </comment>
    <comment ref="G1" authorId="0" shapeId="0" xr:uid="{21CAFB6A-EBDF-4E2F-B0C7-A3CAE69C892C}">
      <text>
        <r>
          <rPr>
            <b/>
            <sz val="20"/>
            <color indexed="81"/>
            <rFont val="Tahoma"/>
            <family val="2"/>
          </rPr>
          <t>X_u</t>
        </r>
      </text>
    </comment>
    <comment ref="H1" authorId="0" shapeId="0" xr:uid="{ABD61405-74F1-4286-8AC4-D66ABDC46498}">
      <text>
        <r>
          <rPr>
            <b/>
            <sz val="20"/>
            <color indexed="81"/>
            <rFont val="Tahoma"/>
            <family val="2"/>
          </rPr>
          <t>Y_u</t>
        </r>
      </text>
    </comment>
    <comment ref="I1" authorId="0" shapeId="0" xr:uid="{89B242AF-BE4C-4E65-B76C-F6358ADD9999}">
      <text>
        <r>
          <rPr>
            <b/>
            <sz val="20"/>
            <color indexed="81"/>
            <rFont val="Tahoma"/>
            <family val="2"/>
          </rPr>
          <t xml:space="preserve">X_l
</t>
        </r>
      </text>
    </comment>
    <comment ref="J1" authorId="0" shapeId="0" xr:uid="{A916F1BB-F14C-4A28-A488-0235BE8655B8}">
      <text>
        <r>
          <rPr>
            <b/>
            <sz val="20"/>
            <color indexed="81"/>
            <rFont val="Tahoma"/>
            <family val="2"/>
          </rPr>
          <t xml:space="preserve">Y_l
</t>
        </r>
      </text>
    </comment>
    <comment ref="K1" authorId="0" shapeId="0" xr:uid="{666FE444-D7B8-4D2E-8C74-89ED5FA1A3BF}">
      <text>
        <r>
          <rPr>
            <b/>
            <sz val="14"/>
            <color indexed="81"/>
            <rFont val="Tahoma"/>
            <family val="2"/>
          </rPr>
          <t>Thickness yu - yl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 xr:uid="{494E9738-1E19-47C5-AB93-BCC1C0452000}">
      <text>
        <r>
          <rPr>
            <b/>
            <sz val="9"/>
            <color indexed="81"/>
            <rFont val="Tahoma"/>
            <family val="2"/>
          </rPr>
          <t>I (radius index)</t>
        </r>
      </text>
    </comment>
    <comment ref="N1" authorId="0" shapeId="0" xr:uid="{E4F6096E-1833-4861-90F5-4E124E41E808}">
      <text>
        <r>
          <rPr>
            <b/>
            <sz val="9"/>
            <color indexed="81"/>
            <rFont val="Tahoma"/>
            <family val="2"/>
          </rPr>
          <t xml:space="preserve">m thickness
</t>
        </r>
      </text>
    </comment>
    <comment ref="O1" authorId="0" shapeId="0" xr:uid="{3841D743-030D-4E92-A111-74FB0B9BD9D0}">
      <text>
        <r>
          <rPr>
            <b/>
            <sz val="9"/>
            <color indexed="81"/>
            <rFont val="Tahoma"/>
            <family val="2"/>
          </rPr>
          <t>a0</t>
        </r>
      </text>
    </comment>
    <comment ref="P1" authorId="0" shapeId="0" xr:uid="{02FC17C9-F76A-4D71-9B45-75462567841F}">
      <text>
        <r>
          <rPr>
            <b/>
            <sz val="9"/>
            <color indexed="81"/>
            <rFont val="Tahoma"/>
            <family val="2"/>
          </rPr>
          <t>a1</t>
        </r>
      </text>
    </comment>
    <comment ref="Q1" authorId="0" shapeId="0" xr:uid="{0CB6189E-DC73-49E3-A7CF-1BEA987E0B54}">
      <text>
        <r>
          <rPr>
            <b/>
            <sz val="9"/>
            <color indexed="81"/>
            <rFont val="Tahoma"/>
            <family val="2"/>
          </rPr>
          <t>a2</t>
        </r>
      </text>
    </comment>
    <comment ref="R1" authorId="0" shapeId="0" xr:uid="{518952AF-CDFC-4659-A247-E2EC087BEB13}">
      <text>
        <r>
          <rPr>
            <b/>
            <sz val="9"/>
            <color indexed="81"/>
            <rFont val="Tahoma"/>
            <family val="2"/>
          </rPr>
          <t>a3</t>
        </r>
      </text>
    </comment>
    <comment ref="S1" authorId="0" shapeId="0" xr:uid="{89F2022C-E581-4200-8D4E-DC1199BF216E}">
      <text>
        <r>
          <rPr>
            <b/>
            <sz val="9"/>
            <color indexed="81"/>
            <rFont val="Tahoma"/>
            <family val="2"/>
          </rPr>
          <t>d0</t>
        </r>
      </text>
    </comment>
    <comment ref="T1" authorId="0" shapeId="0" xr:uid="{94EA5812-2496-42CE-BA2C-C67B40B16880}">
      <text>
        <r>
          <rPr>
            <b/>
            <sz val="9"/>
            <color indexed="81"/>
            <rFont val="Tahoma"/>
            <family val="2"/>
          </rPr>
          <t>d1</t>
        </r>
      </text>
    </comment>
    <comment ref="U1" authorId="0" shapeId="0" xr:uid="{CA080217-198F-4E7D-B042-2B5418FB366A}">
      <text>
        <r>
          <rPr>
            <b/>
            <sz val="9"/>
            <color indexed="81"/>
            <rFont val="Tahoma"/>
            <family val="2"/>
          </rPr>
          <t>d2</t>
        </r>
      </text>
    </comment>
    <comment ref="V1" authorId="0" shapeId="0" xr:uid="{F5DE4203-935E-4931-AC8F-7C18FCA7818C}">
      <text>
        <r>
          <rPr>
            <b/>
            <sz val="9"/>
            <color indexed="81"/>
            <rFont val="Tahoma"/>
            <family val="2"/>
          </rPr>
          <t>d3</t>
        </r>
      </text>
    </comment>
    <comment ref="W1" authorId="0" shapeId="0" xr:uid="{A6D2C4B9-2515-4336-B695-19EDC3DDFCAA}">
      <text>
        <r>
          <rPr>
            <b/>
            <sz val="9"/>
            <color indexed="81"/>
            <rFont val="Tahoma"/>
            <family val="2"/>
          </rPr>
          <t>rho1</t>
        </r>
      </text>
    </comment>
    <comment ref="Y1" authorId="0" shapeId="0" xr:uid="{23E3EC2E-2116-4431-B291-8D5B3D5CE686}">
      <text>
        <r>
          <rPr>
            <b/>
            <sz val="9"/>
            <color indexed="81"/>
            <rFont val="Tahoma"/>
            <family val="2"/>
          </rPr>
          <t>mean line</t>
        </r>
      </text>
    </comment>
    <comment ref="AA1" authorId="0" shapeId="0" xr:uid="{09478302-9785-439F-B52D-D83F9CA43808}">
      <text>
        <r>
          <rPr>
            <b/>
            <sz val="9"/>
            <color indexed="81"/>
            <rFont val="Tahoma"/>
            <family val="2"/>
          </rPr>
          <t>alpha</t>
        </r>
      </text>
    </comment>
    <comment ref="AB1" authorId="0" shapeId="0" xr:uid="{5D0A05B4-9D99-4859-B6D3-DD873548E90F}">
      <text>
        <r>
          <rPr>
            <b/>
            <sz val="9"/>
            <color indexed="81"/>
            <rFont val="Tahoma"/>
            <family val="2"/>
          </rPr>
          <t>phi</t>
        </r>
      </text>
    </comment>
    <comment ref="AC1" authorId="0" shapeId="0" xr:uid="{9AAB6E9D-7F66-4E9F-A8CF-FF45417EAA79}">
      <text>
        <r>
          <rPr>
            <b/>
            <sz val="9"/>
            <color indexed="81"/>
            <rFont val="Tahoma"/>
            <family val="2"/>
          </rPr>
          <t>x(phi)</t>
        </r>
      </text>
    </comment>
    <comment ref="AD1" authorId="0" shapeId="0" xr:uid="{175A5266-89F2-4ACD-87AE-A5134D06B567}">
      <text>
        <r>
          <rPr>
            <b/>
            <sz val="9"/>
            <color indexed="81"/>
            <rFont val="Tahoma"/>
            <family val="2"/>
          </rPr>
          <t>y(phi)</t>
        </r>
      </text>
    </comment>
    <comment ref="A2" authorId="0" shapeId="0" xr:uid="{6D7857D2-1BB0-4CE8-9DF2-DA5C510F1460}">
      <text>
        <r>
          <rPr>
            <b/>
            <sz val="9"/>
            <color indexed="81"/>
            <rFont val="Tahoma"/>
            <family val="2"/>
          </rPr>
          <t>p</t>
        </r>
      </text>
    </comment>
    <comment ref="N2" authorId="0" shapeId="0" xr:uid="{533EC4E5-E94D-40BA-A397-2C373D7DB7C4}">
      <text>
        <r>
          <rPr>
            <b/>
            <sz val="9"/>
            <color indexed="81"/>
            <rFont val="Tahoma"/>
            <family val="2"/>
          </rPr>
          <t>thickness position</t>
        </r>
      </text>
    </comment>
    <comment ref="AA2" authorId="0" shapeId="0" xr:uid="{B81A615C-63C7-4A70-B5AE-5D11F0E5AB43}">
      <text>
        <r>
          <rPr>
            <b/>
            <sz val="9"/>
            <color indexed="81"/>
            <rFont val="Tahoma"/>
            <family val="2"/>
          </rPr>
          <t>leading-edge radius</t>
        </r>
      </text>
    </comment>
    <comment ref="A3" authorId="0" shapeId="0" xr:uid="{9411A109-98C3-4055-9A82-90A63B7FEC8E}">
      <text>
        <r>
          <rPr>
            <b/>
            <sz val="9"/>
            <color indexed="81"/>
            <rFont val="Tahoma"/>
            <family val="2"/>
          </rPr>
          <t>t</t>
        </r>
      </text>
    </comment>
    <comment ref="A4" authorId="0" shapeId="0" xr:uid="{37167825-AEA7-4BEE-ABBF-EFA213C83CE6}">
      <text>
        <r>
          <rPr>
            <b/>
            <sz val="9"/>
            <color indexed="81"/>
            <rFont val="Tahoma"/>
            <family val="2"/>
          </rPr>
          <t>first digit</t>
        </r>
      </text>
    </comment>
    <comment ref="A5" authorId="0" shapeId="0" xr:uid="{5996256F-DE01-49F2-8D37-6885E8DF2936}">
      <text>
        <r>
          <rPr>
            <b/>
            <sz val="9"/>
            <color indexed="81"/>
            <rFont val="Tahoma"/>
            <family val="2"/>
          </rPr>
          <t>second digit</t>
        </r>
      </text>
    </comment>
    <comment ref="A6" authorId="0" shapeId="0" xr:uid="{B0CB5D9A-5636-4D7A-AB68-4CC9B00CC47D}">
      <text>
        <r>
          <rPr>
            <b/>
            <sz val="9"/>
            <color indexed="81"/>
            <rFont val="Tahoma"/>
            <family val="2"/>
          </rPr>
          <t>3,4th digit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Trung Nghĩa Trần</author>
  </authors>
  <commentList>
    <comment ref="B1" authorId="0" shapeId="0" xr:uid="{18713641-51B4-4FB3-98C8-AE5DB1A18C49}">
      <text>
        <r>
          <rPr>
            <b/>
            <sz val="9"/>
            <color indexed="81"/>
            <rFont val="Tahoma"/>
            <family val="2"/>
          </rPr>
          <t>x</t>
        </r>
      </text>
    </comment>
    <comment ref="C1" authorId="0" shapeId="0" xr:uid="{98635191-4B0A-435C-B815-E6F638109440}">
      <text>
        <r>
          <rPr>
            <b/>
            <sz val="9"/>
            <color indexed="81"/>
            <rFont val="Tahoma"/>
            <family val="2"/>
          </rPr>
          <t>Y_t</t>
        </r>
      </text>
    </comment>
    <comment ref="D1" authorId="0" shapeId="0" xr:uid="{B510CAEF-D0DC-46B1-827A-512E2DEB8EE7}">
      <text>
        <r>
          <rPr>
            <b/>
            <sz val="9"/>
            <color indexed="81"/>
            <rFont val="Tahoma"/>
            <family val="2"/>
          </rPr>
          <t xml:space="preserve">Y_c(S)
</t>
        </r>
      </text>
    </comment>
    <comment ref="E1" authorId="0" shapeId="0" xr:uid="{C5354AA1-22B5-48BC-A377-DBE9498F5AB3}">
      <text>
        <r>
          <rPr>
            <b/>
            <sz val="9"/>
            <color indexed="81"/>
            <rFont val="Tahoma"/>
            <family val="2"/>
          </rPr>
          <t>dY_c/dX(S)</t>
        </r>
      </text>
    </comment>
    <comment ref="F1" authorId="0" shapeId="0" xr:uid="{1556D6F1-457A-48AF-911D-73BB6029987B}">
      <text>
        <r>
          <rPr>
            <b/>
            <sz val="9"/>
            <color indexed="81"/>
            <rFont val="Tahoma"/>
            <family val="2"/>
          </rPr>
          <t>Theta(S)</t>
        </r>
      </text>
    </comment>
    <comment ref="G1" authorId="0" shapeId="0" xr:uid="{A2A32CE7-C3EE-4471-837D-C308BE05216A}">
      <text>
        <r>
          <rPr>
            <b/>
            <sz val="9"/>
            <color indexed="81"/>
            <rFont val="Tahoma"/>
            <family val="2"/>
          </rPr>
          <t>X_u</t>
        </r>
      </text>
    </comment>
    <comment ref="H1" authorId="0" shapeId="0" xr:uid="{DE52AB4A-CC3C-4812-BBC3-4166F5ED1F6F}">
      <text>
        <r>
          <rPr>
            <b/>
            <sz val="9"/>
            <color indexed="81"/>
            <rFont val="Tahoma"/>
            <family val="2"/>
          </rPr>
          <t>Y_u</t>
        </r>
      </text>
    </comment>
    <comment ref="I1" authorId="0" shapeId="0" xr:uid="{D2AAEC51-A789-4E85-942B-5AA7DB964407}">
      <text>
        <r>
          <rPr>
            <b/>
            <sz val="9"/>
            <color indexed="81"/>
            <rFont val="Tahoma"/>
            <family val="2"/>
          </rPr>
          <t>X_l</t>
        </r>
      </text>
    </comment>
    <comment ref="J1" authorId="0" shapeId="0" xr:uid="{7793636B-FDAC-4BBE-B75A-A2BB3C356D57}">
      <text>
        <r>
          <rPr>
            <b/>
            <sz val="9"/>
            <color indexed="81"/>
            <rFont val="Tahoma"/>
            <family val="2"/>
          </rPr>
          <t>Y_l</t>
        </r>
      </text>
    </comment>
    <comment ref="K1" authorId="0" shapeId="0" xr:uid="{C1C9185F-E8AB-4E65-95C3-8E53444146BA}">
      <text>
        <r>
          <rPr>
            <b/>
            <sz val="9"/>
            <color indexed="81"/>
            <rFont val="Tahoma"/>
            <family val="2"/>
          </rPr>
          <t>equation_ solve r</t>
        </r>
      </text>
    </comment>
    <comment ref="M1" authorId="0" shapeId="0" xr:uid="{90BA1478-0D69-45A1-AF2E-5E1AC867AAA5}">
      <text>
        <r>
          <rPr>
            <b/>
            <sz val="9"/>
            <color indexed="81"/>
            <rFont val="Tahoma"/>
            <family val="2"/>
          </rPr>
          <t>I (radius index)</t>
        </r>
      </text>
    </comment>
    <comment ref="N1" authorId="0" shapeId="0" xr:uid="{B9897B7D-782A-427F-B656-A2630ED9B73D}">
      <text>
        <r>
          <rPr>
            <b/>
            <sz val="9"/>
            <color indexed="81"/>
            <rFont val="Tahoma"/>
            <family val="2"/>
          </rPr>
          <t xml:space="preserve">m thickness
</t>
        </r>
      </text>
    </comment>
    <comment ref="O1" authorId="0" shapeId="0" xr:uid="{10EB7B7B-C70D-42DB-9AFB-F673A362D8A3}">
      <text>
        <r>
          <rPr>
            <b/>
            <sz val="9"/>
            <color indexed="81"/>
            <rFont val="Tahoma"/>
            <family val="2"/>
          </rPr>
          <t>a0</t>
        </r>
      </text>
    </comment>
    <comment ref="P1" authorId="0" shapeId="0" xr:uid="{FA35ADA5-9E7A-4123-9414-CFF5C09D7302}">
      <text>
        <r>
          <rPr>
            <b/>
            <sz val="9"/>
            <color indexed="81"/>
            <rFont val="Tahoma"/>
            <family val="2"/>
          </rPr>
          <t>a1</t>
        </r>
      </text>
    </comment>
    <comment ref="Q1" authorId="0" shapeId="0" xr:uid="{FB8F32ED-9CCD-4D4C-B1A5-EEC5FFAA7002}">
      <text>
        <r>
          <rPr>
            <b/>
            <sz val="9"/>
            <color indexed="81"/>
            <rFont val="Tahoma"/>
            <family val="2"/>
          </rPr>
          <t>a2</t>
        </r>
      </text>
    </comment>
    <comment ref="R1" authorId="0" shapeId="0" xr:uid="{E499BC81-8FD0-43E5-BF0F-D4EC25D26026}">
      <text>
        <r>
          <rPr>
            <b/>
            <sz val="9"/>
            <color indexed="81"/>
            <rFont val="Tahoma"/>
            <family val="2"/>
          </rPr>
          <t>a3</t>
        </r>
      </text>
    </comment>
    <comment ref="S1" authorId="0" shapeId="0" xr:uid="{E4F81C0A-CC96-4083-AE06-C8A7B0124D52}">
      <text>
        <r>
          <rPr>
            <b/>
            <sz val="9"/>
            <color indexed="81"/>
            <rFont val="Tahoma"/>
            <family val="2"/>
          </rPr>
          <t>d0</t>
        </r>
      </text>
    </comment>
    <comment ref="T1" authorId="0" shapeId="0" xr:uid="{368BF6D4-5F83-484A-869D-062366DEEFA6}">
      <text>
        <r>
          <rPr>
            <b/>
            <sz val="9"/>
            <color indexed="81"/>
            <rFont val="Tahoma"/>
            <family val="2"/>
          </rPr>
          <t>d1</t>
        </r>
      </text>
    </comment>
    <comment ref="U1" authorId="0" shapeId="0" xr:uid="{945D53CF-ADFD-4DAC-AF56-8D947B795687}">
      <text>
        <r>
          <rPr>
            <b/>
            <sz val="9"/>
            <color indexed="81"/>
            <rFont val="Tahoma"/>
            <family val="2"/>
          </rPr>
          <t>d2</t>
        </r>
      </text>
    </comment>
    <comment ref="V1" authorId="0" shapeId="0" xr:uid="{56F0565B-CE06-4A7A-9251-FA53B1395A6C}">
      <text>
        <r>
          <rPr>
            <b/>
            <sz val="9"/>
            <color indexed="81"/>
            <rFont val="Tahoma"/>
            <family val="2"/>
          </rPr>
          <t>d3</t>
        </r>
      </text>
    </comment>
    <comment ref="W1" authorId="0" shapeId="0" xr:uid="{EAE64AF7-A6A7-4E01-AA53-CE04D6693E37}">
      <text>
        <r>
          <rPr>
            <b/>
            <sz val="9"/>
            <color indexed="81"/>
            <rFont val="Tahoma"/>
            <family val="2"/>
          </rPr>
          <t>rho1</t>
        </r>
      </text>
    </comment>
    <comment ref="Y1" authorId="0" shapeId="0" xr:uid="{C2A0A17C-24C7-45D8-BEE7-C7D42E53FE5A}">
      <text>
        <r>
          <rPr>
            <b/>
            <sz val="9"/>
            <color indexed="81"/>
            <rFont val="Tahoma"/>
            <family val="2"/>
          </rPr>
          <t>mean line</t>
        </r>
      </text>
    </comment>
    <comment ref="AA1" authorId="0" shapeId="0" xr:uid="{F3597255-321F-4C1B-ADE5-20CE24F45558}">
      <text>
        <r>
          <rPr>
            <b/>
            <sz val="9"/>
            <color indexed="81"/>
            <rFont val="Tahoma"/>
            <family val="2"/>
          </rPr>
          <t>alpha</t>
        </r>
      </text>
    </comment>
    <comment ref="AB1" authorId="0" shapeId="0" xr:uid="{B1AF8056-F0BE-4468-9CEF-1309DF52EE3B}">
      <text>
        <r>
          <rPr>
            <b/>
            <sz val="9"/>
            <color indexed="81"/>
            <rFont val="Tahoma"/>
            <family val="2"/>
          </rPr>
          <t>phi</t>
        </r>
      </text>
    </comment>
    <comment ref="AC1" authorId="0" shapeId="0" xr:uid="{C9E4B17C-C925-4475-ADDF-8E9DCFD03C3D}">
      <text>
        <r>
          <rPr>
            <b/>
            <sz val="9"/>
            <color indexed="81"/>
            <rFont val="Tahoma"/>
            <family val="2"/>
          </rPr>
          <t>x(phi)</t>
        </r>
      </text>
    </comment>
    <comment ref="AD1" authorId="0" shapeId="0" xr:uid="{38C33D21-E4F8-44D7-A3A6-9752F2534827}">
      <text>
        <r>
          <rPr>
            <b/>
            <sz val="9"/>
            <color indexed="81"/>
            <rFont val="Tahoma"/>
            <family val="2"/>
          </rPr>
          <t>y(phi)</t>
        </r>
      </text>
    </comment>
    <comment ref="A2" authorId="0" shapeId="0" xr:uid="{4929C8A1-4715-427A-941E-57EBBAC95E10}">
      <text>
        <r>
          <rPr>
            <b/>
            <sz val="9"/>
            <color indexed="81"/>
            <rFont val="Tahoma"/>
            <family val="2"/>
          </rPr>
          <t>first digit</t>
        </r>
      </text>
    </comment>
    <comment ref="N2" authorId="0" shapeId="0" xr:uid="{44529826-34F8-4B5A-ABAB-D74DD0A95518}">
      <text>
        <r>
          <rPr>
            <b/>
            <sz val="9"/>
            <color indexed="81"/>
            <rFont val="Tahoma"/>
            <family val="2"/>
          </rPr>
          <t>thickness position</t>
        </r>
      </text>
    </comment>
    <comment ref="AA2" authorId="0" shapeId="0" xr:uid="{28E1CA5A-0739-491A-BAD7-2C8E0E4CCDA9}">
      <text>
        <r>
          <rPr>
            <b/>
            <sz val="9"/>
            <color indexed="81"/>
            <rFont val="Tahoma"/>
            <family val="2"/>
          </rPr>
          <t xml:space="preserve">leading-edge radius
</t>
        </r>
      </text>
    </comment>
    <comment ref="A3" authorId="0" shapeId="0" xr:uid="{4356082D-A80F-46E5-B37D-99861AC042B3}">
      <text>
        <r>
          <rPr>
            <b/>
            <sz val="9"/>
            <color indexed="81"/>
            <rFont val="Tahoma"/>
            <family val="2"/>
          </rPr>
          <t>second digit</t>
        </r>
      </text>
    </comment>
    <comment ref="A4" authorId="0" shapeId="0" xr:uid="{04103202-0B3A-453F-B163-B6AF1F4C3360}">
      <text>
        <r>
          <rPr>
            <b/>
            <sz val="9"/>
            <color indexed="81"/>
            <rFont val="Tahoma"/>
            <family val="2"/>
          </rPr>
          <t>4,5th digit</t>
        </r>
      </text>
    </comment>
    <comment ref="A5" authorId="0" shapeId="0" xr:uid="{F8398890-5877-4172-B60D-88A5C93418E3}">
      <text>
        <r>
          <rPr>
            <b/>
            <sz val="9"/>
            <color indexed="81"/>
            <rFont val="Tahoma"/>
            <family val="2"/>
          </rPr>
          <t>p</t>
        </r>
      </text>
    </comment>
    <comment ref="A6" authorId="0" shapeId="0" xr:uid="{903C426F-EF75-48D9-AB3B-0878E43A45F2}">
      <text>
        <r>
          <rPr>
            <b/>
            <sz val="9"/>
            <color indexed="81"/>
            <rFont val="Tahoma"/>
            <family val="2"/>
          </rPr>
          <t>maximum camber</t>
        </r>
      </text>
    </comment>
    <comment ref="A7" authorId="0" shapeId="0" xr:uid="{9F281B97-8CF3-4B77-8AF6-107CCC71A112}">
      <text>
        <r>
          <rPr>
            <b/>
            <sz val="9"/>
            <color indexed="81"/>
            <rFont val="Tahoma"/>
            <family val="2"/>
          </rPr>
          <t>max thickness</t>
        </r>
      </text>
    </comment>
    <comment ref="A8" authorId="0" shapeId="0" xr:uid="{A30A7662-982A-4077-9216-867A01D3566F}">
      <text>
        <r>
          <rPr>
            <b/>
            <sz val="9"/>
            <color indexed="81"/>
            <rFont val="Tahoma"/>
            <family val="2"/>
          </rPr>
          <t>m(S)</t>
        </r>
      </text>
    </comment>
    <comment ref="A9" authorId="0" shapeId="0" xr:uid="{253F6B3F-6F0E-4008-B47E-E58FDFCC26B4}">
      <text>
        <r>
          <rPr>
            <b/>
            <sz val="9"/>
            <color indexed="81"/>
            <rFont val="Tahoma"/>
            <family val="2"/>
          </rPr>
          <t>N</t>
        </r>
      </text>
    </comment>
    <comment ref="A10" authorId="0" shapeId="0" xr:uid="{2AA2EDB0-258C-411E-83E3-D5182E3429E9}">
      <text>
        <r>
          <rPr>
            <b/>
            <sz val="9"/>
            <color indexed="81"/>
            <rFont val="Tahoma"/>
            <family val="2"/>
          </rPr>
          <t>k1(S)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Trung Nghĩa Trần</author>
  </authors>
  <commentList>
    <comment ref="A1" authorId="0" shapeId="0" xr:uid="{2CE152A6-EC2E-4303-B4C4-A11C4B8D3554}">
      <text>
        <r>
          <rPr>
            <b/>
            <sz val="9"/>
            <color indexed="81"/>
            <rFont val="Tahoma"/>
            <family val="2"/>
          </rPr>
          <t>m</t>
        </r>
      </text>
    </comment>
    <comment ref="B1" authorId="0" shapeId="0" xr:uid="{C5BDC53C-673C-4346-967F-182CBBC39B43}">
      <text>
        <r>
          <rPr>
            <b/>
            <sz val="20"/>
            <color indexed="81"/>
            <rFont val="Tahoma"/>
            <family val="2"/>
          </rPr>
          <t>X</t>
        </r>
      </text>
    </comment>
    <comment ref="C1" authorId="0" shapeId="0" xr:uid="{9C0C436A-9CF7-4FD7-904E-1A3697175306}">
      <text>
        <r>
          <rPr>
            <b/>
            <sz val="20"/>
            <color indexed="81"/>
            <rFont val="Tahoma"/>
            <family val="2"/>
          </rPr>
          <t>Y_c</t>
        </r>
      </text>
    </comment>
    <comment ref="D1" authorId="0" shapeId="0" xr:uid="{A74BF50B-373E-4B87-B7EF-C5FE44C8FBB7}">
      <text>
        <r>
          <rPr>
            <b/>
            <sz val="9"/>
            <color indexed="81"/>
            <rFont val="Tahoma"/>
            <family val="2"/>
          </rPr>
          <t>yt+</t>
        </r>
      </text>
    </comment>
    <comment ref="E1" authorId="0" shapeId="0" xr:uid="{0D5E0344-EEC9-4944-AF26-D2645C9A90C7}">
      <text>
        <r>
          <rPr>
            <b/>
            <sz val="20"/>
            <color indexed="81"/>
            <rFont val="Tahoma"/>
            <family val="2"/>
          </rPr>
          <t>dY_c/dX</t>
        </r>
      </text>
    </comment>
    <comment ref="F1" authorId="0" shapeId="0" xr:uid="{3D70FD8A-23BB-40D9-9CCD-41991ACD5500}">
      <text>
        <r>
          <rPr>
            <b/>
            <sz val="20"/>
            <color indexed="81"/>
            <rFont val="Tahoma"/>
            <family val="2"/>
          </rPr>
          <t>Theta</t>
        </r>
      </text>
    </comment>
    <comment ref="G1" authorId="0" shapeId="0" xr:uid="{B24BBF3E-F5A0-425D-9940-0FF0EABF578E}">
      <text>
        <r>
          <rPr>
            <b/>
            <sz val="20"/>
            <color indexed="81"/>
            <rFont val="Tahoma"/>
            <family val="2"/>
          </rPr>
          <t>X_u</t>
        </r>
      </text>
    </comment>
    <comment ref="H1" authorId="0" shapeId="0" xr:uid="{64640976-DE28-4D8C-A2A7-332881C9EB97}">
      <text>
        <r>
          <rPr>
            <b/>
            <sz val="20"/>
            <color indexed="81"/>
            <rFont val="Tahoma"/>
            <family val="2"/>
          </rPr>
          <t>Y_u</t>
        </r>
      </text>
    </comment>
    <comment ref="I1" authorId="0" shapeId="0" xr:uid="{DFCE0F06-82A7-4C12-8477-F0188A6CD6E9}">
      <text>
        <r>
          <rPr>
            <b/>
            <sz val="20"/>
            <color indexed="81"/>
            <rFont val="Tahoma"/>
            <family val="2"/>
          </rPr>
          <t xml:space="preserve">X_l
</t>
        </r>
      </text>
    </comment>
    <comment ref="J1" authorId="0" shapeId="0" xr:uid="{6FA63D36-84EF-4EFF-8B43-EAF864E48A38}">
      <text>
        <r>
          <rPr>
            <b/>
            <sz val="20"/>
            <color indexed="81"/>
            <rFont val="Tahoma"/>
            <family val="2"/>
          </rPr>
          <t xml:space="preserve">Y_l
</t>
        </r>
      </text>
    </comment>
    <comment ref="K1" authorId="0" shapeId="0" xr:uid="{F8524C79-941C-403E-A470-C87855D669C5}">
      <text>
        <r>
          <rPr>
            <b/>
            <sz val="14"/>
            <color indexed="81"/>
            <rFont val="Tahoma"/>
            <family val="2"/>
          </rPr>
          <t>Thickness yu - yl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 shapeId="0" xr:uid="{CB4DA7F8-3BFA-4B1E-82F5-70B0B8B6BB94}">
      <text>
        <r>
          <rPr>
            <b/>
            <sz val="9"/>
            <color indexed="81"/>
            <rFont val="Tahoma"/>
            <family val="2"/>
          </rPr>
          <t>desisgn lift coefficient</t>
        </r>
      </text>
    </comment>
    <comment ref="M1" authorId="0" shapeId="0" xr:uid="{5BDCBCE7-EFA4-4489-B968-10ACDFE6F057}">
      <text>
        <r>
          <rPr>
            <b/>
            <sz val="9"/>
            <color indexed="81"/>
            <rFont val="Tahoma"/>
            <family val="2"/>
          </rPr>
          <t>I</t>
        </r>
      </text>
    </comment>
    <comment ref="N1" authorId="0" shapeId="0" xr:uid="{D8A63E1E-B29E-48BF-B491-96FF27FF127D}">
      <text>
        <r>
          <rPr>
            <b/>
            <sz val="9"/>
            <color indexed="81"/>
            <rFont val="Tahoma"/>
            <family val="2"/>
          </rPr>
          <t>m</t>
        </r>
      </text>
    </comment>
    <comment ref="O1" authorId="0" shapeId="0" xr:uid="{C526E7E6-A930-4D6A-801F-64C93D4ADA3D}">
      <text>
        <r>
          <rPr>
            <b/>
            <sz val="9"/>
            <color indexed="81"/>
            <rFont val="Tahoma"/>
            <family val="2"/>
          </rPr>
          <t>a0</t>
        </r>
      </text>
    </comment>
    <comment ref="P1" authorId="0" shapeId="0" xr:uid="{2B6075E4-5837-4C8A-BEB2-3EC6AF63A2D8}">
      <text>
        <r>
          <rPr>
            <b/>
            <sz val="9"/>
            <color indexed="81"/>
            <rFont val="Tahoma"/>
            <family val="2"/>
          </rPr>
          <t>a1</t>
        </r>
      </text>
    </comment>
    <comment ref="Q1" authorId="0" shapeId="0" xr:uid="{7DC2CE72-6B04-46C2-8E4A-ED602E36A26F}">
      <text>
        <r>
          <rPr>
            <b/>
            <sz val="9"/>
            <color indexed="81"/>
            <rFont val="Tahoma"/>
            <family val="2"/>
          </rPr>
          <t>a2</t>
        </r>
      </text>
    </comment>
    <comment ref="R1" authorId="0" shapeId="0" xr:uid="{D3266E6C-94A1-451E-A9D6-865F5FD5B290}">
      <text>
        <r>
          <rPr>
            <b/>
            <sz val="9"/>
            <color indexed="81"/>
            <rFont val="Tahoma"/>
            <family val="2"/>
          </rPr>
          <t>a3</t>
        </r>
      </text>
    </comment>
    <comment ref="S1" authorId="0" shapeId="0" xr:uid="{C0A62053-DB25-47F2-A03B-0B3A888909AB}">
      <text>
        <r>
          <rPr>
            <b/>
            <sz val="9"/>
            <color indexed="81"/>
            <rFont val="Tahoma"/>
            <family val="2"/>
          </rPr>
          <t>d0</t>
        </r>
      </text>
    </comment>
    <comment ref="T1" authorId="0" shapeId="0" xr:uid="{5817A1AD-1B83-457F-992F-05CB6A130C4F}">
      <text>
        <r>
          <rPr>
            <b/>
            <sz val="9"/>
            <color indexed="81"/>
            <rFont val="Tahoma"/>
            <family val="2"/>
          </rPr>
          <t>d1</t>
        </r>
      </text>
    </comment>
    <comment ref="U1" authorId="0" shapeId="0" xr:uid="{BA3F76AA-EF70-4D64-8B65-7B6C89F81FC5}">
      <text>
        <r>
          <rPr>
            <b/>
            <sz val="9"/>
            <color indexed="81"/>
            <rFont val="Tahoma"/>
            <family val="2"/>
          </rPr>
          <t>d2</t>
        </r>
      </text>
    </comment>
    <comment ref="V1" authorId="0" shapeId="0" xr:uid="{05B22E0B-0574-425D-B281-B49FC2312F87}">
      <text>
        <r>
          <rPr>
            <b/>
            <sz val="9"/>
            <color indexed="81"/>
            <rFont val="Tahoma"/>
            <family val="2"/>
          </rPr>
          <t>d3</t>
        </r>
      </text>
    </comment>
    <comment ref="W1" authorId="0" shapeId="0" xr:uid="{F58E50CD-C3A2-4659-B76D-3E75683B758E}">
      <text>
        <r>
          <rPr>
            <b/>
            <sz val="9"/>
            <color indexed="81"/>
            <rFont val="Tahoma"/>
            <family val="2"/>
          </rPr>
          <t>rho1</t>
        </r>
      </text>
    </comment>
    <comment ref="Y1" authorId="0" shapeId="0" xr:uid="{19677F17-1911-4564-9A72-1BECAB0E9605}">
      <text>
        <r>
          <rPr>
            <b/>
            <sz val="9"/>
            <color indexed="81"/>
            <rFont val="Tahoma"/>
            <family val="2"/>
          </rPr>
          <t>mean line</t>
        </r>
      </text>
    </comment>
    <comment ref="AA1" authorId="0" shapeId="0" xr:uid="{28AAF63C-A05D-45E5-A361-417A83CFF8DD}">
      <text>
        <r>
          <rPr>
            <b/>
            <sz val="9"/>
            <color indexed="81"/>
            <rFont val="Tahoma"/>
            <family val="2"/>
          </rPr>
          <t>alpha</t>
        </r>
      </text>
    </comment>
    <comment ref="AB1" authorId="0" shapeId="0" xr:uid="{DE6460DB-188A-4796-B424-A12D58CC21EC}">
      <text>
        <r>
          <rPr>
            <b/>
            <sz val="9"/>
            <color indexed="81"/>
            <rFont val="Tahoma"/>
            <family val="2"/>
          </rPr>
          <t>phi</t>
        </r>
      </text>
    </comment>
    <comment ref="AC1" authorId="0" shapeId="0" xr:uid="{AFF6A872-29E7-4E3A-A0D3-71A7FA0408D0}">
      <text>
        <r>
          <rPr>
            <b/>
            <sz val="9"/>
            <color indexed="81"/>
            <rFont val="Tahoma"/>
            <family val="2"/>
          </rPr>
          <t>x(phi)</t>
        </r>
      </text>
    </comment>
    <comment ref="AD1" authorId="0" shapeId="0" xr:uid="{82514459-C2C4-4F91-867F-7CAB0A430383}">
      <text>
        <r>
          <rPr>
            <b/>
            <sz val="9"/>
            <color indexed="81"/>
            <rFont val="Tahoma"/>
            <family val="2"/>
          </rPr>
          <t>y(phi)</t>
        </r>
      </text>
    </comment>
    <comment ref="A2" authorId="0" shapeId="0" xr:uid="{9F6460B0-54AB-4E7B-98BE-3D37B11A682C}">
      <text>
        <r>
          <rPr>
            <b/>
            <sz val="9"/>
            <color indexed="81"/>
            <rFont val="Tahoma"/>
            <family val="2"/>
          </rPr>
          <t>p</t>
        </r>
      </text>
    </comment>
    <comment ref="AA2" authorId="0" shapeId="0" xr:uid="{90924714-3773-46B6-95CF-234EB80A195B}">
      <text>
        <r>
          <rPr>
            <b/>
            <sz val="9"/>
            <color indexed="81"/>
            <rFont val="Tahoma"/>
            <family val="2"/>
          </rPr>
          <t>leading-edge radius</t>
        </r>
      </text>
    </comment>
    <comment ref="A3" authorId="0" shapeId="0" xr:uid="{F0DBAB42-A5C5-4FC9-905D-B6561C062DED}">
      <text>
        <r>
          <rPr>
            <b/>
            <sz val="9"/>
            <color indexed="81"/>
            <rFont val="Tahoma"/>
            <family val="2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<sst xmlns="http://schemas.openxmlformats.org/spreadsheetml/2006/main" count="39" uniqueCount="19">
  <si>
    <t>Leading-Edge Radius</t>
  </si>
  <si>
    <t>Name</t>
  </si>
  <si>
    <t xml:space="preserve">Maximum Camber </t>
  </si>
  <si>
    <t>Position of  Camber</t>
  </si>
  <si>
    <t xml:space="preserve">Name </t>
  </si>
  <si>
    <t>Indication of Camber</t>
  </si>
  <si>
    <t>Position of Camber</t>
  </si>
  <si>
    <t>Position of Maximum Thickness</t>
  </si>
  <si>
    <t>Maximum Thickness</t>
  </si>
  <si>
    <t xml:space="preserve">Maximum Thickness </t>
  </si>
  <si>
    <t xml:space="preserve">Position of Camber </t>
  </si>
  <si>
    <t>Leading-edge Radius Index</t>
  </si>
  <si>
    <t>Trailing-Edge Angle</t>
  </si>
  <si>
    <t xml:space="preserve">Trailing-Edge Angle </t>
  </si>
  <si>
    <t>Maximum Camber</t>
  </si>
  <si>
    <t>Leading-edge Index</t>
  </si>
  <si>
    <t>BACK</t>
  </si>
  <si>
    <t xml:space="preserve">Position of  Camber </t>
  </si>
  <si>
    <t>Design Lift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</si>
</sst>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#,##0.0000"/>
    <numFmt numFmtId="165" formatCode="0.0000"/>
    <numFmt numFmtId="166" formatCode="0.000000"/>
    <numFmt numFmtId="167" formatCode="0.000"/>
    <numFmt numFmtId="168" formatCode="0.0"/>
    <numFmt numFmtId="169" formatCode="####\-##"/>
    <numFmt numFmtId="170" formatCode="&quot;NACA &quot;0000"/>
    <numFmt numFmtId="171" formatCode="&quot;NACA &quot;00000"/>
    <numFmt numFmtId="172" formatCode="&quot;NACA &quot;####\-##"/>
    <numFmt numFmtId="173" formatCode="0.00000"/>
    <numFmt numFmtId="174" formatCode="&quot;NACA 16-&quot;#000"/>
    <numFmt numFmtId="175" formatCode="0&quot;0%&quot;"/>
    <numFmt numFmtId="176" formatCode="#,##0.0\ _₫"/>
    <numFmt numFmtId="177" formatCode="0.0&quot;°&quot;"/>
    <numFmt numFmtId="178" formatCode="&quot;NACA &quot;0000\-00"/>
  </numFmts>
  <fonts count="25" x14ac:knownFonts="1">
    <font>
      <sz val="11"/>
      <color theme="1"/>
      <name val="Aptos Narrow"/>
      <family val="2"/>
      <charset val="163"/>
      <scheme val="minor"/>
    </font>
    <font>
      <sz val="20"/>
      <color theme="1"/>
      <name val="Aptos Narrow"/>
      <family val="2"/>
      <charset val="163"/>
      <scheme val="minor"/>
    </font>
    <font>
      <b/>
      <sz val="20"/>
      <color indexed="81"/>
      <name val="Tahoma"/>
      <family val="2"/>
    </font>
    <font>
      <b/>
      <sz val="14"/>
      <color indexed="81"/>
      <name val="Tahoma"/>
      <family val="2"/>
    </font>
    <font>
      <b/>
      <sz val="16"/>
      <color indexed="81"/>
      <name val="Tahoma"/>
      <family val="2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9"/>
      <color theme="0"/>
      <name val="Calibri"/>
      <family val="2"/>
    </font>
    <font>
      <sz val="9"/>
      <color indexed="81"/>
      <name val="Tahoma"/>
      <family val="2"/>
    </font>
    <font>
      <sz val="8"/>
      <color rgb="FF000000"/>
      <name val="Segoe UI"/>
      <family val="2"/>
    </font>
    <font>
      <i/>
      <sz val="10"/>
      <color theme="2" tint="-9.9978637043366805E-2"/>
      <name val="Calibri"/>
      <family val="2"/>
    </font>
    <font>
      <b/>
      <sz val="9"/>
      <color indexed="81"/>
      <name val="Tahoma"/>
      <family val="2"/>
    </font>
    <font>
      <sz val="9"/>
      <color theme="1" tint="0.14999847407452621"/>
      <name val="Calibri"/>
      <family val="2"/>
    </font>
    <font>
      <sz val="11"/>
      <color theme="0"/>
      <name val="Calibri"/>
      <family val="2"/>
    </font>
    <font>
      <sz val="10"/>
      <color theme="0"/>
      <name val="Calibri"/>
      <family val="2"/>
    </font>
    <font>
      <sz val="10"/>
      <color theme="0" tint="-4.9989318521683403E-2"/>
      <name val="Calibri"/>
      <family val="2"/>
    </font>
    <font>
      <sz val="9"/>
      <color theme="1"/>
      <name val="Calibri"/>
      <family val="2"/>
    </font>
    <font>
      <sz val="11"/>
      <color theme="1" tint="0.14999847407452621"/>
      <name val="Aptos Narrow"/>
      <family val="2"/>
      <charset val="163"/>
      <scheme val="minor"/>
    </font>
    <font>
      <sz val="8.6"/>
      <color theme="1" tint="0.14999847407452621"/>
      <name val="Calibri"/>
      <family val="2"/>
    </font>
    <font>
      <sz val="8.6"/>
      <color theme="1"/>
      <name val="Calibri"/>
      <family val="2"/>
    </font>
    <font>
      <sz val="8.6"/>
      <color theme="1"/>
      <name val="Aptos Narrow"/>
      <family val="2"/>
      <charset val="163"/>
      <scheme val="minor"/>
    </font>
    <font>
      <u/>
      <sz val="11"/>
      <color theme="10"/>
      <name val="Aptos Narrow"/>
      <family val="2"/>
      <charset val="163"/>
      <scheme val="minor"/>
    </font>
    <font>
      <u/>
      <sz val="9"/>
      <color theme="0"/>
      <name val="Calibri"/>
      <family val="2"/>
    </font>
    <font>
      <sz val="9"/>
      <color theme="1"/>
      <name val="Aptos Narrow"/>
      <family val="2"/>
      <charset val="163"/>
      <scheme val="minor"/>
    </font>
    <font>
      <sz val="8.5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4" tint="0.79998168889431442"/>
      </patternFill>
    </fill>
  </fills>
  <borders count="54">
    <border>
      <left/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4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4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theme="2" tint="-0.499984740745262"/>
      </right>
      <top/>
      <bottom style="thin">
        <color indexed="64"/>
      </bottom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indexed="64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0.499984740745262"/>
      </left>
      <right style="thin">
        <color theme="1" tint="0.34998626667073579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 tint="4.9989318521683403E-2"/>
      </right>
      <top/>
      <bottom/>
      <diagonal/>
    </border>
    <border>
      <left/>
      <right style="thin">
        <color theme="1"/>
      </right>
      <top/>
      <bottom style="thin">
        <color theme="1" tint="4.9989318521683403E-2"/>
      </bottom>
      <diagonal/>
    </border>
    <border>
      <left style="thin">
        <color theme="1"/>
      </left>
      <right style="thin">
        <color theme="1"/>
      </right>
      <top/>
      <bottom style="thin">
        <color theme="1" tint="4.9989318521683403E-2"/>
      </bottom>
      <diagonal/>
    </border>
    <border>
      <left style="thin">
        <color theme="1"/>
      </left>
      <right style="thin">
        <color theme="1"/>
      </right>
      <top style="thin">
        <color theme="1" tint="0.49998474074526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0.34998626667073579"/>
      </right>
      <top style="thin">
        <color indexed="64"/>
      </top>
      <bottom style="thin">
        <color theme="1" tint="0.34998626667073579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499984740745262"/>
      </bottom>
      <diagonal/>
    </border>
    <border>
      <left/>
      <right style="thin">
        <color theme="1" tint="0.34998626667073579"/>
      </right>
      <top/>
      <bottom style="thin">
        <color theme="1" tint="0.499984740745262"/>
      </bottom>
      <diagonal/>
    </border>
    <border>
      <left style="thin">
        <color theme="1" tint="0.34998626667073579"/>
      </left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 tint="0.34998626667073579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 tint="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theme="1" tint="0.34998626667073579"/>
      </left>
      <right style="thin">
        <color indexed="64"/>
      </right>
      <top/>
      <bottom/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indexed="64"/>
      </bottom>
      <diagonal/>
    </border>
    <border>
      <left style="thin">
        <color theme="2" tint="-0.499984740745262"/>
      </left>
      <right style="thin">
        <color indexed="64"/>
      </right>
      <top/>
      <bottom/>
      <diagonal/>
    </border>
    <border>
      <left style="thin">
        <color theme="1" tint="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indexed="64"/>
      </right>
      <top style="thin">
        <color theme="1" tint="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 tint="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34998626667073579"/>
      </bottom>
      <diagonal/>
    </border>
    <border>
      <left/>
      <right style="thin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2" tint="-0.499984740745262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 tint="4.9989318521683403E-2"/>
      </top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60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0" fillId="0" borderId="0" xfId="0" applyAlignment="1" applyProtection="1">
      <alignment horizontal="center"/>
      <protection hidden="1"/>
    </xf>
    <xf numFmtId="166" fontId="0" fillId="0" borderId="0" xfId="0" applyNumberFormat="1" applyProtection="1">
      <protection hidden="1"/>
    </xf>
    <xf numFmtId="0" fontId="0" fillId="0" borderId="0" xfId="0" applyProtection="1">
      <protection hidden="1"/>
    </xf>
    <xf numFmtId="165" fontId="0" fillId="0" borderId="0" xfId="0" applyNumberFormat="1" applyProtection="1">
      <protection hidden="1"/>
    </xf>
    <xf numFmtId="1" fontId="0" fillId="0" borderId="0" xfId="0" applyNumberFormat="1" applyAlignment="1" applyProtection="1">
      <alignment horizontal="center" vertical="center"/>
      <protection locked="0"/>
    </xf>
    <xf numFmtId="166" fontId="0" fillId="0" borderId="0" xfId="0" applyNumberFormat="1"/>
    <xf numFmtId="0" fontId="0" fillId="2" borderId="0" xfId="0" applyFill="1"/>
    <xf numFmtId="0" fontId="0" fillId="0" borderId="8" xfId="0" applyBorder="1"/>
    <xf numFmtId="0" fontId="0" fillId="0" borderId="0" xfId="0" applyProtection="1">
      <protection locked="0"/>
    </xf>
    <xf numFmtId="0" fontId="0" fillId="0" borderId="15" xfId="0" applyBorder="1"/>
    <xf numFmtId="0" fontId="0" fillId="0" borderId="1" xfId="0" applyBorder="1"/>
    <xf numFmtId="0" fontId="0" fillId="0" borderId="16" xfId="0" applyBorder="1"/>
    <xf numFmtId="0" fontId="0" fillId="0" borderId="17" xfId="0" applyBorder="1"/>
    <xf numFmtId="0" fontId="0" fillId="0" borderId="20" xfId="0" applyBorder="1"/>
    <xf numFmtId="1" fontId="0" fillId="0" borderId="0" xfId="0" applyNumberFormat="1" applyAlignment="1" applyProtection="1">
      <alignment horizontal="center" vertical="center"/>
      <protection hidden="1"/>
    </xf>
    <xf numFmtId="0" fontId="15" fillId="3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8" fontId="0" fillId="0" borderId="0" xfId="0" applyNumberFormat="1" applyAlignment="1">
      <alignment horizontal="right"/>
    </xf>
    <xf numFmtId="0" fontId="0" fillId="0" borderId="26" xfId="0" applyBorder="1"/>
    <xf numFmtId="0" fontId="12" fillId="4" borderId="12" xfId="0" applyFont="1" applyFill="1" applyBorder="1" applyAlignment="1">
      <alignment horizontal="center" vertical="center"/>
    </xf>
    <xf numFmtId="169" fontId="13" fillId="0" borderId="29" xfId="0" applyNumberFormat="1" applyFont="1" applyBorder="1" applyAlignment="1">
      <alignment horizontal="left" vertical="center"/>
    </xf>
    <xf numFmtId="0" fontId="17" fillId="4" borderId="0" xfId="0" applyFont="1" applyFill="1"/>
    <xf numFmtId="0" fontId="17" fillId="4" borderId="31" xfId="0" applyFont="1" applyFill="1" applyBorder="1"/>
    <xf numFmtId="0" fontId="0" fillId="0" borderId="31" xfId="0" applyBorder="1"/>
    <xf numFmtId="2" fontId="12" fillId="4" borderId="11" xfId="0" applyNumberFormat="1" applyFont="1" applyFill="1" applyBorder="1" applyAlignment="1">
      <alignment horizontal="center" vertical="center"/>
    </xf>
    <xf numFmtId="2" fontId="12" fillId="4" borderId="12" xfId="0" applyNumberFormat="1" applyFont="1" applyFill="1" applyBorder="1" applyAlignment="1">
      <alignment horizontal="center" vertical="center"/>
    </xf>
    <xf numFmtId="2" fontId="12" fillId="4" borderId="7" xfId="0" applyNumberFormat="1" applyFont="1" applyFill="1" applyBorder="1" applyAlignment="1">
      <alignment horizontal="center" vertical="center"/>
    </xf>
    <xf numFmtId="2" fontId="0" fillId="0" borderId="0" xfId="0" applyNumberFormat="1" applyAlignment="1" applyProtection="1">
      <alignment horizontal="center"/>
      <protection hidden="1"/>
    </xf>
    <xf numFmtId="167" fontId="0" fillId="0" borderId="0" xfId="0" applyNumberFormat="1"/>
    <xf numFmtId="0" fontId="5" fillId="4" borderId="0" xfId="0" applyFont="1" applyFill="1" applyAlignment="1">
      <alignment horizontal="center" vertical="center" wrapText="1"/>
    </xf>
    <xf numFmtId="0" fontId="0" fillId="4" borderId="0" xfId="0" applyFill="1"/>
    <xf numFmtId="164" fontId="0" fillId="4" borderId="0" xfId="0" applyNumberFormat="1" applyFill="1"/>
    <xf numFmtId="0" fontId="0" fillId="4" borderId="0" xfId="0" applyFill="1" applyAlignment="1">
      <alignment horizontal="center" vertical="center"/>
    </xf>
    <xf numFmtId="164" fontId="0" fillId="4" borderId="1" xfId="0" applyNumberFormat="1" applyFill="1" applyBorder="1"/>
    <xf numFmtId="165" fontId="0" fillId="4" borderId="0" xfId="0" applyNumberFormat="1" applyFill="1"/>
    <xf numFmtId="0" fontId="0" fillId="4" borderId="6" xfId="0" applyFill="1" applyBorder="1"/>
    <xf numFmtId="0" fontId="10" fillId="4" borderId="0" xfId="0" applyFont="1" applyFill="1" applyAlignment="1">
      <alignment horizontal="right"/>
    </xf>
    <xf numFmtId="0" fontId="0" fillId="0" borderId="14" xfId="0" applyBorder="1"/>
    <xf numFmtId="165" fontId="0" fillId="0" borderId="14" xfId="0" applyNumberFormat="1" applyBorder="1"/>
    <xf numFmtId="0" fontId="0" fillId="0" borderId="6" xfId="0" applyBorder="1"/>
    <xf numFmtId="0" fontId="0" fillId="0" borderId="14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6" fillId="0" borderId="30" xfId="0" applyFont="1" applyBorder="1"/>
    <xf numFmtId="0" fontId="0" fillId="0" borderId="29" xfId="0" applyBorder="1"/>
    <xf numFmtId="0" fontId="7" fillId="4" borderId="34" xfId="0" applyFont="1" applyFill="1" applyBorder="1" applyAlignment="1" applyProtection="1">
      <alignment horizontal="center" vertical="center" wrapText="1"/>
      <protection hidden="1"/>
    </xf>
    <xf numFmtId="0" fontId="0" fillId="0" borderId="38" xfId="0" applyBorder="1"/>
    <xf numFmtId="165" fontId="16" fillId="4" borderId="40" xfId="0" applyNumberFormat="1" applyFont="1" applyFill="1" applyBorder="1" applyAlignment="1" applyProtection="1">
      <alignment horizontal="center" vertical="center"/>
      <protection hidden="1"/>
    </xf>
    <xf numFmtId="0" fontId="5" fillId="4" borderId="29" xfId="0" applyFont="1" applyFill="1" applyBorder="1" applyAlignment="1" applyProtection="1">
      <alignment horizontal="center" vertical="center" wrapText="1"/>
      <protection hidden="1"/>
    </xf>
    <xf numFmtId="0" fontId="16" fillId="4" borderId="35" xfId="0" applyFont="1" applyFill="1" applyBorder="1" applyAlignment="1" applyProtection="1">
      <alignment horizontal="center" vertical="center" wrapText="1"/>
      <protection hidden="1"/>
    </xf>
    <xf numFmtId="165" fontId="0" fillId="4" borderId="36" xfId="0" applyNumberFormat="1" applyFill="1" applyBorder="1" applyProtection="1">
      <protection hidden="1"/>
    </xf>
    <xf numFmtId="165" fontId="0" fillId="4" borderId="36" xfId="0" applyNumberFormat="1" applyFill="1" applyBorder="1" applyAlignment="1" applyProtection="1">
      <alignment horizontal="center" vertical="center"/>
      <protection hidden="1"/>
    </xf>
    <xf numFmtId="0" fontId="16" fillId="4" borderId="41" xfId="0" applyFont="1" applyFill="1" applyBorder="1" applyAlignment="1" applyProtection="1">
      <alignment horizontal="center" vertical="center" wrapText="1"/>
      <protection hidden="1"/>
    </xf>
    <xf numFmtId="165" fontId="16" fillId="4" borderId="43" xfId="0" applyNumberFormat="1" applyFont="1" applyFill="1" applyBorder="1" applyAlignment="1" applyProtection="1">
      <alignment horizontal="center" vertical="center"/>
      <protection hidden="1"/>
    </xf>
    <xf numFmtId="0" fontId="16" fillId="4" borderId="43" xfId="0" applyFont="1" applyFill="1" applyBorder="1" applyAlignment="1" applyProtection="1">
      <alignment horizontal="center" vertical="center" wrapText="1"/>
      <protection hidden="1"/>
    </xf>
    <xf numFmtId="0" fontId="0" fillId="6" borderId="0" xfId="0" applyFill="1"/>
    <xf numFmtId="0" fontId="18" fillId="4" borderId="9" xfId="0" applyFont="1" applyFill="1" applyBorder="1" applyAlignment="1">
      <alignment horizontal="center" vertical="center" wrapText="1"/>
    </xf>
    <xf numFmtId="0" fontId="18" fillId="4" borderId="13" xfId="0" applyFont="1" applyFill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 vertical="center" wrapText="1"/>
    </xf>
    <xf numFmtId="0" fontId="19" fillId="4" borderId="37" xfId="0" applyFont="1" applyFill="1" applyBorder="1" applyAlignment="1" applyProtection="1">
      <alignment horizontal="center" vertical="center" wrapText="1"/>
      <protection hidden="1"/>
    </xf>
    <xf numFmtId="0" fontId="19" fillId="4" borderId="39" xfId="0" applyFont="1" applyFill="1" applyBorder="1" applyAlignment="1" applyProtection="1">
      <alignment horizontal="center" vertical="center" wrapText="1"/>
      <protection hidden="1"/>
    </xf>
    <xf numFmtId="0" fontId="18" fillId="4" borderId="42" xfId="0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 wrapText="1"/>
    </xf>
    <xf numFmtId="0" fontId="18" fillId="4" borderId="41" xfId="0" applyFont="1" applyFill="1" applyBorder="1" applyAlignment="1">
      <alignment horizontal="center" vertical="center" wrapText="1"/>
    </xf>
    <xf numFmtId="0" fontId="18" fillId="4" borderId="46" xfId="0" applyFont="1" applyFill="1" applyBorder="1" applyAlignment="1">
      <alignment horizontal="center" vertical="center" wrapText="1"/>
    </xf>
    <xf numFmtId="2" fontId="18" fillId="4" borderId="42" xfId="0" applyNumberFormat="1" applyFont="1" applyFill="1" applyBorder="1" applyAlignment="1">
      <alignment horizontal="center" vertical="center"/>
    </xf>
    <xf numFmtId="2" fontId="18" fillId="4" borderId="47" xfId="0" applyNumberFormat="1" applyFont="1" applyFill="1" applyBorder="1" applyAlignment="1">
      <alignment horizontal="center" vertical="center"/>
    </xf>
    <xf numFmtId="1" fontId="18" fillId="4" borderId="46" xfId="0" applyNumberFormat="1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2" fontId="18" fillId="4" borderId="41" xfId="0" applyNumberFormat="1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5" xfId="0" applyFill="1" applyBorder="1"/>
    <xf numFmtId="0" fontId="5" fillId="4" borderId="35" xfId="0" applyFont="1" applyFill="1" applyBorder="1" applyAlignment="1">
      <alignment horizontal="center" vertical="center" wrapText="1"/>
    </xf>
    <xf numFmtId="0" fontId="0" fillId="4" borderId="48" xfId="0" applyFill="1" applyBorder="1"/>
    <xf numFmtId="0" fontId="0" fillId="4" borderId="46" xfId="0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 wrapText="1"/>
    </xf>
    <xf numFmtId="165" fontId="0" fillId="0" borderId="45" xfId="0" applyNumberFormat="1" applyBorder="1"/>
    <xf numFmtId="165" fontId="0" fillId="0" borderId="48" xfId="0" applyNumberFormat="1" applyBorder="1"/>
    <xf numFmtId="0" fontId="16" fillId="4" borderId="45" xfId="0" applyFont="1" applyFill="1" applyBorder="1" applyAlignment="1" applyProtection="1">
      <alignment horizontal="center" vertical="center"/>
      <protection hidden="1"/>
    </xf>
    <xf numFmtId="0" fontId="0" fillId="0" borderId="45" xfId="0" applyBorder="1"/>
    <xf numFmtId="0" fontId="16" fillId="0" borderId="45" xfId="0" applyFont="1" applyBorder="1" applyAlignment="1" applyProtection="1">
      <alignment horizontal="center" vertical="center"/>
      <protection hidden="1"/>
    </xf>
    <xf numFmtId="0" fontId="0" fillId="0" borderId="35" xfId="0" applyBorder="1"/>
    <xf numFmtId="0" fontId="0" fillId="0" borderId="46" xfId="0" applyBorder="1"/>
    <xf numFmtId="0" fontId="0" fillId="0" borderId="48" xfId="0" applyBorder="1"/>
    <xf numFmtId="0" fontId="19" fillId="4" borderId="3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2" fontId="19" fillId="0" borderId="19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2" fontId="19" fillId="0" borderId="18" xfId="0" applyNumberFormat="1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9" xfId="0" applyBorder="1"/>
    <xf numFmtId="0" fontId="17" fillId="4" borderId="35" xfId="0" applyFont="1" applyFill="1" applyBorder="1"/>
    <xf numFmtId="0" fontId="18" fillId="4" borderId="2" xfId="0" applyFont="1" applyFill="1" applyBorder="1" applyAlignment="1" applyProtection="1">
      <alignment horizontal="center" vertical="center" wrapText="1"/>
      <protection hidden="1"/>
    </xf>
    <xf numFmtId="2" fontId="18" fillId="4" borderId="2" xfId="0" applyNumberFormat="1" applyFont="1" applyFill="1" applyBorder="1" applyAlignment="1" applyProtection="1">
      <alignment horizontal="center" vertical="center"/>
      <protection hidden="1"/>
    </xf>
    <xf numFmtId="0" fontId="18" fillId="5" borderId="3" xfId="0" applyFont="1" applyFill="1" applyBorder="1" applyAlignment="1" applyProtection="1">
      <alignment horizontal="center" vertical="center" wrapText="1"/>
      <protection hidden="1"/>
    </xf>
    <xf numFmtId="2" fontId="18" fillId="5" borderId="3" xfId="0" applyNumberFormat="1" applyFont="1" applyFill="1" applyBorder="1" applyAlignment="1" applyProtection="1">
      <alignment horizontal="center" vertical="center"/>
      <protection hidden="1"/>
    </xf>
    <xf numFmtId="0" fontId="18" fillId="4" borderId="3" xfId="0" applyFont="1" applyFill="1" applyBorder="1" applyAlignment="1" applyProtection="1">
      <alignment horizontal="center" vertical="center" wrapText="1"/>
      <protection hidden="1"/>
    </xf>
    <xf numFmtId="2" fontId="18" fillId="4" borderId="3" xfId="0" applyNumberFormat="1" applyFont="1" applyFill="1" applyBorder="1" applyAlignment="1">
      <alignment horizontal="center" vertical="center"/>
    </xf>
    <xf numFmtId="0" fontId="0" fillId="0" borderId="50" xfId="0" applyBorder="1"/>
    <xf numFmtId="2" fontId="16" fillId="4" borderId="51" xfId="0" applyNumberFormat="1" applyFont="1" applyFill="1" applyBorder="1" applyAlignment="1" applyProtection="1">
      <alignment horizontal="center" vertical="center"/>
      <protection hidden="1"/>
    </xf>
    <xf numFmtId="165" fontId="0" fillId="4" borderId="29" xfId="0" applyNumberFormat="1" applyFill="1" applyBorder="1" applyProtection="1">
      <protection hidden="1"/>
    </xf>
    <xf numFmtId="2" fontId="16" fillId="4" borderId="14" xfId="0" applyNumberFormat="1" applyFont="1" applyFill="1" applyBorder="1" applyAlignment="1" applyProtection="1">
      <alignment horizontal="center" vertical="center"/>
      <protection hidden="1"/>
    </xf>
    <xf numFmtId="0" fontId="0" fillId="0" borderId="52" xfId="0" applyBorder="1"/>
    <xf numFmtId="173" fontId="0" fillId="0" borderId="0" xfId="0" applyNumberFormat="1" applyProtection="1">
      <protection hidden="1"/>
    </xf>
    <xf numFmtId="168" fontId="0" fillId="0" borderId="0" xfId="0" applyNumberFormat="1" applyAlignment="1" applyProtection="1">
      <alignment horizontal="center"/>
      <protection hidden="1"/>
    </xf>
    <xf numFmtId="168" fontId="0" fillId="0" borderId="0" xfId="0" applyNumberFormat="1" applyProtection="1">
      <protection hidden="1"/>
    </xf>
    <xf numFmtId="173" fontId="0" fillId="0" borderId="0" xfId="0" applyNumberFormat="1" applyAlignment="1">
      <alignment horizontal="center"/>
    </xf>
    <xf numFmtId="173" fontId="0" fillId="0" borderId="0" xfId="0" applyNumberFormat="1"/>
    <xf numFmtId="165" fontId="20" fillId="0" borderId="18" xfId="0" applyNumberFormat="1" applyFont="1" applyBorder="1" applyAlignment="1">
      <alignment horizontal="center" vertical="center"/>
    </xf>
    <xf numFmtId="172" fontId="15" fillId="3" borderId="25" xfId="0" applyNumberFormat="1" applyFont="1" applyFill="1" applyBorder="1" applyAlignment="1">
      <alignment horizontal="center" vertical="center"/>
    </xf>
    <xf numFmtId="1" fontId="0" fillId="0" borderId="0" xfId="0" applyNumberForma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right"/>
      <protection locked="0"/>
    </xf>
    <xf numFmtId="0" fontId="22" fillId="7" borderId="0" xfId="1" applyFont="1" applyFill="1" applyAlignment="1">
      <alignment horizontal="center" vertical="center"/>
    </xf>
    <xf numFmtId="0" fontId="22" fillId="7" borderId="0" xfId="1" applyFont="1" applyFill="1" applyAlignment="1" applyProtection="1">
      <alignment horizontal="center" vertical="center"/>
    </xf>
    <xf numFmtId="0" fontId="0" fillId="0" borderId="0" xfId="0" applyAlignment="1">
      <alignment horizontal="right"/>
    </xf>
    <xf numFmtId="168" fontId="0" fillId="0" borderId="0" xfId="0" applyNumberFormat="1"/>
    <xf numFmtId="0" fontId="23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75" fontId="16" fillId="0" borderId="0" xfId="0" applyNumberFormat="1" applyFont="1" applyAlignment="1">
      <alignment horizontal="center" vertical="center"/>
    </xf>
    <xf numFmtId="0" fontId="19" fillId="0" borderId="53" xfId="0" applyFont="1" applyBorder="1"/>
    <xf numFmtId="0" fontId="19" fillId="0" borderId="33" xfId="0" applyFont="1" applyBorder="1"/>
    <xf numFmtId="176" fontId="19" fillId="0" borderId="19" xfId="0" applyNumberFormat="1" applyFont="1" applyBorder="1" applyAlignment="1">
      <alignment horizontal="center" vertical="center"/>
    </xf>
    <xf numFmtId="0" fontId="6" fillId="0" borderId="0" xfId="0" applyFont="1"/>
    <xf numFmtId="165" fontId="24" fillId="0" borderId="18" xfId="0" applyNumberFormat="1" applyFont="1" applyBorder="1" applyAlignment="1">
      <alignment horizontal="center" vertical="center"/>
    </xf>
    <xf numFmtId="177" fontId="20" fillId="4" borderId="32" xfId="0" applyNumberFormat="1" applyFont="1" applyFill="1" applyBorder="1" applyAlignment="1">
      <alignment horizontal="center" vertical="center"/>
    </xf>
    <xf numFmtId="177" fontId="16" fillId="4" borderId="41" xfId="0" applyNumberFormat="1" applyFont="1" applyFill="1" applyBorder="1" applyAlignment="1" applyProtection="1">
      <alignment horizontal="center" vertical="center"/>
      <protection hidden="1"/>
    </xf>
    <xf numFmtId="177" fontId="16" fillId="4" borderId="44" xfId="0" applyNumberFormat="1" applyFont="1" applyFill="1" applyBorder="1" applyAlignment="1" applyProtection="1">
      <alignment horizontal="center" vertical="center"/>
      <protection hidden="1"/>
    </xf>
    <xf numFmtId="177" fontId="24" fillId="4" borderId="32" xfId="0" applyNumberFormat="1" applyFont="1" applyFill="1" applyBorder="1" applyAlignment="1">
      <alignment horizontal="center" vertical="center"/>
    </xf>
    <xf numFmtId="0" fontId="14" fillId="7" borderId="28" xfId="0" applyFont="1" applyFill="1" applyBorder="1" applyAlignment="1">
      <alignment horizontal="center" vertical="center"/>
    </xf>
    <xf numFmtId="174" fontId="14" fillId="7" borderId="27" xfId="0" applyNumberFormat="1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171" fontId="15" fillId="7" borderId="25" xfId="0" applyNumberFormat="1" applyFont="1" applyFill="1" applyBorder="1" applyAlignment="1">
      <alignment horizontal="center" vertical="center"/>
    </xf>
    <xf numFmtId="0" fontId="14" fillId="8" borderId="4" xfId="0" applyFont="1" applyFill="1" applyBorder="1" applyAlignment="1" applyProtection="1">
      <alignment horizontal="center" vertical="center" wrapText="1"/>
      <protection hidden="1"/>
    </xf>
    <xf numFmtId="170" fontId="14" fillId="8" borderId="4" xfId="0" applyNumberFormat="1" applyFont="1" applyFill="1" applyBorder="1" applyAlignment="1" applyProtection="1">
      <alignment horizontal="center" vertical="center" wrapText="1"/>
      <protection hidden="1"/>
    </xf>
    <xf numFmtId="0" fontId="16" fillId="4" borderId="15" xfId="0" applyFont="1" applyFill="1" applyBorder="1" applyProtection="1">
      <protection hidden="1"/>
    </xf>
    <xf numFmtId="0" fontId="16" fillId="4" borderId="46" xfId="0" applyFont="1" applyFill="1" applyBorder="1" applyProtection="1">
      <protection hidden="1"/>
    </xf>
    <xf numFmtId="166" fontId="16" fillId="4" borderId="45" xfId="0" applyNumberFormat="1" applyFont="1" applyFill="1" applyBorder="1" applyAlignment="1" applyProtection="1">
      <alignment horizontal="center" vertical="center"/>
      <protection hidden="1"/>
    </xf>
    <xf numFmtId="166" fontId="16" fillId="0" borderId="45" xfId="0" applyNumberFormat="1" applyFont="1" applyBorder="1" applyAlignment="1" applyProtection="1">
      <alignment horizontal="center" vertical="center"/>
      <protection hidden="1"/>
    </xf>
    <xf numFmtId="0" fontId="16" fillId="0" borderId="15" xfId="0" applyFont="1" applyBorder="1" applyProtection="1">
      <protection hidden="1"/>
    </xf>
    <xf numFmtId="0" fontId="16" fillId="0" borderId="46" xfId="0" applyFont="1" applyBorder="1" applyProtection="1">
      <protection hidden="1"/>
    </xf>
    <xf numFmtId="178" fontId="14" fillId="7" borderId="27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B4"/>
      <color rgb="FF0000FF"/>
      <color rgb="FFEAEAEA"/>
      <color rgb="FF0000CC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300" b="0">
                <a:solidFill>
                  <a:schemeClr val="tx1">
                    <a:lumMod val="75000"/>
                    <a:lumOff val="2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NACA 4-Digit S</a:t>
            </a:r>
            <a:r>
              <a:rPr lang="en-GB" sz="1300" b="0" baseline="0">
                <a:solidFill>
                  <a:schemeClr val="tx1">
                    <a:lumMod val="75000"/>
                    <a:lumOff val="2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eries</a:t>
            </a:r>
            <a:endParaRPr lang="en-GB" sz="1300" b="0">
              <a:solidFill>
                <a:schemeClr val="tx1">
                  <a:lumMod val="75000"/>
                  <a:lumOff val="2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40743380455007716"/>
          <c:y val="1.33470166527679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6531312729865603E-2"/>
          <c:y val="0.13186248158873637"/>
          <c:w val="0.94647724483257334"/>
          <c:h val="0.75801044325232114"/>
        </c:manualLayout>
      </c:layout>
      <c:scatterChart>
        <c:scatterStyle val="smoothMarker"/>
        <c:varyColors val="0"/>
        <c:ser>
          <c:idx val="1"/>
          <c:order val="0"/>
          <c:tx>
            <c:v>Upper Camber</c:v>
          </c:tx>
          <c:spPr>
            <a:ln w="1270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Data1!$G$1:$G$501</c:f>
              <c:numCache>
                <c:formatCode>0.000000</c:formatCode>
                <c:ptCount val="501"/>
                <c:pt idx="0">
                  <c:v>0</c:v>
                </c:pt>
                <c:pt idx="1">
                  <c:v>-3.4462909034821344E-5</c:v>
                </c:pt>
                <c:pt idx="2">
                  <c:v>-5.8939130640384266E-5</c:v>
                </c:pt>
                <c:pt idx="3">
                  <c:v>-7.3425810210654382E-5</c:v>
                </c:pt>
                <c:pt idx="4">
                  <c:v>-7.7920190808090234E-5</c:v>
                </c:pt>
                <c:pt idx="5">
                  <c:v>-7.2419613237442081E-5</c:v>
                </c:pt>
                <c:pt idx="6">
                  <c:v>-5.6921516125681696E-5</c:v>
                </c:pt>
                <c:pt idx="7">
                  <c:v>-3.1423436006662836E-5</c:v>
                </c:pt>
                <c:pt idx="8">
                  <c:v>4.0769925888412993E-6</c:v>
                </c:pt>
                <c:pt idx="9">
                  <c:v>4.9582037038043857E-5</c:v>
                </c:pt>
                <c:pt idx="10">
                  <c:v>1.0509386652584159E-4</c:v>
                </c:pt>
                <c:pt idx="11">
                  <c:v>1.7061455193951664E-4</c:v>
                </c:pt>
                <c:pt idx="12">
                  <c:v>2.4614606575815298E-4</c:v>
                </c:pt>
                <c:pt idx="13">
                  <c:v>3.3169028193694215E-4</c:v>
                </c:pt>
                <c:pt idx="14">
                  <c:v>4.272489757866613E-4</c:v>
                </c:pt>
                <c:pt idx="15">
                  <c:v>5.3282382384798352E-4</c:v>
                </c:pt>
                <c:pt idx="16">
                  <c:v>6.4841640376026857E-4</c:v>
                </c:pt>
                <c:pt idx="17">
                  <c:v>7.7402819412643222E-4</c:v>
                </c:pt>
                <c:pt idx="18">
                  <c:v>9.0966057437153369E-4</c:v>
                </c:pt>
                <c:pt idx="19">
                  <c:v>1.0553148245976969E-3</c:v>
                </c:pt>
                <c:pt idx="20">
                  <c:v>1.2109921254328452E-3</c:v>
                </c:pt>
                <c:pt idx="21">
                  <c:v>1.3766935578756084E-3</c:v>
                </c:pt>
                <c:pt idx="22">
                  <c:v>1.5524201031347938E-3</c:v>
                </c:pt>
                <c:pt idx="23">
                  <c:v>1.738172642464332E-3</c:v>
                </c:pt>
                <c:pt idx="24">
                  <c:v>1.9339519569930069E-3</c:v>
                </c:pt>
                <c:pt idx="25">
                  <c:v>2.1397587275502165E-3</c:v>
                </c:pt>
                <c:pt idx="26">
                  <c:v>2.3555935344859438E-3</c:v>
                </c:pt>
                <c:pt idx="27">
                  <c:v>2.5814568574874163E-3</c:v>
                </c:pt>
                <c:pt idx="28">
                  <c:v>2.8173490753899662E-3</c:v>
                </c:pt>
                <c:pt idx="29">
                  <c:v>3.0632704659839163E-3</c:v>
                </c:pt>
                <c:pt idx="30">
                  <c:v>3.3192212058172918E-3</c:v>
                </c:pt>
                <c:pt idx="31">
                  <c:v>3.5852013699927349E-3</c:v>
                </c:pt>
                <c:pt idx="32">
                  <c:v>3.8612109319619004E-3</c:v>
                </c:pt>
                <c:pt idx="33">
                  <c:v>4.1472497633141623E-3</c:v>
                </c:pt>
                <c:pt idx="34">
                  <c:v>4.4433176335612534E-3</c:v>
                </c:pt>
                <c:pt idx="35">
                  <c:v>4.7494142099178986E-3</c:v>
                </c:pt>
                <c:pt idx="36">
                  <c:v>5.0655390570784999E-3</c:v>
                </c:pt>
                <c:pt idx="37">
                  <c:v>5.3916916369891547E-3</c:v>
                </c:pt>
                <c:pt idx="38">
                  <c:v>5.7278713086158419E-3</c:v>
                </c:pt>
                <c:pt idx="39">
                  <c:v>6.0740773277088694E-3</c:v>
                </c:pt>
                <c:pt idx="40">
                  <c:v>6.4303088465631269E-3</c:v>
                </c:pt>
                <c:pt idx="41">
                  <c:v>6.7965649137747327E-3</c:v>
                </c:pt>
                <c:pt idx="42">
                  <c:v>7.1728444739935235E-3</c:v>
                </c:pt>
                <c:pt idx="43">
                  <c:v>7.5591463676720804E-3</c:v>
                </c:pt>
                <c:pt idx="44">
                  <c:v>7.955469330811352E-3</c:v>
                </c:pt>
                <c:pt idx="45">
                  <c:v>8.3618119947023485E-3</c:v>
                </c:pt>
                <c:pt idx="46">
                  <c:v>8.7781728856646032E-3</c:v>
                </c:pt>
                <c:pt idx="47">
                  <c:v>9.2045504247807268E-3</c:v>
                </c:pt>
                <c:pt idx="48">
                  <c:v>9.6409429276287234E-3</c:v>
                </c:pt>
                <c:pt idx="49">
                  <c:v>1.0087348604009646E-2</c:v>
                </c:pt>
                <c:pt idx="50">
                  <c:v>1.0543765557673357E-2</c:v>
                </c:pt>
                <c:pt idx="51">
                  <c:v>1.1010191786040333E-2</c:v>
                </c:pt>
                <c:pt idx="52">
                  <c:v>1.1486625179921115E-2</c:v>
                </c:pt>
                <c:pt idx="53">
                  <c:v>1.1973063523232488E-2</c:v>
                </c:pt>
                <c:pt idx="54">
                  <c:v>1.246950449271045E-2</c:v>
                </c:pt>
                <c:pt idx="55">
                  <c:v>1.297594565762175E-2</c:v>
                </c:pt>
                <c:pt idx="56">
                  <c:v>1.3492384479471143E-2</c:v>
                </c:pt>
                <c:pt idx="57">
                  <c:v>1.4018818311707495E-2</c:v>
                </c:pt>
                <c:pt idx="58">
                  <c:v>1.4555244399426431E-2</c:v>
                </c:pt>
                <c:pt idx="59">
                  <c:v>1.510165987907118E-2</c:v>
                </c:pt>
                <c:pt idx="60">
                  <c:v>1.5658061778131185E-2</c:v>
                </c:pt>
                <c:pt idx="61">
                  <c:v>1.6224447014837953E-2</c:v>
                </c:pt>
                <c:pt idx="62">
                  <c:v>1.6800812397859632E-2</c:v>
                </c:pt>
                <c:pt idx="63">
                  <c:v>1.7387154625993086E-2</c:v>
                </c:pt>
                <c:pt idx="64">
                  <c:v>1.798347028785385E-2</c:v>
                </c:pt>
                <c:pt idx="65">
                  <c:v>1.8589755861565506E-2</c:v>
                </c:pt>
                <c:pt idx="66">
                  <c:v>1.9206007714445732E-2</c:v>
                </c:pt>
                <c:pt idx="67">
                  <c:v>1.9832222102691983E-2</c:v>
                </c:pt>
                <c:pt idx="68">
                  <c:v>2.0468395171065447E-2</c:v>
                </c:pt>
                <c:pt idx="69">
                  <c:v>2.1114522952573125E-2</c:v>
                </c:pt>
                <c:pt idx="70">
                  <c:v>2.1770601368149688E-2</c:v>
                </c:pt>
                <c:pt idx="71">
                  <c:v>2.2436626226336596E-2</c:v>
                </c:pt>
                <c:pt idx="72">
                  <c:v>2.3112593222962153E-2</c:v>
                </c:pt>
                <c:pt idx="73">
                  <c:v>2.3798497940818661E-2</c:v>
                </c:pt>
                <c:pt idx="74">
                  <c:v>2.4494335849340455E-2</c:v>
                </c:pt>
                <c:pt idx="75">
                  <c:v>2.520010230427993E-2</c:v>
                </c:pt>
                <c:pt idx="76">
                  <c:v>2.5915792547383288E-2</c:v>
                </c:pt>
                <c:pt idx="77">
                  <c:v>2.6641401706066818E-2</c:v>
                </c:pt>
                <c:pt idx="78">
                  <c:v>2.7376924793090802E-2</c:v>
                </c:pt>
                <c:pt idx="79">
                  <c:v>2.8122356706235228E-2</c:v>
                </c:pt>
                <c:pt idx="80">
                  <c:v>2.8877692227973664E-2</c:v>
                </c:pt>
                <c:pt idx="81">
                  <c:v>2.9642926025148238E-2</c:v>
                </c:pt>
                <c:pt idx="82">
                  <c:v>3.0418052648644049E-2</c:v>
                </c:pt>
                <c:pt idx="83">
                  <c:v>3.1203066533063959E-2</c:v>
                </c:pt>
                <c:pt idx="84">
                  <c:v>3.1997961996403687E-2</c:v>
                </c:pt>
                <c:pt idx="85">
                  <c:v>3.2802733239727086E-2</c:v>
                </c:pt>
                <c:pt idx="86">
                  <c:v>3.3617374346842491E-2</c:v>
                </c:pt>
                <c:pt idx="87">
                  <c:v>3.4441879283978932E-2</c:v>
                </c:pt>
                <c:pt idx="88">
                  <c:v>3.5276241899463802E-2</c:v>
                </c:pt>
                <c:pt idx="89">
                  <c:v>3.6120455923401094E-2</c:v>
                </c:pt>
                <c:pt idx="90">
                  <c:v>3.6974514967350207E-2</c:v>
                </c:pt>
                <c:pt idx="91">
                  <c:v>3.7838412524006701E-2</c:v>
                </c:pt>
                <c:pt idx="92">
                  <c:v>3.8712141966883974E-2</c:v>
                </c:pt>
                <c:pt idx="93">
                  <c:v>3.9595696549995521E-2</c:v>
                </c:pt>
                <c:pt idx="94">
                  <c:v>4.0489069407539713E-2</c:v>
                </c:pt>
                <c:pt idx="95">
                  <c:v>4.1392253553585785E-2</c:v>
                </c:pt>
                <c:pt idx="96">
                  <c:v>4.2305241881760977E-2</c:v>
                </c:pt>
                <c:pt idx="97">
                  <c:v>4.3228027164940092E-2</c:v>
                </c:pt>
                <c:pt idx="98">
                  <c:v>4.4160602054937208E-2</c:v>
                </c:pt>
                <c:pt idx="99">
                  <c:v>4.5102959082198475E-2</c:v>
                </c:pt>
                <c:pt idx="100">
                  <c:v>4.6055090655497746E-2</c:v>
                </c:pt>
                <c:pt idx="101">
                  <c:v>4.7016989061634422E-2</c:v>
                </c:pt>
                <c:pt idx="102">
                  <c:v>4.798864646513365E-2</c:v>
                </c:pt>
                <c:pt idx="103">
                  <c:v>4.8970054907949014E-2</c:v>
                </c:pt>
                <c:pt idx="104">
                  <c:v>4.9961206309167595E-2</c:v>
                </c:pt>
                <c:pt idx="105">
                  <c:v>5.0962092464718084E-2</c:v>
                </c:pt>
                <c:pt idx="106">
                  <c:v>5.1972705047081756E-2</c:v>
                </c:pt>
                <c:pt idx="107">
                  <c:v>5.2993035605006039E-2</c:v>
                </c:pt>
                <c:pt idx="108">
                  <c:v>5.4023075563222021E-2</c:v>
                </c:pt>
                <c:pt idx="109">
                  <c:v>5.5062816222163684E-2</c:v>
                </c:pt>
                <c:pt idx="110">
                  <c:v>5.6112248757692267E-2</c:v>
                </c:pt>
                <c:pt idx="111">
                  <c:v>5.717136422082212E-2</c:v>
                </c:pt>
                <c:pt idx="112">
                  <c:v>5.8240153537452169E-2</c:v>
                </c:pt>
                <c:pt idx="113">
                  <c:v>5.9318607508099128E-2</c:v>
                </c:pt>
                <c:pt idx="114">
                  <c:v>6.0406716807635659E-2</c:v>
                </c:pt>
                <c:pt idx="115">
                  <c:v>6.1504471985031922E-2</c:v>
                </c:pt>
                <c:pt idx="116">
                  <c:v>6.2611863463101505E-2</c:v>
                </c:pt>
                <c:pt idx="117">
                  <c:v>6.3728881538250834E-2</c:v>
                </c:pt>
                <c:pt idx="118">
                  <c:v>6.4855516380233139E-2</c:v>
                </c:pt>
                <c:pt idx="119">
                  <c:v>6.5991758031907141E-2</c:v>
                </c:pt>
                <c:pt idx="120">
                  <c:v>6.7137596408999495E-2</c:v>
                </c:pt>
                <c:pt idx="121">
                  <c:v>6.8293021299871942E-2</c:v>
                </c:pt>
                <c:pt idx="122">
                  <c:v>6.9458022365293068E-2</c:v>
                </c:pt>
                <c:pt idx="123">
                  <c:v>7.0632589138215254E-2</c:v>
                </c:pt>
                <c:pt idx="124">
                  <c:v>7.1816711023556037E-2</c:v>
                </c:pt>
                <c:pt idx="125">
                  <c:v>7.3010377297984319E-2</c:v>
                </c:pt>
                <c:pt idx="126">
                  <c:v>7.421357710971184E-2</c:v>
                </c:pt>
                <c:pt idx="127">
                  <c:v>7.5426299478290021E-2</c:v>
                </c:pt>
                <c:pt idx="128">
                  <c:v>7.6648533294411431E-2</c:v>
                </c:pt>
                <c:pt idx="129">
                  <c:v>7.7880267319717367E-2</c:v>
                </c:pt>
                <c:pt idx="130">
                  <c:v>7.9121490186610355E-2</c:v>
                </c:pt>
                <c:pt idx="131">
                  <c:v>8.0372190398072349E-2</c:v>
                </c:pt>
                <c:pt idx="132">
                  <c:v>8.163235632748829E-2</c:v>
                </c:pt>
                <c:pt idx="133">
                  <c:v>8.2901976218476309E-2</c:v>
                </c:pt>
                <c:pt idx="134">
                  <c:v>8.4181038184722626E-2</c:v>
                </c:pt>
                <c:pt idx="135">
                  <c:v>8.5469530209823077E-2</c:v>
                </c:pt>
                <c:pt idx="136">
                  <c:v>8.6767440147130503E-2</c:v>
                </c:pt>
                <c:pt idx="137">
                  <c:v>8.8074755719607947E-2</c:v>
                </c:pt>
                <c:pt idx="138">
                  <c:v>8.9391464519688865E-2</c:v>
                </c:pt>
                <c:pt idx="139">
                  <c:v>9.0717554009142332E-2</c:v>
                </c:pt>
                <c:pt idx="140">
                  <c:v>9.2053011518946029E-2</c:v>
                </c:pt>
                <c:pt idx="141">
                  <c:v>9.3397824249164554E-2</c:v>
                </c:pt>
                <c:pt idx="142">
                  <c:v>9.4751979268834899E-2</c:v>
                </c:pt>
                <c:pt idx="143">
                  <c:v>9.6115463515858021E-2</c:v>
                </c:pt>
                <c:pt idx="144">
                  <c:v>9.7488263796898081E-2</c:v>
                </c:pt>
                <c:pt idx="145">
                  <c:v>9.8870366787287292E-2</c:v>
                </c:pt>
                <c:pt idx="146">
                  <c:v>0.10026175903093811</c:v>
                </c:pt>
                <c:pt idx="147">
                  <c:v>0.10166242694026291</c:v>
                </c:pt>
                <c:pt idx="148">
                  <c:v>0.10307235679609938</c:v>
                </c:pt>
                <c:pt idx="149">
                  <c:v>0.10449153474764437</c:v>
                </c:pt>
                <c:pt idx="150">
                  <c:v>0.10591994681239393</c:v>
                </c:pt>
                <c:pt idx="151">
                  <c:v>0.10735757887609096</c:v>
                </c:pt>
                <c:pt idx="152">
                  <c:v>0.10880441669267986</c:v>
                </c:pt>
                <c:pt idx="153">
                  <c:v>0.11026044588426906</c:v>
                </c:pt>
                <c:pt idx="154">
                  <c:v>0.11172565194110033</c:v>
                </c:pt>
                <c:pt idx="155">
                  <c:v>0.11320002022152603</c:v>
                </c:pt>
                <c:pt idx="156">
                  <c:v>0.11468353595199346</c:v>
                </c:pt>
                <c:pt idx="157">
                  <c:v>0.11617618422703727</c:v>
                </c:pt>
                <c:pt idx="158">
                  <c:v>0.11767795000927886</c:v>
                </c:pt>
                <c:pt idx="159">
                  <c:v>0.11918881812943465</c:v>
                </c:pt>
                <c:pt idx="160">
                  <c:v>0.12070877328633033</c:v>
                </c:pt>
                <c:pt idx="161">
                  <c:v>0.12223780004692467</c:v>
                </c:pt>
                <c:pt idx="162">
                  <c:v>0.12377588284634036</c:v>
                </c:pt>
                <c:pt idx="163">
                  <c:v>0.12532300598790203</c:v>
                </c:pt>
                <c:pt idx="164">
                  <c:v>0.12687915364318428</c:v>
                </c:pt>
                <c:pt idx="165">
                  <c:v>0.1284443098520649</c:v>
                </c:pt>
                <c:pt idx="166">
                  <c:v>0.13001845852278895</c:v>
                </c:pt>
                <c:pt idx="167">
                  <c:v>0.13160158343203868</c:v>
                </c:pt>
                <c:pt idx="168">
                  <c:v>0.1331936682250128</c:v>
                </c:pt>
                <c:pt idx="169">
                  <c:v>0.13479469641551342</c:v>
                </c:pt>
                <c:pt idx="170">
                  <c:v>0.13640465138604105</c:v>
                </c:pt>
                <c:pt idx="171">
                  <c:v>0.13802351638789834</c:v>
                </c:pt>
                <c:pt idx="172">
                  <c:v>0.13965127454130166</c:v>
                </c:pt>
                <c:pt idx="173">
                  <c:v>0.14128790883550063</c:v>
                </c:pt>
                <c:pt idx="174">
                  <c:v>0.14293340212890646</c:v>
                </c:pt>
                <c:pt idx="175">
                  <c:v>0.14458773714922857</c:v>
                </c:pt>
                <c:pt idx="176">
                  <c:v>0.14625089649361908</c:v>
                </c:pt>
                <c:pt idx="177">
                  <c:v>0.14792286262882617</c:v>
                </c:pt>
                <c:pt idx="178">
                  <c:v>0.14960361789135523</c:v>
                </c:pt>
                <c:pt idx="179">
                  <c:v>0.15129314448763895</c:v>
                </c:pt>
                <c:pt idx="180">
                  <c:v>0.15299142449421538</c:v>
                </c:pt>
                <c:pt idx="181">
                  <c:v>0.15469843985791459</c:v>
                </c:pt>
                <c:pt idx="182">
                  <c:v>0.15641417239605385</c:v>
                </c:pt>
                <c:pt idx="183">
                  <c:v>0.1581386037966408</c:v>
                </c:pt>
                <c:pt idx="184">
                  <c:v>0.15987171561858493</c:v>
                </c:pt>
                <c:pt idx="185">
                  <c:v>0.16161348929191874</c:v>
                </c:pt>
                <c:pt idx="186">
                  <c:v>0.16336390611802526</c:v>
                </c:pt>
                <c:pt idx="187">
                  <c:v>0.16512294726987592</c:v>
                </c:pt>
                <c:pt idx="188">
                  <c:v>0.16689059379227544</c:v>
                </c:pt>
                <c:pt idx="189">
                  <c:v>0.16866682660211596</c:v>
                </c:pt>
                <c:pt idx="190">
                  <c:v>0.17045162648863912</c:v>
                </c:pt>
                <c:pt idx="191">
                  <c:v>0.17224497411370651</c:v>
                </c:pt>
                <c:pt idx="192">
                  <c:v>0.17404685001207862</c:v>
                </c:pt>
                <c:pt idx="193">
                  <c:v>0.17585723459170238</c:v>
                </c:pt>
                <c:pt idx="194">
                  <c:v>0.17767610813400617</c:v>
                </c:pt>
                <c:pt idx="195">
                  <c:v>0.17950345079420407</c:v>
                </c:pt>
                <c:pt idx="196">
                  <c:v>0.18133924260160791</c:v>
                </c:pt>
                <c:pt idx="197">
                  <c:v>0.18318346345994768</c:v>
                </c:pt>
                <c:pt idx="198">
                  <c:v>0.18503609314770003</c:v>
                </c:pt>
                <c:pt idx="199">
                  <c:v>0.1868971113184249</c:v>
                </c:pt>
                <c:pt idx="200">
                  <c:v>0.18876649750111113</c:v>
                </c:pt>
                <c:pt idx="201">
                  <c:v>0.19064423110052844</c:v>
                </c:pt>
                <c:pt idx="202">
                  <c:v>0.19253029139758973</c:v>
                </c:pt>
                <c:pt idx="203">
                  <c:v>0.19442465754971971</c:v>
                </c:pt>
                <c:pt idx="204">
                  <c:v>0.19632730859123185</c:v>
                </c:pt>
                <c:pt idx="205">
                  <c:v>0.19823822343371442</c:v>
                </c:pt>
                <c:pt idx="206">
                  <c:v>0.2001573808664224</c:v>
                </c:pt>
                <c:pt idx="207">
                  <c:v>0.20208475955667968</c:v>
                </c:pt>
                <c:pt idx="208">
                  <c:v>0.20402033805028719</c:v>
                </c:pt>
                <c:pt idx="209">
                  <c:v>0.2059640947719393</c:v>
                </c:pt>
                <c:pt idx="210">
                  <c:v>0.20791600802564894</c:v>
                </c:pt>
                <c:pt idx="211">
                  <c:v>0.20987605599517845</c:v>
                </c:pt>
                <c:pt idx="212">
                  <c:v>0.21184421674448017</c:v>
                </c:pt>
                <c:pt idx="213">
                  <c:v>0.21382046821814307</c:v>
                </c:pt>
                <c:pt idx="214">
                  <c:v>0.21580478824184721</c:v>
                </c:pt>
                <c:pt idx="215">
                  <c:v>0.21779715452282614</c:v>
                </c:pt>
                <c:pt idx="216">
                  <c:v>0.21979754465033607</c:v>
                </c:pt>
                <c:pt idx="217">
                  <c:v>0.22180593609613244</c:v>
                </c:pt>
                <c:pt idx="218">
                  <c:v>0.22382230621495411</c:v>
                </c:pt>
                <c:pt idx="219">
                  <c:v>0.22584663224501433</c:v>
                </c:pt>
                <c:pt idx="220">
                  <c:v>0.22787889130849848</c:v>
                </c:pt>
                <c:pt idx="221">
                  <c:v>0.22991906041206947</c:v>
                </c:pt>
                <c:pt idx="222">
                  <c:v>0.23196711644737983</c:v>
                </c:pt>
                <c:pt idx="223">
                  <c:v>0.23402303619159059</c:v>
                </c:pt>
                <c:pt idx="224">
                  <c:v>0.2360867963078965</c:v>
                </c:pt>
                <c:pt idx="225">
                  <c:v>0.23815837334605899</c:v>
                </c:pt>
                <c:pt idx="226">
                  <c:v>0.24023774374294438</c:v>
                </c:pt>
                <c:pt idx="227">
                  <c:v>0.24232488382306977</c:v>
                </c:pt>
                <c:pt idx="228">
                  <c:v>0.24441976979915442</c:v>
                </c:pt>
                <c:pt idx="229">
                  <c:v>0.24652237777267835</c:v>
                </c:pt>
                <c:pt idx="230">
                  <c:v>0.2486326837344465</c:v>
                </c:pt>
                <c:pt idx="231">
                  <c:v>0.25075066356515896</c:v>
                </c:pt>
                <c:pt idx="232">
                  <c:v>0.25287629303598802</c:v>
                </c:pt>
                <c:pt idx="233">
                  <c:v>0.25500954780916008</c:v>
                </c:pt>
                <c:pt idx="234">
                  <c:v>0.25715040343854456</c:v>
                </c:pt>
                <c:pt idx="235">
                  <c:v>0.25929883537024762</c:v>
                </c:pt>
                <c:pt idx="236">
                  <c:v>0.26145481894321188</c:v>
                </c:pt>
                <c:pt idx="237">
                  <c:v>0.26361832938982177</c:v>
                </c:pt>
                <c:pt idx="238">
                  <c:v>0.26578934183651415</c:v>
                </c:pt>
                <c:pt idx="239">
                  <c:v>0.26796783130439455</c:v>
                </c:pt>
                <c:pt idx="240">
                  <c:v>0.27015377270985802</c:v>
                </c:pt>
                <c:pt idx="241">
                  <c:v>0.27234714086521583</c:v>
                </c:pt>
                <c:pt idx="242">
                  <c:v>0.27454791047932631</c:v>
                </c:pt>
                <c:pt idx="243">
                  <c:v>0.27675605615823179</c:v>
                </c:pt>
                <c:pt idx="244">
                  <c:v>0.27897155240579885</c:v>
                </c:pt>
                <c:pt idx="245">
                  <c:v>0.28119437362436456</c:v>
                </c:pt>
                <c:pt idx="246">
                  <c:v>0.28342449411538601</c:v>
                </c:pt>
                <c:pt idx="247">
                  <c:v>0.28566188808009574</c:v>
                </c:pt>
                <c:pt idx="248">
                  <c:v>0.28790652962015956</c:v>
                </c:pt>
                <c:pt idx="249">
                  <c:v>0.29015839273834082</c:v>
                </c:pt>
                <c:pt idx="250">
                  <c:v>0.29241745133916641</c:v>
                </c:pt>
                <c:pt idx="251">
                  <c:v>0.29468367922959865</c:v>
                </c:pt>
                <c:pt idx="252">
                  <c:v>0.29695705011970974</c:v>
                </c:pt>
                <c:pt idx="253">
                  <c:v>0.29923753762336008</c:v>
                </c:pt>
                <c:pt idx="254">
                  <c:v>0.30152511525888115</c:v>
                </c:pt>
                <c:pt idx="255">
                  <c:v>0.30381975644976034</c:v>
                </c:pt>
                <c:pt idx="256">
                  <c:v>0.30612143452533014</c:v>
                </c:pt>
                <c:pt idx="257">
                  <c:v>0.30843012272146003</c:v>
                </c:pt>
                <c:pt idx="258">
                  <c:v>0.31074579418125131</c:v>
                </c:pt>
                <c:pt idx="259">
                  <c:v>0.31306842195573559</c:v>
                </c:pt>
                <c:pt idx="260">
                  <c:v>0.31539797900457528</c:v>
                </c:pt>
                <c:pt idx="261">
                  <c:v>0.31773443819676683</c:v>
                </c:pt>
                <c:pt idx="262">
                  <c:v>0.32007777231134715</c:v>
                </c:pt>
                <c:pt idx="263">
                  <c:v>0.32242795403810054</c:v>
                </c:pt>
                <c:pt idx="264">
                  <c:v>0.32478495597827145</c:v>
                </c:pt>
                <c:pt idx="265">
                  <c:v>0.32714875064527527</c:v>
                </c:pt>
                <c:pt idx="266">
                  <c:v>0.32951931046541383</c:v>
                </c:pt>
                <c:pt idx="267">
                  <c:v>0.33189660777859153</c:v>
                </c:pt>
                <c:pt idx="268">
                  <c:v>0.33428061483903393</c:v>
                </c:pt>
                <c:pt idx="269">
                  <c:v>0.33667130381600668</c:v>
                </c:pt>
                <c:pt idx="270">
                  <c:v>0.33906864679453769</c:v>
                </c:pt>
                <c:pt idx="271">
                  <c:v>0.34147261577613913</c:v>
                </c:pt>
                <c:pt idx="272">
                  <c:v>0.34388318267953089</c:v>
                </c:pt>
                <c:pt idx="273">
                  <c:v>0.34630031934136529</c:v>
                </c:pt>
                <c:pt idx="274">
                  <c:v>0.34872399751695277</c:v>
                </c:pt>
                <c:pt idx="275">
                  <c:v>0.35115418888098798</c:v>
                </c:pt>
                <c:pt idx="276">
                  <c:v>0.35359086502827675</c:v>
                </c:pt>
                <c:pt idx="277">
                  <c:v>0.35603399747446302</c:v>
                </c:pt>
                <c:pt idx="278">
                  <c:v>0.35848355765675727</c:v>
                </c:pt>
                <c:pt idx="279">
                  <c:v>0.36093951693466286</c:v>
                </c:pt>
                <c:pt idx="280">
                  <c:v>0.36340184659070551</c:v>
                </c:pt>
                <c:pt idx="281">
                  <c:v>0.36587051783115992</c:v>
                </c:pt>
                <c:pt idx="282">
                  <c:v>0.36834550178677772</c:v>
                </c:pt>
                <c:pt idx="283">
                  <c:v>0.37082676951351423</c:v>
                </c:pt>
                <c:pt idx="284">
                  <c:v>0.37331429199325533</c:v>
                </c:pt>
                <c:pt idx="285">
                  <c:v>0.37580804013454322</c:v>
                </c:pt>
                <c:pt idx="286">
                  <c:v>0.3783079847733018</c:v>
                </c:pt>
                <c:pt idx="287">
                  <c:v>0.38081409667356059</c:v>
                </c:pt>
                <c:pt idx="288">
                  <c:v>0.38332634652817787</c:v>
                </c:pt>
                <c:pt idx="289">
                  <c:v>0.38584470495956275</c:v>
                </c:pt>
                <c:pt idx="290">
                  <c:v>0.38836914252039539</c:v>
                </c:pt>
                <c:pt idx="291">
                  <c:v>0.39089962969434661</c:v>
                </c:pt>
                <c:pt idx="292">
                  <c:v>0.39343613689679485</c:v>
                </c:pt>
                <c:pt idx="293">
                  <c:v>0.39597863447554205</c:v>
                </c:pt>
                <c:pt idx="294">
                  <c:v>0.39852709271152775</c:v>
                </c:pt>
                <c:pt idx="295">
                  <c:v>0.40107289582692535</c:v>
                </c:pt>
                <c:pt idx="296">
                  <c:v>0.40361290665173355</c:v>
                </c:pt>
                <c:pt idx="297">
                  <c:v>0.40615881018130473</c:v>
                </c:pt>
                <c:pt idx="298">
                  <c:v>0.40871057918090603</c:v>
                </c:pt>
                <c:pt idx="299">
                  <c:v>0.41126818635536305</c:v>
                </c:pt>
                <c:pt idx="300">
                  <c:v>0.41383160434949912</c:v>
                </c:pt>
                <c:pt idx="301">
                  <c:v>0.41640080574857719</c:v>
                </c:pt>
                <c:pt idx="302">
                  <c:v>0.4189757630787373</c:v>
                </c:pt>
                <c:pt idx="303">
                  <c:v>0.42155644880743504</c:v>
                </c:pt>
                <c:pt idx="304">
                  <c:v>0.42414283534387792</c:v>
                </c:pt>
                <c:pt idx="305">
                  <c:v>0.42673489503946038</c:v>
                </c:pt>
                <c:pt idx="306">
                  <c:v>0.42933260018819769</c:v>
                </c:pt>
                <c:pt idx="307">
                  <c:v>0.43193592302715916</c:v>
                </c:pt>
                <c:pt idx="308">
                  <c:v>0.43454483573689812</c:v>
                </c:pt>
                <c:pt idx="309">
                  <c:v>0.43715931044188283</c:v>
                </c:pt>
                <c:pt idx="310">
                  <c:v>0.43977931921092306</c:v>
                </c:pt>
                <c:pt idx="311">
                  <c:v>0.44240483405759795</c:v>
                </c:pt>
                <c:pt idx="312">
                  <c:v>0.44503582694068006</c:v>
                </c:pt>
                <c:pt idx="313">
                  <c:v>0.44767226976455876</c:v>
                </c:pt>
                <c:pt idx="314">
                  <c:v>0.45031413437966172</c:v>
                </c:pt>
                <c:pt idx="315">
                  <c:v>0.45296139258287393</c:v>
                </c:pt>
                <c:pt idx="316">
                  <c:v>0.45561401611795632</c:v>
                </c:pt>
                <c:pt idx="317">
                  <c:v>0.45827197667596109</c:v>
                </c:pt>
                <c:pt idx="318">
                  <c:v>0.46093524589564605</c:v>
                </c:pt>
                <c:pt idx="319">
                  <c:v>0.46360379536388574</c:v>
                </c:pt>
                <c:pt idx="320">
                  <c:v>0.46627759661608287</c:v>
                </c:pt>
                <c:pt idx="321">
                  <c:v>0.46895662113657444</c:v>
                </c:pt>
                <c:pt idx="322">
                  <c:v>0.47164084035903875</c:v>
                </c:pt>
                <c:pt idx="323">
                  <c:v>0.47433022566689848</c:v>
                </c:pt>
                <c:pt idx="324">
                  <c:v>0.47702474839372178</c:v>
                </c:pt>
                <c:pt idx="325">
                  <c:v>0.47972437982362254</c:v>
                </c:pt>
                <c:pt idx="326">
                  <c:v>0.48242909119165556</c:v>
                </c:pt>
                <c:pt idx="327">
                  <c:v>0.48513885368421295</c:v>
                </c:pt>
                <c:pt idx="328">
                  <c:v>0.48785363843941415</c:v>
                </c:pt>
                <c:pt idx="329">
                  <c:v>0.49057341654749803</c:v>
                </c:pt>
                <c:pt idx="330">
                  <c:v>0.493298159051208</c:v>
                </c:pt>
                <c:pt idx="331">
                  <c:v>0.49602783694617897</c:v>
                </c:pt>
                <c:pt idx="332">
                  <c:v>0.49876242118131753</c:v>
                </c:pt>
                <c:pt idx="333">
                  <c:v>0.50150188265918338</c:v>
                </c:pt>
                <c:pt idx="334">
                  <c:v>0.5042461922363658</c:v>
                </c:pt>
                <c:pt idx="335">
                  <c:v>0.50699532072385844</c:v>
                </c:pt>
                <c:pt idx="336">
                  <c:v>0.50974923888743118</c:v>
                </c:pt>
                <c:pt idx="337">
                  <c:v>0.51250791744799928</c:v>
                </c:pt>
                <c:pt idx="338">
                  <c:v>0.5152713270819903</c:v>
                </c:pt>
                <c:pt idx="339">
                  <c:v>0.5180394384217073</c:v>
                </c:pt>
                <c:pt idx="340">
                  <c:v>0.52081222205569044</c:v>
                </c:pt>
                <c:pt idx="341">
                  <c:v>0.52358964852907541</c:v>
                </c:pt>
                <c:pt idx="342">
                  <c:v>0.52637168834394854</c:v>
                </c:pt>
                <c:pt idx="343">
                  <c:v>0.52915831195969876</c:v>
                </c:pt>
                <c:pt idx="344">
                  <c:v>0.53194948979336887</c:v>
                </c:pt>
                <c:pt idx="345">
                  <c:v>0.53474519222000105</c:v>
                </c:pt>
                <c:pt idx="346">
                  <c:v>0.53754538957298148</c:v>
                </c:pt>
                <c:pt idx="347">
                  <c:v>0.54035005214438159</c:v>
                </c:pt>
                <c:pt idx="348">
                  <c:v>0.54315915018529537</c:v>
                </c:pt>
                <c:pt idx="349">
                  <c:v>0.545972653906175</c:v>
                </c:pt>
                <c:pt idx="350">
                  <c:v>0.54879053347716245</c:v>
                </c:pt>
                <c:pt idx="351">
                  <c:v>0.55161275902842011</c:v>
                </c:pt>
                <c:pt idx="352">
                  <c:v>0.55443930065045499</c:v>
                </c:pt>
                <c:pt idx="353">
                  <c:v>0.55727012839444301</c:v>
                </c:pt>
                <c:pt idx="354">
                  <c:v>0.56010521227254872</c:v>
                </c:pt>
                <c:pt idx="355">
                  <c:v>0.56294452225824176</c:v>
                </c:pt>
                <c:pt idx="356">
                  <c:v>0.56578802828661245</c:v>
                </c:pt>
                <c:pt idx="357">
                  <c:v>0.56863570025468035</c:v>
                </c:pt>
                <c:pt idx="358">
                  <c:v>0.57148750802170456</c:v>
                </c:pt>
                <c:pt idx="359">
                  <c:v>0.57434342140948547</c:v>
                </c:pt>
                <c:pt idx="360">
                  <c:v>0.57720341020266963</c:v>
                </c:pt>
                <c:pt idx="361">
                  <c:v>0.58006744414904554</c:v>
                </c:pt>
                <c:pt idx="362">
                  <c:v>0.58293549295984093</c:v>
                </c:pt>
                <c:pt idx="363">
                  <c:v>0.58580752631001409</c:v>
                </c:pt>
                <c:pt idx="364">
                  <c:v>0.58868351383854267</c:v>
                </c:pt>
                <c:pt idx="365">
                  <c:v>0.59156342514871174</c:v>
                </c:pt>
                <c:pt idx="366">
                  <c:v>0.59444722980839437</c:v>
                </c:pt>
                <c:pt idx="367">
                  <c:v>0.5973348973503334</c:v>
                </c:pt>
                <c:pt idx="368">
                  <c:v>0.60022639727241711</c:v>
                </c:pt>
                <c:pt idx="369">
                  <c:v>0.60312169903795387</c:v>
                </c:pt>
                <c:pt idx="370">
                  <c:v>0.60602077207594141</c:v>
                </c:pt>
                <c:pt idx="371">
                  <c:v>0.60892358578133643</c:v>
                </c:pt>
                <c:pt idx="372">
                  <c:v>0.61183010951531724</c:v>
                </c:pt>
                <c:pt idx="373">
                  <c:v>0.61474031260554618</c:v>
                </c:pt>
                <c:pt idx="374">
                  <c:v>0.61765416434642773</c:v>
                </c:pt>
                <c:pt idx="375">
                  <c:v>0.62057163399936366</c:v>
                </c:pt>
                <c:pt idx="376">
                  <c:v>0.62349269079300651</c:v>
                </c:pt>
                <c:pt idx="377">
                  <c:v>0.62641730392350692</c:v>
                </c:pt>
                <c:pt idx="378">
                  <c:v>0.62934544255476255</c:v>
                </c:pt>
                <c:pt idx="379">
                  <c:v>0.63227707581865888</c:v>
                </c:pt>
                <c:pt idx="380">
                  <c:v>0.63521217281531117</c:v>
                </c:pt>
                <c:pt idx="381">
                  <c:v>0.63815070261330198</c:v>
                </c:pt>
                <c:pt idx="382">
                  <c:v>0.64109263424991536</c:v>
                </c:pt>
                <c:pt idx="383">
                  <c:v>0.64403793673136833</c:v>
                </c:pt>
                <c:pt idx="384">
                  <c:v>0.64698657903304035</c:v>
                </c:pt>
                <c:pt idx="385">
                  <c:v>0.64993853009969882</c:v>
                </c:pt>
                <c:pt idx="386">
                  <c:v>0.65289375884572221</c:v>
                </c:pt>
                <c:pt idx="387">
                  <c:v>0.65585223415532101</c:v>
                </c:pt>
                <c:pt idx="388">
                  <c:v>0.65881392488275492</c:v>
                </c:pt>
                <c:pt idx="389">
                  <c:v>0.66177879985254773</c:v>
                </c:pt>
                <c:pt idx="390">
                  <c:v>0.66474682785969919</c:v>
                </c:pt>
                <c:pt idx="391">
                  <c:v>0.66771797766989593</c:v>
                </c:pt>
                <c:pt idx="392">
                  <c:v>0.67069221801971624</c:v>
                </c:pt>
                <c:pt idx="393">
                  <c:v>0.67366951761683613</c:v>
                </c:pt>
                <c:pt idx="394">
                  <c:v>0.67664984514022986</c:v>
                </c:pt>
                <c:pt idx="395">
                  <c:v>0.67963316924037054</c:v>
                </c:pt>
                <c:pt idx="396">
                  <c:v>0.68261945853942474</c:v>
                </c:pt>
                <c:pt idx="397">
                  <c:v>0.68560868163144817</c:v>
                </c:pt>
                <c:pt idx="398">
                  <c:v>0.68860080708257754</c:v>
                </c:pt>
                <c:pt idx="399">
                  <c:v>0.69159580343121918</c:v>
                </c:pt>
                <c:pt idx="400">
                  <c:v>0.69459363918823691</c:v>
                </c:pt>
                <c:pt idx="401">
                  <c:v>0.69759428283713576</c:v>
                </c:pt>
                <c:pt idx="402">
                  <c:v>0.70059770283424583</c:v>
                </c:pt>
                <c:pt idx="403">
                  <c:v>0.7036038676089017</c:v>
                </c:pt>
                <c:pt idx="404">
                  <c:v>0.70661274556362141</c:v>
                </c:pt>
                <c:pt idx="405">
                  <c:v>0.70962430507428109</c:v>
                </c:pt>
                <c:pt idx="406">
                  <c:v>0.71263851449029103</c:v>
                </c:pt>
                <c:pt idx="407">
                  <c:v>0.71565534213476589</c:v>
                </c:pt>
                <c:pt idx="408">
                  <c:v>0.71867475630469513</c:v>
                </c:pt>
                <c:pt idx="409">
                  <c:v>0.72169672527111228</c:v>
                </c:pt>
                <c:pt idx="410">
                  <c:v>0.72472121727925964</c:v>
                </c:pt>
                <c:pt idx="411">
                  <c:v>0.72774820054875378</c:v>
                </c:pt>
                <c:pt idx="412">
                  <c:v>0.73077764327374717</c:v>
                </c:pt>
                <c:pt idx="413">
                  <c:v>0.73380951362309121</c:v>
                </c:pt>
                <c:pt idx="414">
                  <c:v>0.73684377974049275</c:v>
                </c:pt>
                <c:pt idx="415">
                  <c:v>0.73988040974467495</c:v>
                </c:pt>
                <c:pt idx="416">
                  <c:v>0.7429193717295306</c:v>
                </c:pt>
                <c:pt idx="417">
                  <c:v>0.74596063376427879</c:v>
                </c:pt>
                <c:pt idx="418">
                  <c:v>0.74900416389361812</c:v>
                </c:pt>
                <c:pt idx="419">
                  <c:v>0.75204993013787791</c:v>
                </c:pt>
                <c:pt idx="420">
                  <c:v>0.75509790049317016</c:v>
                </c:pt>
                <c:pt idx="421">
                  <c:v>0.75814804293153681</c:v>
                </c:pt>
                <c:pt idx="422">
                  <c:v>0.7612003254011015</c:v>
                </c:pt>
                <c:pt idx="423">
                  <c:v>0.76425471582621329</c:v>
                </c:pt>
                <c:pt idx="424">
                  <c:v>0.76731118210759608</c:v>
                </c:pt>
                <c:pt idx="425">
                  <c:v>0.77036969212249107</c:v>
                </c:pt>
                <c:pt idx="426">
                  <c:v>0.77343021372480358</c:v>
                </c:pt>
                <c:pt idx="427">
                  <c:v>0.77649271474524473</c:v>
                </c:pt>
                <c:pt idx="428">
                  <c:v>0.77955716299147471</c:v>
                </c:pt>
                <c:pt idx="429">
                  <c:v>0.78262352624824594</c:v>
                </c:pt>
                <c:pt idx="430">
                  <c:v>0.78569177227754283</c:v>
                </c:pt>
                <c:pt idx="431">
                  <c:v>0.78876186881872468</c:v>
                </c:pt>
                <c:pt idx="432">
                  <c:v>0.79183378358866319</c:v>
                </c:pt>
                <c:pt idx="433">
                  <c:v>0.79490748428188596</c:v>
                </c:pt>
                <c:pt idx="434">
                  <c:v>0.79798293857071312</c:v>
                </c:pt>
                <c:pt idx="435">
                  <c:v>0.80106011410539901</c:v>
                </c:pt>
                <c:pt idx="436">
                  <c:v>0.80413897851426941</c:v>
                </c:pt>
                <c:pt idx="437">
                  <c:v>0.80721949940386273</c:v>
                </c:pt>
                <c:pt idx="438">
                  <c:v>0.81030164435906671</c:v>
                </c:pt>
                <c:pt idx="439">
                  <c:v>0.81338538094325885</c:v>
                </c:pt>
                <c:pt idx="440">
                  <c:v>0.81647067669844631</c:v>
                </c:pt>
                <c:pt idx="441">
                  <c:v>0.8195574991454031</c:v>
                </c:pt>
                <c:pt idx="442">
                  <c:v>0.82264581578381135</c:v>
                </c:pt>
                <c:pt idx="443">
                  <c:v>0.8257355940924006</c:v>
                </c:pt>
                <c:pt idx="444">
                  <c:v>0.82882680152908861</c:v>
                </c:pt>
                <c:pt idx="445">
                  <c:v>0.83191940553112065</c:v>
                </c:pt>
                <c:pt idx="446">
                  <c:v>0.83501337351521365</c:v>
                </c:pt>
                <c:pt idx="447">
                  <c:v>0.83810867287769497</c:v>
                </c:pt>
                <c:pt idx="448">
                  <c:v>0.84120527099464759</c:v>
                </c:pt>
                <c:pt idx="449">
                  <c:v>0.8443031352220528</c:v>
                </c:pt>
                <c:pt idx="450">
                  <c:v>0.84740223289593375</c:v>
                </c:pt>
                <c:pt idx="451">
                  <c:v>0.85050253133250253</c:v>
                </c:pt>
                <c:pt idx="452">
                  <c:v>0.85360399782830509</c:v>
                </c:pt>
                <c:pt idx="453">
                  <c:v>0.85670659966036944</c:v>
                </c:pt>
                <c:pt idx="454">
                  <c:v>0.85981030408635406</c:v>
                </c:pt>
                <c:pt idx="455">
                  <c:v>0.86291507834469872</c:v>
                </c:pt>
                <c:pt idx="456">
                  <c:v>0.8660208896547742</c:v>
                </c:pt>
                <c:pt idx="457">
                  <c:v>0.86912770521703697</c:v>
                </c:pt>
                <c:pt idx="458">
                  <c:v>0.87223549221318175</c:v>
                </c:pt>
                <c:pt idx="459">
                  <c:v>0.87534421780629901</c:v>
                </c:pt>
                <c:pt idx="460">
                  <c:v>0.8784538491410312</c:v>
                </c:pt>
                <c:pt idx="461">
                  <c:v>0.88156435334373273</c:v>
                </c:pt>
                <c:pt idx="462">
                  <c:v>0.88467569752263198</c:v>
                </c:pt>
                <c:pt idx="463">
                  <c:v>0.88778784876799177</c:v>
                </c:pt>
                <c:pt idx="464">
                  <c:v>0.89090077415227831</c:v>
                </c:pt>
                <c:pt idx="465">
                  <c:v>0.89401444073032488</c:v>
                </c:pt>
                <c:pt idx="466">
                  <c:v>0.89712881553950374</c:v>
                </c:pt>
                <c:pt idx="467">
                  <c:v>0.90024386559989589</c:v>
                </c:pt>
                <c:pt idx="468">
                  <c:v>0.90335955791446665</c:v>
                </c:pt>
                <c:pt idx="469">
                  <c:v>0.90647585946924059</c:v>
                </c:pt>
                <c:pt idx="470">
                  <c:v>0.90959273723348155</c:v>
                </c:pt>
                <c:pt idx="471">
                  <c:v>0.91271015815987333</c:v>
                </c:pt>
                <c:pt idx="472">
                  <c:v>0.91582808918470393</c:v>
                </c:pt>
                <c:pt idx="473">
                  <c:v>0.91894649722805255</c:v>
                </c:pt>
                <c:pt idx="474">
                  <c:v>0.92206534919397909</c:v>
                </c:pt>
                <c:pt idx="475">
                  <c:v>0.925184611970717</c:v>
                </c:pt>
                <c:pt idx="476">
                  <c:v>0.92830425243086778</c:v>
                </c:pt>
                <c:pt idx="477">
                  <c:v>0.93142423743160097</c:v>
                </c:pt>
                <c:pt idx="478">
                  <c:v>0.93454453381485425</c:v>
                </c:pt>
                <c:pt idx="479">
                  <c:v>0.93766510840753958</c:v>
                </c:pt>
                <c:pt idx="480">
                  <c:v>0.94078592802175043</c:v>
                </c:pt>
                <c:pt idx="481">
                  <c:v>0.94390695945497416</c:v>
                </c:pt>
                <c:pt idx="482">
                  <c:v>0.94702816949030588</c:v>
                </c:pt>
                <c:pt idx="483">
                  <c:v>0.95014952489666782</c:v>
                </c:pt>
                <c:pt idx="484">
                  <c:v>0.95327099242903046</c:v>
                </c:pt>
                <c:pt idx="485">
                  <c:v>0.95639253882863906</c:v>
                </c:pt>
                <c:pt idx="486">
                  <c:v>0.95951413082324322</c:v>
                </c:pt>
                <c:pt idx="487">
                  <c:v>0.96263573512732881</c:v>
                </c:pt>
                <c:pt idx="488">
                  <c:v>0.96575731844235668</c:v>
                </c:pt>
                <c:pt idx="489">
                  <c:v>0.96887884745700215</c:v>
                </c:pt>
                <c:pt idx="490">
                  <c:v>0.97200028884740164</c:v>
                </c:pt>
                <c:pt idx="491">
                  <c:v>0.97512160927740088</c:v>
                </c:pt>
                <c:pt idx="492">
                  <c:v>0.97824277539880811</c:v>
                </c:pt>
                <c:pt idx="493">
                  <c:v>0.9813637538516532</c:v>
                </c:pt>
                <c:pt idx="494">
                  <c:v>0.98448451126444692</c:v>
                </c:pt>
                <c:pt idx="495">
                  <c:v>0.98760501425445035</c:v>
                </c:pt>
                <c:pt idx="496">
                  <c:v>0.99072522942794283</c:v>
                </c:pt>
                <c:pt idx="497">
                  <c:v>0.99384512338049946</c:v>
                </c:pt>
                <c:pt idx="498">
                  <c:v>0.99696466269726902</c:v>
                </c:pt>
                <c:pt idx="499">
                  <c:v>1.0000838139532597</c:v>
                </c:pt>
                <c:pt idx="500">
                  <c:v>1</c:v>
                </c:pt>
              </c:numCache>
            </c:numRef>
          </c:xVal>
          <c:yVal>
            <c:numRef>
              <c:f>Data1!$H$1:$H$501</c:f>
              <c:numCache>
                <c:formatCode>0.000000</c:formatCode>
                <c:ptCount val="501"/>
                <c:pt idx="0">
                  <c:v>0</c:v>
                </c:pt>
                <c:pt idx="1">
                  <c:v>3.9467539639484765E-4</c:v>
                </c:pt>
                <c:pt idx="2">
                  <c:v>7.8959549085920054E-4</c:v>
                </c:pt>
                <c:pt idx="3">
                  <c:v>1.1847592949887741E-3</c:v>
                </c:pt>
                <c:pt idx="4">
                  <c:v>1.580165619516067E-3</c:v>
                </c:pt>
                <c:pt idx="5">
                  <c:v>1.9758130743176383E-3</c:v>
                </c:pt>
                <c:pt idx="6">
                  <c:v>2.3717000684690724E-3</c:v>
                </c:pt>
                <c:pt idx="7">
                  <c:v>2.7678248103123718E-3</c:v>
                </c:pt>
                <c:pt idx="8">
                  <c:v>3.1641853075501459E-3</c:v>
                </c:pt>
                <c:pt idx="9">
                  <c:v>3.5607793673657312E-3</c:v>
                </c:pt>
                <c:pt idx="10">
                  <c:v>3.9576045965663657E-3</c:v>
                </c:pt>
                <c:pt idx="11">
                  <c:v>4.3546584017518774E-3</c:v>
                </c:pt>
                <c:pt idx="12">
                  <c:v>4.7519379895063236E-3</c:v>
                </c:pt>
                <c:pt idx="13">
                  <c:v>5.1494403666143334E-3</c:v>
                </c:pt>
                <c:pt idx="14">
                  <c:v>5.547162340302848E-3</c:v>
                </c:pt>
                <c:pt idx="15">
                  <c:v>5.9451005185062371E-3</c:v>
                </c:pt>
                <c:pt idx="16">
                  <c:v>6.3432513101540034E-3</c:v>
                </c:pt>
                <c:pt idx="17">
                  <c:v>6.7416109254866382E-3</c:v>
                </c:pt>
                <c:pt idx="18">
                  <c:v>7.1401753763908849E-3</c:v>
                </c:pt>
                <c:pt idx="19">
                  <c:v>7.5389404767633198E-3</c:v>
                </c:pt>
                <c:pt idx="20">
                  <c:v>7.9379018428940122E-3</c:v>
                </c:pt>
                <c:pt idx="21">
                  <c:v>8.3370548938772639E-3</c:v>
                </c:pt>
                <c:pt idx="22">
                  <c:v>8.7363948520444556E-3</c:v>
                </c:pt>
                <c:pt idx="23">
                  <c:v>9.1359167434214694E-3</c:v>
                </c:pt>
                <c:pt idx="24">
                  <c:v>9.5356153982088365E-3</c:v>
                </c:pt>
                <c:pt idx="25">
                  <c:v>9.9354854512871751E-3</c:v>
                </c:pt>
                <c:pt idx="26">
                  <c:v>1.0335521342743941E-2</c:v>
                </c:pt>
                <c:pt idx="27">
                  <c:v>1.0735717318426305E-2</c:v>
                </c:pt>
                <c:pt idx="28">
                  <c:v>1.113606743051509E-2</c:v>
                </c:pt>
                <c:pt idx="29">
                  <c:v>1.1536565538123182E-2</c:v>
                </c:pt>
                <c:pt idx="30">
                  <c:v>1.1937205307917607E-2</c:v>
                </c:pt>
                <c:pt idx="31">
                  <c:v>1.23379802147626E-2</c:v>
                </c:pt>
                <c:pt idx="32">
                  <c:v>1.2738883542388665E-2</c:v>
                </c:pt>
                <c:pt idx="33">
                  <c:v>1.3139908384082414E-2</c:v>
                </c:pt>
                <c:pt idx="34">
                  <c:v>1.3541047643399655E-2</c:v>
                </c:pt>
                <c:pt idx="35">
                  <c:v>1.3942294034901419E-2</c:v>
                </c:pt>
                <c:pt idx="36">
                  <c:v>1.4343640084912962E-2</c:v>
                </c:pt>
                <c:pt idx="37">
                  <c:v>1.4745078132304367E-2</c:v>
                </c:pt>
                <c:pt idx="38">
                  <c:v>1.5146600329293916E-2</c:v>
                </c:pt>
                <c:pt idx="39">
                  <c:v>1.5548198642273903E-2</c:v>
                </c:pt>
                <c:pt idx="40">
                  <c:v>1.5949864852658202E-2</c:v>
                </c:pt>
                <c:pt idx="41">
                  <c:v>1.635159055775216E-2</c:v>
                </c:pt>
                <c:pt idx="42">
                  <c:v>1.6753367171643791E-2</c:v>
                </c:pt>
                <c:pt idx="43">
                  <c:v>1.7155185926117037E-2</c:v>
                </c:pt>
                <c:pt idx="44">
                  <c:v>1.7557037871586786E-2</c:v>
                </c:pt>
                <c:pt idx="45">
                  <c:v>1.7958913878054952E-2</c:v>
                </c:pt>
                <c:pt idx="46">
                  <c:v>1.8360804636087979E-2</c:v>
                </c:pt>
                <c:pt idx="47">
                  <c:v>1.8762700657815129E-2</c:v>
                </c:pt>
                <c:pt idx="48">
                  <c:v>1.9164592277948686E-2</c:v>
                </c:pt>
                <c:pt idx="49">
                  <c:v>1.9566469654823643E-2</c:v>
                </c:pt>
                <c:pt idx="50">
                  <c:v>1.9968322771459254E-2</c:v>
                </c:pt>
                <c:pt idx="51">
                  <c:v>2.0370141436640295E-2</c:v>
                </c:pt>
                <c:pt idx="52">
                  <c:v>2.0771915286019193E-2</c:v>
                </c:pt>
                <c:pt idx="53">
                  <c:v>2.1173633783237968E-2</c:v>
                </c:pt>
                <c:pt idx="54">
                  <c:v>2.157528622106995E-2</c:v>
                </c:pt>
                <c:pt idx="55">
                  <c:v>2.1976861722582289E-2</c:v>
                </c:pt>
                <c:pt idx="56">
                  <c:v>2.2378349242316822E-2</c:v>
                </c:pt>
                <c:pt idx="57">
                  <c:v>2.2779737567491538E-2</c:v>
                </c:pt>
                <c:pt idx="58">
                  <c:v>2.3181015319220497E-2</c:v>
                </c:pt>
                <c:pt idx="59">
                  <c:v>2.3582170953753291E-2</c:v>
                </c:pt>
                <c:pt idx="60">
                  <c:v>2.3983192763733469E-2</c:v>
                </c:pt>
                <c:pt idx="61">
                  <c:v>2.4384068879475234E-2</c:v>
                </c:pt>
                <c:pt idx="62">
                  <c:v>2.4784787270259189E-2</c:v>
                </c:pt>
                <c:pt idx="63">
                  <c:v>2.5185335745646131E-2</c:v>
                </c:pt>
                <c:pt idx="64">
                  <c:v>2.5585701956808735E-2</c:v>
                </c:pt>
                <c:pt idx="65">
                  <c:v>2.5985873397882019E-2</c:v>
                </c:pt>
                <c:pt idx="66">
                  <c:v>2.6385837407330387E-2</c:v>
                </c:pt>
                <c:pt idx="67">
                  <c:v>2.6785581169333061E-2</c:v>
                </c:pt>
                <c:pt idx="68">
                  <c:v>2.7185091715186533E-2</c:v>
                </c:pt>
                <c:pt idx="69">
                  <c:v>2.7584355924723882E-2</c:v>
                </c:pt>
                <c:pt idx="70">
                  <c:v>2.7983360527751591E-2</c:v>
                </c:pt>
                <c:pt idx="71">
                  <c:v>2.8382092105502032E-2</c:v>
                </c:pt>
                <c:pt idx="72">
                  <c:v>2.8780537092103591E-2</c:v>
                </c:pt>
                <c:pt idx="73">
                  <c:v>2.9178681776065876E-2</c:v>
                </c:pt>
                <c:pt idx="74">
                  <c:v>2.9576512301781908E-2</c:v>
                </c:pt>
                <c:pt idx="75">
                  <c:v>2.9974014671045289E-2</c:v>
                </c:pt>
                <c:pt idx="76">
                  <c:v>3.0371174744583139E-2</c:v>
                </c:pt>
                <c:pt idx="77">
                  <c:v>3.0767978243604988E-2</c:v>
                </c:pt>
                <c:pt idx="78">
                  <c:v>3.1164410751365425E-2</c:v>
                </c:pt>
                <c:pt idx="79">
                  <c:v>3.1560457714742973E-2</c:v>
                </c:pt>
                <c:pt idx="80">
                  <c:v>3.1956104445832481E-2</c:v>
                </c:pt>
                <c:pt idx="81">
                  <c:v>3.2351336123552552E-2</c:v>
                </c:pt>
                <c:pt idx="82">
                  <c:v>3.2746137795266778E-2</c:v>
                </c:pt>
                <c:pt idx="83">
                  <c:v>3.3140494378418837E-2</c:v>
                </c:pt>
                <c:pt idx="84">
                  <c:v>3.3534390662181342E-2</c:v>
                </c:pt>
                <c:pt idx="85">
                  <c:v>3.3927811309117879E-2</c:v>
                </c:pt>
                <c:pt idx="86">
                  <c:v>3.4320740856858503E-2</c:v>
                </c:pt>
                <c:pt idx="87">
                  <c:v>3.4713163719787533E-2</c:v>
                </c:pt>
                <c:pt idx="88">
                  <c:v>3.5105064190744578E-2</c:v>
                </c:pt>
                <c:pt idx="89">
                  <c:v>3.5496426442737525E-2</c:v>
                </c:pt>
                <c:pt idx="90">
                  <c:v>3.588723453066759E-2</c:v>
                </c:pt>
                <c:pt idx="91">
                  <c:v>3.6277472393066501E-2</c:v>
                </c:pt>
                <c:pt idx="92">
                  <c:v>3.6667123853845116E-2</c:v>
                </c:pt>
                <c:pt idx="93">
                  <c:v>3.7056172624053092E-2</c:v>
                </c:pt>
                <c:pt idx="94">
                  <c:v>3.7444602303649981E-2</c:v>
                </c:pt>
                <c:pt idx="95">
                  <c:v>3.7832396383286969E-2</c:v>
                </c:pt>
                <c:pt idx="96">
                  <c:v>3.8219538246098937E-2</c:v>
                </c:pt>
                <c:pt idx="97">
                  <c:v>3.8606011169506863E-2</c:v>
                </c:pt>
                <c:pt idx="98">
                  <c:v>3.8991798327030508E-2</c:v>
                </c:pt>
                <c:pt idx="99">
                  <c:v>3.9376882790110236E-2</c:v>
                </c:pt>
                <c:pt idx="100">
                  <c:v>3.9761247529938495E-2</c:v>
                </c:pt>
                <c:pt idx="101">
                  <c:v>4.0144875419300598E-2</c:v>
                </c:pt>
                <c:pt idx="102">
                  <c:v>4.0527749234424107E-2</c:v>
                </c:pt>
                <c:pt idx="103">
                  <c:v>4.0909851656836999E-2</c:v>
                </c:pt>
                <c:pt idx="104">
                  <c:v>4.1291165275233882E-2</c:v>
                </c:pt>
                <c:pt idx="105">
                  <c:v>4.1671672587350425E-2</c:v>
                </c:pt>
                <c:pt idx="106">
                  <c:v>4.2051356001845543E-2</c:v>
                </c:pt>
                <c:pt idx="107">
                  <c:v>4.2430197840190774E-2</c:v>
                </c:pt>
                <c:pt idx="108">
                  <c:v>4.2808180338567314E-2</c:v>
                </c:pt>
                <c:pt idx="109">
                  <c:v>4.3185285649769194E-2</c:v>
                </c:pt>
                <c:pt idx="110">
                  <c:v>4.3561495845113887E-2</c:v>
                </c:pt>
                <c:pt idx="111">
                  <c:v>4.3936792916358373E-2</c:v>
                </c:pt>
                <c:pt idx="112">
                  <c:v>4.4311158777622095E-2</c:v>
                </c:pt>
                <c:pt idx="113">
                  <c:v>4.4684575267314848E-2</c:v>
                </c:pt>
                <c:pt idx="114">
                  <c:v>4.5057024150070513E-2</c:v>
                </c:pt>
                <c:pt idx="115">
                  <c:v>4.5428487118685981E-2</c:v>
                </c:pt>
                <c:pt idx="116">
                  <c:v>4.5798945796064645E-2</c:v>
                </c:pt>
                <c:pt idx="117">
                  <c:v>4.6168381737164747E-2</c:v>
                </c:pt>
                <c:pt idx="118">
                  <c:v>4.6536776430951644E-2</c:v>
                </c:pt>
                <c:pt idx="119">
                  <c:v>4.6904111302354487E-2</c:v>
                </c:pt>
                <c:pt idx="120">
                  <c:v>4.7270367714226227E-2</c:v>
                </c:pt>
                <c:pt idx="121">
                  <c:v>4.7635526969307021E-2</c:v>
                </c:pt>
                <c:pt idx="122">
                  <c:v>4.7999570312190896E-2</c:v>
                </c:pt>
                <c:pt idx="123">
                  <c:v>4.8362478931295104E-2</c:v>
                </c:pt>
                <c:pt idx="124">
                  <c:v>4.8724233960831982E-2</c:v>
                </c:pt>
                <c:pt idx="125">
                  <c:v>4.9084816482782956E-2</c:v>
                </c:pt>
                <c:pt idx="126">
                  <c:v>4.9444207528874476E-2</c:v>
                </c:pt>
                <c:pt idx="127">
                  <c:v>4.9802388082555632E-2</c:v>
                </c:pt>
                <c:pt idx="128">
                  <c:v>5.0159339080976882E-2</c:v>
                </c:pt>
                <c:pt idx="129">
                  <c:v>5.0515041416970052E-2</c:v>
                </c:pt>
                <c:pt idx="130">
                  <c:v>5.0869475941028773E-2</c:v>
                </c:pt>
                <c:pt idx="131">
                  <c:v>5.1222623463289492E-2</c:v>
                </c:pt>
                <c:pt idx="132">
                  <c:v>5.1574464755512528E-2</c:v>
                </c:pt>
                <c:pt idx="133">
                  <c:v>5.1924980553063035E-2</c:v>
                </c:pt>
                <c:pt idx="134">
                  <c:v>5.2274151556891336E-2</c:v>
                </c:pt>
                <c:pt idx="135">
                  <c:v>5.262195843551265E-2</c:v>
                </c:pt>
                <c:pt idx="136">
                  <c:v>5.2968381826985558E-2</c:v>
                </c:pt>
                <c:pt idx="137">
                  <c:v>5.3313402340889215E-2</c:v>
                </c:pt>
                <c:pt idx="138">
                  <c:v>5.3657000560298963E-2</c:v>
                </c:pt>
                <c:pt idx="139">
                  <c:v>5.3999157043759696E-2</c:v>
                </c:pt>
                <c:pt idx="140">
                  <c:v>5.4339852327257417E-2</c:v>
                </c:pt>
                <c:pt idx="141">
                  <c:v>5.4679066926187729E-2</c:v>
                </c:pt>
                <c:pt idx="142">
                  <c:v>5.5016781337321866E-2</c:v>
                </c:pt>
                <c:pt idx="143">
                  <c:v>5.535297604076931E-2</c:v>
                </c:pt>
                <c:pt idx="144">
                  <c:v>5.5687631501937292E-2</c:v>
                </c:pt>
                <c:pt idx="145">
                  <c:v>5.602072817348628E-2</c:v>
                </c:pt>
                <c:pt idx="146">
                  <c:v>5.6352246497281384E-2</c:v>
                </c:pt>
                <c:pt idx="147">
                  <c:v>5.6682166906339884E-2</c:v>
                </c:pt>
                <c:pt idx="148">
                  <c:v>5.7010469826773595E-2</c:v>
                </c:pt>
                <c:pt idx="149">
                  <c:v>5.7337135679726807E-2</c:v>
                </c:pt>
                <c:pt idx="150">
                  <c:v>5.7662144883308758E-2</c:v>
                </c:pt>
                <c:pt idx="151">
                  <c:v>5.7985477854520726E-2</c:v>
                </c:pt>
                <c:pt idx="152">
                  <c:v>5.8307115011177385E-2</c:v>
                </c:pt>
                <c:pt idx="153">
                  <c:v>5.8627036773822083E-2</c:v>
                </c:pt>
                <c:pt idx="154">
                  <c:v>5.8945223567635846E-2</c:v>
                </c:pt>
                <c:pt idx="155">
                  <c:v>5.9261655824339676E-2</c:v>
                </c:pt>
                <c:pt idx="156">
                  <c:v>5.9576313984090051E-2</c:v>
                </c:pt>
                <c:pt idx="157">
                  <c:v>5.9889178497367211E-2</c:v>
                </c:pt>
                <c:pt idx="158">
                  <c:v>6.0200229826855911E-2</c:v>
                </c:pt>
                <c:pt idx="159">
                  <c:v>6.0509448449318673E-2</c:v>
                </c:pt>
                <c:pt idx="160">
                  <c:v>6.0816814857460724E-2</c:v>
                </c:pt>
                <c:pt idx="161">
                  <c:v>6.1122309561786936E-2</c:v>
                </c:pt>
                <c:pt idx="162">
                  <c:v>6.142591309244997E-2</c:v>
                </c:pt>
                <c:pt idx="163">
                  <c:v>6.1727606001089633E-2</c:v>
                </c:pt>
                <c:pt idx="164">
                  <c:v>6.2027368862663433E-2</c:v>
                </c:pt>
                <c:pt idx="165">
                  <c:v>6.232518227726723E-2</c:v>
                </c:pt>
                <c:pt idx="166">
                  <c:v>6.2621026871946733E-2</c:v>
                </c:pt>
                <c:pt idx="167">
                  <c:v>6.2914883302498739E-2</c:v>
                </c:pt>
                <c:pt idx="168">
                  <c:v>6.3206732255262507E-2</c:v>
                </c:pt>
                <c:pt idx="169">
                  <c:v>6.3496554448900455E-2</c:v>
                </c:pt>
                <c:pt idx="170">
                  <c:v>6.3784330636168118E-2</c:v>
                </c:pt>
                <c:pt idx="171">
                  <c:v>6.4070041605673561E-2</c:v>
                </c:pt>
                <c:pt idx="172">
                  <c:v>6.4353668183625146E-2</c:v>
                </c:pt>
                <c:pt idx="173">
                  <c:v>6.4635191235567949E-2</c:v>
                </c:pt>
                <c:pt idx="174">
                  <c:v>6.4914591668108562E-2</c:v>
                </c:pt>
                <c:pt idx="175">
                  <c:v>6.5191850430627932E-2</c:v>
                </c:pt>
                <c:pt idx="176">
                  <c:v>6.546694851698176E-2</c:v>
                </c:pt>
                <c:pt idx="177">
                  <c:v>6.5739866967188768E-2</c:v>
                </c:pt>
                <c:pt idx="178">
                  <c:v>6.6010586869105908E-2</c:v>
                </c:pt>
                <c:pt idx="179">
                  <c:v>6.6279089360090984E-2</c:v>
                </c:pt>
                <c:pt idx="180">
                  <c:v>6.6545355628651673E-2</c:v>
                </c:pt>
                <c:pt idx="181">
                  <c:v>6.6809366916081567E-2</c:v>
                </c:pt>
                <c:pt idx="182">
                  <c:v>6.7071104518082195E-2</c:v>
                </c:pt>
                <c:pt idx="183">
                  <c:v>6.7330549786371319E-2</c:v>
                </c:pt>
                <c:pt idx="184">
                  <c:v>6.7587684130276993E-2</c:v>
                </c:pt>
                <c:pt idx="185">
                  <c:v>6.7842489018317534E-2</c:v>
                </c:pt>
                <c:pt idx="186">
                  <c:v>6.809494597976648E-2</c:v>
                </c:pt>
                <c:pt idx="187">
                  <c:v>6.8345036606203183E-2</c:v>
                </c:pt>
                <c:pt idx="188">
                  <c:v>6.8592742553048133E-2</c:v>
                </c:pt>
                <c:pt idx="189">
                  <c:v>6.8838045541083054E-2</c:v>
                </c:pt>
                <c:pt idx="190">
                  <c:v>6.9080927357955679E-2</c:v>
                </c:pt>
                <c:pt idx="191">
                  <c:v>6.9321369859668802E-2</c:v>
                </c:pt>
                <c:pt idx="192">
                  <c:v>6.9559354972053219E-2</c:v>
                </c:pt>
                <c:pt idx="193">
                  <c:v>6.979486469222515E-2</c:v>
                </c:pt>
                <c:pt idx="194">
                  <c:v>7.0027881090026806E-2</c:v>
                </c:pt>
                <c:pt idx="195">
                  <c:v>7.0258386309450749E-2</c:v>
                </c:pt>
                <c:pt idx="196">
                  <c:v>7.0486362570047548E-2</c:v>
                </c:pt>
                <c:pt idx="197">
                  <c:v>7.0711792168316689E-2</c:v>
                </c:pt>
                <c:pt idx="198">
                  <c:v>7.0934657479079954E-2</c:v>
                </c:pt>
                <c:pt idx="199">
                  <c:v>7.1154940956838192E-2</c:v>
                </c:pt>
                <c:pt idx="200">
                  <c:v>7.1372625137110235E-2</c:v>
                </c:pt>
                <c:pt idx="201">
                  <c:v>7.1587692637754177E-2</c:v>
                </c:pt>
                <c:pt idx="202">
                  <c:v>7.1800126160271149E-2</c:v>
                </c:pt>
                <c:pt idx="203">
                  <c:v>7.2009908491090874E-2</c:v>
                </c:pt>
                <c:pt idx="204">
                  <c:v>7.2217022502839082E-2</c:v>
                </c:pt>
                <c:pt idx="205">
                  <c:v>7.2421451155586875E-2</c:v>
                </c:pt>
                <c:pt idx="206">
                  <c:v>7.2623177498081032E-2</c:v>
                </c:pt>
                <c:pt idx="207">
                  <c:v>7.2822184668956597E-2</c:v>
                </c:pt>
                <c:pt idx="208">
                  <c:v>7.3018455897929643E-2</c:v>
                </c:pt>
                <c:pt idx="209">
                  <c:v>7.3211974506971728E-2</c:v>
                </c:pt>
                <c:pt idx="210">
                  <c:v>7.3402723911465198E-2</c:v>
                </c:pt>
                <c:pt idx="211">
                  <c:v>7.3590687621338913E-2</c:v>
                </c:pt>
                <c:pt idx="212">
                  <c:v>7.3775849242184832E-2</c:v>
                </c:pt>
                <c:pt idx="213">
                  <c:v>7.3958192476355031E-2</c:v>
                </c:pt>
                <c:pt idx="214">
                  <c:v>7.4137701124038988E-2</c:v>
                </c:pt>
                <c:pt idx="215">
                  <c:v>7.4314359084320936E-2</c:v>
                </c:pt>
                <c:pt idx="216">
                  <c:v>7.4488150356217558E-2</c:v>
                </c:pt>
                <c:pt idx="217">
                  <c:v>7.4659059039695275E-2</c:v>
                </c:pt>
                <c:pt idx="218">
                  <c:v>7.4827069336667634E-2</c:v>
                </c:pt>
                <c:pt idx="219">
                  <c:v>7.4992165551972231E-2</c:v>
                </c:pt>
                <c:pt idx="220">
                  <c:v>7.5154332094327037E-2</c:v>
                </c:pt>
                <c:pt idx="221">
                  <c:v>7.531355347726662E-2</c:v>
                </c:pt>
                <c:pt idx="222">
                  <c:v>7.5469814320057185E-2</c:v>
                </c:pt>
                <c:pt idx="223">
                  <c:v>7.5623099348591391E-2</c:v>
                </c:pt>
                <c:pt idx="224">
                  <c:v>7.5773393396261698E-2</c:v>
                </c:pt>
                <c:pt idx="225">
                  <c:v>7.5920681404813395E-2</c:v>
                </c:pt>
                <c:pt idx="226">
                  <c:v>7.606494842517611E-2</c:v>
                </c:pt>
                <c:pt idx="227">
                  <c:v>7.6206179618274375E-2</c:v>
                </c:pt>
                <c:pt idx="228">
                  <c:v>7.6344360255816965E-2</c:v>
                </c:pt>
                <c:pt idx="229">
                  <c:v>7.6479475721064838E-2</c:v>
                </c:pt>
                <c:pt idx="230">
                  <c:v>7.6611511509577845E-2</c:v>
                </c:pt>
                <c:pt idx="231">
                  <c:v>7.6740453229939831E-2</c:v>
                </c:pt>
                <c:pt idx="232">
                  <c:v>7.6866286604462236E-2</c:v>
                </c:pt>
                <c:pt idx="233">
                  <c:v>7.6988997469866247E-2</c:v>
                </c:pt>
                <c:pt idx="234">
                  <c:v>7.7108571777943127E-2</c:v>
                </c:pt>
                <c:pt idx="235">
                  <c:v>7.7224995596192864E-2</c:v>
                </c:pt>
                <c:pt idx="236">
                  <c:v>7.7338255108441223E-2</c:v>
                </c:pt>
                <c:pt idx="237">
                  <c:v>7.7448336615434654E-2</c:v>
                </c:pt>
                <c:pt idx="238">
                  <c:v>7.7555226535413718E-2</c:v>
                </c:pt>
                <c:pt idx="239">
                  <c:v>7.7658911404664382E-2</c:v>
                </c:pt>
                <c:pt idx="240">
                  <c:v>7.7759377878047375E-2</c:v>
                </c:pt>
                <c:pt idx="241">
                  <c:v>7.7856612729505711E-2</c:v>
                </c:pt>
                <c:pt idx="242">
                  <c:v>7.7950602852550205E-2</c:v>
                </c:pt>
                <c:pt idx="243">
                  <c:v>7.8041335260722683E-2</c:v>
                </c:pt>
                <c:pt idx="244">
                  <c:v>7.8128797088037646E-2</c:v>
                </c:pt>
                <c:pt idx="245">
                  <c:v>7.8212975589401365E-2</c:v>
                </c:pt>
                <c:pt idx="246">
                  <c:v>7.8293858141009295E-2</c:v>
                </c:pt>
                <c:pt idx="247">
                  <c:v>7.8371432240721267E-2</c:v>
                </c:pt>
                <c:pt idx="248">
                  <c:v>7.8445685508414548E-2</c:v>
                </c:pt>
                <c:pt idx="249">
                  <c:v>7.8516605686314883E-2</c:v>
                </c:pt>
                <c:pt idx="250">
                  <c:v>7.8584180639305445E-2</c:v>
                </c:pt>
                <c:pt idx="251">
                  <c:v>7.8648398355213783E-2</c:v>
                </c:pt>
                <c:pt idx="252">
                  <c:v>7.8709246945076569E-2</c:v>
                </c:pt>
                <c:pt idx="253">
                  <c:v>7.8766714643382585E-2</c:v>
                </c:pt>
                <c:pt idx="254">
                  <c:v>7.8820789808293296E-2</c:v>
                </c:pt>
                <c:pt idx="255">
                  <c:v>7.8871460921841885E-2</c:v>
                </c:pt>
                <c:pt idx="256">
                  <c:v>7.8918716590109961E-2</c:v>
                </c:pt>
                <c:pt idx="257">
                  <c:v>7.896254554338257E-2</c:v>
                </c:pt>
                <c:pt idx="258">
                  <c:v>7.9002936636281232E-2</c:v>
                </c:pt>
                <c:pt idx="259">
                  <c:v>7.9039878847875236E-2</c:v>
                </c:pt>
                <c:pt idx="260">
                  <c:v>7.9073361281770949E-2</c:v>
                </c:pt>
                <c:pt idx="261">
                  <c:v>7.9103373166179561E-2</c:v>
                </c:pt>
                <c:pt idx="262">
                  <c:v>7.9129903853963263E-2</c:v>
                </c:pt>
                <c:pt idx="263">
                  <c:v>7.915294282265932E-2</c:v>
                </c:pt>
                <c:pt idx="264">
                  <c:v>7.9172479674483154E-2</c:v>
                </c:pt>
                <c:pt idx="265">
                  <c:v>7.9188504136309665E-2</c:v>
                </c:pt>
                <c:pt idx="266">
                  <c:v>7.9201006059632956E-2</c:v>
                </c:pt>
                <c:pt idx="267">
                  <c:v>7.9209975420505244E-2</c:v>
                </c:pt>
                <c:pt idx="268">
                  <c:v>7.9215402319453801E-2</c:v>
                </c:pt>
                <c:pt idx="269">
                  <c:v>7.921727698137751E-2</c:v>
                </c:pt>
                <c:pt idx="270">
                  <c:v>7.9215589755421603E-2</c:v>
                </c:pt>
                <c:pt idx="271">
                  <c:v>7.9210331114831917E-2</c:v>
                </c:pt>
                <c:pt idx="272">
                  <c:v>7.9201491656787998E-2</c:v>
                </c:pt>
                <c:pt idx="273">
                  <c:v>7.9189062102215504E-2</c:v>
                </c:pt>
                <c:pt idx="274">
                  <c:v>7.9173033295578094E-2</c:v>
                </c:pt>
                <c:pt idx="275">
                  <c:v>7.9153396204648147E-2</c:v>
                </c:pt>
                <c:pt idx="276">
                  <c:v>7.9130141920257885E-2</c:v>
                </c:pt>
                <c:pt idx="277">
                  <c:v>7.9103261656029392E-2</c:v>
                </c:pt>
                <c:pt idx="278">
                  <c:v>7.9072746748084954E-2</c:v>
                </c:pt>
                <c:pt idx="279">
                  <c:v>7.9038588654736786E-2</c:v>
                </c:pt>
                <c:pt idx="280">
                  <c:v>7.9000778956157411E-2</c:v>
                </c:pt>
                <c:pt idx="281">
                  <c:v>7.8959309354029603E-2</c:v>
                </c:pt>
                <c:pt idx="282">
                  <c:v>7.8914171671177175E-2</c:v>
                </c:pt>
                <c:pt idx="283">
                  <c:v>7.8865357851175655E-2</c:v>
                </c:pt>
                <c:pt idx="284">
                  <c:v>7.8812859957944209E-2</c:v>
                </c:pt>
                <c:pt idx="285">
                  <c:v>7.8756670175317733E-2</c:v>
                </c:pt>
                <c:pt idx="286">
                  <c:v>7.8696780806600142E-2</c:v>
                </c:pt>
                <c:pt idx="287">
                  <c:v>7.8633184274098766E-2</c:v>
                </c:pt>
                <c:pt idx="288">
                  <c:v>7.8565873118639648E-2</c:v>
                </c:pt>
                <c:pt idx="289">
                  <c:v>7.8494839999064758E-2</c:v>
                </c:pt>
                <c:pt idx="290">
                  <c:v>7.8420077691710166E-2</c:v>
                </c:pt>
                <c:pt idx="291">
                  <c:v>7.8341579089866331E-2</c:v>
                </c:pt>
                <c:pt idx="292">
                  <c:v>7.8259337203220355E-2</c:v>
                </c:pt>
                <c:pt idx="293">
                  <c:v>7.817334515728E-2</c:v>
                </c:pt>
                <c:pt idx="294">
                  <c:v>7.8083596192780103E-2</c:v>
                </c:pt>
                <c:pt idx="295">
                  <c:v>7.7990164235292189E-2</c:v>
                </c:pt>
                <c:pt idx="296">
                  <c:v>7.7893714667255309E-2</c:v>
                </c:pt>
                <c:pt idx="297">
                  <c:v>7.7794396772276314E-2</c:v>
                </c:pt>
                <c:pt idx="298">
                  <c:v>7.7692210475540036E-2</c:v>
                </c:pt>
                <c:pt idx="299">
                  <c:v>7.7587155787744833E-2</c:v>
                </c:pt>
                <c:pt idx="300">
                  <c:v>7.7479232804064616E-2</c:v>
                </c:pt>
                <c:pt idx="301">
                  <c:v>7.7368441703096008E-2</c:v>
                </c:pt>
                <c:pt idx="302">
                  <c:v>7.7254782745791367E-2</c:v>
                </c:pt>
                <c:pt idx="303">
                  <c:v>7.7138256274377148E-2</c:v>
                </c:pt>
                <c:pt idx="304">
                  <c:v>7.7018862711258379E-2</c:v>
                </c:pt>
                <c:pt idx="305">
                  <c:v>7.6896602557909546E-2</c:v>
                </c:pt>
                <c:pt idx="306">
                  <c:v>7.6771476393751675E-2</c:v>
                </c:pt>
                <c:pt idx="307">
                  <c:v>7.6643484875016279E-2</c:v>
                </c:pt>
                <c:pt idx="308">
                  <c:v>7.6512628733596141E-2</c:v>
                </c:pt>
                <c:pt idx="309">
                  <c:v>7.6378908775883339E-2</c:v>
                </c:pt>
                <c:pt idx="310">
                  <c:v>7.6242325881594797E-2</c:v>
                </c:pt>
                <c:pt idx="311">
                  <c:v>7.6102881002585235E-2</c:v>
                </c:pt>
                <c:pt idx="312">
                  <c:v>7.5960575161648461E-2</c:v>
                </c:pt>
                <c:pt idx="313">
                  <c:v>7.5815409451306506E-2</c:v>
                </c:pt>
                <c:pt idx="314">
                  <c:v>7.5667385032587506E-2</c:v>
                </c:pt>
                <c:pt idx="315">
                  <c:v>7.5516503133792018E-2</c:v>
                </c:pt>
                <c:pt idx="316">
                  <c:v>7.536276504924877E-2</c:v>
                </c:pt>
                <c:pt idx="317">
                  <c:v>7.5206172138058969E-2</c:v>
                </c:pt>
                <c:pt idx="318">
                  <c:v>7.5046725822830951E-2</c:v>
                </c:pt>
                <c:pt idx="319">
                  <c:v>7.488442758840394E-2</c:v>
                </c:pt>
                <c:pt idx="320">
                  <c:v>7.4719278980562354E-2</c:v>
                </c:pt>
                <c:pt idx="321">
                  <c:v>7.4551281604740172E-2</c:v>
                </c:pt>
                <c:pt idx="322">
                  <c:v>7.4380437124715995E-2</c:v>
                </c:pt>
                <c:pt idx="323">
                  <c:v>7.4206747261299139E-2</c:v>
                </c:pt>
                <c:pt idx="324">
                  <c:v>7.4030213791006827E-2</c:v>
                </c:pt>
                <c:pt idx="325">
                  <c:v>7.3850838544732761E-2</c:v>
                </c:pt>
                <c:pt idx="326">
                  <c:v>7.3668623406407549E-2</c:v>
                </c:pt>
                <c:pt idx="327">
                  <c:v>7.3483570311651217E-2</c:v>
                </c:pt>
                <c:pt idx="328">
                  <c:v>7.3295681246418137E-2</c:v>
                </c:pt>
                <c:pt idx="329">
                  <c:v>7.3104958245634261E-2</c:v>
                </c:pt>
                <c:pt idx="330">
                  <c:v>7.2911403391827612E-2</c:v>
                </c:pt>
                <c:pt idx="331">
                  <c:v>7.2715018813751822E-2</c:v>
                </c:pt>
                <c:pt idx="332">
                  <c:v>7.2515806685003348E-2</c:v>
                </c:pt>
                <c:pt idx="333">
                  <c:v>7.2313769222632301E-2</c:v>
                </c:pt>
                <c:pt idx="334">
                  <c:v>7.2108908685747611E-2</c:v>
                </c:pt>
                <c:pt idx="335">
                  <c:v>7.1901227374116194E-2</c:v>
                </c:pt>
                <c:pt idx="336">
                  <c:v>7.1690727626757697E-2</c:v>
                </c:pt>
                <c:pt idx="337">
                  <c:v>7.1477411820533174E-2</c:v>
                </c:pt>
                <c:pt idx="338">
                  <c:v>7.1261282368729986E-2</c:v>
                </c:pt>
                <c:pt idx="339">
                  <c:v>7.104234171964191E-2</c:v>
                </c:pt>
                <c:pt idx="340">
                  <c:v>7.0820592355145248E-2</c:v>
                </c:pt>
                <c:pt idx="341">
                  <c:v>7.0596036789271399E-2</c:v>
                </c:pt>
                <c:pt idx="342">
                  <c:v>7.0368677566775617E-2</c:v>
                </c:pt>
                <c:pt idx="343">
                  <c:v>7.0138517261703226E-2</c:v>
                </c:pt>
                <c:pt idx="344">
                  <c:v>6.9905558475952437E-2</c:v>
                </c:pt>
                <c:pt idx="345">
                  <c:v>6.9669803837835026E-2</c:v>
                </c:pt>
                <c:pt idx="346">
                  <c:v>6.9431256000634767E-2</c:v>
                </c:pt>
                <c:pt idx="347">
                  <c:v>6.9189917641164125E-2</c:v>
                </c:pt>
                <c:pt idx="348">
                  <c:v>6.8945791458319125E-2</c:v>
                </c:pt>
                <c:pt idx="349">
                  <c:v>6.8698880171633211E-2</c:v>
                </c:pt>
                <c:pt idx="350">
                  <c:v>6.8449186519830341E-2</c:v>
                </c:pt>
                <c:pt idx="351">
                  <c:v>6.819671325937704E-2</c:v>
                </c:pt>
                <c:pt idx="352">
                  <c:v>6.7941463163034635E-2</c:v>
                </c:pt>
                <c:pt idx="353">
                  <c:v>6.7683439018411548E-2</c:v>
                </c:pt>
                <c:pt idx="354">
                  <c:v>6.7422643626515441E-2</c:v>
                </c:pt>
                <c:pt idx="355">
                  <c:v>6.7159079800306776E-2</c:v>
                </c:pt>
                <c:pt idx="356">
                  <c:v>6.6892750363252887E-2</c:v>
                </c:pt>
                <c:pt idx="357">
                  <c:v>6.6623658147883499E-2</c:v>
                </c:pt>
                <c:pt idx="358">
                  <c:v>6.6351805994348187E-2</c:v>
                </c:pt>
                <c:pt idx="359">
                  <c:v>6.6077196748975456E-2</c:v>
                </c:pt>
                <c:pt idx="360">
                  <c:v>6.5799833262834256E-2</c:v>
                </c:pt>
                <c:pt idx="361">
                  <c:v>6.5519718390298284E-2</c:v>
                </c:pt>
                <c:pt idx="362">
                  <c:v>6.523685498761303E-2</c:v>
                </c:pt>
                <c:pt idx="363">
                  <c:v>6.4951245911466129E-2</c:v>
                </c:pt>
                <c:pt idx="364">
                  <c:v>6.4662894017561645E-2</c:v>
                </c:pt>
                <c:pt idx="365">
                  <c:v>6.4371802159197564E-2</c:v>
                </c:pt>
                <c:pt idx="366">
                  <c:v>6.4077973185848375E-2</c:v>
                </c:pt>
                <c:pt idx="367">
                  <c:v>6.3781409941751549E-2</c:v>
                </c:pt>
                <c:pt idx="368">
                  <c:v>6.3482115264499275E-2</c:v>
                </c:pt>
                <c:pt idx="369">
                  <c:v>6.3180091983635223E-2</c:v>
                </c:pt>
                <c:pt idx="370">
                  <c:v>6.2875342919257143E-2</c:v>
                </c:pt>
                <c:pt idx="371">
                  <c:v>6.2567870880624626E-2</c:v>
                </c:pt>
                <c:pt idx="372">
                  <c:v>6.2257678664773844E-2</c:v>
                </c:pt>
                <c:pt idx="373">
                  <c:v>6.1944769055138391E-2</c:v>
                </c:pt>
                <c:pt idx="374">
                  <c:v>6.1629144820176743E-2</c:v>
                </c:pt>
                <c:pt idx="375">
                  <c:v>6.1310808712007211E-2</c:v>
                </c:pt>
                <c:pt idx="376">
                  <c:v>6.0989763465050091E-2</c:v>
                </c:pt>
                <c:pt idx="377">
                  <c:v>6.0666011794677691E-2</c:v>
                </c:pt>
                <c:pt idx="378">
                  <c:v>6.0339556395872421E-2</c:v>
                </c:pt>
                <c:pt idx="379">
                  <c:v>6.0010399941893042E-2</c:v>
                </c:pt>
                <c:pt idx="380">
                  <c:v>5.967854508294998E-2</c:v>
                </c:pt>
                <c:pt idx="381">
                  <c:v>5.9343994444889497E-2</c:v>
                </c:pt>
                <c:pt idx="382">
                  <c:v>5.9006750627886823E-2</c:v>
                </c:pt>
                <c:pt idx="383">
                  <c:v>5.8666816205149561E-2</c:v>
                </c:pt>
                <c:pt idx="384">
                  <c:v>5.8324193721630599E-2</c:v>
                </c:pt>
                <c:pt idx="385">
                  <c:v>5.7978885692751371E-2</c:v>
                </c:pt>
                <c:pt idx="386">
                  <c:v>5.7630894603135578E-2</c:v>
                </c:pt>
                <c:pt idx="387">
                  <c:v>5.7280222905353909E-2</c:v>
                </c:pt>
                <c:pt idx="388">
                  <c:v>5.6926873018679908E-2</c:v>
                </c:pt>
                <c:pt idx="389">
                  <c:v>5.6570847327857089E-2</c:v>
                </c:pt>
                <c:pt idx="390">
                  <c:v>5.6212148181878099E-2</c:v>
                </c:pt>
                <c:pt idx="391">
                  <c:v>5.5850777892775635E-2</c:v>
                </c:pt>
                <c:pt idx="392">
                  <c:v>5.5486738734426042E-2</c:v>
                </c:pt>
                <c:pt idx="393">
                  <c:v>5.5120032941365193E-2</c:v>
                </c:pt>
                <c:pt idx="394">
                  <c:v>5.4750662707617651E-2</c:v>
                </c:pt>
                <c:pt idx="395">
                  <c:v>5.4378630185538693E-2</c:v>
                </c:pt>
                <c:pt idx="396">
                  <c:v>5.4003937484670167E-2</c:v>
                </c:pt>
                <c:pt idx="397">
                  <c:v>5.3626586670610141E-2</c:v>
                </c:pt>
                <c:pt idx="398">
                  <c:v>5.3246579763896115E-2</c:v>
                </c:pt>
                <c:pt idx="399">
                  <c:v>5.2863918738903594E-2</c:v>
                </c:pt>
                <c:pt idx="400">
                  <c:v>5.2478605522758064E-2</c:v>
                </c:pt>
                <c:pt idx="401">
                  <c:v>5.2090641994263207E-2</c:v>
                </c:pt>
                <c:pt idx="402">
                  <c:v>5.1700029982843142E-2</c:v>
                </c:pt>
                <c:pt idx="403">
                  <c:v>5.1306771267500897E-2</c:v>
                </c:pt>
                <c:pt idx="404">
                  <c:v>5.0910867575792357E-2</c:v>
                </c:pt>
                <c:pt idx="405">
                  <c:v>5.0512320582816295E-2</c:v>
                </c:pt>
                <c:pt idx="406">
                  <c:v>5.0111131910220617E-2</c:v>
                </c:pt>
                <c:pt idx="407">
                  <c:v>4.9707303125225082E-2</c:v>
                </c:pt>
                <c:pt idx="408">
                  <c:v>4.9300835739661299E-2</c:v>
                </c:pt>
                <c:pt idx="409">
                  <c:v>4.8891731209028927E-2</c:v>
                </c:pt>
                <c:pt idx="410">
                  <c:v>4.8479990931570065E-2</c:v>
                </c:pt>
                <c:pt idx="411">
                  <c:v>4.8065616247360721E-2</c:v>
                </c:pt>
                <c:pt idx="412">
                  <c:v>4.7648608437420248E-2</c:v>
                </c:pt>
                <c:pt idx="413">
                  <c:v>4.7228968722838847E-2</c:v>
                </c:pt>
                <c:pt idx="414">
                  <c:v>4.6806698263923391E-2</c:v>
                </c:pt>
                <c:pt idx="415">
                  <c:v>4.6381798159361713E-2</c:v>
                </c:pt>
                <c:pt idx="416">
                  <c:v>4.5954269445406024E-2</c:v>
                </c:pt>
                <c:pt idx="417">
                  <c:v>4.5524113095074821E-2</c:v>
                </c:pt>
                <c:pt idx="418">
                  <c:v>4.5091330017374524E-2</c:v>
                </c:pt>
                <c:pt idx="419">
                  <c:v>4.4655921056540634E-2</c:v>
                </c:pt>
                <c:pt idx="420">
                  <c:v>4.4217886991297931E-2</c:v>
                </c:pt>
                <c:pt idx="421">
                  <c:v>4.3777228534141711E-2</c:v>
                </c:pt>
                <c:pt idx="422">
                  <c:v>4.3333946330638203E-2</c:v>
                </c:pt>
                <c:pt idx="423">
                  <c:v>4.288804095874605E-2</c:v>
                </c:pt>
                <c:pt idx="424">
                  <c:v>4.2439512928157772E-2</c:v>
                </c:pt>
                <c:pt idx="425">
                  <c:v>4.1988362679662855E-2</c:v>
                </c:pt>
                <c:pt idx="426">
                  <c:v>4.1534590584530892E-2</c:v>
                </c:pt>
                <c:pt idx="427">
                  <c:v>4.1078196943916852E-2</c:v>
                </c:pt>
                <c:pt idx="428">
                  <c:v>4.0619181988287165E-2</c:v>
                </c:pt>
                <c:pt idx="429">
                  <c:v>4.0157545876867484E-2</c:v>
                </c:pt>
                <c:pt idx="430">
                  <c:v>3.9693288697112736E-2</c:v>
                </c:pt>
                <c:pt idx="431">
                  <c:v>3.922641046419844E-2</c:v>
                </c:pt>
                <c:pt idx="432">
                  <c:v>3.8756911120534976E-2</c:v>
                </c:pt>
                <c:pt idx="433">
                  <c:v>3.8284790535303474E-2</c:v>
                </c:pt>
                <c:pt idx="434">
                  <c:v>3.7810048504014988E-2</c:v>
                </c:pt>
                <c:pt idx="435">
                  <c:v>3.733268474809151E-2</c:v>
                </c:pt>
                <c:pt idx="436">
                  <c:v>3.6852698914470988E-2</c:v>
                </c:pt>
                <c:pt idx="437">
                  <c:v>3.6370090575234215E-2</c:v>
                </c:pt>
                <c:pt idx="438">
                  <c:v>3.5884859227255997E-2</c:v>
                </c:pt>
                <c:pt idx="439">
                  <c:v>3.539700429187892E-2</c:v>
                </c:pt>
                <c:pt idx="440">
                  <c:v>3.4906525114610995E-2</c:v>
                </c:pt>
                <c:pt idx="441">
                  <c:v>3.4413420964846973E-2</c:v>
                </c:pt>
                <c:pt idx="442">
                  <c:v>3.3917691035613526E-2</c:v>
                </c:pt>
                <c:pt idx="443">
                  <c:v>3.3419334443338222E-2</c:v>
                </c:pt>
                <c:pt idx="444">
                  <c:v>3.2918350227642765E-2</c:v>
                </c:pt>
                <c:pt idx="445">
                  <c:v>3.2414737351160475E-2</c:v>
                </c:pt>
                <c:pt idx="446">
                  <c:v>3.1908494699378037E-2</c:v>
                </c:pt>
                <c:pt idx="447">
                  <c:v>3.1399621080502066E-2</c:v>
                </c:pt>
                <c:pt idx="448">
                  <c:v>3.0888115225349608E-2</c:v>
                </c:pt>
                <c:pt idx="449">
                  <c:v>3.0373975787264473E-2</c:v>
                </c:pt>
                <c:pt idx="450">
                  <c:v>2.9857201342057282E-2</c:v>
                </c:pt>
                <c:pt idx="451">
                  <c:v>2.9337790387971217E-2</c:v>
                </c:pt>
                <c:pt idx="452">
                  <c:v>2.8815741345672573E-2</c:v>
                </c:pt>
                <c:pt idx="453">
                  <c:v>2.8291052558266798E-2</c:v>
                </c:pt>
                <c:pt idx="454">
                  <c:v>2.7763722291339252E-2</c:v>
                </c:pt>
                <c:pt idx="455">
                  <c:v>2.7233748733021611E-2</c:v>
                </c:pt>
                <c:pt idx="456">
                  <c:v>2.6701129994083972E-2</c:v>
                </c:pt>
                <c:pt idx="457">
                  <c:v>2.6165864108052148E-2</c:v>
                </c:pt>
                <c:pt idx="458">
                  <c:v>2.5627949031350808E-2</c:v>
                </c:pt>
                <c:pt idx="459">
                  <c:v>2.508738264347192E-2</c:v>
                </c:pt>
                <c:pt idx="460">
                  <c:v>2.4544162747169581E-2</c:v>
                </c:pt>
                <c:pt idx="461">
                  <c:v>2.3998287068680148E-2</c:v>
                </c:pt>
                <c:pt idx="462">
                  <c:v>2.3449753257968154E-2</c:v>
                </c:pt>
                <c:pt idx="463">
                  <c:v>2.2898558888999096E-2</c:v>
                </c:pt>
                <c:pt idx="464">
                  <c:v>2.234470146003684E-2</c:v>
                </c:pt>
                <c:pt idx="465">
                  <c:v>2.1788178393968294E-2</c:v>
                </c:pt>
                <c:pt idx="466">
                  <c:v>2.1228987038653307E-2</c:v>
                </c:pt>
                <c:pt idx="467">
                  <c:v>2.0667124667301355E-2</c:v>
                </c:pt>
                <c:pt idx="468">
                  <c:v>2.0102588478873681E-2</c:v>
                </c:pt>
                <c:pt idx="469">
                  <c:v>1.9535375598512324E-2</c:v>
                </c:pt>
                <c:pt idx="470">
                  <c:v>1.8965483077994921E-2</c:v>
                </c:pt>
                <c:pt idx="471">
                  <c:v>1.8392907896215602E-2</c:v>
                </c:pt>
                <c:pt idx="472">
                  <c:v>1.7817646959692804E-2</c:v>
                </c:pt>
                <c:pt idx="473">
                  <c:v>1.7239697103102566E-2</c:v>
                </c:pt>
                <c:pt idx="474">
                  <c:v>1.6659055089838365E-2</c:v>
                </c:pt>
                <c:pt idx="475">
                  <c:v>1.6075717612597618E-2</c:v>
                </c:pt>
                <c:pt idx="476">
                  <c:v>1.548968129399355E-2</c:v>
                </c:pt>
                <c:pt idx="477">
                  <c:v>1.4900942687194219E-2</c:v>
                </c:pt>
                <c:pt idx="478">
                  <c:v>1.4309498276587259E-2</c:v>
                </c:pt>
                <c:pt idx="479">
                  <c:v>1.3715344478470781E-2</c:v>
                </c:pt>
                <c:pt idx="480">
                  <c:v>1.3118477641770921E-2</c:v>
                </c:pt>
                <c:pt idx="481">
                  <c:v>1.2518894048784968E-2</c:v>
                </c:pt>
                <c:pt idx="482">
                  <c:v>1.1916589915951029E-2</c:v>
                </c:pt>
                <c:pt idx="483">
                  <c:v>1.1311561394643666E-2</c:v>
                </c:pt>
                <c:pt idx="484">
                  <c:v>1.0703804571995655E-2</c:v>
                </c:pt>
                <c:pt idx="485">
                  <c:v>1.0093315471745259E-2</c:v>
                </c:pt>
                <c:pt idx="486">
                  <c:v>9.480090055110444E-3</c:v>
                </c:pt>
                <c:pt idx="487">
                  <c:v>8.8641242216878236E-3</c:v>
                </c:pt>
                <c:pt idx="488">
                  <c:v>8.2454138103783235E-3</c:v>
                </c:pt>
                <c:pt idx="489">
                  <c:v>7.623954600338349E-3</c:v>
                </c:pt>
                <c:pt idx="490">
                  <c:v>6.9997423119562072E-3</c:v>
                </c:pt>
                <c:pt idx="491">
                  <c:v>6.3727726078549839E-3</c:v>
                </c:pt>
                <c:pt idx="492">
                  <c:v>5.7430410939201103E-3</c:v>
                </c:pt>
                <c:pt idx="493">
                  <c:v>5.1105433203529555E-3</c:v>
                </c:pt>
                <c:pt idx="494">
                  <c:v>4.4752747827497396E-3</c:v>
                </c:pt>
                <c:pt idx="495">
                  <c:v>3.8372309232050207E-3</c:v>
                </c:pt>
                <c:pt idx="496">
                  <c:v>3.1964071314416714E-3</c:v>
                </c:pt>
                <c:pt idx="497">
                  <c:v>2.5527987459645135E-3</c:v>
                </c:pt>
                <c:pt idx="498">
                  <c:v>1.9064010552397976E-3</c:v>
                </c:pt>
                <c:pt idx="499">
                  <c:v>1.2572092988993196E-3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E61-4C0C-9ED7-DC2067F83667}"/>
            </c:ext>
          </c:extLst>
        </c:ser>
        <c:ser>
          <c:idx val="4"/>
          <c:order val="1"/>
          <c:tx>
            <c:v>Lower Camber</c:v>
          </c:tx>
          <c:spPr>
            <a:ln w="1270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Data1!$I$1:$I$501</c:f>
              <c:numCache>
                <c:formatCode>0.000000</c:formatCode>
                <c:ptCount val="501"/>
                <c:pt idx="0">
                  <c:v>0</c:v>
                </c:pt>
                <c:pt idx="1">
                  <c:v>4.4372102422657257E-5</c:v>
                </c:pt>
                <c:pt idx="2">
                  <c:v>9.8575805999828861E-5</c:v>
                </c:pt>
                <c:pt idx="3">
                  <c:v>1.6260796154978326E-4</c:v>
                </c:pt>
                <c:pt idx="4">
                  <c:v>2.3646532117970256E-4</c:v>
                </c:pt>
                <c:pt idx="5">
                  <c:v>3.2014453836281198E-4</c:v>
                </c:pt>
                <c:pt idx="6">
                  <c:v>4.1364216802630336E-4</c:v>
                </c:pt>
                <c:pt idx="7">
                  <c:v>5.1695466664443304E-4</c:v>
                </c:pt>
                <c:pt idx="8">
                  <c:v>6.3007839233899566E-4</c:v>
                </c:pt>
                <c:pt idx="9">
                  <c:v>7.5300960498729703E-4</c:v>
                </c:pt>
                <c:pt idx="10">
                  <c:v>8.8574446633688962E-4</c:v>
                </c:pt>
                <c:pt idx="11">
                  <c:v>1.0282790401277462E-3</c:v>
                </c:pt>
                <c:pt idx="12">
                  <c:v>1.1806092922210507E-3</c:v>
                </c:pt>
                <c:pt idx="13">
                  <c:v>1.3427310907350993E-3</c:v>
                </c:pt>
                <c:pt idx="14">
                  <c:v>1.5146402061886922E-3</c:v>
                </c:pt>
                <c:pt idx="15">
                  <c:v>1.6963323116512493E-3</c:v>
                </c:pt>
                <c:pt idx="16">
                  <c:v>1.8878029828991089E-3</c:v>
                </c:pt>
                <c:pt idx="17">
                  <c:v>2.0890476985806353E-3</c:v>
                </c:pt>
                <c:pt idx="18">
                  <c:v>2.3000618403860541E-3</c:v>
                </c:pt>
                <c:pt idx="19">
                  <c:v>2.5208406932262788E-3</c:v>
                </c:pt>
                <c:pt idx="20">
                  <c:v>2.7513794454165981E-3</c:v>
                </c:pt>
                <c:pt idx="21">
                  <c:v>2.9916731888688479E-3</c:v>
                </c:pt>
                <c:pt idx="22">
                  <c:v>3.241716919289467E-3</c:v>
                </c:pt>
                <c:pt idx="23">
                  <c:v>3.5015055363847398E-3</c:v>
                </c:pt>
                <c:pt idx="24">
                  <c:v>3.7710338440721473E-3</c:v>
                </c:pt>
                <c:pt idx="25">
                  <c:v>4.0502965506994566E-3</c:v>
                </c:pt>
                <c:pt idx="26">
                  <c:v>4.339288269268938E-3</c:v>
                </c:pt>
                <c:pt idx="27">
                  <c:v>4.6380035176699997E-3</c:v>
                </c:pt>
                <c:pt idx="28">
                  <c:v>4.9464367189167328E-3</c:v>
                </c:pt>
                <c:pt idx="29">
                  <c:v>5.2645822013927621E-3</c:v>
                </c:pt>
                <c:pt idx="30">
                  <c:v>5.592434199102935E-3</c:v>
                </c:pt>
                <c:pt idx="31">
                  <c:v>5.9299868519296977E-3</c:v>
                </c:pt>
                <c:pt idx="32">
                  <c:v>6.2772342058982078E-3</c:v>
                </c:pt>
                <c:pt idx="33">
                  <c:v>6.6341702134460247E-3</c:v>
                </c:pt>
                <c:pt idx="34">
                  <c:v>7.0007887336993114E-3</c:v>
                </c:pt>
                <c:pt idx="35">
                  <c:v>7.3770835327554825E-3</c:v>
                </c:pt>
                <c:pt idx="36">
                  <c:v>7.7630482839722457E-3</c:v>
                </c:pt>
                <c:pt idx="37">
                  <c:v>8.1586765682619741E-3</c:v>
                </c:pt>
                <c:pt idx="38">
                  <c:v>8.5639618743923538E-3</c:v>
                </c:pt>
                <c:pt idx="39">
                  <c:v>8.9788975992932136E-3</c:v>
                </c:pt>
                <c:pt idx="40">
                  <c:v>9.4034770483688787E-3</c:v>
                </c:pt>
                <c:pt idx="41">
                  <c:v>9.8376934358165805E-3</c:v>
                </c:pt>
                <c:pt idx="42">
                  <c:v>1.0281539884950119E-2</c:v>
                </c:pt>
                <c:pt idx="43">
                  <c:v>1.0735009428529448E-2</c:v>
                </c:pt>
                <c:pt idx="44">
                  <c:v>1.1198095009096095E-2</c:v>
                </c:pt>
                <c:pt idx="45">
                  <c:v>1.1670789479313628E-2</c:v>
                </c:pt>
                <c:pt idx="46">
                  <c:v>1.2153085602313785E-2</c:v>
                </c:pt>
                <c:pt idx="47">
                  <c:v>1.2644976052047414E-2</c:v>
                </c:pt>
                <c:pt idx="48">
                  <c:v>1.3146453413641859E-2</c:v>
                </c:pt>
                <c:pt idx="49">
                  <c:v>1.3657510183761904E-2</c:v>
                </c:pt>
                <c:pt idx="50">
                  <c:v>1.4178138770977266E-2</c:v>
                </c:pt>
                <c:pt idx="51">
                  <c:v>1.4708331496134056E-2</c:v>
                </c:pt>
                <c:pt idx="52">
                  <c:v>1.5248080592731908E-2</c:v>
                </c:pt>
                <c:pt idx="53">
                  <c:v>1.579737820730551E-2</c:v>
                </c:pt>
                <c:pt idx="54">
                  <c:v>1.6356216399810442E-2</c:v>
                </c:pt>
                <c:pt idx="55">
                  <c:v>1.6924587144015096E-2</c:v>
                </c:pt>
                <c:pt idx="56">
                  <c:v>1.7502482327895374E-2</c:v>
                </c:pt>
                <c:pt idx="57">
                  <c:v>1.8089893754035344E-2</c:v>
                </c:pt>
                <c:pt idx="58">
                  <c:v>1.8686813140031205E-2</c:v>
                </c:pt>
                <c:pt idx="59">
                  <c:v>1.9293232118900119E-2</c:v>
                </c:pt>
                <c:pt idx="60">
                  <c:v>1.9909142239493291E-2</c:v>
                </c:pt>
                <c:pt idx="61">
                  <c:v>2.0534534966912474E-2</c:v>
                </c:pt>
                <c:pt idx="62">
                  <c:v>2.1169401682931299E-2</c:v>
                </c:pt>
                <c:pt idx="63">
                  <c:v>2.1813733686419999E-2</c:v>
                </c:pt>
                <c:pt idx="64">
                  <c:v>2.2467522193773574E-2</c:v>
                </c:pt>
                <c:pt idx="65">
                  <c:v>2.3130758339344991E-2</c:v>
                </c:pt>
                <c:pt idx="66">
                  <c:v>2.3803433175880146E-2</c:v>
                </c:pt>
                <c:pt idx="67">
                  <c:v>2.448553767495764E-2</c:v>
                </c:pt>
                <c:pt idx="68">
                  <c:v>2.5177062727431608E-2</c:v>
                </c:pt>
                <c:pt idx="69">
                  <c:v>2.5877999143877315E-2</c:v>
                </c:pt>
                <c:pt idx="70">
                  <c:v>2.6588337655040973E-2</c:v>
                </c:pt>
                <c:pt idx="71">
                  <c:v>2.7308068912290963E-2</c:v>
                </c:pt>
                <c:pt idx="72">
                  <c:v>2.8037183488074113E-2</c:v>
                </c:pt>
                <c:pt idx="73">
                  <c:v>2.8775671876372658E-2</c:v>
                </c:pt>
                <c:pt idx="74">
                  <c:v>2.9523524493165875E-2</c:v>
                </c:pt>
                <c:pt idx="75">
                  <c:v>3.0280731676892832E-2</c:v>
                </c:pt>
                <c:pt idx="76">
                  <c:v>3.1047283688918081E-2</c:v>
                </c:pt>
                <c:pt idx="77">
                  <c:v>3.1823170714000822E-2</c:v>
                </c:pt>
                <c:pt idx="78">
                  <c:v>3.2608382860764208E-2</c:v>
                </c:pt>
                <c:pt idx="79">
                  <c:v>3.3402910162169092E-2</c:v>
                </c:pt>
                <c:pt idx="80">
                  <c:v>3.4206742575987978E-2</c:v>
                </c:pt>
                <c:pt idx="81">
                  <c:v>3.5019869985282219E-2</c:v>
                </c:pt>
                <c:pt idx="82">
                  <c:v>3.5842282198880311E-2</c:v>
                </c:pt>
                <c:pt idx="83">
                  <c:v>3.6673968951858121E-2</c:v>
                </c:pt>
                <c:pt idx="84">
                  <c:v>3.7514919906020752E-2</c:v>
                </c:pt>
                <c:pt idx="85">
                  <c:v>3.8365124650385621E-2</c:v>
                </c:pt>
                <c:pt idx="86">
                  <c:v>3.9224572701667501E-2</c:v>
                </c:pt>
                <c:pt idx="87">
                  <c:v>4.0093253504763976E-2</c:v>
                </c:pt>
                <c:pt idx="88">
                  <c:v>4.0971156433242749E-2</c:v>
                </c:pt>
                <c:pt idx="89">
                  <c:v>4.1858270789829712E-2</c:v>
                </c:pt>
                <c:pt idx="90">
                  <c:v>4.2754585806897345E-2</c:v>
                </c:pt>
                <c:pt idx="91">
                  <c:v>4.3660090646954933E-2</c:v>
                </c:pt>
                <c:pt idx="92">
                  <c:v>4.4574774403138971E-2</c:v>
                </c:pt>
                <c:pt idx="93">
                  <c:v>4.549862609970344E-2</c:v>
                </c:pt>
                <c:pt idx="94">
                  <c:v>4.6431634692511548E-2</c:v>
                </c:pt>
                <c:pt idx="95">
                  <c:v>4.7373789069527376E-2</c:v>
                </c:pt>
                <c:pt idx="96">
                  <c:v>4.8325078051307271E-2</c:v>
                </c:pt>
                <c:pt idx="97">
                  <c:v>4.9285490391491688E-2</c:v>
                </c:pt>
                <c:pt idx="98">
                  <c:v>5.0255014777297553E-2</c:v>
                </c:pt>
                <c:pt idx="99">
                  <c:v>5.1233639830009108E-2</c:v>
                </c:pt>
                <c:pt idx="100">
                  <c:v>5.222135410546945E-2</c:v>
                </c:pt>
                <c:pt idx="101">
                  <c:v>5.3218146094571435E-2</c:v>
                </c:pt>
                <c:pt idx="102">
                  <c:v>5.4224004223747985E-2</c:v>
                </c:pt>
                <c:pt idx="103">
                  <c:v>5.5238916855461916E-2</c:v>
                </c:pt>
                <c:pt idx="104">
                  <c:v>5.6262872288694497E-2</c:v>
                </c:pt>
                <c:pt idx="105">
                  <c:v>5.7295858759433632E-2</c:v>
                </c:pt>
                <c:pt idx="106">
                  <c:v>5.8337864441160937E-2</c:v>
                </c:pt>
                <c:pt idx="107">
                  <c:v>5.9388877445337357E-2</c:v>
                </c:pt>
                <c:pt idx="108">
                  <c:v>6.0448885821888378E-2</c:v>
                </c:pt>
                <c:pt idx="109">
                  <c:v>6.1517877559686414E-2</c:v>
                </c:pt>
                <c:pt idx="110">
                  <c:v>6.2595840587033616E-2</c:v>
                </c:pt>
                <c:pt idx="111">
                  <c:v>6.3682762772140938E-2</c:v>
                </c:pt>
                <c:pt idx="112">
                  <c:v>6.4778631923607874E-2</c:v>
                </c:pt>
                <c:pt idx="113">
                  <c:v>6.5883435790898184E-2</c:v>
                </c:pt>
                <c:pt idx="114">
                  <c:v>6.6997162064815097E-2</c:v>
                </c:pt>
                <c:pt idx="115">
                  <c:v>6.81197983779738E-2</c:v>
                </c:pt>
                <c:pt idx="116">
                  <c:v>6.9251332305272292E-2</c:v>
                </c:pt>
                <c:pt idx="117">
                  <c:v>7.0391751364359281E-2</c:v>
                </c:pt>
                <c:pt idx="118">
                  <c:v>7.1541043016100078E-2</c:v>
                </c:pt>
                <c:pt idx="119">
                  <c:v>7.2699194665040393E-2</c:v>
                </c:pt>
                <c:pt idx="120">
                  <c:v>7.3866193659866825E-2</c:v>
                </c:pt>
                <c:pt idx="121">
                  <c:v>7.504202729386486E-2</c:v>
                </c:pt>
                <c:pt idx="122">
                  <c:v>7.6226682805374049E-2</c:v>
                </c:pt>
                <c:pt idx="123">
                  <c:v>7.7420147378240642E-2</c:v>
                </c:pt>
                <c:pt idx="124">
                  <c:v>7.8622408142266717E-2</c:v>
                </c:pt>
                <c:pt idx="125">
                  <c:v>7.9833452173656227E-2</c:v>
                </c:pt>
                <c:pt idx="126">
                  <c:v>8.1053266495457785E-2</c:v>
                </c:pt>
                <c:pt idx="127">
                  <c:v>8.2281838078004516E-2</c:v>
                </c:pt>
                <c:pt idx="128">
                  <c:v>8.3519153839349741E-2</c:v>
                </c:pt>
                <c:pt idx="129">
                  <c:v>8.4765200645699867E-2</c:v>
                </c:pt>
                <c:pt idx="130">
                  <c:v>8.6019965311843027E-2</c:v>
                </c:pt>
                <c:pt idx="131">
                  <c:v>8.7283434601574242E-2</c:v>
                </c:pt>
                <c:pt idx="132">
                  <c:v>8.8555595228116332E-2</c:v>
                </c:pt>
                <c:pt idx="133">
                  <c:v>8.9836433854537961E-2</c:v>
                </c:pt>
                <c:pt idx="134">
                  <c:v>9.1125937094166096E-2</c:v>
                </c:pt>
                <c:pt idx="135">
                  <c:v>9.2424091510995607E-2</c:v>
                </c:pt>
                <c:pt idx="136">
                  <c:v>9.3730883620093908E-2</c:v>
                </c:pt>
                <c:pt idx="137">
                  <c:v>9.5046299888001326E-2</c:v>
                </c:pt>
                <c:pt idx="138">
                  <c:v>9.6370326733127801E-2</c:v>
                </c:pt>
                <c:pt idx="139">
                  <c:v>9.7702950526143695E-2</c:v>
                </c:pt>
                <c:pt idx="140">
                  <c:v>9.9044157590367485E-2</c:v>
                </c:pt>
                <c:pt idx="141">
                  <c:v>0.10039393420214769</c:v>
                </c:pt>
                <c:pt idx="142">
                  <c:v>0.10175226659124052</c:v>
                </c:pt>
                <c:pt idx="143">
                  <c:v>0.10311914094118231</c:v>
                </c:pt>
                <c:pt idx="144">
                  <c:v>0.10449454338965784</c:v>
                </c:pt>
                <c:pt idx="145">
                  <c:v>0.10587846002886263</c:v>
                </c:pt>
                <c:pt idx="146">
                  <c:v>0.1072708769058605</c:v>
                </c:pt>
                <c:pt idx="147">
                  <c:v>0.10867178002293658</c:v>
                </c:pt>
                <c:pt idx="148">
                  <c:v>0.11008115533794371</c:v>
                </c:pt>
                <c:pt idx="149">
                  <c:v>0.11149898876464505</c:v>
                </c:pt>
                <c:pt idx="150">
                  <c:v>0.1129252661730502</c:v>
                </c:pt>
                <c:pt idx="151">
                  <c:v>0.11435997338974627</c:v>
                </c:pt>
                <c:pt idx="152">
                  <c:v>0.11580309619822322</c:v>
                </c:pt>
                <c:pt idx="153">
                  <c:v>0.11725462033919401</c:v>
                </c:pt>
                <c:pt idx="154">
                  <c:v>0.11871453151090856</c:v>
                </c:pt>
                <c:pt idx="155">
                  <c:v>0.12018281536946235</c:v>
                </c:pt>
                <c:pt idx="156">
                  <c:v>0.12165945752909887</c:v>
                </c:pt>
                <c:pt idx="157">
                  <c:v>0.12314444356250662</c:v>
                </c:pt>
                <c:pt idx="158">
                  <c:v>0.1246377590011096</c:v>
                </c:pt>
                <c:pt idx="159">
                  <c:v>0.1261393893353529</c:v>
                </c:pt>
                <c:pt idx="160">
                  <c:v>0.12764932001498067</c:v>
                </c:pt>
                <c:pt idx="161">
                  <c:v>0.12916753644930942</c:v>
                </c:pt>
                <c:pt idx="162">
                  <c:v>0.13069402400749483</c:v>
                </c:pt>
                <c:pt idx="163">
                  <c:v>0.13222876801879124</c:v>
                </c:pt>
                <c:pt idx="164">
                  <c:v>0.13377175377280723</c:v>
                </c:pt>
                <c:pt idx="165">
                  <c:v>0.13532296651975195</c:v>
                </c:pt>
                <c:pt idx="166">
                  <c:v>0.13688239147067813</c:v>
                </c:pt>
                <c:pt idx="167">
                  <c:v>0.13845001379771635</c:v>
                </c:pt>
                <c:pt idx="168">
                  <c:v>0.14002581863430438</c:v>
                </c:pt>
                <c:pt idx="169">
                  <c:v>0.14160979107540919</c:v>
                </c:pt>
                <c:pt idx="170">
                  <c:v>0.14320191617774272</c:v>
                </c:pt>
                <c:pt idx="171">
                  <c:v>0.14480217895997172</c:v>
                </c:pt>
                <c:pt idx="172">
                  <c:v>0.14641056440292033</c:v>
                </c:pt>
                <c:pt idx="173">
                  <c:v>0.14802705744976613</c:v>
                </c:pt>
                <c:pt idx="174">
                  <c:v>0.14965164300622971</c:v>
                </c:pt>
                <c:pt idx="175">
                  <c:v>0.15128430594075826</c:v>
                </c:pt>
                <c:pt idx="176">
                  <c:v>0.15292503108470104</c:v>
                </c:pt>
                <c:pt idx="177">
                  <c:v>0.1545738032324798</c:v>
                </c:pt>
                <c:pt idx="178">
                  <c:v>0.15623060714175108</c:v>
                </c:pt>
                <c:pt idx="179">
                  <c:v>0.15789542753356303</c:v>
                </c:pt>
                <c:pt idx="180">
                  <c:v>0.15956824909250439</c:v>
                </c:pt>
                <c:pt idx="181">
                  <c:v>0.16124905646684778</c:v>
                </c:pt>
                <c:pt idx="182">
                  <c:v>0.16293783426868544</c:v>
                </c:pt>
                <c:pt idx="183">
                  <c:v>0.16463456707405855</c:v>
                </c:pt>
                <c:pt idx="184">
                  <c:v>0.16633923942307938</c:v>
                </c:pt>
                <c:pt idx="185">
                  <c:v>0.16805183582004782</c:v>
                </c:pt>
                <c:pt idx="186">
                  <c:v>0.16977234073355935</c:v>
                </c:pt>
                <c:pt idx="187">
                  <c:v>0.17150073859660803</c:v>
                </c:pt>
                <c:pt idx="188">
                  <c:v>0.17323701380668133</c:v>
                </c:pt>
                <c:pt idx="189">
                  <c:v>0.17498115072584908</c:v>
                </c:pt>
                <c:pt idx="190">
                  <c:v>0.17673313368084528</c:v>
                </c:pt>
                <c:pt idx="191">
                  <c:v>0.17849294696314325</c:v>
                </c:pt>
                <c:pt idx="192">
                  <c:v>0.18026057482902361</c:v>
                </c:pt>
                <c:pt idx="193">
                  <c:v>0.18203600149963678</c:v>
                </c:pt>
                <c:pt idx="194">
                  <c:v>0.18381921116105701</c:v>
                </c:pt>
                <c:pt idx="195">
                  <c:v>0.18561018796433112</c:v>
                </c:pt>
                <c:pt idx="196">
                  <c:v>0.18740891602552004</c:v>
                </c:pt>
                <c:pt idx="197">
                  <c:v>0.18921537942573358</c:v>
                </c:pt>
                <c:pt idx="198">
                  <c:v>0.1910295622111588</c:v>
                </c:pt>
                <c:pt idx="199">
                  <c:v>0.19285144839308155</c:v>
                </c:pt>
                <c:pt idx="200">
                  <c:v>0.1946810219479021</c:v>
                </c:pt>
                <c:pt idx="201">
                  <c:v>0.19651826681714266</c:v>
                </c:pt>
                <c:pt idx="202">
                  <c:v>0.19836316690745057</c:v>
                </c:pt>
                <c:pt idx="203">
                  <c:v>0.20021570609059336</c:v>
                </c:pt>
                <c:pt idx="204">
                  <c:v>0.20207586820344756</c:v>
                </c:pt>
                <c:pt idx="205">
                  <c:v>0.20394363704798227</c:v>
                </c:pt>
                <c:pt idx="206">
                  <c:v>0.20581899639123438</c:v>
                </c:pt>
                <c:pt idx="207">
                  <c:v>0.20770192996527984</c:v>
                </c:pt>
                <c:pt idx="208">
                  <c:v>0.2095924214671967</c:v>
                </c:pt>
                <c:pt idx="209">
                  <c:v>0.21149045455902274</c:v>
                </c:pt>
                <c:pt idx="210">
                  <c:v>0.21339601286770735</c:v>
                </c:pt>
                <c:pt idx="211">
                  <c:v>0.21530907998505588</c:v>
                </c:pt>
                <c:pt idx="212">
                  <c:v>0.21722963946766993</c:v>
                </c:pt>
                <c:pt idx="213">
                  <c:v>0.21915767483687973</c:v>
                </c:pt>
                <c:pt idx="214">
                  <c:v>0.22109316957867178</c:v>
                </c:pt>
                <c:pt idx="215">
                  <c:v>0.22303610714360997</c:v>
                </c:pt>
                <c:pt idx="216">
                  <c:v>0.22498647094675139</c:v>
                </c:pt>
                <c:pt idx="217">
                  <c:v>0.22694424436755553</c:v>
                </c:pt>
                <c:pt idx="218">
                  <c:v>0.22890941074978902</c:v>
                </c:pt>
                <c:pt idx="219">
                  <c:v>0.2308819534014237</c:v>
                </c:pt>
                <c:pt idx="220">
                  <c:v>0.23286185559452932</c:v>
                </c:pt>
                <c:pt idx="221">
                  <c:v>0.23484910056516103</c:v>
                </c:pt>
                <c:pt idx="222">
                  <c:v>0.23684367151324132</c:v>
                </c:pt>
                <c:pt idx="223">
                  <c:v>0.23884555160243692</c:v>
                </c:pt>
                <c:pt idx="224">
                  <c:v>0.24085472396002941</c:v>
                </c:pt>
                <c:pt idx="225">
                  <c:v>0.24287117167678224</c:v>
                </c:pt>
                <c:pt idx="226">
                  <c:v>0.24489487780680097</c:v>
                </c:pt>
                <c:pt idx="227">
                  <c:v>0.24692582536738988</c:v>
                </c:pt>
                <c:pt idx="228">
                  <c:v>0.24896399733890257</c:v>
                </c:pt>
                <c:pt idx="229">
                  <c:v>0.25100937666458872</c:v>
                </c:pt>
                <c:pt idx="230">
                  <c:v>0.25306194625043521</c:v>
                </c:pt>
                <c:pt idx="231">
                  <c:v>0.25512168896500287</c:v>
                </c:pt>
                <c:pt idx="232">
                  <c:v>0.257188587639259</c:v>
                </c:pt>
                <c:pt idx="233">
                  <c:v>0.25926262506640474</c:v>
                </c:pt>
                <c:pt idx="234">
                  <c:v>0.26134378400169878</c:v>
                </c:pt>
                <c:pt idx="235">
                  <c:v>0.26343204716227625</c:v>
                </c:pt>
                <c:pt idx="236">
                  <c:v>0.2655273972269635</c:v>
                </c:pt>
                <c:pt idx="237">
                  <c:v>0.26762981683608889</c:v>
                </c:pt>
                <c:pt idx="238">
                  <c:v>0.26973928859128937</c:v>
                </c:pt>
                <c:pt idx="239">
                  <c:v>0.27185579505531415</c:v>
                </c:pt>
                <c:pt idx="240">
                  <c:v>0.27397931875182263</c:v>
                </c:pt>
                <c:pt idx="241">
                  <c:v>0.27610984216518064</c:v>
                </c:pt>
                <c:pt idx="242">
                  <c:v>0.27824734774025178</c:v>
                </c:pt>
                <c:pt idx="243">
                  <c:v>0.28039181788218609</c:v>
                </c:pt>
                <c:pt idx="244">
                  <c:v>0.28254323495620504</c:v>
                </c:pt>
                <c:pt idx="245">
                  <c:v>0.28470158128738315</c:v>
                </c:pt>
                <c:pt idx="246">
                  <c:v>0.28686683916042638</c:v>
                </c:pt>
                <c:pt idx="247">
                  <c:v>0.2890389908194485</c:v>
                </c:pt>
                <c:pt idx="248">
                  <c:v>0.29121801846774281</c:v>
                </c:pt>
                <c:pt idx="249">
                  <c:v>0.29340390426755297</c:v>
                </c:pt>
                <c:pt idx="250">
                  <c:v>0.29559663033983963</c:v>
                </c:pt>
                <c:pt idx="251">
                  <c:v>0.29779617876404524</c:v>
                </c:pt>
                <c:pt idx="252">
                  <c:v>0.30000253157785661</c:v>
                </c:pt>
                <c:pt idx="253">
                  <c:v>0.30221567077696448</c:v>
                </c:pt>
                <c:pt idx="254">
                  <c:v>0.3044355783148216</c:v>
                </c:pt>
                <c:pt idx="255">
                  <c:v>0.30666223610239818</c:v>
                </c:pt>
                <c:pt idx="256">
                  <c:v>0.30889562600793596</c:v>
                </c:pt>
                <c:pt idx="257">
                  <c:v>0.31113572985669996</c:v>
                </c:pt>
                <c:pt idx="258">
                  <c:v>0.31338252943072836</c:v>
                </c:pt>
                <c:pt idx="259">
                  <c:v>0.31563600646858192</c:v>
                </c:pt>
                <c:pt idx="260">
                  <c:v>0.31789614266509086</c:v>
                </c:pt>
                <c:pt idx="261">
                  <c:v>0.32016291967110067</c:v>
                </c:pt>
                <c:pt idx="262">
                  <c:v>0.32243631909321724</c:v>
                </c:pt>
                <c:pt idx="263">
                  <c:v>0.32471632249354965</c:v>
                </c:pt>
                <c:pt idx="264">
                  <c:v>0.32700291138945453</c:v>
                </c:pt>
                <c:pt idx="265">
                  <c:v>0.32929606725327654</c:v>
                </c:pt>
                <c:pt idx="266">
                  <c:v>0.33159577151209063</c:v>
                </c:pt>
                <c:pt idx="267">
                  <c:v>0.33390200554744232</c:v>
                </c:pt>
                <c:pt idx="268">
                  <c:v>0.33621475069508844</c:v>
                </c:pt>
                <c:pt idx="269">
                  <c:v>0.33853398824473696</c:v>
                </c:pt>
                <c:pt idx="270">
                  <c:v>0.34085969943978739</c:v>
                </c:pt>
                <c:pt idx="271">
                  <c:v>0.34319186547707053</c:v>
                </c:pt>
                <c:pt idx="272">
                  <c:v>0.34553046750658878</c:v>
                </c:pt>
                <c:pt idx="273">
                  <c:v>0.347875486631256</c:v>
                </c:pt>
                <c:pt idx="274">
                  <c:v>0.35022690390663941</c:v>
                </c:pt>
                <c:pt idx="275">
                  <c:v>0.35258470034069983</c:v>
                </c:pt>
                <c:pt idx="276">
                  <c:v>0.35494885689353473</c:v>
                </c:pt>
                <c:pt idx="277">
                  <c:v>0.3573193544771201</c:v>
                </c:pt>
                <c:pt idx="278">
                  <c:v>0.35969617395505532</c:v>
                </c:pt>
                <c:pt idx="279">
                  <c:v>0.36207929614230683</c:v>
                </c:pt>
                <c:pt idx="280">
                  <c:v>0.36446870180495516</c:v>
                </c:pt>
                <c:pt idx="281">
                  <c:v>0.36686437165994218</c:v>
                </c:pt>
                <c:pt idx="282">
                  <c:v>0.36926628637481962</c:v>
                </c:pt>
                <c:pt idx="283">
                  <c:v>0.37167442656750016</c:v>
                </c:pt>
                <c:pt idx="284">
                  <c:v>0.37408877280600911</c:v>
                </c:pt>
                <c:pt idx="285">
                  <c:v>0.37650930560823909</c:v>
                </c:pt>
                <c:pt idx="286">
                  <c:v>0.37893600544170608</c:v>
                </c:pt>
                <c:pt idx="287">
                  <c:v>0.38136885272330778</c:v>
                </c:pt>
                <c:pt idx="288">
                  <c:v>0.38380782781908429</c:v>
                </c:pt>
                <c:pt idx="289">
                  <c:v>0.38625291104398102</c:v>
                </c:pt>
                <c:pt idx="290">
                  <c:v>0.38870408266161421</c:v>
                </c:pt>
                <c:pt idx="291">
                  <c:v>0.39116132288403976</c:v>
                </c:pt>
                <c:pt idx="292">
                  <c:v>0.39362461187152392</c:v>
                </c:pt>
                <c:pt idx="293">
                  <c:v>0.39609392973231716</c:v>
                </c:pt>
                <c:pt idx="294">
                  <c:v>0.39856925652243225</c:v>
                </c:pt>
                <c:pt idx="295">
                  <c:v>0.40105915823803745</c:v>
                </c:pt>
                <c:pt idx="296">
                  <c:v>0.40356672214936129</c:v>
                </c:pt>
                <c:pt idx="297">
                  <c:v>0.40608021324365762</c:v>
                </c:pt>
                <c:pt idx="298">
                  <c:v>0.40859960862113898</c:v>
                </c:pt>
                <c:pt idx="299">
                  <c:v>0.41112488532583208</c:v>
                </c:pt>
                <c:pt idx="300">
                  <c:v>0.41365602034563326</c:v>
                </c:pt>
                <c:pt idx="301">
                  <c:v>0.41619299061236925</c:v>
                </c:pt>
                <c:pt idx="302">
                  <c:v>0.41873577300185716</c:v>
                </c:pt>
                <c:pt idx="303">
                  <c:v>0.42128434433396889</c:v>
                </c:pt>
                <c:pt idx="304">
                  <c:v>0.42383868137269703</c:v>
                </c:pt>
                <c:pt idx="305">
                  <c:v>0.42639876082622286</c:v>
                </c:pt>
                <c:pt idx="306">
                  <c:v>0.42896455934698768</c:v>
                </c:pt>
                <c:pt idx="307">
                  <c:v>0.43153605353176622</c:v>
                </c:pt>
                <c:pt idx="308">
                  <c:v>0.43411321992174196</c:v>
                </c:pt>
                <c:pt idx="309">
                  <c:v>0.43669603500258669</c:v>
                </c:pt>
                <c:pt idx="310">
                  <c:v>0.43928447520454028</c:v>
                </c:pt>
                <c:pt idx="311">
                  <c:v>0.44187851690249585</c:v>
                </c:pt>
                <c:pt idx="312">
                  <c:v>0.44447813641608563</c:v>
                </c:pt>
                <c:pt idx="313">
                  <c:v>0.44708331000977042</c:v>
                </c:pt>
                <c:pt idx="314">
                  <c:v>0.44969401389293218</c:v>
                </c:pt>
                <c:pt idx="315">
                  <c:v>0.45231022421996836</c:v>
                </c:pt>
                <c:pt idx="316">
                  <c:v>0.45493191709039066</c:v>
                </c:pt>
                <c:pt idx="317">
                  <c:v>0.45755906854892547</c:v>
                </c:pt>
                <c:pt idx="318">
                  <c:v>0.46019165458561828</c:v>
                </c:pt>
                <c:pt idx="319">
                  <c:v>0.4628296511359401</c:v>
                </c:pt>
                <c:pt idx="320">
                  <c:v>0.4654730340808983</c:v>
                </c:pt>
                <c:pt idx="321">
                  <c:v>0.46812177924714871</c:v>
                </c:pt>
                <c:pt idx="322">
                  <c:v>0.47077586240711333</c:v>
                </c:pt>
                <c:pt idx="323">
                  <c:v>0.47343525927909863</c:v>
                </c:pt>
                <c:pt idx="324">
                  <c:v>0.47609994552741908</c:v>
                </c:pt>
                <c:pt idx="325">
                  <c:v>0.47876989676252341</c:v>
                </c:pt>
                <c:pt idx="326">
                  <c:v>0.481445088541123</c:v>
                </c:pt>
                <c:pt idx="327">
                  <c:v>0.48412549636632596</c:v>
                </c:pt>
                <c:pt idx="328">
                  <c:v>0.48681109568777176</c:v>
                </c:pt>
                <c:pt idx="329">
                  <c:v>0.48950186190177208</c:v>
                </c:pt>
                <c:pt idx="330">
                  <c:v>0.49219777035145285</c:v>
                </c:pt>
                <c:pt idx="331">
                  <c:v>0.49489879632690142</c:v>
                </c:pt>
                <c:pt idx="332">
                  <c:v>0.49760491506531568</c:v>
                </c:pt>
                <c:pt idx="333">
                  <c:v>0.50031610175115804</c:v>
                </c:pt>
                <c:pt idx="334">
                  <c:v>0.50303233151631266</c:v>
                </c:pt>
                <c:pt idx="335">
                  <c:v>0.50575357944024546</c:v>
                </c:pt>
                <c:pt idx="336">
                  <c:v>0.50847982055016905</c:v>
                </c:pt>
                <c:pt idx="337">
                  <c:v>0.51121102982120969</c:v>
                </c:pt>
                <c:pt idx="338">
                  <c:v>0.51394718217658031</c:v>
                </c:pt>
                <c:pt idx="339">
                  <c:v>0.51668825248775363</c:v>
                </c:pt>
                <c:pt idx="340">
                  <c:v>0.51943421557464353</c:v>
                </c:pt>
                <c:pt idx="341">
                  <c:v>0.52218504620578576</c:v>
                </c:pt>
                <c:pt idx="342">
                  <c:v>0.52494071909852569</c:v>
                </c:pt>
                <c:pt idx="343">
                  <c:v>0.52770120891920769</c:v>
                </c:pt>
                <c:pt idx="344">
                  <c:v>0.53046649028336923</c:v>
                </c:pt>
                <c:pt idx="345">
                  <c:v>0.5332365377559396</c:v>
                </c:pt>
                <c:pt idx="346">
                  <c:v>0.53601132585144018</c:v>
                </c:pt>
                <c:pt idx="347">
                  <c:v>0.53879082903419118</c:v>
                </c:pt>
                <c:pt idx="348">
                  <c:v>0.5415750217185199</c:v>
                </c:pt>
                <c:pt idx="349">
                  <c:v>0.54436387826897492</c:v>
                </c:pt>
                <c:pt idx="350">
                  <c:v>0.54715737300054201</c:v>
                </c:pt>
                <c:pt idx="351">
                  <c:v>0.54995548017886664</c:v>
                </c:pt>
                <c:pt idx="352">
                  <c:v>0.55275817402047756</c:v>
                </c:pt>
                <c:pt idx="353">
                  <c:v>0.55556542869301606</c:v>
                </c:pt>
                <c:pt idx="354">
                  <c:v>0.55837721831546872</c:v>
                </c:pt>
                <c:pt idx="355">
                  <c:v>0.56119351695840358</c:v>
                </c:pt>
                <c:pt idx="356">
                  <c:v>0.56401429864421193</c:v>
                </c:pt>
                <c:pt idx="357">
                  <c:v>0.5668395373473506</c:v>
                </c:pt>
                <c:pt idx="358">
                  <c:v>0.569669206994593</c:v>
                </c:pt>
                <c:pt idx="359">
                  <c:v>0.57250328146527873</c:v>
                </c:pt>
                <c:pt idx="360">
                  <c:v>0.57534173459157223</c:v>
                </c:pt>
                <c:pt idx="361">
                  <c:v>0.57818454015872145</c:v>
                </c:pt>
                <c:pt idx="362">
                  <c:v>0.58103167190532279</c:v>
                </c:pt>
                <c:pt idx="363">
                  <c:v>0.58388310352358863</c:v>
                </c:pt>
                <c:pt idx="364">
                  <c:v>0.58673880865961903</c:v>
                </c:pt>
                <c:pt idx="365">
                  <c:v>0.58959876091367913</c:v>
                </c:pt>
                <c:pt idx="366">
                  <c:v>0.5924629338404771</c:v>
                </c:pt>
                <c:pt idx="367">
                  <c:v>0.59533130094944897</c:v>
                </c:pt>
                <c:pt idx="368">
                  <c:v>0.59820383570504565</c:v>
                </c:pt>
                <c:pt idx="369">
                  <c:v>0.60108051152702513</c:v>
                </c:pt>
                <c:pt idx="370">
                  <c:v>0.60396130179074614</c:v>
                </c:pt>
                <c:pt idx="371">
                  <c:v>0.60684617982747002</c:v>
                </c:pt>
                <c:pt idx="372">
                  <c:v>0.60973511892466126</c:v>
                </c:pt>
                <c:pt idx="373">
                  <c:v>0.61262809232629567</c:v>
                </c:pt>
                <c:pt idx="374">
                  <c:v>0.61552507323317074</c:v>
                </c:pt>
                <c:pt idx="375">
                  <c:v>0.61842603480321956</c:v>
                </c:pt>
                <c:pt idx="376">
                  <c:v>0.62133095015183049</c:v>
                </c:pt>
                <c:pt idx="377">
                  <c:v>0.62423979235216709</c:v>
                </c:pt>
                <c:pt idx="378">
                  <c:v>0.6271525344354959</c:v>
                </c:pt>
                <c:pt idx="379">
                  <c:v>0.63006914939151426</c:v>
                </c:pt>
                <c:pt idx="380">
                  <c:v>0.63298961016868416</c:v>
                </c:pt>
                <c:pt idx="381">
                  <c:v>0.63591388967456863</c:v>
                </c:pt>
                <c:pt idx="382">
                  <c:v>0.63884196077617295</c:v>
                </c:pt>
                <c:pt idx="383">
                  <c:v>0.6417737963002873</c:v>
                </c:pt>
                <c:pt idx="384">
                  <c:v>0.64470936903383558</c:v>
                </c:pt>
                <c:pt idx="385">
                  <c:v>0.64764865172422537</c:v>
                </c:pt>
                <c:pt idx="386">
                  <c:v>0.65059161707970348</c:v>
                </c:pt>
                <c:pt idx="387">
                  <c:v>0.65353823776971365</c:v>
                </c:pt>
                <c:pt idx="388">
                  <c:v>0.65648848642525803</c:v>
                </c:pt>
                <c:pt idx="389">
                  <c:v>0.65944233563926247</c:v>
                </c:pt>
                <c:pt idx="390">
                  <c:v>0.6623997579669435</c:v>
                </c:pt>
                <c:pt idx="391">
                  <c:v>0.66536072592618256</c:v>
                </c:pt>
                <c:pt idx="392">
                  <c:v>0.66832521199789829</c:v>
                </c:pt>
                <c:pt idx="393">
                  <c:v>0.67129318862642662</c:v>
                </c:pt>
                <c:pt idx="394">
                  <c:v>0.67426462821990074</c:v>
                </c:pt>
                <c:pt idx="395">
                  <c:v>0.6772395031506373</c:v>
                </c:pt>
                <c:pt idx="396">
                  <c:v>0.6802177857555225</c:v>
                </c:pt>
                <c:pt idx="397">
                  <c:v>0.68319944833640389</c:v>
                </c:pt>
                <c:pt idx="398">
                  <c:v>0.68618446316048476</c:v>
                </c:pt>
                <c:pt idx="399">
                  <c:v>0.68917280246071921</c:v>
                </c:pt>
                <c:pt idx="400">
                  <c:v>0.69216443843621434</c:v>
                </c:pt>
                <c:pt idx="401">
                  <c:v>0.69515934325262996</c:v>
                </c:pt>
                <c:pt idx="402">
                  <c:v>0.69815748904258768</c:v>
                </c:pt>
                <c:pt idx="403">
                  <c:v>0.70115884790607652</c:v>
                </c:pt>
                <c:pt idx="404">
                  <c:v>0.70416339191086574</c:v>
                </c:pt>
                <c:pt idx="405">
                  <c:v>0.70717109309291681</c:v>
                </c:pt>
                <c:pt idx="406">
                  <c:v>0.71018192345680242</c:v>
                </c:pt>
                <c:pt idx="407">
                  <c:v>0.71319585497612314</c:v>
                </c:pt>
                <c:pt idx="408">
                  <c:v>0.71621285959393011</c:v>
                </c:pt>
                <c:pt idx="409">
                  <c:v>0.71923290922314942</c:v>
                </c:pt>
                <c:pt idx="410">
                  <c:v>0.72225597574700773</c:v>
                </c:pt>
                <c:pt idx="411">
                  <c:v>0.72528203101946154</c:v>
                </c:pt>
                <c:pt idx="412">
                  <c:v>0.72831104686562842</c:v>
                </c:pt>
                <c:pt idx="413">
                  <c:v>0.73134299508222023</c:v>
                </c:pt>
                <c:pt idx="414">
                  <c:v>0.73437784743797807</c:v>
                </c:pt>
                <c:pt idx="415">
                  <c:v>0.73741557567411165</c:v>
                </c:pt>
                <c:pt idx="416">
                  <c:v>0.74045615150473676</c:v>
                </c:pt>
                <c:pt idx="417">
                  <c:v>0.74349954661731821</c:v>
                </c:pt>
                <c:pt idx="418">
                  <c:v>0.74654573267311342</c:v>
                </c:pt>
                <c:pt idx="419">
                  <c:v>0.74959468130761742</c:v>
                </c:pt>
                <c:pt idx="420">
                  <c:v>0.75264636413101083</c:v>
                </c:pt>
                <c:pt idx="421">
                  <c:v>0.75570075272860726</c:v>
                </c:pt>
                <c:pt idx="422">
                  <c:v>0.75875781866130554</c:v>
                </c:pt>
                <c:pt idx="423">
                  <c:v>0.76181753346604097</c:v>
                </c:pt>
                <c:pt idx="424">
                  <c:v>0.76487986865623958</c:v>
                </c:pt>
                <c:pt idx="425">
                  <c:v>0.76794479572227192</c:v>
                </c:pt>
                <c:pt idx="426">
                  <c:v>0.77101228613191164</c:v>
                </c:pt>
                <c:pt idx="427">
                  <c:v>0.77408231133079108</c:v>
                </c:pt>
                <c:pt idx="428">
                  <c:v>0.77715484274286106</c:v>
                </c:pt>
                <c:pt idx="429">
                  <c:v>0.78022985177085191</c:v>
                </c:pt>
                <c:pt idx="430">
                  <c:v>0.7833073097967328</c:v>
                </c:pt>
                <c:pt idx="431">
                  <c:v>0.78638718818217568</c:v>
                </c:pt>
                <c:pt idx="432">
                  <c:v>0.78946945826901616</c:v>
                </c:pt>
                <c:pt idx="433">
                  <c:v>0.79255409137972022</c:v>
                </c:pt>
                <c:pt idx="434">
                  <c:v>0.79564105881784619</c:v>
                </c:pt>
                <c:pt idx="435">
                  <c:v>0.79873033186851172</c:v>
                </c:pt>
                <c:pt idx="436">
                  <c:v>0.80182188179885894</c:v>
                </c:pt>
                <c:pt idx="437">
                  <c:v>0.80491567985852142</c:v>
                </c:pt>
                <c:pt idx="438">
                  <c:v>0.80801169728009015</c:v>
                </c:pt>
                <c:pt idx="439">
                  <c:v>0.81110990527958149</c:v>
                </c:pt>
                <c:pt idx="440">
                  <c:v>0.8142102750569048</c:v>
                </c:pt>
                <c:pt idx="441">
                  <c:v>0.8173127777963296</c:v>
                </c:pt>
                <c:pt idx="442">
                  <c:v>0.82041738466695369</c:v>
                </c:pt>
                <c:pt idx="443">
                  <c:v>0.82352406682317036</c:v>
                </c:pt>
                <c:pt idx="444">
                  <c:v>0.8266327954051379</c:v>
                </c:pt>
                <c:pt idx="445">
                  <c:v>0.82974354153924434</c:v>
                </c:pt>
                <c:pt idx="446">
                  <c:v>0.83285627633857851</c:v>
                </c:pt>
                <c:pt idx="447">
                  <c:v>0.83597097090339334</c:v>
                </c:pt>
                <c:pt idx="448">
                  <c:v>0.83908759632157581</c:v>
                </c:pt>
                <c:pt idx="449">
                  <c:v>0.8422061236691113</c:v>
                </c:pt>
                <c:pt idx="450">
                  <c:v>0.84532652401054953</c:v>
                </c:pt>
                <c:pt idx="451">
                  <c:v>0.84844876839947059</c:v>
                </c:pt>
                <c:pt idx="452">
                  <c:v>0.85157282787894817</c:v>
                </c:pt>
                <c:pt idx="453">
                  <c:v>0.85469867348201312</c:v>
                </c:pt>
                <c:pt idx="454">
                  <c:v>0.85782627623211649</c:v>
                </c:pt>
                <c:pt idx="455">
                  <c:v>0.86095560714359165</c:v>
                </c:pt>
                <c:pt idx="456">
                  <c:v>0.8640866372221131</c:v>
                </c:pt>
                <c:pt idx="457">
                  <c:v>0.86721933746515778</c:v>
                </c:pt>
                <c:pt idx="458">
                  <c:v>0.8703536788624614</c:v>
                </c:pt>
                <c:pt idx="459">
                  <c:v>0.87348963239647681</c:v>
                </c:pt>
                <c:pt idx="460">
                  <c:v>0.87662716904282822</c:v>
                </c:pt>
                <c:pt idx="461">
                  <c:v>0.87976625977076495</c:v>
                </c:pt>
                <c:pt idx="462">
                  <c:v>0.88290687554361535</c:v>
                </c:pt>
                <c:pt idx="463">
                  <c:v>0.88604898731923432</c:v>
                </c:pt>
                <c:pt idx="464">
                  <c:v>0.8891925660504556</c:v>
                </c:pt>
                <c:pt idx="465">
                  <c:v>0.89233758268553565</c:v>
                </c:pt>
                <c:pt idx="466">
                  <c:v>0.89548400816860074</c:v>
                </c:pt>
                <c:pt idx="467">
                  <c:v>0.89863181344008791</c:v>
                </c:pt>
                <c:pt idx="468">
                  <c:v>0.90178096943718855</c:v>
                </c:pt>
                <c:pt idx="469">
                  <c:v>0.90493144709428353</c:v>
                </c:pt>
                <c:pt idx="470">
                  <c:v>0.9080832173433826</c:v>
                </c:pt>
                <c:pt idx="471">
                  <c:v>0.91123625111455619</c:v>
                </c:pt>
                <c:pt idx="472">
                  <c:v>0.91439051933636817</c:v>
                </c:pt>
                <c:pt idx="473">
                  <c:v>0.9175459929363039</c:v>
                </c:pt>
                <c:pt idx="474">
                  <c:v>0.92070264284119674</c:v>
                </c:pt>
                <c:pt idx="475">
                  <c:v>0.92386043997765221</c:v>
                </c:pt>
                <c:pt idx="476">
                  <c:v>0.92701935527246748</c:v>
                </c:pt>
                <c:pt idx="477">
                  <c:v>0.93017935965305065</c:v>
                </c:pt>
                <c:pt idx="478">
                  <c:v>0.93334042404783413</c:v>
                </c:pt>
                <c:pt idx="479">
                  <c:v>0.93650251938668783</c:v>
                </c:pt>
                <c:pt idx="480">
                  <c:v>0.9396656166013263</c:v>
                </c:pt>
                <c:pt idx="481">
                  <c:v>0.94282968662571587</c:v>
                </c:pt>
                <c:pt idx="482">
                  <c:v>0.94599470039647515</c:v>
                </c:pt>
                <c:pt idx="483">
                  <c:v>0.94916062885327479</c:v>
                </c:pt>
                <c:pt idx="484">
                  <c:v>0.95232744293923222</c:v>
                </c:pt>
                <c:pt idx="485">
                  <c:v>0.95549511360130335</c:v>
                </c:pt>
                <c:pt idx="486">
                  <c:v>0.95866361179067117</c:v>
                </c:pt>
                <c:pt idx="487">
                  <c:v>0.96183290846312908</c:v>
                </c:pt>
                <c:pt idx="488">
                  <c:v>0.96500297457946282</c:v>
                </c:pt>
                <c:pt idx="489">
                  <c:v>0.96817378110582497</c:v>
                </c:pt>
                <c:pt idx="490">
                  <c:v>0.97134529901411015</c:v>
                </c:pt>
                <c:pt idx="491">
                  <c:v>0.97451749928232201</c:v>
                </c:pt>
                <c:pt idx="492">
                  <c:v>0.97769035289493789</c:v>
                </c:pt>
                <c:pt idx="493">
                  <c:v>0.98086383084327033</c:v>
                </c:pt>
                <c:pt idx="494">
                  <c:v>0.98403790412582137</c:v>
                </c:pt>
                <c:pt idx="495">
                  <c:v>0.98721254374863654</c:v>
                </c:pt>
                <c:pt idx="496">
                  <c:v>0.99038772072564984</c:v>
                </c:pt>
                <c:pt idx="497">
                  <c:v>0.99356340607902882</c:v>
                </c:pt>
                <c:pt idx="498">
                  <c:v>0.99673957083951126</c:v>
                </c:pt>
                <c:pt idx="499">
                  <c:v>0.99991618604673993</c:v>
                </c:pt>
                <c:pt idx="500">
                  <c:v>1</c:v>
                </c:pt>
              </c:numCache>
            </c:numRef>
          </c:xVal>
          <c:yVal>
            <c:numRef>
              <c:f>Data1!$J$1:$J$501</c:f>
              <c:numCache>
                <c:formatCode>0.000000</c:formatCode>
                <c:ptCount val="501"/>
                <c:pt idx="0">
                  <c:v>0</c:v>
                </c:pt>
                <c:pt idx="1">
                  <c:v>-3.9368448319307111E-4</c:v>
                </c:pt>
                <c:pt idx="2">
                  <c:v>-7.8563192151488313E-4</c:v>
                </c:pt>
                <c:pt idx="3">
                  <c:v>-1.1758415769458684E-3</c:v>
                </c:pt>
                <c:pt idx="4">
                  <c:v>-1.5643126775138037E-3</c:v>
                </c:pt>
                <c:pt idx="5">
                  <c:v>-1.9510444172825092E-3</c:v>
                </c:pt>
                <c:pt idx="6">
                  <c:v>-2.3360359563804785E-3</c:v>
                </c:pt>
                <c:pt idx="7">
                  <c:v>-2.71928642103459E-3</c:v>
                </c:pt>
                <c:pt idx="8">
                  <c:v>-3.1007949036231264E-3</c:v>
                </c:pt>
                <c:pt idx="9">
                  <c:v>-3.480560462747188E-3</c:v>
                </c:pt>
                <c:pt idx="10">
                  <c:v>-3.8585821233177095E-3</c:v>
                </c:pt>
                <c:pt idx="11">
                  <c:v>-4.2348588766604692E-3</c:v>
                </c:pt>
                <c:pt idx="12">
                  <c:v>-4.6093896806366236E-3</c:v>
                </c:pt>
                <c:pt idx="13">
                  <c:v>-4.9821734597804588E-3</c:v>
                </c:pt>
                <c:pt idx="14">
                  <c:v>-5.3532091054550052E-3</c:v>
                </c:pt>
                <c:pt idx="15">
                  <c:v>-5.7224954760235905E-3</c:v>
                </c:pt>
                <c:pt idx="16">
                  <c:v>-6.090031397036645E-3</c:v>
                </c:pt>
                <c:pt idx="17">
                  <c:v>-6.4558156614388943E-3</c:v>
                </c:pt>
                <c:pt idx="18">
                  <c:v>-6.8198470297888636E-3</c:v>
                </c:pt>
                <c:pt idx="19">
                  <c:v>-7.1821242304989019E-3</c:v>
                </c:pt>
                <c:pt idx="20">
                  <c:v>-7.5426459600881606E-3</c:v>
                </c:pt>
                <c:pt idx="21">
                  <c:v>-7.9014108834549457E-3</c:v>
                </c:pt>
                <c:pt idx="22">
                  <c:v>-8.2584176341638903E-3</c:v>
                </c:pt>
                <c:pt idx="23">
                  <c:v>-8.6136648147501823E-3</c:v>
                </c:pt>
                <c:pt idx="24">
                  <c:v>-8.9671509970392169E-3</c:v>
                </c:pt>
                <c:pt idx="25">
                  <c:v>-9.3188747224839455E-3</c:v>
                </c:pt>
                <c:pt idx="26">
                  <c:v>-9.6688345025163422E-3</c:v>
                </c:pt>
                <c:pt idx="27">
                  <c:v>-1.0017028818917344E-2</c:v>
                </c:pt>
                <c:pt idx="28">
                  <c:v>-1.0363456124200662E-2</c:v>
                </c:pt>
                <c:pt idx="29">
                  <c:v>-1.0708114842013611E-2</c:v>
                </c:pt>
                <c:pt idx="30">
                  <c:v>-1.1051003367554088E-2</c:v>
                </c:pt>
                <c:pt idx="31">
                  <c:v>-1.1392120068001521E-2</c:v>
                </c:pt>
                <c:pt idx="32">
                  <c:v>-1.1731463282965992E-2</c:v>
                </c:pt>
                <c:pt idx="33">
                  <c:v>-1.2069031324951102E-2</c:v>
                </c:pt>
                <c:pt idx="34">
                  <c:v>-1.2404822479832671E-2</c:v>
                </c:pt>
                <c:pt idx="35">
                  <c:v>-1.2738835007353021E-2</c:v>
                </c:pt>
                <c:pt idx="36">
                  <c:v>-1.3071067141630822E-2</c:v>
                </c:pt>
                <c:pt idx="37">
                  <c:v>-1.3401517091685373E-2</c:v>
                </c:pt>
                <c:pt idx="38">
                  <c:v>-1.3730183041976282E-2</c:v>
                </c:pt>
                <c:pt idx="39">
                  <c:v>-1.4057063152958255E-2</c:v>
                </c:pt>
                <c:pt idx="40">
                  <c:v>-1.4382155561650413E-2</c:v>
                </c:pt>
                <c:pt idx="41">
                  <c:v>-1.470545838222059E-2</c:v>
                </c:pt>
                <c:pt idx="42">
                  <c:v>-1.5026969706583787E-2</c:v>
                </c:pt>
                <c:pt idx="43">
                  <c:v>-1.5346687605015365E-2</c:v>
                </c:pt>
                <c:pt idx="44">
                  <c:v>-1.5664610126778729E-2</c:v>
                </c:pt>
                <c:pt idx="45">
                  <c:v>-1.5980735300766904E-2</c:v>
                </c:pt>
                <c:pt idx="46">
                  <c:v>-1.6295061136158303E-2</c:v>
                </c:pt>
                <c:pt idx="47">
                  <c:v>-1.6607585623086167E-2</c:v>
                </c:pt>
                <c:pt idx="48">
                  <c:v>-1.6918306733322515E-2</c:v>
                </c:pt>
                <c:pt idx="49">
                  <c:v>-1.7227222420974686E-2</c:v>
                </c:pt>
                <c:pt idx="50">
                  <c:v>-1.7534330623196377E-2</c:v>
                </c:pt>
                <c:pt idx="51">
                  <c:v>-1.7839629260911344E-2</c:v>
                </c:pt>
                <c:pt idx="52">
                  <c:v>-1.8143116239550786E-2</c:v>
                </c:pt>
                <c:pt idx="53">
                  <c:v>-1.8444789449803493E-2</c:v>
                </c:pt>
                <c:pt idx="54">
                  <c:v>-1.8744646768378708E-2</c:v>
                </c:pt>
                <c:pt idx="55">
                  <c:v>-1.9042686058782465E-2</c:v>
                </c:pt>
                <c:pt idx="56">
                  <c:v>-1.9338905172105573E-2</c:v>
                </c:pt>
                <c:pt idx="57">
                  <c:v>-1.96333019478248E-2</c:v>
                </c:pt>
                <c:pt idx="58">
                  <c:v>-1.9925874214615773E-2</c:v>
                </c:pt>
                <c:pt idx="59">
                  <c:v>-2.021661979117817E-2</c:v>
                </c:pt>
                <c:pt idx="60">
                  <c:v>-2.050553648707298E-2</c:v>
                </c:pt>
                <c:pt idx="61">
                  <c:v>-2.079262210357111E-2</c:v>
                </c:pt>
                <c:pt idx="62">
                  <c:v>-2.1077874434513918E-2</c:v>
                </c:pt>
                <c:pt idx="63">
                  <c:v>-2.1361291267184966E-2</c:v>
                </c:pt>
                <c:pt idx="64">
                  <c:v>-2.1642870383192788E-2</c:v>
                </c:pt>
                <c:pt idx="65">
                  <c:v>-2.1922609559365244E-2</c:v>
                </c:pt>
                <c:pt idx="66">
                  <c:v>-2.2200506568653952E-2</c:v>
                </c:pt>
                <c:pt idx="67">
                  <c:v>-2.2476559181049943E-2</c:v>
                </c:pt>
                <c:pt idx="68">
                  <c:v>-2.2750765164509548E-2</c:v>
                </c:pt>
                <c:pt idx="69">
                  <c:v>-2.3023122285890426E-2</c:v>
                </c:pt>
                <c:pt idx="70">
                  <c:v>-2.3293628311898067E-2</c:v>
                </c:pt>
                <c:pt idx="71">
                  <c:v>-2.3562281010041462E-2</c:v>
                </c:pt>
                <c:pt idx="72">
                  <c:v>-2.3829078149599267E-2</c:v>
                </c:pt>
                <c:pt idx="73">
                  <c:v>-2.4094017502594677E-2</c:v>
                </c:pt>
                <c:pt idx="74">
                  <c:v>-2.4357096844780182E-2</c:v>
                </c:pt>
                <c:pt idx="75">
                  <c:v>-2.4618313956630916E-2</c:v>
                </c:pt>
                <c:pt idx="76">
                  <c:v>-2.4877666624346921E-2</c:v>
                </c:pt>
                <c:pt idx="77">
                  <c:v>-2.513515264086456E-2</c:v>
                </c:pt>
                <c:pt idx="78">
                  <c:v>-2.53907698068754E-2</c:v>
                </c:pt>
                <c:pt idx="79">
                  <c:v>-2.5644515931854316E-2</c:v>
                </c:pt>
                <c:pt idx="80">
                  <c:v>-2.589638883509477E-2</c:v>
                </c:pt>
                <c:pt idx="81">
                  <c:v>-2.6146386346752412E-2</c:v>
                </c:pt>
                <c:pt idx="82">
                  <c:v>-2.6394506308895969E-2</c:v>
                </c:pt>
                <c:pt idx="83">
                  <c:v>-2.6640746576565465E-2</c:v>
                </c:pt>
                <c:pt idx="84">
                  <c:v>-2.6885105018837674E-2</c:v>
                </c:pt>
                <c:pt idx="85">
                  <c:v>-2.7127579519898318E-2</c:v>
                </c:pt>
                <c:pt idx="86">
                  <c:v>-2.7368167980121125E-2</c:v>
                </c:pt>
                <c:pt idx="87">
                  <c:v>-2.7606868317152967E-2</c:v>
                </c:pt>
                <c:pt idx="88">
                  <c:v>-2.7843678467005573E-2</c:v>
                </c:pt>
                <c:pt idx="89">
                  <c:v>-2.807859638515299E-2</c:v>
                </c:pt>
                <c:pt idx="90">
                  <c:v>-2.8311620047634718E-2</c:v>
                </c:pt>
                <c:pt idx="91">
                  <c:v>-2.8542747452164546E-2</c:v>
                </c:pt>
                <c:pt idx="92">
                  <c:v>-2.8771976619244521E-2</c:v>
                </c:pt>
                <c:pt idx="93">
                  <c:v>-2.899930559328389E-2</c:v>
                </c:pt>
                <c:pt idx="94">
                  <c:v>-2.9224732443722898E-2</c:v>
                </c:pt>
                <c:pt idx="95">
                  <c:v>-2.9448255266161176E-2</c:v>
                </c:pt>
                <c:pt idx="96">
                  <c:v>-2.9669872183490258E-2</c:v>
                </c:pt>
                <c:pt idx="97">
                  <c:v>-2.9889581347030198E-2</c:v>
                </c:pt>
                <c:pt idx="98">
                  <c:v>-3.0107380937670247E-2</c:v>
                </c:pt>
                <c:pt idx="99">
                  <c:v>-3.0323269167012702E-2</c:v>
                </c:pt>
                <c:pt idx="100">
                  <c:v>-3.053724427852024E-2</c:v>
                </c:pt>
                <c:pt idx="101">
                  <c:v>-3.0749304548666444E-2</c:v>
                </c:pt>
                <c:pt idx="102">
                  <c:v>-3.09594482880889E-2</c:v>
                </c:pt>
                <c:pt idx="103">
                  <c:v>-3.1167673842745117E-2</c:v>
                </c:pt>
                <c:pt idx="104">
                  <c:v>-3.1373979595070475E-2</c:v>
                </c:pt>
                <c:pt idx="105">
                  <c:v>-3.1578363965138426E-2</c:v>
                </c:pt>
                <c:pt idx="106">
                  <c:v>-3.1780825411822554E-2</c:v>
                </c:pt>
                <c:pt idx="107">
                  <c:v>-3.1981362433959874E-2</c:v>
                </c:pt>
                <c:pt idx="108">
                  <c:v>-3.2179973571515919E-2</c:v>
                </c:pt>
                <c:pt idx="109">
                  <c:v>-3.2376657406750282E-2</c:v>
                </c:pt>
                <c:pt idx="110">
                  <c:v>-3.2571412565383512E-2</c:v>
                </c:pt>
                <c:pt idx="111">
                  <c:v>-3.2764237717764023E-2</c:v>
                </c:pt>
                <c:pt idx="112">
                  <c:v>-3.295513158003574E-2</c:v>
                </c:pt>
                <c:pt idx="113">
                  <c:v>-3.3144092915305366E-2</c:v>
                </c:pt>
                <c:pt idx="114">
                  <c:v>-3.3331120534809577E-2</c:v>
                </c:pt>
                <c:pt idx="115">
                  <c:v>-3.3516213299081762E-2</c:v>
                </c:pt>
                <c:pt idx="116">
                  <c:v>-3.3699370119117798E-2</c:v>
                </c:pt>
                <c:pt idx="117">
                  <c:v>-3.3880589957541028E-2</c:v>
                </c:pt>
                <c:pt idx="118">
                  <c:v>-3.4059871829765671E-2</c:v>
                </c:pt>
                <c:pt idx="119">
                  <c:v>-3.4237214805158914E-2</c:v>
                </c:pt>
                <c:pt idx="120">
                  <c:v>-3.4412618008201154E-2</c:v>
                </c:pt>
                <c:pt idx="121">
                  <c:v>-3.4586080619643897E-2</c:v>
                </c:pt>
                <c:pt idx="122">
                  <c:v>-3.4757601877665696E-2</c:v>
                </c:pt>
                <c:pt idx="123">
                  <c:v>-3.4927181079025212E-2</c:v>
                </c:pt>
                <c:pt idx="124">
                  <c:v>-3.5094817580211497E-2</c:v>
                </c:pt>
                <c:pt idx="125">
                  <c:v>-3.5260510798591146E-2</c:v>
                </c:pt>
                <c:pt idx="126">
                  <c:v>-3.5424260213552022E-2</c:v>
                </c:pt>
                <c:pt idx="127">
                  <c:v>-3.5586065367643374E-2</c:v>
                </c:pt>
                <c:pt idx="128">
                  <c:v>-3.5745925867711921E-2</c:v>
                </c:pt>
                <c:pt idx="129">
                  <c:v>-3.5903841386033933E-2</c:v>
                </c:pt>
                <c:pt idx="130">
                  <c:v>-3.6059811661442669E-2</c:v>
                </c:pt>
                <c:pt idx="131">
                  <c:v>-3.6213836500451214E-2</c:v>
                </c:pt>
                <c:pt idx="132">
                  <c:v>-3.6365915778370367E-2</c:v>
                </c:pt>
                <c:pt idx="133">
                  <c:v>-3.6516049440421167E-2</c:v>
                </c:pt>
                <c:pt idx="134">
                  <c:v>-3.6664237502842027E-2</c:v>
                </c:pt>
                <c:pt idx="135">
                  <c:v>-3.6810480053990138E-2</c:v>
                </c:pt>
                <c:pt idx="136">
                  <c:v>-3.6954777255436735E-2</c:v>
                </c:pt>
                <c:pt idx="137">
                  <c:v>-3.7097129343056104E-2</c:v>
                </c:pt>
                <c:pt idx="138">
                  <c:v>-3.7237536628108241E-2</c:v>
                </c:pt>
                <c:pt idx="139">
                  <c:v>-3.7375999498314327E-2</c:v>
                </c:pt>
                <c:pt idx="140">
                  <c:v>-3.751251841892566E-2</c:v>
                </c:pt>
                <c:pt idx="141">
                  <c:v>-3.7647093933784744E-2</c:v>
                </c:pt>
                <c:pt idx="142">
                  <c:v>-3.7779726666379132E-2</c:v>
                </c:pt>
                <c:pt idx="143">
                  <c:v>-3.7910417320887367E-2</c:v>
                </c:pt>
                <c:pt idx="144">
                  <c:v>-3.8039166683216795E-2</c:v>
                </c:pt>
                <c:pt idx="145">
                  <c:v>-3.8165975622033145E-2</c:v>
                </c:pt>
                <c:pt idx="146">
                  <c:v>-3.8290845089781263E-2</c:v>
                </c:pt>
                <c:pt idx="147">
                  <c:v>-3.8413776123697313E-2</c:v>
                </c:pt>
                <c:pt idx="148">
                  <c:v>-3.8534769846811638E-2</c:v>
                </c:pt>
                <c:pt idx="149">
                  <c:v>-3.8653827468942421E-2</c:v>
                </c:pt>
                <c:pt idx="150">
                  <c:v>-3.8770950287679615E-2</c:v>
                </c:pt>
                <c:pt idx="151">
                  <c:v>-3.8886139689359153E-2</c:v>
                </c:pt>
                <c:pt idx="152">
                  <c:v>-3.8999397150026899E-2</c:v>
                </c:pt>
                <c:pt idx="153">
                  <c:v>-3.9110724236392461E-2</c:v>
                </c:pt>
                <c:pt idx="154">
                  <c:v>-3.9220122606772184E-2</c:v>
                </c:pt>
                <c:pt idx="155">
                  <c:v>-3.9327594012021488E-2</c:v>
                </c:pt>
                <c:pt idx="156">
                  <c:v>-3.9433140296456046E-2</c:v>
                </c:pt>
                <c:pt idx="157">
                  <c:v>-3.9536763398761658E-2</c:v>
                </c:pt>
                <c:pt idx="158">
                  <c:v>-3.9638465352892518E-2</c:v>
                </c:pt>
                <c:pt idx="159">
                  <c:v>-3.9738248288957792E-2</c:v>
                </c:pt>
                <c:pt idx="160">
                  <c:v>-3.9836114434096043E-2</c:v>
                </c:pt>
                <c:pt idx="161">
                  <c:v>-3.9932066113337578E-2</c:v>
                </c:pt>
                <c:pt idx="162">
                  <c:v>-4.0026105750453921E-2</c:v>
                </c:pt>
                <c:pt idx="163">
                  <c:v>-4.0118235868794982E-2</c:v>
                </c:pt>
                <c:pt idx="164">
                  <c:v>-4.0208459092113021E-2</c:v>
                </c:pt>
                <c:pt idx="165">
                  <c:v>-4.0296778145373455E-2</c:v>
                </c:pt>
                <c:pt idx="166">
                  <c:v>-4.0383195855552223E-2</c:v>
                </c:pt>
                <c:pt idx="167">
                  <c:v>-4.0467715152419599E-2</c:v>
                </c:pt>
                <c:pt idx="168">
                  <c:v>-4.0550339069310083E-2</c:v>
                </c:pt>
                <c:pt idx="169">
                  <c:v>-4.0631070743878173E-2</c:v>
                </c:pt>
                <c:pt idx="170">
                  <c:v>-4.0709913418839797E-2</c:v>
                </c:pt>
                <c:pt idx="171">
                  <c:v>-4.0786870442699449E-2</c:v>
                </c:pt>
                <c:pt idx="172">
                  <c:v>-4.0861945270462323E-2</c:v>
                </c:pt>
                <c:pt idx="173">
                  <c:v>-4.0935141464331595E-2</c:v>
                </c:pt>
                <c:pt idx="174">
                  <c:v>-4.1006462694390552E-2</c:v>
                </c:pt>
                <c:pt idx="175">
                  <c:v>-4.1075912739269443E-2</c:v>
                </c:pt>
                <c:pt idx="176">
                  <c:v>-4.1143495486796522E-2</c:v>
                </c:pt>
                <c:pt idx="177">
                  <c:v>-4.1209214934633594E-2</c:v>
                </c:pt>
                <c:pt idx="178">
                  <c:v>-4.127307519089532E-2</c:v>
                </c:pt>
                <c:pt idx="179">
                  <c:v>-4.1335080474752664E-2</c:v>
                </c:pt>
                <c:pt idx="180">
                  <c:v>-4.1395235117019501E-2</c:v>
                </c:pt>
                <c:pt idx="181">
                  <c:v>-4.1453543560723199E-2</c:v>
                </c:pt>
                <c:pt idx="182">
                  <c:v>-4.1510010361658009E-2</c:v>
                </c:pt>
                <c:pt idx="183">
                  <c:v>-4.1564640188921739E-2</c:v>
                </c:pt>
                <c:pt idx="184">
                  <c:v>-4.1617437825435241E-2</c:v>
                </c:pt>
                <c:pt idx="185">
                  <c:v>-4.1668408168444547E-2</c:v>
                </c:pt>
                <c:pt idx="186">
                  <c:v>-4.1717556230005524E-2</c:v>
                </c:pt>
                <c:pt idx="187">
                  <c:v>-4.1764887137450878E-2</c:v>
                </c:pt>
                <c:pt idx="188">
                  <c:v>-4.1810406133839337E-2</c:v>
                </c:pt>
                <c:pt idx="189">
                  <c:v>-4.1854118578386661E-2</c:v>
                </c:pt>
                <c:pt idx="190">
                  <c:v>-4.1896029946878653E-2</c:v>
                </c:pt>
                <c:pt idx="191">
                  <c:v>-4.193614583206573E-2</c:v>
                </c:pt>
                <c:pt idx="192">
                  <c:v>-4.1974471944038833E-2</c:v>
                </c:pt>
                <c:pt idx="193">
                  <c:v>-4.2011014110586935E-2</c:v>
                </c:pt>
                <c:pt idx="194">
                  <c:v>-4.204577827753548E-2</c:v>
                </c:pt>
                <c:pt idx="195">
                  <c:v>-4.207877050906586E-2</c:v>
                </c:pt>
                <c:pt idx="196">
                  <c:v>-4.210999698801586E-2</c:v>
                </c:pt>
                <c:pt idx="197">
                  <c:v>-4.2139464016160706E-2</c:v>
                </c:pt>
                <c:pt idx="198">
                  <c:v>-4.2167178014474567E-2</c:v>
                </c:pt>
                <c:pt idx="199">
                  <c:v>-4.2193145523372777E-2</c:v>
                </c:pt>
                <c:pt idx="200">
                  <c:v>-4.2217373202933992E-2</c:v>
                </c:pt>
                <c:pt idx="201">
                  <c:v>-4.223986783310274E-2</c:v>
                </c:pt>
                <c:pt idx="202">
                  <c:v>-4.2260636313871759E-2</c:v>
                </c:pt>
                <c:pt idx="203">
                  <c:v>-4.2279685665444475E-2</c:v>
                </c:pt>
                <c:pt idx="204">
                  <c:v>-4.2297023028376929E-2</c:v>
                </c:pt>
                <c:pt idx="205">
                  <c:v>-4.2312655663699635E-2</c:v>
                </c:pt>
                <c:pt idx="206">
                  <c:v>-4.2326590953018564E-2</c:v>
                </c:pt>
                <c:pt idx="207">
                  <c:v>-4.2338836398596078E-2</c:v>
                </c:pt>
                <c:pt idx="208">
                  <c:v>-4.23493996234105E-2</c:v>
                </c:pt>
                <c:pt idx="209">
                  <c:v>-4.2358288371195325E-2</c:v>
                </c:pt>
                <c:pt idx="210">
                  <c:v>-4.2365510506457323E-2</c:v>
                </c:pt>
                <c:pt idx="211">
                  <c:v>-4.2371074014473625E-2</c:v>
                </c:pt>
                <c:pt idx="212">
                  <c:v>-4.2374987001267635E-2</c:v>
                </c:pt>
                <c:pt idx="213">
                  <c:v>-4.237725769356375E-2</c:v>
                </c:pt>
                <c:pt idx="214">
                  <c:v>-4.2377894438720851E-2</c:v>
                </c:pt>
                <c:pt idx="215">
                  <c:v>-4.2376905704644113E-2</c:v>
                </c:pt>
                <c:pt idx="216">
                  <c:v>-4.2374300079675686E-2</c:v>
                </c:pt>
                <c:pt idx="217">
                  <c:v>-4.2370086272463511E-2</c:v>
                </c:pt>
                <c:pt idx="218">
                  <c:v>-4.2364273111808598E-2</c:v>
                </c:pt>
                <c:pt idx="219">
                  <c:v>-4.235686954649065E-2</c:v>
                </c:pt>
                <c:pt idx="220">
                  <c:v>-4.2347884645071748E-2</c:v>
                </c:pt>
                <c:pt idx="221">
                  <c:v>-4.2337327595678369E-2</c:v>
                </c:pt>
                <c:pt idx="222">
                  <c:v>-4.2325207705761231E-2</c:v>
                </c:pt>
                <c:pt idx="223">
                  <c:v>-4.2311534401833509E-2</c:v>
                </c:pt>
                <c:pt idx="224">
                  <c:v>-4.2296317229186628E-2</c:v>
                </c:pt>
                <c:pt idx="225">
                  <c:v>-4.2279565851584378E-2</c:v>
                </c:pt>
                <c:pt idx="226">
                  <c:v>-4.2261290050934611E-2</c:v>
                </c:pt>
                <c:pt idx="227">
                  <c:v>-4.22414997269389E-2</c:v>
                </c:pt>
                <c:pt idx="228">
                  <c:v>-4.2220204896720057E-2</c:v>
                </c:pt>
                <c:pt idx="229">
                  <c:v>-4.2197415694427212E-2</c:v>
                </c:pt>
                <c:pt idx="230">
                  <c:v>-4.2173142370818886E-2</c:v>
                </c:pt>
                <c:pt idx="231">
                  <c:v>-4.2147395292823665E-2</c:v>
                </c:pt>
                <c:pt idx="232">
                  <c:v>-4.2120184943078412E-2</c:v>
                </c:pt>
                <c:pt idx="233">
                  <c:v>-4.2091521919444458E-2</c:v>
                </c:pt>
                <c:pt idx="234">
                  <c:v>-4.2061416934501189E-2</c:v>
                </c:pt>
                <c:pt idx="235">
                  <c:v>-4.2029880815017448E-2</c:v>
                </c:pt>
                <c:pt idx="236">
                  <c:v>-4.1996924501400537E-2</c:v>
                </c:pt>
                <c:pt idx="237">
                  <c:v>-4.1962559047122761E-2</c:v>
                </c:pt>
                <c:pt idx="238">
                  <c:v>-4.1926795618125817E-2</c:v>
                </c:pt>
                <c:pt idx="239">
                  <c:v>-4.1889645492202657E-2</c:v>
                </c:pt>
                <c:pt idx="240">
                  <c:v>-4.1851120058357158E-2</c:v>
                </c:pt>
                <c:pt idx="241">
                  <c:v>-4.1811230816141368E-2</c:v>
                </c:pt>
                <c:pt idx="242">
                  <c:v>-4.1769989374970534E-2</c:v>
                </c:pt>
                <c:pt idx="243">
                  <c:v>-4.1727407453415744E-2</c:v>
                </c:pt>
                <c:pt idx="244">
                  <c:v>-4.1683496878474544E-2</c:v>
                </c:pt>
                <c:pt idx="245">
                  <c:v>-4.1638269584819018E-2</c:v>
                </c:pt>
                <c:pt idx="246">
                  <c:v>-4.1591737614022045E-2</c:v>
                </c:pt>
                <c:pt idx="247">
                  <c:v>-4.1543913113761141E-2</c:v>
                </c:pt>
                <c:pt idx="248">
                  <c:v>-4.1494808337000394E-2</c:v>
                </c:pt>
                <c:pt idx="249">
                  <c:v>-4.144443564115019E-2</c:v>
                </c:pt>
                <c:pt idx="250">
                  <c:v>-4.1392807487205141E-2</c:v>
                </c:pt>
                <c:pt idx="251">
                  <c:v>-4.1339936438859935E-2</c:v>
                </c:pt>
                <c:pt idx="252">
                  <c:v>-4.1285835161603265E-2</c:v>
                </c:pt>
                <c:pt idx="253">
                  <c:v>-4.1230516421790389E-2</c:v>
                </c:pt>
                <c:pt idx="254">
                  <c:v>-4.1173993085693215E-2</c:v>
                </c:pt>
                <c:pt idx="255">
                  <c:v>-4.1116278118529387E-2</c:v>
                </c:pt>
                <c:pt idx="256">
                  <c:v>-4.105738458346956E-2</c:v>
                </c:pt>
                <c:pt idx="257">
                  <c:v>-4.0997325640622959E-2</c:v>
                </c:pt>
                <c:pt idx="258">
                  <c:v>-4.0936114546002031E-2</c:v>
                </c:pt>
                <c:pt idx="259">
                  <c:v>-4.087376465046523E-2</c:v>
                </c:pt>
                <c:pt idx="260">
                  <c:v>-4.0810289398638941E-2</c:v>
                </c:pt>
                <c:pt idx="261">
                  <c:v>-4.0745702327818212E-2</c:v>
                </c:pt>
                <c:pt idx="262">
                  <c:v>-4.0680017066846388E-2</c:v>
                </c:pt>
                <c:pt idx="263">
                  <c:v>-4.0613247334973845E-2</c:v>
                </c:pt>
                <c:pt idx="264">
                  <c:v>-4.0545406940696083E-2</c:v>
                </c:pt>
                <c:pt idx="265">
                  <c:v>-4.0476509780570921E-2</c:v>
                </c:pt>
                <c:pt idx="266">
                  <c:v>-4.0406569838015161E-2</c:v>
                </c:pt>
                <c:pt idx="267">
                  <c:v>-4.0335601182081196E-2</c:v>
                </c:pt>
                <c:pt idx="268">
                  <c:v>-4.0263617966212584E-2</c:v>
                </c:pt>
                <c:pt idx="269">
                  <c:v>-4.019063442698028E-2</c:v>
                </c:pt>
                <c:pt idx="270">
                  <c:v>-4.0116664882798109E-2</c:v>
                </c:pt>
                <c:pt idx="271">
                  <c:v>-4.0041723732618856E-2</c:v>
                </c:pt>
                <c:pt idx="272">
                  <c:v>-3.9965825454610374E-2</c:v>
                </c:pt>
                <c:pt idx="273">
                  <c:v>-3.9888984604812022E-2</c:v>
                </c:pt>
                <c:pt idx="274">
                  <c:v>-3.9811215815772141E-2</c:v>
                </c:pt>
                <c:pt idx="275">
                  <c:v>-3.9732533795165302E-2</c:v>
                </c:pt>
                <c:pt idx="276">
                  <c:v>-3.9652953324391622E-2</c:v>
                </c:pt>
                <c:pt idx="277">
                  <c:v>-3.9572489257156035E-2</c:v>
                </c:pt>
                <c:pt idx="278">
                  <c:v>-3.9491156518029646E-2</c:v>
                </c:pt>
                <c:pt idx="279">
                  <c:v>-3.9408970100991703E-2</c:v>
                </c:pt>
                <c:pt idx="280">
                  <c:v>-3.9325945067953838E-2</c:v>
                </c:pt>
                <c:pt idx="281">
                  <c:v>-3.9242096547265487E-2</c:v>
                </c:pt>
                <c:pt idx="282">
                  <c:v>-3.915743973220176E-2</c:v>
                </c:pt>
                <c:pt idx="283">
                  <c:v>-3.9071989879432771E-2</c:v>
                </c:pt>
                <c:pt idx="284">
                  <c:v>-3.8985762307476107E-2</c:v>
                </c:pt>
                <c:pt idx="285">
                  <c:v>-3.8898772395131079E-2</c:v>
                </c:pt>
                <c:pt idx="286">
                  <c:v>-3.8811035579896042E-2</c:v>
                </c:pt>
                <c:pt idx="287">
                  <c:v>-3.8722567356368746E-2</c:v>
                </c:pt>
                <c:pt idx="288">
                  <c:v>-3.863338327462941E-2</c:v>
                </c:pt>
                <c:pt idx="289">
                  <c:v>-3.8543498938607625E-2</c:v>
                </c:pt>
                <c:pt idx="290">
                  <c:v>-3.8452930004432354E-2</c:v>
                </c:pt>
                <c:pt idx="291">
                  <c:v>-3.8361692178766019E-2</c:v>
                </c:pt>
                <c:pt idx="292">
                  <c:v>-3.8269801217122645E-2</c:v>
                </c:pt>
                <c:pt idx="293">
                  <c:v>-3.8177272922169915E-2</c:v>
                </c:pt>
                <c:pt idx="294">
                  <c:v>-3.8084123142015813E-2</c:v>
                </c:pt>
                <c:pt idx="295">
                  <c:v>-3.7990290503473745E-2</c:v>
                </c:pt>
                <c:pt idx="296">
                  <c:v>-3.7895146530303125E-2</c:v>
                </c:pt>
                <c:pt idx="297">
                  <c:v>-3.7798557708231775E-2</c:v>
                </c:pt>
                <c:pt idx="298">
                  <c:v>-3.7700533881143986E-2</c:v>
                </c:pt>
                <c:pt idx="299">
                  <c:v>-3.7601084944948154E-2</c:v>
                </c:pt>
                <c:pt idx="300">
                  <c:v>-3.7500220846047413E-2</c:v>
                </c:pt>
                <c:pt idx="301">
                  <c:v>-3.7397951579796536E-2</c:v>
                </c:pt>
                <c:pt idx="302">
                  <c:v>-3.7294287188945757E-2</c:v>
                </c:pt>
                <c:pt idx="303">
                  <c:v>-3.7189237762071177E-2</c:v>
                </c:pt>
                <c:pt idx="304">
                  <c:v>-3.7082813431992358E-2</c:v>
                </c:pt>
                <c:pt idx="305">
                  <c:v>-3.697502437417767E-2</c:v>
                </c:pt>
                <c:pt idx="306">
                  <c:v>-3.6865880805136975E-2</c:v>
                </c:pt>
                <c:pt idx="307">
                  <c:v>-3.6755392980802298E-2</c:v>
                </c:pt>
                <c:pt idx="308">
                  <c:v>-3.6643571194896835E-2</c:v>
                </c:pt>
                <c:pt idx="309">
                  <c:v>-3.6530425777292277E-2</c:v>
                </c:pt>
                <c:pt idx="310">
                  <c:v>-3.6415967092355103E-2</c:v>
                </c:pt>
                <c:pt idx="311">
                  <c:v>-3.6300205537281416E-2</c:v>
                </c:pt>
                <c:pt idx="312">
                  <c:v>-3.618315154042169E-2</c:v>
                </c:pt>
                <c:pt idx="313">
                  <c:v>-3.6064815559594551E-2</c:v>
                </c:pt>
                <c:pt idx="314">
                  <c:v>-3.5945208080390645E-2</c:v>
                </c:pt>
                <c:pt idx="315">
                  <c:v>-3.5824339614466592E-2</c:v>
                </c:pt>
                <c:pt idx="316">
                  <c:v>-3.570222069782944E-2</c:v>
                </c:pt>
                <c:pt idx="317">
                  <c:v>-3.5578861889111468E-2</c:v>
                </c:pt>
                <c:pt idx="318">
                  <c:v>-3.5454273767836442E-2</c:v>
                </c:pt>
                <c:pt idx="319">
                  <c:v>-3.5328466932676841E-2</c:v>
                </c:pt>
                <c:pt idx="320">
                  <c:v>-3.520145199970269E-2</c:v>
                </c:pt>
                <c:pt idx="321">
                  <c:v>-3.5073239600622398E-2</c:v>
                </c:pt>
                <c:pt idx="322">
                  <c:v>-3.4943840381015501E-2</c:v>
                </c:pt>
                <c:pt idx="323">
                  <c:v>-3.4813264998558177E-2</c:v>
                </c:pt>
                <c:pt idx="324">
                  <c:v>-3.4681524121241376E-2</c:v>
                </c:pt>
                <c:pt idx="325">
                  <c:v>-3.4548628425581804E-2</c:v>
                </c:pt>
                <c:pt idx="326">
                  <c:v>-3.4414588594826725E-2</c:v>
                </c:pt>
                <c:pt idx="327">
                  <c:v>-3.4279415317152104E-2</c:v>
                </c:pt>
                <c:pt idx="328">
                  <c:v>-3.4143119283854828E-2</c:v>
                </c:pt>
                <c:pt idx="329">
                  <c:v>-3.4005711187539325E-2</c:v>
                </c:pt>
                <c:pt idx="330">
                  <c:v>-3.386720172029864E-2</c:v>
                </c:pt>
                <c:pt idx="331">
                  <c:v>-3.3727601571890531E-2</c:v>
                </c:pt>
                <c:pt idx="332">
                  <c:v>-3.3586921427908853E-2</c:v>
                </c:pt>
                <c:pt idx="333">
                  <c:v>-3.3445171967950445E-2</c:v>
                </c:pt>
                <c:pt idx="334">
                  <c:v>-3.330236386377787E-2</c:v>
                </c:pt>
                <c:pt idx="335">
                  <c:v>-3.3158507777478322E-2</c:v>
                </c:pt>
                <c:pt idx="336">
                  <c:v>-3.3013614359619359E-2</c:v>
                </c:pt>
                <c:pt idx="337">
                  <c:v>-3.2867694247401047E-2</c:v>
                </c:pt>
                <c:pt idx="338">
                  <c:v>-3.2720758062805583E-2</c:v>
                </c:pt>
                <c:pt idx="339">
                  <c:v>-3.2572816410744346E-2</c:v>
                </c:pt>
                <c:pt idx="340">
                  <c:v>-3.2423879877202647E-2</c:v>
                </c:pt>
                <c:pt idx="341">
                  <c:v>-3.2273959027382906E-2</c:v>
                </c:pt>
                <c:pt idx="342">
                  <c:v>-3.2123064403845963E-2</c:v>
                </c:pt>
                <c:pt idx="343">
                  <c:v>-3.1971206524651595E-2</c:v>
                </c:pt>
                <c:pt idx="344">
                  <c:v>-3.181839588149786E-2</c:v>
                </c:pt>
                <c:pt idx="345">
                  <c:v>-3.1664642937859949E-2</c:v>
                </c:pt>
                <c:pt idx="346">
                  <c:v>-3.1509958127129159E-2</c:v>
                </c:pt>
                <c:pt idx="347">
                  <c:v>-3.1354351850751624E-2</c:v>
                </c:pt>
                <c:pt idx="348">
                  <c:v>-3.1197834476367772E-2</c:v>
                </c:pt>
                <c:pt idx="349">
                  <c:v>-3.104041633595243E-2</c:v>
                </c:pt>
                <c:pt idx="350">
                  <c:v>-3.0882107723956338E-2</c:v>
                </c:pt>
                <c:pt idx="351">
                  <c:v>-3.0722918895448793E-2</c:v>
                </c:pt>
                <c:pt idx="352">
                  <c:v>-3.056286006426236E-2</c:v>
                </c:pt>
                <c:pt idx="353">
                  <c:v>-3.0401941401139897E-2</c:v>
                </c:pt>
                <c:pt idx="354">
                  <c:v>-3.0240173031883529E-2</c:v>
                </c:pt>
                <c:pt idx="355">
                  <c:v>-3.0077565035507091E-2</c:v>
                </c:pt>
                <c:pt idx="356">
                  <c:v>-2.99141274423914E-2</c:v>
                </c:pt>
                <c:pt idx="357">
                  <c:v>-2.9749870232442913E-2</c:v>
                </c:pt>
                <c:pt idx="358">
                  <c:v>-2.9584803333256832E-2</c:v>
                </c:pt>
                <c:pt idx="359">
                  <c:v>-2.9418936618283653E-2</c:v>
                </c:pt>
                <c:pt idx="360">
                  <c:v>-2.925227990500073E-2</c:v>
                </c:pt>
                <c:pt idx="361">
                  <c:v>-2.9084842953088632E-2</c:v>
                </c:pt>
                <c:pt idx="362">
                  <c:v>-2.8916635462612614E-2</c:v>
                </c:pt>
                <c:pt idx="363">
                  <c:v>-2.8747667072209621E-2</c:v>
                </c:pt>
                <c:pt idx="364">
                  <c:v>-2.8577947357281471E-2</c:v>
                </c:pt>
                <c:pt idx="365">
                  <c:v>-2.8407485828193687E-2</c:v>
                </c:pt>
                <c:pt idx="366">
                  <c:v>-2.8236291928481601E-2</c:v>
                </c:pt>
                <c:pt idx="367">
                  <c:v>-2.8064375033062774E-2</c:v>
                </c:pt>
                <c:pt idx="368">
                  <c:v>-2.7891744446456927E-2</c:v>
                </c:pt>
                <c:pt idx="369">
                  <c:v>-2.7718409401013423E-2</c:v>
                </c:pt>
                <c:pt idx="370">
                  <c:v>-2.7544379055146864E-2</c:v>
                </c:pt>
                <c:pt idx="371">
                  <c:v>-2.7369662491580227E-2</c:v>
                </c:pt>
                <c:pt idx="372">
                  <c:v>-2.7194268715597488E-2</c:v>
                </c:pt>
                <c:pt idx="373">
                  <c:v>-2.7018206653304695E-2</c:v>
                </c:pt>
                <c:pt idx="374">
                  <c:v>-2.6841485149900132E-2</c:v>
                </c:pt>
                <c:pt idx="375">
                  <c:v>-2.6664112967954502E-2</c:v>
                </c:pt>
                <c:pt idx="376">
                  <c:v>-2.6486098785700678E-2</c:v>
                </c:pt>
                <c:pt idx="377">
                  <c:v>-2.6307451195333859E-2</c:v>
                </c:pt>
                <c:pt idx="378">
                  <c:v>-2.6128178701322381E-2</c:v>
                </c:pt>
                <c:pt idx="379">
                  <c:v>-2.5948289718729044E-2</c:v>
                </c:pt>
                <c:pt idx="380">
                  <c:v>-2.5767792571544212E-2</c:v>
                </c:pt>
                <c:pt idx="381">
                  <c:v>-2.5586695491030185E-2</c:v>
                </c:pt>
                <c:pt idx="382">
                  <c:v>-2.5405006614077245E-2</c:v>
                </c:pt>
                <c:pt idx="383">
                  <c:v>-2.5222733981572359E-2</c:v>
                </c:pt>
                <c:pt idx="384">
                  <c:v>-2.5039885536780149E-2</c:v>
                </c:pt>
                <c:pt idx="385">
                  <c:v>-2.4856469123736784E-2</c:v>
                </c:pt>
                <c:pt idx="386">
                  <c:v>-2.4672492485656887E-2</c:v>
                </c:pt>
                <c:pt idx="387">
                  <c:v>-2.4487963263354177E-2</c:v>
                </c:pt>
                <c:pt idx="388">
                  <c:v>-2.4302888993675813E-2</c:v>
                </c:pt>
                <c:pt idx="389">
                  <c:v>-2.4117277107950759E-2</c:v>
                </c:pt>
                <c:pt idx="390">
                  <c:v>-2.3931134930452718E-2</c:v>
                </c:pt>
                <c:pt idx="391">
                  <c:v>-2.3744469676877728E-2</c:v>
                </c:pt>
                <c:pt idx="392">
                  <c:v>-2.3557288452836986E-2</c:v>
                </c:pt>
                <c:pt idx="393">
                  <c:v>-2.3369598252364659E-2</c:v>
                </c:pt>
                <c:pt idx="394">
                  <c:v>-2.3181405956441827E-2</c:v>
                </c:pt>
                <c:pt idx="395">
                  <c:v>-2.2992718331535988E-2</c:v>
                </c:pt>
                <c:pt idx="396">
                  <c:v>-2.2803542028157112E-2</c:v>
                </c:pt>
                <c:pt idx="397">
                  <c:v>-2.2613883579430283E-2</c:v>
                </c:pt>
                <c:pt idx="398">
                  <c:v>-2.2423749399684733E-2</c:v>
                </c:pt>
                <c:pt idx="399">
                  <c:v>-2.2233145783060966E-2</c:v>
                </c:pt>
                <c:pt idx="400">
                  <c:v>-2.2042078902134228E-2</c:v>
                </c:pt>
                <c:pt idx="401">
                  <c:v>-2.1850554806556694E-2</c:v>
                </c:pt>
                <c:pt idx="402">
                  <c:v>-2.1658579421717138E-2</c:v>
                </c:pt>
                <c:pt idx="403">
                  <c:v>-2.1466158547418967E-2</c:v>
                </c:pt>
                <c:pt idx="404">
                  <c:v>-2.1273297856577177E-2</c:v>
                </c:pt>
                <c:pt idx="405">
                  <c:v>-2.1080002893933858E-2</c:v>
                </c:pt>
                <c:pt idx="406">
                  <c:v>-2.0886279074793103E-2</c:v>
                </c:pt>
                <c:pt idx="407">
                  <c:v>-2.0692131683775032E-2</c:v>
                </c:pt>
                <c:pt idx="408">
                  <c:v>-2.0497565873590189E-2</c:v>
                </c:pt>
                <c:pt idx="409">
                  <c:v>-2.0302586663833042E-2</c:v>
                </c:pt>
                <c:pt idx="410">
                  <c:v>-2.0107198939796407E-2</c:v>
                </c:pt>
                <c:pt idx="411">
                  <c:v>-1.9911407451306196E-2</c:v>
                </c:pt>
                <c:pt idx="412">
                  <c:v>-1.9715216811576855E-2</c:v>
                </c:pt>
                <c:pt idx="413">
                  <c:v>-1.9518631496087992E-2</c:v>
                </c:pt>
                <c:pt idx="414">
                  <c:v>-1.9321655841482124E-2</c:v>
                </c:pt>
                <c:pt idx="415">
                  <c:v>-1.9124294044484076E-2</c:v>
                </c:pt>
                <c:pt idx="416">
                  <c:v>-1.8926550160842368E-2</c:v>
                </c:pt>
                <c:pt idx="417">
                  <c:v>-1.8728428104292157E-2</c:v>
                </c:pt>
                <c:pt idx="418">
                  <c:v>-1.8529931645540947E-2</c:v>
                </c:pt>
                <c:pt idx="419">
                  <c:v>-1.8331064411276743E-2</c:v>
                </c:pt>
                <c:pt idx="420">
                  <c:v>-1.8131829883198548E-2</c:v>
                </c:pt>
                <c:pt idx="421">
                  <c:v>-1.793223139707055E-2</c:v>
                </c:pt>
                <c:pt idx="422">
                  <c:v>-1.7732272141798913E-2</c:v>
                </c:pt>
                <c:pt idx="423">
                  <c:v>-1.7531955158532536E-2</c:v>
                </c:pt>
                <c:pt idx="424">
                  <c:v>-1.7331283339786934E-2</c:v>
                </c:pt>
                <c:pt idx="425">
                  <c:v>-1.7130259428592701E-2</c:v>
                </c:pt>
                <c:pt idx="426">
                  <c:v>-1.6928886017667431E-2</c:v>
                </c:pt>
                <c:pt idx="427">
                  <c:v>-1.6727165548612456E-2</c:v>
                </c:pt>
                <c:pt idx="428">
                  <c:v>-1.652510031113387E-2</c:v>
                </c:pt>
                <c:pt idx="429">
                  <c:v>-1.6322692442288282E-2</c:v>
                </c:pt>
                <c:pt idx="430">
                  <c:v>-1.6119943925753798E-2</c:v>
                </c:pt>
                <c:pt idx="431">
                  <c:v>-1.5916856591125794E-2</c:v>
                </c:pt>
                <c:pt idx="432">
                  <c:v>-1.5713432113238293E-2</c:v>
                </c:pt>
                <c:pt idx="433">
                  <c:v>-1.550967201151069E-2</c:v>
                </c:pt>
                <c:pt idx="434">
                  <c:v>-1.5305577649320438E-2</c:v>
                </c:pt>
                <c:pt idx="435">
                  <c:v>-1.5101150233401143E-2</c:v>
                </c:pt>
                <c:pt idx="436">
                  <c:v>-1.4896390813267596E-2</c:v>
                </c:pt>
                <c:pt idx="437">
                  <c:v>-1.4691300280666017E-2</c:v>
                </c:pt>
                <c:pt idx="438">
                  <c:v>-1.4485879369051638E-2</c:v>
                </c:pt>
                <c:pt idx="439">
                  <c:v>-1.4280128653092351E-2</c:v>
                </c:pt>
                <c:pt idx="440">
                  <c:v>-1.4074048548199216E-2</c:v>
                </c:pt>
                <c:pt idx="441">
                  <c:v>-1.3867639310083986E-2</c:v>
                </c:pt>
                <c:pt idx="442">
                  <c:v>-1.3660901034343715E-2</c:v>
                </c:pt>
                <c:pt idx="443">
                  <c:v>-1.3453833656072405E-2</c:v>
                </c:pt>
                <c:pt idx="444">
                  <c:v>-1.3246436949500237E-2</c:v>
                </c:pt>
                <c:pt idx="445">
                  <c:v>-1.3038710527660105E-2</c:v>
                </c:pt>
                <c:pt idx="446">
                  <c:v>-1.2830653842082025E-2</c:v>
                </c:pt>
                <c:pt idx="447">
                  <c:v>-1.2622266182515232E-2</c:v>
                </c:pt>
                <c:pt idx="448">
                  <c:v>-1.2413546676677894E-2</c:v>
                </c:pt>
                <c:pt idx="449">
                  <c:v>-1.2204494290035603E-2</c:v>
                </c:pt>
                <c:pt idx="450">
                  <c:v>-1.1995107825607147E-2</c:v>
                </c:pt>
                <c:pt idx="451">
                  <c:v>-1.1785385923799099E-2</c:v>
                </c:pt>
                <c:pt idx="452">
                  <c:v>-1.1575327062268659E-2</c:v>
                </c:pt>
                <c:pt idx="453">
                  <c:v>-1.1364929555815155E-2</c:v>
                </c:pt>
                <c:pt idx="454">
                  <c:v>-1.1154191556299719E-2</c:v>
                </c:pt>
                <c:pt idx="455">
                  <c:v>-1.0943111052593935E-2</c:v>
                </c:pt>
                <c:pt idx="456">
                  <c:v>-1.0731685870557299E-2</c:v>
                </c:pt>
                <c:pt idx="457">
                  <c:v>-1.0519913673043592E-2</c:v>
                </c:pt>
                <c:pt idx="458">
                  <c:v>-1.030779195993603E-2</c:v>
                </c:pt>
                <c:pt idx="459">
                  <c:v>-1.0095318068211468E-2</c:v>
                </c:pt>
                <c:pt idx="460">
                  <c:v>-9.8824891720339612E-3</c:v>
                </c:pt>
                <c:pt idx="461">
                  <c:v>-9.6693022828772505E-3</c:v>
                </c:pt>
                <c:pt idx="462">
                  <c:v>-9.4557542496764742E-3</c:v>
                </c:pt>
                <c:pt idx="463">
                  <c:v>-9.2418417590096179E-3</c:v>
                </c:pt>
                <c:pt idx="464">
                  <c:v>-9.0275613353077259E-3</c:v>
                </c:pt>
                <c:pt idx="465">
                  <c:v>-8.812909341095021E-3</c:v>
                </c:pt>
                <c:pt idx="466">
                  <c:v>-8.5978819772582048E-3</c:v>
                </c:pt>
                <c:pt idx="467">
                  <c:v>-8.3824752833454759E-3</c:v>
                </c:pt>
                <c:pt idx="468">
                  <c:v>-8.1666851378948899E-3</c:v>
                </c:pt>
                <c:pt idx="469">
                  <c:v>-7.9505072587923893E-3</c:v>
                </c:pt>
                <c:pt idx="470">
                  <c:v>-7.7339372036596878E-3</c:v>
                </c:pt>
                <c:pt idx="471">
                  <c:v>-7.5169703702710911E-3</c:v>
                </c:pt>
                <c:pt idx="472">
                  <c:v>-7.2996019970009707E-3</c:v>
                </c:pt>
                <c:pt idx="473">
                  <c:v>-7.0818271633000269E-3</c:v>
                </c:pt>
                <c:pt idx="474">
                  <c:v>-6.8636407902014978E-3</c:v>
                </c:pt>
                <c:pt idx="475">
                  <c:v>-6.6450376408575306E-3</c:v>
                </c:pt>
                <c:pt idx="476">
                  <c:v>-6.4260123211042006E-3</c:v>
                </c:pt>
                <c:pt idx="477">
                  <c:v>-6.2065592800573111E-3</c:v>
                </c:pt>
                <c:pt idx="478">
                  <c:v>-5.9866728107371373E-3</c:v>
                </c:pt>
                <c:pt idx="479">
                  <c:v>-5.7663470507229352E-3</c:v>
                </c:pt>
                <c:pt idx="480">
                  <c:v>-5.5455759828373814E-3</c:v>
                </c:pt>
                <c:pt idx="481">
                  <c:v>-5.3243534358601609E-3</c:v>
                </c:pt>
                <c:pt idx="482">
                  <c:v>-5.1026730852714482E-3</c:v>
                </c:pt>
                <c:pt idx="483">
                  <c:v>-4.880528454024851E-3</c:v>
                </c:pt>
                <c:pt idx="484">
                  <c:v>-4.6579129133498317E-3</c:v>
                </c:pt>
                <c:pt idx="485">
                  <c:v>-4.4348196835832738E-3</c:v>
                </c:pt>
                <c:pt idx="486">
                  <c:v>-4.2112418350312552E-3</c:v>
                </c:pt>
                <c:pt idx="487">
                  <c:v>-3.9871722888590588E-3</c:v>
                </c:pt>
                <c:pt idx="488">
                  <c:v>-3.7626038180114171E-3</c:v>
                </c:pt>
                <c:pt idx="489">
                  <c:v>-3.537529048161521E-3</c:v>
                </c:pt>
                <c:pt idx="490">
                  <c:v>-3.311940458689155E-3</c:v>
                </c:pt>
                <c:pt idx="491">
                  <c:v>-3.0858303836881484E-3</c:v>
                </c:pt>
                <c:pt idx="492">
                  <c:v>-2.8591910130024954E-3</c:v>
                </c:pt>
                <c:pt idx="493">
                  <c:v>-2.6320143932917267E-3</c:v>
                </c:pt>
                <c:pt idx="494">
                  <c:v>-2.4042924291249324E-3</c:v>
                </c:pt>
                <c:pt idx="495">
                  <c:v>-2.1760168841032579E-3</c:v>
                </c:pt>
                <c:pt idx="496">
                  <c:v>-1.9471793820117571E-3</c:v>
                </c:pt>
                <c:pt idx="497">
                  <c:v>-1.7177714079989375E-3</c:v>
                </c:pt>
                <c:pt idx="498">
                  <c:v>-1.4877843097851229E-3</c:v>
                </c:pt>
                <c:pt idx="499">
                  <c:v>-1.2572092988993074E-3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E61-4C0C-9ED7-DC2067F83667}"/>
            </c:ext>
          </c:extLst>
        </c:ser>
        <c:ser>
          <c:idx val="5"/>
          <c:order val="2"/>
          <c:tx>
            <c:v>Mean Camber Line</c:v>
          </c:tx>
          <c:spPr>
            <a:ln w="3175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Data1!$B$1:$B$500</c:f>
              <c:numCache>
                <c:formatCode>0.000000</c:formatCode>
                <c:ptCount val="500"/>
                <c:pt idx="0">
                  <c:v>0</c:v>
                </c:pt>
                <c:pt idx="1">
                  <c:v>4.9545966939179564E-6</c:v>
                </c:pt>
                <c:pt idx="2">
                  <c:v>1.9818337679722298E-5</c:v>
                </c:pt>
                <c:pt idx="3">
                  <c:v>4.4591075669564439E-5</c:v>
                </c:pt>
                <c:pt idx="4">
                  <c:v>7.9272565185806165E-5</c:v>
                </c:pt>
                <c:pt idx="5">
                  <c:v>1.2386246256268496E-4</c:v>
                </c:pt>
                <c:pt idx="6">
                  <c:v>1.7836032595031082E-4</c:v>
                </c:pt>
                <c:pt idx="7">
                  <c:v>2.4276561531888508E-4</c:v>
                </c:pt>
                <c:pt idx="8">
                  <c:v>3.1707769246391848E-4</c:v>
                </c:pt>
                <c:pt idx="9">
                  <c:v>4.0129582101267047E-4</c:v>
                </c:pt>
                <c:pt idx="10">
                  <c:v>4.9541916643136563E-4</c:v>
                </c:pt>
                <c:pt idx="11">
                  <c:v>5.9944679603363138E-4</c:v>
                </c:pt>
                <c:pt idx="12">
                  <c:v>7.133776789896018E-4</c:v>
                </c:pt>
                <c:pt idx="13">
                  <c:v>8.3721068633602069E-4</c:v>
                </c:pt>
                <c:pt idx="14">
                  <c:v>9.7094459098767683E-4</c:v>
                </c:pt>
                <c:pt idx="15">
                  <c:v>1.1145780677496164E-3</c:v>
                </c:pt>
                <c:pt idx="16">
                  <c:v>1.2681096933296887E-3</c:v>
                </c:pt>
                <c:pt idx="17">
                  <c:v>1.4315379463535338E-3</c:v>
                </c:pt>
                <c:pt idx="18">
                  <c:v>1.6048612073787938E-3</c:v>
                </c:pt>
                <c:pt idx="19">
                  <c:v>1.7880777589119878E-3</c:v>
                </c:pt>
                <c:pt idx="20">
                  <c:v>1.9811857854247217E-3</c:v>
                </c:pt>
                <c:pt idx="21">
                  <c:v>2.1841833733722282E-3</c:v>
                </c:pt>
                <c:pt idx="22">
                  <c:v>2.3970685112121304E-3</c:v>
                </c:pt>
                <c:pt idx="23">
                  <c:v>2.619839089424536E-3</c:v>
                </c:pt>
                <c:pt idx="24">
                  <c:v>2.8524929005325772E-3</c:v>
                </c:pt>
                <c:pt idx="25">
                  <c:v>3.0950276391248366E-3</c:v>
                </c:pt>
                <c:pt idx="26">
                  <c:v>3.3474409018774409E-3</c:v>
                </c:pt>
                <c:pt idx="27">
                  <c:v>3.609730187578708E-3</c:v>
                </c:pt>
                <c:pt idx="28">
                  <c:v>3.8818928971533495E-3</c:v>
                </c:pt>
                <c:pt idx="29">
                  <c:v>4.1639263336883392E-3</c:v>
                </c:pt>
                <c:pt idx="30">
                  <c:v>4.4558277024601134E-3</c:v>
                </c:pt>
                <c:pt idx="31">
                  <c:v>4.7575941109612163E-3</c:v>
                </c:pt>
                <c:pt idx="32">
                  <c:v>5.0692225689300541E-3</c:v>
                </c:pt>
                <c:pt idx="33">
                  <c:v>5.3907099883800935E-3</c:v>
                </c:pt>
                <c:pt idx="34">
                  <c:v>5.7220531836302824E-3</c:v>
                </c:pt>
                <c:pt idx="35">
                  <c:v>6.0632488713366905E-3</c:v>
                </c:pt>
                <c:pt idx="36">
                  <c:v>6.4142936705253728E-3</c:v>
                </c:pt>
                <c:pt idx="37">
                  <c:v>6.7751841026255644E-3</c:v>
                </c:pt>
                <c:pt idx="38">
                  <c:v>7.1459165915040979E-3</c:v>
                </c:pt>
                <c:pt idx="39">
                  <c:v>7.5264874635010415E-3</c:v>
                </c:pt>
                <c:pt idx="40">
                  <c:v>7.9168929474660032E-3</c:v>
                </c:pt>
                <c:pt idx="41">
                  <c:v>8.3171291747956566E-3</c:v>
                </c:pt>
                <c:pt idx="42">
                  <c:v>8.727192179471821E-3</c:v>
                </c:pt>
                <c:pt idx="43">
                  <c:v>9.1470778981007639E-3</c:v>
                </c:pt>
                <c:pt idx="44">
                  <c:v>9.5767821699537237E-3</c:v>
                </c:pt>
                <c:pt idx="45">
                  <c:v>1.0016300737007988E-2</c:v>
                </c:pt>
                <c:pt idx="46">
                  <c:v>1.0465629243989194E-2</c:v>
                </c:pt>
                <c:pt idx="47">
                  <c:v>1.092476323841407E-2</c:v>
                </c:pt>
                <c:pt idx="48">
                  <c:v>1.1393698170635291E-2</c:v>
                </c:pt>
                <c:pt idx="49">
                  <c:v>1.1872429393885775E-2</c:v>
                </c:pt>
                <c:pt idx="50">
                  <c:v>1.2360952164325312E-2</c:v>
                </c:pt>
                <c:pt idx="51">
                  <c:v>1.2859261641087194E-2</c:v>
                </c:pt>
                <c:pt idx="52">
                  <c:v>1.3367352886326511E-2</c:v>
                </c:pt>
                <c:pt idx="53">
                  <c:v>1.3885220865268999E-2</c:v>
                </c:pt>
                <c:pt idx="54">
                  <c:v>1.4412860446260445E-2</c:v>
                </c:pt>
                <c:pt idx="55">
                  <c:v>1.4950266400818424E-2</c:v>
                </c:pt>
                <c:pt idx="56">
                  <c:v>1.5497433403683258E-2</c:v>
                </c:pt>
                <c:pt idx="57">
                  <c:v>1.605435603287142E-2</c:v>
                </c:pt>
                <c:pt idx="58">
                  <c:v>1.6621028769728818E-2</c:v>
                </c:pt>
                <c:pt idx="59">
                  <c:v>1.719744599898565E-2</c:v>
                </c:pt>
                <c:pt idx="60">
                  <c:v>1.7783602008812238E-2</c:v>
                </c:pt>
                <c:pt idx="61">
                  <c:v>1.8379490990875214E-2</c:v>
                </c:pt>
                <c:pt idx="62">
                  <c:v>1.8985107040395466E-2</c:v>
                </c:pt>
                <c:pt idx="63">
                  <c:v>1.9600444156206542E-2</c:v>
                </c:pt>
                <c:pt idx="64">
                  <c:v>2.0225496240813712E-2</c:v>
                </c:pt>
                <c:pt idx="65">
                  <c:v>2.0860257100455248E-2</c:v>
                </c:pt>
                <c:pt idx="66">
                  <c:v>2.1504720445162939E-2</c:v>
                </c:pt>
                <c:pt idx="67">
                  <c:v>2.2158879888824812E-2</c:v>
                </c:pt>
                <c:pt idx="68">
                  <c:v>2.2822728949248527E-2</c:v>
                </c:pt>
                <c:pt idx="69">
                  <c:v>2.349626104822522E-2</c:v>
                </c:pt>
                <c:pt idx="70">
                  <c:v>2.4179469511595331E-2</c:v>
                </c:pt>
                <c:pt idx="71">
                  <c:v>2.487234756931378E-2</c:v>
                </c:pt>
                <c:pt idx="72">
                  <c:v>2.5574888355518133E-2</c:v>
                </c:pt>
                <c:pt idx="73">
                  <c:v>2.6287084908595659E-2</c:v>
                </c:pt>
                <c:pt idx="74">
                  <c:v>2.7008930171253165E-2</c:v>
                </c:pt>
                <c:pt idx="75">
                  <c:v>2.7740416990586381E-2</c:v>
                </c:pt>
                <c:pt idx="76">
                  <c:v>2.8481538118150684E-2</c:v>
                </c:pt>
                <c:pt idx="77">
                  <c:v>2.923228621003382E-2</c:v>
                </c:pt>
                <c:pt idx="78">
                  <c:v>2.9992653826927507E-2</c:v>
                </c:pt>
                <c:pt idx="79">
                  <c:v>3.0762633434202158E-2</c:v>
                </c:pt>
                <c:pt idx="80">
                  <c:v>3.1542217401980821E-2</c:v>
                </c:pt>
                <c:pt idx="81">
                  <c:v>3.2331398005215228E-2</c:v>
                </c:pt>
                <c:pt idx="82">
                  <c:v>3.313016742376218E-2</c:v>
                </c:pt>
                <c:pt idx="83">
                  <c:v>3.3938517742461038E-2</c:v>
                </c:pt>
                <c:pt idx="84">
                  <c:v>3.475644095121222E-2</c:v>
                </c:pt>
                <c:pt idx="85">
                  <c:v>3.5583928945056353E-2</c:v>
                </c:pt>
                <c:pt idx="86">
                  <c:v>3.6420973524254996E-2</c:v>
                </c:pt>
                <c:pt idx="87">
                  <c:v>3.7267566394371454E-2</c:v>
                </c:pt>
                <c:pt idx="88">
                  <c:v>3.8123699166353275E-2</c:v>
                </c:pt>
                <c:pt idx="89">
                  <c:v>3.8989363356615403E-2</c:v>
                </c:pt>
                <c:pt idx="90">
                  <c:v>3.9864550387123776E-2</c:v>
                </c:pt>
                <c:pt idx="91">
                  <c:v>4.0749251585480817E-2</c:v>
                </c:pt>
                <c:pt idx="92">
                  <c:v>4.1643458185011473E-2</c:v>
                </c:pt>
                <c:pt idx="93">
                  <c:v>4.2547161324849481E-2</c:v>
                </c:pt>
                <c:pt idx="94">
                  <c:v>4.346035205002563E-2</c:v>
                </c:pt>
                <c:pt idx="95">
                  <c:v>4.4383021311556581E-2</c:v>
                </c:pt>
                <c:pt idx="96">
                  <c:v>4.5315159966534124E-2</c:v>
                </c:pt>
                <c:pt idx="97">
                  <c:v>4.625675877821589E-2</c:v>
                </c:pt>
                <c:pt idx="98">
                  <c:v>4.7207808416117381E-2</c:v>
                </c:pt>
                <c:pt idx="99">
                  <c:v>4.8168299456103791E-2</c:v>
                </c:pt>
                <c:pt idx="100">
                  <c:v>4.9138222380483598E-2</c:v>
                </c:pt>
                <c:pt idx="101">
                  <c:v>5.0117567578102928E-2</c:v>
                </c:pt>
                <c:pt idx="102">
                  <c:v>5.1106325344440817E-2</c:v>
                </c:pt>
                <c:pt idx="103">
                  <c:v>5.2104485881705465E-2</c:v>
                </c:pt>
                <c:pt idx="104">
                  <c:v>5.3112039298931046E-2</c:v>
                </c:pt>
                <c:pt idx="105">
                  <c:v>5.4128975612075858E-2</c:v>
                </c:pt>
                <c:pt idx="106">
                  <c:v>5.5155284744121347E-2</c:v>
                </c:pt>
                <c:pt idx="107">
                  <c:v>5.6190956525171698E-2</c:v>
                </c:pt>
                <c:pt idx="108">
                  <c:v>5.7235980692555199E-2</c:v>
                </c:pt>
                <c:pt idx="109">
                  <c:v>5.8290346890925049E-2</c:v>
                </c:pt>
                <c:pt idx="110">
                  <c:v>5.9354044672362938E-2</c:v>
                </c:pt>
                <c:pt idx="111">
                  <c:v>6.0427063496481526E-2</c:v>
                </c:pt>
                <c:pt idx="112">
                  <c:v>6.1509392730530021E-2</c:v>
                </c:pt>
                <c:pt idx="113">
                  <c:v>6.2601021649498656E-2</c:v>
                </c:pt>
                <c:pt idx="114">
                  <c:v>6.3701939436225374E-2</c:v>
                </c:pt>
                <c:pt idx="115">
                  <c:v>6.4812135181502861E-2</c:v>
                </c:pt>
                <c:pt idx="116">
                  <c:v>6.5931597884186899E-2</c:v>
                </c:pt>
                <c:pt idx="117">
                  <c:v>6.7060316451305058E-2</c:v>
                </c:pt>
                <c:pt idx="118">
                  <c:v>6.8198279698166608E-2</c:v>
                </c:pt>
                <c:pt idx="119">
                  <c:v>6.9345476348473767E-2</c:v>
                </c:pt>
                <c:pt idx="120">
                  <c:v>7.050189503443316E-2</c:v>
                </c:pt>
                <c:pt idx="121">
                  <c:v>7.1667524296868401E-2</c:v>
                </c:pt>
                <c:pt idx="122">
                  <c:v>7.2842352585333559E-2</c:v>
                </c:pt>
                <c:pt idx="123">
                  <c:v>7.4026368258227948E-2</c:v>
                </c:pt>
                <c:pt idx="124">
                  <c:v>7.5219559582911377E-2</c:v>
                </c:pt>
                <c:pt idx="125">
                  <c:v>7.6421914735820273E-2</c:v>
                </c:pt>
                <c:pt idx="126">
                  <c:v>7.7633421802584812E-2</c:v>
                </c:pt>
                <c:pt idx="127">
                  <c:v>7.8854068778147268E-2</c:v>
                </c:pt>
                <c:pt idx="128">
                  <c:v>8.0083843566880586E-2</c:v>
                </c:pt>
                <c:pt idx="129">
                  <c:v>8.1322733982708617E-2</c:v>
                </c:pt>
                <c:pt idx="130">
                  <c:v>8.2570727749226691E-2</c:v>
                </c:pt>
                <c:pt idx="131">
                  <c:v>8.3827812499823295E-2</c:v>
                </c:pt>
                <c:pt idx="132">
                  <c:v>8.5093975777802311E-2</c:v>
                </c:pt>
                <c:pt idx="133">
                  <c:v>8.6369205036507135E-2</c:v>
                </c:pt>
                <c:pt idx="134">
                  <c:v>8.7653487639444361E-2</c:v>
                </c:pt>
                <c:pt idx="135">
                  <c:v>8.8946810860409342E-2</c:v>
                </c:pt>
                <c:pt idx="136">
                  <c:v>9.0249161883612206E-2</c:v>
                </c:pt>
                <c:pt idx="137">
                  <c:v>9.1560527803804637E-2</c:v>
                </c:pt>
                <c:pt idx="138">
                  <c:v>9.2880895626408333E-2</c:v>
                </c:pt>
                <c:pt idx="139">
                  <c:v>9.4210252267643013E-2</c:v>
                </c:pt>
                <c:pt idx="140">
                  <c:v>9.5548584554656757E-2</c:v>
                </c:pt>
                <c:pt idx="141">
                  <c:v>9.6895879225656123E-2</c:v>
                </c:pt>
                <c:pt idx="142">
                  <c:v>9.8252122930037711E-2</c:v>
                </c:pt>
                <c:pt idx="143">
                  <c:v>9.9617302228520166E-2</c:v>
                </c:pt>
                <c:pt idx="144">
                  <c:v>0.10099140359327796</c:v>
                </c:pt>
                <c:pt idx="145">
                  <c:v>0.10237441340807496</c:v>
                </c:pt>
                <c:pt idx="146">
                  <c:v>0.1037663179683993</c:v>
                </c:pt>
                <c:pt idx="147">
                  <c:v>0.10516710348159974</c:v>
                </c:pt>
                <c:pt idx="148">
                  <c:v>0.10657675606702155</c:v>
                </c:pt>
                <c:pt idx="149">
                  <c:v>0.10799526175614471</c:v>
                </c:pt>
                <c:pt idx="150">
                  <c:v>0.10942260649272206</c:v>
                </c:pt>
                <c:pt idx="151">
                  <c:v>0.11085877613291861</c:v>
                </c:pt>
                <c:pt idx="152">
                  <c:v>0.11230375644545154</c:v>
                </c:pt>
                <c:pt idx="153">
                  <c:v>0.11375753311173153</c:v>
                </c:pt>
                <c:pt idx="154">
                  <c:v>0.11522009172600445</c:v>
                </c:pt>
                <c:pt idx="155">
                  <c:v>0.11669141779549419</c:v>
                </c:pt>
                <c:pt idx="156">
                  <c:v>0.11817149674054617</c:v>
                </c:pt>
                <c:pt idx="157">
                  <c:v>0.11966031389477194</c:v>
                </c:pt>
                <c:pt idx="158">
                  <c:v>0.12115785450519423</c:v>
                </c:pt>
                <c:pt idx="159">
                  <c:v>0.12266410373239378</c:v>
                </c:pt>
                <c:pt idx="160">
                  <c:v>0.12417904665065549</c:v>
                </c:pt>
                <c:pt idx="161">
                  <c:v>0.12570266824811704</c:v>
                </c:pt>
                <c:pt idx="162">
                  <c:v>0.1272349534269176</c:v>
                </c:pt>
                <c:pt idx="163">
                  <c:v>0.12877588700334663</c:v>
                </c:pt>
                <c:pt idx="164">
                  <c:v>0.13032545370799575</c:v>
                </c:pt>
                <c:pt idx="165">
                  <c:v>0.13188363818590843</c:v>
                </c:pt>
                <c:pt idx="166">
                  <c:v>0.13345042499673354</c:v>
                </c:pt>
                <c:pt idx="167">
                  <c:v>0.13502579861487751</c:v>
                </c:pt>
                <c:pt idx="168">
                  <c:v>0.13660974342965859</c:v>
                </c:pt>
                <c:pt idx="169">
                  <c:v>0.13820224374546131</c:v>
                </c:pt>
                <c:pt idx="170">
                  <c:v>0.13980328378189188</c:v>
                </c:pt>
                <c:pt idx="171">
                  <c:v>0.14141284767393503</c:v>
                </c:pt>
                <c:pt idx="172">
                  <c:v>0.143030919472111</c:v>
                </c:pt>
                <c:pt idx="173">
                  <c:v>0.14465748314263338</c:v>
                </c:pt>
                <c:pt idx="174">
                  <c:v>0.14629252256756808</c:v>
                </c:pt>
                <c:pt idx="175">
                  <c:v>0.14793602154499341</c:v>
                </c:pt>
                <c:pt idx="176">
                  <c:v>0.14958796378916006</c:v>
                </c:pt>
                <c:pt idx="177">
                  <c:v>0.15124833293065298</c:v>
                </c:pt>
                <c:pt idx="178">
                  <c:v>0.15291711251655316</c:v>
                </c:pt>
                <c:pt idx="179">
                  <c:v>0.15459428601060099</c:v>
                </c:pt>
                <c:pt idx="180">
                  <c:v>0.15627983679335988</c:v>
                </c:pt>
                <c:pt idx="181">
                  <c:v>0.15797374816238119</c:v>
                </c:pt>
                <c:pt idx="182">
                  <c:v>0.15967600333236964</c:v>
                </c:pt>
                <c:pt idx="183">
                  <c:v>0.16138658543534967</c:v>
                </c:pt>
                <c:pt idx="184">
                  <c:v>0.16310547752083215</c:v>
                </c:pt>
                <c:pt idx="185">
                  <c:v>0.16483266255598328</c:v>
                </c:pt>
                <c:pt idx="186">
                  <c:v>0.1665681234257923</c:v>
                </c:pt>
                <c:pt idx="187">
                  <c:v>0.16831184293324197</c:v>
                </c:pt>
                <c:pt idx="188">
                  <c:v>0.17006380379947839</c:v>
                </c:pt>
                <c:pt idx="189">
                  <c:v>0.17182398866398252</c:v>
                </c:pt>
                <c:pt idx="190">
                  <c:v>0.1735923800847422</c:v>
                </c:pt>
                <c:pt idx="191">
                  <c:v>0.17536896053842488</c:v>
                </c:pt>
                <c:pt idx="192">
                  <c:v>0.17715371242055111</c:v>
                </c:pt>
                <c:pt idx="193">
                  <c:v>0.17894661804566958</c:v>
                </c:pt>
                <c:pt idx="194">
                  <c:v>0.18074765964753159</c:v>
                </c:pt>
                <c:pt idx="195">
                  <c:v>0.1825568193792676</c:v>
                </c:pt>
                <c:pt idx="196">
                  <c:v>0.18437407931356398</c:v>
                </c:pt>
                <c:pt idx="197">
                  <c:v>0.18619942144284063</c:v>
                </c:pt>
                <c:pt idx="198">
                  <c:v>0.18803282767942942</c:v>
                </c:pt>
                <c:pt idx="199">
                  <c:v>0.18987427985575323</c:v>
                </c:pt>
                <c:pt idx="200">
                  <c:v>0.19172375972450661</c:v>
                </c:pt>
                <c:pt idx="201">
                  <c:v>0.19358124895883555</c:v>
                </c:pt>
                <c:pt idx="202">
                  <c:v>0.19544672915252015</c:v>
                </c:pt>
                <c:pt idx="203">
                  <c:v>0.19732018182015654</c:v>
                </c:pt>
                <c:pt idx="204">
                  <c:v>0.1992015883973397</c:v>
                </c:pt>
                <c:pt idx="205">
                  <c:v>0.20109093024084834</c:v>
                </c:pt>
                <c:pt idx="206">
                  <c:v>0.20298818862882839</c:v>
                </c:pt>
                <c:pt idx="207">
                  <c:v>0.20489334476097976</c:v>
                </c:pt>
                <c:pt idx="208">
                  <c:v>0.20680637975874194</c:v>
                </c:pt>
                <c:pt idx="209">
                  <c:v>0.20872727466548102</c:v>
                </c:pt>
                <c:pt idx="210">
                  <c:v>0.21065601044667814</c:v>
                </c:pt>
                <c:pt idx="211">
                  <c:v>0.21259256799011716</c:v>
                </c:pt>
                <c:pt idx="212">
                  <c:v>0.21453692810607505</c:v>
                </c:pt>
                <c:pt idx="213">
                  <c:v>0.2164890715275114</c:v>
                </c:pt>
                <c:pt idx="214">
                  <c:v>0.21844897891025949</c:v>
                </c:pt>
                <c:pt idx="215">
                  <c:v>0.22041663083321805</c:v>
                </c:pt>
                <c:pt idx="216">
                  <c:v>0.22239200779854373</c:v>
                </c:pt>
                <c:pt idx="217">
                  <c:v>0.22437509023184399</c:v>
                </c:pt>
                <c:pt idx="218">
                  <c:v>0.22636585848237156</c:v>
                </c:pt>
                <c:pt idx="219">
                  <c:v>0.22836429282321902</c:v>
                </c:pt>
                <c:pt idx="220">
                  <c:v>0.2303703734515139</c:v>
                </c:pt>
                <c:pt idx="221">
                  <c:v>0.23238408048861525</c:v>
                </c:pt>
                <c:pt idx="222">
                  <c:v>0.23440539398031057</c:v>
                </c:pt>
                <c:pt idx="223">
                  <c:v>0.23643429389701376</c:v>
                </c:pt>
                <c:pt idx="224">
                  <c:v>0.23847076013396296</c:v>
                </c:pt>
                <c:pt idx="225">
                  <c:v>0.24051477251142062</c:v>
                </c:pt>
                <c:pt idx="226">
                  <c:v>0.24256631077487267</c:v>
                </c:pt>
                <c:pt idx="227">
                  <c:v>0.24462535459522983</c:v>
                </c:pt>
                <c:pt idx="228">
                  <c:v>0.24669188356902849</c:v>
                </c:pt>
                <c:pt idx="229">
                  <c:v>0.24876587721863352</c:v>
                </c:pt>
                <c:pt idx="230">
                  <c:v>0.25084731499244084</c:v>
                </c:pt>
                <c:pt idx="231">
                  <c:v>0.25293617626508091</c:v>
                </c:pt>
                <c:pt idx="232">
                  <c:v>0.25503244033762351</c:v>
                </c:pt>
                <c:pt idx="233">
                  <c:v>0.25713608643778241</c:v>
                </c:pt>
                <c:pt idx="234">
                  <c:v>0.25924709372012167</c:v>
                </c:pt>
                <c:pt idx="235">
                  <c:v>0.26136544126626193</c:v>
                </c:pt>
                <c:pt idx="236">
                  <c:v>0.26349110808508769</c:v>
                </c:pt>
                <c:pt idx="237">
                  <c:v>0.26562407311295533</c:v>
                </c:pt>
                <c:pt idx="238">
                  <c:v>0.26776431521390176</c:v>
                </c:pt>
                <c:pt idx="239">
                  <c:v>0.26991181317985435</c:v>
                </c:pt>
                <c:pt idx="240">
                  <c:v>0.27206654573084033</c:v>
                </c:pt>
                <c:pt idx="241">
                  <c:v>0.27422849151519824</c:v>
                </c:pt>
                <c:pt idx="242">
                  <c:v>0.27639762910978904</c:v>
                </c:pt>
                <c:pt idx="243">
                  <c:v>0.27857393702020894</c:v>
                </c:pt>
                <c:pt idx="244">
                  <c:v>0.28075739368100194</c:v>
                </c:pt>
                <c:pt idx="245">
                  <c:v>0.28294797745587386</c:v>
                </c:pt>
                <c:pt idx="246">
                  <c:v>0.28514566663790619</c:v>
                </c:pt>
                <c:pt idx="247">
                  <c:v>0.28735043944977212</c:v>
                </c:pt>
                <c:pt idx="248">
                  <c:v>0.28956227404395118</c:v>
                </c:pt>
                <c:pt idx="249">
                  <c:v>0.2917811485029469</c:v>
                </c:pt>
                <c:pt idx="250">
                  <c:v>0.29400704083950302</c:v>
                </c:pt>
                <c:pt idx="251">
                  <c:v>0.29623992899682194</c:v>
                </c:pt>
                <c:pt idx="252">
                  <c:v>0.29847979084878318</c:v>
                </c:pt>
                <c:pt idx="253">
                  <c:v>0.30072660420016228</c:v>
                </c:pt>
                <c:pt idx="254">
                  <c:v>0.30298034678685137</c:v>
                </c:pt>
                <c:pt idx="255">
                  <c:v>0.30524099627607926</c:v>
                </c:pt>
                <c:pt idx="256">
                  <c:v>0.30750853026663305</c:v>
                </c:pt>
                <c:pt idx="257">
                  <c:v>0.30978292628908</c:v>
                </c:pt>
                <c:pt idx="258">
                  <c:v>0.31206416180598984</c:v>
                </c:pt>
                <c:pt idx="259">
                  <c:v>0.31435221421215875</c:v>
                </c:pt>
                <c:pt idx="260">
                  <c:v>0.31664706083483307</c:v>
                </c:pt>
                <c:pt idx="261">
                  <c:v>0.31894867893393375</c:v>
                </c:pt>
                <c:pt idx="262">
                  <c:v>0.3212570457022822</c:v>
                </c:pt>
                <c:pt idx="263">
                  <c:v>0.32357213826582509</c:v>
                </c:pt>
                <c:pt idx="264">
                  <c:v>0.32589393368386299</c:v>
                </c:pt>
                <c:pt idx="265">
                  <c:v>0.3282224089492759</c:v>
                </c:pt>
                <c:pt idx="266">
                  <c:v>0.33055754098875223</c:v>
                </c:pt>
                <c:pt idx="267">
                  <c:v>0.33289930666301693</c:v>
                </c:pt>
                <c:pt idx="268">
                  <c:v>0.33524768276706118</c:v>
                </c:pt>
                <c:pt idx="269">
                  <c:v>0.33760264603037182</c:v>
                </c:pt>
                <c:pt idx="270">
                  <c:v>0.33996417311716254</c:v>
                </c:pt>
                <c:pt idx="271">
                  <c:v>0.34233224062660483</c:v>
                </c:pt>
                <c:pt idx="272">
                  <c:v>0.34470682509305983</c:v>
                </c:pt>
                <c:pt idx="273">
                  <c:v>0.34708790298631065</c:v>
                </c:pt>
                <c:pt idx="274">
                  <c:v>0.34947545071179609</c:v>
                </c:pt>
                <c:pt idx="275">
                  <c:v>0.35186944461084391</c:v>
                </c:pt>
                <c:pt idx="276">
                  <c:v>0.35426986096090574</c:v>
                </c:pt>
                <c:pt idx="277">
                  <c:v>0.35667667597579156</c:v>
                </c:pt>
                <c:pt idx="278">
                  <c:v>0.35908986580590629</c:v>
                </c:pt>
                <c:pt idx="279">
                  <c:v>0.36150940653848485</c:v>
                </c:pt>
                <c:pt idx="280">
                  <c:v>0.36393527419783034</c:v>
                </c:pt>
                <c:pt idx="281">
                  <c:v>0.36636744474555105</c:v>
                </c:pt>
                <c:pt idx="282">
                  <c:v>0.36880589408079867</c:v>
                </c:pt>
                <c:pt idx="283">
                  <c:v>0.3712505980405072</c:v>
                </c:pt>
                <c:pt idx="284">
                  <c:v>0.37370153239963222</c:v>
                </c:pt>
                <c:pt idx="285">
                  <c:v>0.37615867287139115</c:v>
                </c:pt>
                <c:pt idx="286">
                  <c:v>0.37862199510750394</c:v>
                </c:pt>
                <c:pt idx="287">
                  <c:v>0.38109147469843418</c:v>
                </c:pt>
                <c:pt idx="288">
                  <c:v>0.38356708717363108</c:v>
                </c:pt>
                <c:pt idx="289">
                  <c:v>0.38604880800177188</c:v>
                </c:pt>
                <c:pt idx="290">
                  <c:v>0.3885366125910048</c:v>
                </c:pt>
                <c:pt idx="291">
                  <c:v>0.39103047628919319</c:v>
                </c:pt>
                <c:pt idx="292">
                  <c:v>0.39353037438415939</c:v>
                </c:pt>
                <c:pt idx="293">
                  <c:v>0.3960362821039296</c:v>
                </c:pt>
                <c:pt idx="294">
                  <c:v>0.39854817461698</c:v>
                </c:pt>
                <c:pt idx="295">
                  <c:v>0.4010660270324814</c:v>
                </c:pt>
                <c:pt idx="296">
                  <c:v>0.40358981440054742</c:v>
                </c:pt>
                <c:pt idx="297">
                  <c:v>0.40611951171248117</c:v>
                </c:pt>
                <c:pt idx="298">
                  <c:v>0.4086550939010225</c:v>
                </c:pt>
                <c:pt idx="299">
                  <c:v>0.41119653584059757</c:v>
                </c:pt>
                <c:pt idx="300">
                  <c:v>0.41374381234756619</c:v>
                </c:pt>
                <c:pt idx="301">
                  <c:v>0.41629689818047322</c:v>
                </c:pt>
                <c:pt idx="302">
                  <c:v>0.41885576804029723</c:v>
                </c:pt>
                <c:pt idx="303">
                  <c:v>0.42142039657070196</c:v>
                </c:pt>
                <c:pt idx="304">
                  <c:v>0.42399075835828748</c:v>
                </c:pt>
                <c:pt idx="305">
                  <c:v>0.42656682793284162</c:v>
                </c:pt>
                <c:pt idx="306">
                  <c:v>0.42914857976759269</c:v>
                </c:pt>
                <c:pt idx="307">
                  <c:v>0.43173598827946269</c:v>
                </c:pt>
                <c:pt idx="308">
                  <c:v>0.43432902782932004</c:v>
                </c:pt>
                <c:pt idx="309">
                  <c:v>0.43692767272223476</c:v>
                </c:pt>
                <c:pt idx="310">
                  <c:v>0.43953189720773167</c:v>
                </c:pt>
                <c:pt idx="311">
                  <c:v>0.4421416754800469</c:v>
                </c:pt>
                <c:pt idx="312">
                  <c:v>0.44475698167838285</c:v>
                </c:pt>
                <c:pt idx="313">
                  <c:v>0.44737778988716459</c:v>
                </c:pt>
                <c:pt idx="314">
                  <c:v>0.45000407413629695</c:v>
                </c:pt>
                <c:pt idx="315">
                  <c:v>0.45263580840142115</c:v>
                </c:pt>
                <c:pt idx="316">
                  <c:v>0.45527296660417349</c:v>
                </c:pt>
                <c:pt idx="317">
                  <c:v>0.45791552261244328</c:v>
                </c:pt>
                <c:pt idx="318">
                  <c:v>0.46056345024063217</c:v>
                </c:pt>
                <c:pt idx="319">
                  <c:v>0.46321672324991292</c:v>
                </c:pt>
                <c:pt idx="320">
                  <c:v>0.46587531534849058</c:v>
                </c:pt>
                <c:pt idx="321">
                  <c:v>0.46853920019186157</c:v>
                </c:pt>
                <c:pt idx="322">
                  <c:v>0.47120835138307604</c:v>
                </c:pt>
                <c:pt idx="323">
                  <c:v>0.47388274247299855</c:v>
                </c:pt>
                <c:pt idx="324">
                  <c:v>0.47656234696057043</c:v>
                </c:pt>
                <c:pt idx="325">
                  <c:v>0.47924713829307297</c:v>
                </c:pt>
                <c:pt idx="326">
                  <c:v>0.48193708986638928</c:v>
                </c:pt>
                <c:pt idx="327">
                  <c:v>0.48463217502526945</c:v>
                </c:pt>
                <c:pt idx="328">
                  <c:v>0.48733236706359295</c:v>
                </c:pt>
                <c:pt idx="329">
                  <c:v>0.49003763922463506</c:v>
                </c:pt>
                <c:pt idx="330">
                  <c:v>0.49274796470133042</c:v>
                </c:pt>
                <c:pt idx="331">
                  <c:v>0.4954633166365402</c:v>
                </c:pt>
                <c:pt idx="332">
                  <c:v>0.4981836681233166</c:v>
                </c:pt>
                <c:pt idx="333">
                  <c:v>0.50090899220517071</c:v>
                </c:pt>
                <c:pt idx="334">
                  <c:v>0.50363926187633923</c:v>
                </c:pt>
                <c:pt idx="335">
                  <c:v>0.50637445008205195</c:v>
                </c:pt>
                <c:pt idx="336">
                  <c:v>0.50911452971880011</c:v>
                </c:pt>
                <c:pt idx="337">
                  <c:v>0.51185947363460449</c:v>
                </c:pt>
                <c:pt idx="338">
                  <c:v>0.51460925462928531</c:v>
                </c:pt>
                <c:pt idx="339">
                  <c:v>0.51736384545473046</c:v>
                </c:pt>
                <c:pt idx="340">
                  <c:v>0.52012321881516699</c:v>
                </c:pt>
                <c:pt idx="341">
                  <c:v>0.52288734736743059</c:v>
                </c:pt>
                <c:pt idx="342">
                  <c:v>0.52565620372123711</c:v>
                </c:pt>
                <c:pt idx="343">
                  <c:v>0.52842976043945322</c:v>
                </c:pt>
                <c:pt idx="344">
                  <c:v>0.53120799003836905</c:v>
                </c:pt>
                <c:pt idx="345">
                  <c:v>0.53399086498797033</c:v>
                </c:pt>
                <c:pt idx="346">
                  <c:v>0.53677835771221083</c:v>
                </c:pt>
                <c:pt idx="347">
                  <c:v>0.53957044058928638</c:v>
                </c:pt>
                <c:pt idx="348">
                  <c:v>0.54236708595190763</c:v>
                </c:pt>
                <c:pt idx="349">
                  <c:v>0.54516826608757496</c:v>
                </c:pt>
                <c:pt idx="350">
                  <c:v>0.54797395323885223</c:v>
                </c:pt>
                <c:pt idx="351">
                  <c:v>0.55078411960364337</c:v>
                </c:pt>
                <c:pt idx="352">
                  <c:v>0.55359873733546627</c:v>
                </c:pt>
                <c:pt idx="353">
                  <c:v>0.55641777854372954</c:v>
                </c:pt>
                <c:pt idx="354">
                  <c:v>0.55924121529400872</c:v>
                </c:pt>
                <c:pt idx="355">
                  <c:v>0.56206901960832267</c:v>
                </c:pt>
                <c:pt idx="356">
                  <c:v>0.56490116346541219</c:v>
                </c:pt>
                <c:pt idx="357">
                  <c:v>0.56773761880101548</c:v>
                </c:pt>
                <c:pt idx="358">
                  <c:v>0.57057835750814878</c:v>
                </c:pt>
                <c:pt idx="359">
                  <c:v>0.5734233514373821</c:v>
                </c:pt>
                <c:pt idx="360">
                  <c:v>0.57627257239712093</c:v>
                </c:pt>
                <c:pt idx="361">
                  <c:v>0.5791259921538835</c:v>
                </c:pt>
                <c:pt idx="362">
                  <c:v>0.58198358243258186</c:v>
                </c:pt>
                <c:pt idx="363">
                  <c:v>0.58484531491680136</c:v>
                </c:pt>
                <c:pt idx="364">
                  <c:v>0.58771116124908085</c:v>
                </c:pt>
                <c:pt idx="365">
                  <c:v>0.59058109303119544</c:v>
                </c:pt>
                <c:pt idx="366">
                  <c:v>0.59345508182443574</c:v>
                </c:pt>
                <c:pt idx="367">
                  <c:v>0.59633309914989119</c:v>
                </c:pt>
                <c:pt idx="368">
                  <c:v>0.59921511648873138</c:v>
                </c:pt>
                <c:pt idx="369">
                  <c:v>0.6021011052824895</c:v>
                </c:pt>
                <c:pt idx="370">
                  <c:v>0.60499103693334377</c:v>
                </c:pt>
                <c:pt idx="371">
                  <c:v>0.60788488280440323</c:v>
                </c:pt>
                <c:pt idx="372">
                  <c:v>0.61078261421998925</c:v>
                </c:pt>
                <c:pt idx="373">
                  <c:v>0.61368420246592092</c:v>
                </c:pt>
                <c:pt idx="374">
                  <c:v>0.61658961878979923</c:v>
                </c:pt>
                <c:pt idx="375">
                  <c:v>0.61949883440129161</c:v>
                </c:pt>
                <c:pt idx="376">
                  <c:v>0.6224118204724185</c:v>
                </c:pt>
                <c:pt idx="377">
                  <c:v>0.625328548137837</c:v>
                </c:pt>
                <c:pt idx="378">
                  <c:v>0.62824898849512922</c:v>
                </c:pt>
                <c:pt idx="379">
                  <c:v>0.63117311260508657</c:v>
                </c:pt>
                <c:pt idx="380">
                  <c:v>0.63410089149199766</c:v>
                </c:pt>
                <c:pt idx="381">
                  <c:v>0.63703229614393531</c:v>
                </c:pt>
                <c:pt idx="382">
                  <c:v>0.63996729751304415</c:v>
                </c:pt>
                <c:pt idx="383">
                  <c:v>0.64290586651582782</c:v>
                </c:pt>
                <c:pt idx="384">
                  <c:v>0.64584797403343797</c:v>
                </c:pt>
                <c:pt idx="385">
                  <c:v>0.64879359091196209</c:v>
                </c:pt>
                <c:pt idx="386">
                  <c:v>0.65174268796271284</c:v>
                </c:pt>
                <c:pt idx="387">
                  <c:v>0.65469523596251733</c:v>
                </c:pt>
                <c:pt idx="388">
                  <c:v>0.65765120565400648</c:v>
                </c:pt>
                <c:pt idx="389">
                  <c:v>0.6606105677459051</c:v>
                </c:pt>
                <c:pt idx="390">
                  <c:v>0.66357329291332134</c:v>
                </c:pt>
                <c:pt idx="391">
                  <c:v>0.66653935179803925</c:v>
                </c:pt>
                <c:pt idx="392">
                  <c:v>0.66950871500880726</c:v>
                </c:pt>
                <c:pt idx="393">
                  <c:v>0.67248135312163138</c:v>
                </c:pt>
                <c:pt idx="394">
                  <c:v>0.6754572366800653</c:v>
                </c:pt>
                <c:pt idx="395">
                  <c:v>0.67843633619550392</c:v>
                </c:pt>
                <c:pt idx="396">
                  <c:v>0.68141862214747362</c:v>
                </c:pt>
                <c:pt idx="397">
                  <c:v>0.68440406498392603</c:v>
                </c:pt>
                <c:pt idx="398">
                  <c:v>0.68739263512153115</c:v>
                </c:pt>
                <c:pt idx="399">
                  <c:v>0.6903843029459692</c:v>
                </c:pt>
                <c:pt idx="400">
                  <c:v>0.69337903881222562</c:v>
                </c:pt>
                <c:pt idx="401">
                  <c:v>0.69637681304488286</c:v>
                </c:pt>
                <c:pt idx="402">
                  <c:v>0.69937759593841675</c:v>
                </c:pt>
                <c:pt idx="403">
                  <c:v>0.70238135775748911</c:v>
                </c:pt>
                <c:pt idx="404">
                  <c:v>0.70538806873724358</c:v>
                </c:pt>
                <c:pt idx="405">
                  <c:v>0.70839769908359895</c:v>
                </c:pt>
                <c:pt idx="406">
                  <c:v>0.71141021897354673</c:v>
                </c:pt>
                <c:pt idx="407">
                  <c:v>0.71442559855544452</c:v>
                </c:pt>
                <c:pt idx="408">
                  <c:v>0.71744380794931262</c:v>
                </c:pt>
                <c:pt idx="409">
                  <c:v>0.72046481724713085</c:v>
                </c:pt>
                <c:pt idx="410">
                  <c:v>0.72348859651313369</c:v>
                </c:pt>
                <c:pt idx="411">
                  <c:v>0.72651511578410766</c:v>
                </c:pt>
                <c:pt idx="412">
                  <c:v>0.72954434506968779</c:v>
                </c:pt>
                <c:pt idx="413">
                  <c:v>0.73257625435265572</c:v>
                </c:pt>
                <c:pt idx="414">
                  <c:v>0.73561081358923541</c:v>
                </c:pt>
                <c:pt idx="415">
                  <c:v>0.7386479927093933</c:v>
                </c:pt>
                <c:pt idx="416">
                  <c:v>0.74168776161713368</c:v>
                </c:pt>
                <c:pt idx="417">
                  <c:v>0.7447300901907985</c:v>
                </c:pt>
                <c:pt idx="418">
                  <c:v>0.74777494828336577</c:v>
                </c:pt>
                <c:pt idx="419">
                  <c:v>0.75082230572274766</c:v>
                </c:pt>
                <c:pt idx="420">
                  <c:v>0.75387213231209049</c:v>
                </c:pt>
                <c:pt idx="421">
                  <c:v>0.75692439783007204</c:v>
                </c:pt>
                <c:pt idx="422">
                  <c:v>0.75997907203120352</c:v>
                </c:pt>
                <c:pt idx="423">
                  <c:v>0.76303612464612713</c:v>
                </c:pt>
                <c:pt idx="424">
                  <c:v>0.76609552538191783</c:v>
                </c:pt>
                <c:pt idx="425">
                  <c:v>0.76915724392238149</c:v>
                </c:pt>
                <c:pt idx="426">
                  <c:v>0.77222124992835761</c:v>
                </c:pt>
                <c:pt idx="427">
                  <c:v>0.77528751303801791</c:v>
                </c:pt>
                <c:pt idx="428">
                  <c:v>0.77835600286716788</c:v>
                </c:pt>
                <c:pt idx="429">
                  <c:v>0.78142668900954892</c:v>
                </c:pt>
                <c:pt idx="430">
                  <c:v>0.78449954103713782</c:v>
                </c:pt>
                <c:pt idx="431">
                  <c:v>0.78757452850045018</c:v>
                </c:pt>
                <c:pt idx="432">
                  <c:v>0.79065162092883967</c:v>
                </c:pt>
                <c:pt idx="433">
                  <c:v>0.79373078783080309</c:v>
                </c:pt>
                <c:pt idx="434">
                  <c:v>0.79681199869427966</c:v>
                </c:pt>
                <c:pt idx="435">
                  <c:v>0.79989522298695537</c:v>
                </c:pt>
                <c:pt idx="436">
                  <c:v>0.80298043015656417</c:v>
                </c:pt>
                <c:pt idx="437">
                  <c:v>0.80606758963119207</c:v>
                </c:pt>
                <c:pt idx="438">
                  <c:v>0.80915667081957843</c:v>
                </c:pt>
                <c:pt idx="439">
                  <c:v>0.81224764311142017</c:v>
                </c:pt>
                <c:pt idx="440">
                  <c:v>0.81534047587767555</c:v>
                </c:pt>
                <c:pt idx="441">
                  <c:v>0.81843513847086635</c:v>
                </c:pt>
                <c:pt idx="442">
                  <c:v>0.82153160022538252</c:v>
                </c:pt>
                <c:pt idx="443">
                  <c:v>0.82462983045778548</c:v>
                </c:pt>
                <c:pt idx="444">
                  <c:v>0.82772979846711325</c:v>
                </c:pt>
                <c:pt idx="445">
                  <c:v>0.8308314735351825</c:v>
                </c:pt>
                <c:pt idx="446">
                  <c:v>0.83393482492689608</c:v>
                </c:pt>
                <c:pt idx="447">
                  <c:v>0.83703982189054416</c:v>
                </c:pt>
                <c:pt idx="448">
                  <c:v>0.8401464336581117</c:v>
                </c:pt>
                <c:pt idx="449">
                  <c:v>0.84325462944558205</c:v>
                </c:pt>
                <c:pt idx="450">
                  <c:v>0.84636437845324164</c:v>
                </c:pt>
                <c:pt idx="451">
                  <c:v>0.84947564986598656</c:v>
                </c:pt>
                <c:pt idx="452">
                  <c:v>0.85258841285362663</c:v>
                </c:pt>
                <c:pt idx="453">
                  <c:v>0.85570263657119128</c:v>
                </c:pt>
                <c:pt idx="454">
                  <c:v>0.85881829015923528</c:v>
                </c:pt>
                <c:pt idx="455">
                  <c:v>0.86193534274414518</c:v>
                </c:pt>
                <c:pt idx="456">
                  <c:v>0.86505376343844365</c:v>
                </c:pt>
                <c:pt idx="457">
                  <c:v>0.86817352134109738</c:v>
                </c:pt>
                <c:pt idx="458">
                  <c:v>0.87129458553782158</c:v>
                </c:pt>
                <c:pt idx="459">
                  <c:v>0.87441692510138791</c:v>
                </c:pt>
                <c:pt idx="460">
                  <c:v>0.87754050909192971</c:v>
                </c:pt>
                <c:pt idx="461">
                  <c:v>0.88066530655724884</c:v>
                </c:pt>
                <c:pt idx="462">
                  <c:v>0.88379128653312367</c:v>
                </c:pt>
                <c:pt idx="463">
                  <c:v>0.88691841804361304</c:v>
                </c:pt>
                <c:pt idx="464">
                  <c:v>0.89004667010136695</c:v>
                </c:pt>
                <c:pt idx="465">
                  <c:v>0.89317601170793026</c:v>
                </c:pt>
                <c:pt idx="466">
                  <c:v>0.89630641185405224</c:v>
                </c:pt>
                <c:pt idx="467">
                  <c:v>0.8994378395199919</c:v>
                </c:pt>
                <c:pt idx="468">
                  <c:v>0.9025702636758276</c:v>
                </c:pt>
                <c:pt idx="469">
                  <c:v>0.90570365328176206</c:v>
                </c:pt>
                <c:pt idx="470">
                  <c:v>0.90883797728843208</c:v>
                </c:pt>
                <c:pt idx="471">
                  <c:v>0.91197320463721476</c:v>
                </c:pt>
                <c:pt idx="472">
                  <c:v>0.91510930426053605</c:v>
                </c:pt>
                <c:pt idx="473">
                  <c:v>0.91824624508217823</c:v>
                </c:pt>
                <c:pt idx="474">
                  <c:v>0.92138399601758791</c:v>
                </c:pt>
                <c:pt idx="475">
                  <c:v>0.92452252597418461</c:v>
                </c:pt>
                <c:pt idx="476">
                  <c:v>0.92766180385166763</c:v>
                </c:pt>
                <c:pt idx="477">
                  <c:v>0.93080179854232581</c:v>
                </c:pt>
                <c:pt idx="478">
                  <c:v>0.93394247893134419</c:v>
                </c:pt>
                <c:pt idx="479">
                  <c:v>0.9370838138971137</c:v>
                </c:pt>
                <c:pt idx="480">
                  <c:v>0.94022577231153837</c:v>
                </c:pt>
                <c:pt idx="481">
                  <c:v>0.94336832304034501</c:v>
                </c:pt>
                <c:pt idx="482">
                  <c:v>0.94651143494339052</c:v>
                </c:pt>
                <c:pt idx="483">
                  <c:v>0.9496550768749713</c:v>
                </c:pt>
                <c:pt idx="484">
                  <c:v>0.95279921768413134</c:v>
                </c:pt>
                <c:pt idx="485">
                  <c:v>0.9559438262149712</c:v>
                </c:pt>
                <c:pt idx="486">
                  <c:v>0.95908887130695719</c:v>
                </c:pt>
                <c:pt idx="487">
                  <c:v>0.96223432179522894</c:v>
                </c:pt>
                <c:pt idx="488">
                  <c:v>0.96538014651090975</c:v>
                </c:pt>
                <c:pt idx="489">
                  <c:v>0.96852631428141356</c:v>
                </c:pt>
                <c:pt idx="490">
                  <c:v>0.9716727939307559</c:v>
                </c:pt>
                <c:pt idx="491">
                  <c:v>0.97481955427986144</c:v>
                </c:pt>
                <c:pt idx="492">
                  <c:v>0.977966564146873</c:v>
                </c:pt>
                <c:pt idx="493">
                  <c:v>0.98111379234746177</c:v>
                </c:pt>
                <c:pt idx="494">
                  <c:v>0.98426120769513414</c:v>
                </c:pt>
                <c:pt idx="495">
                  <c:v>0.98740877900154345</c:v>
                </c:pt>
                <c:pt idx="496">
                  <c:v>0.99055647507679634</c:v>
                </c:pt>
                <c:pt idx="497">
                  <c:v>0.99370426472976414</c:v>
                </c:pt>
                <c:pt idx="498">
                  <c:v>0.99685211676839014</c:v>
                </c:pt>
                <c:pt idx="499">
                  <c:v>0.99999999999999989</c:v>
                </c:pt>
              </c:numCache>
            </c:numRef>
          </c:xVal>
          <c:yVal>
            <c:numRef>
              <c:f>Data1!$M$1:$M$500</c:f>
              <c:numCache>
                <c:formatCode>0.0</c:formatCode>
                <c:ptCount val="500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3">
                  <c:v>-0.5</c:v>
                </c:pt>
                <c:pt idx="54">
                  <c:v>-0.5</c:v>
                </c:pt>
                <c:pt idx="55">
                  <c:v>-0.5</c:v>
                </c:pt>
                <c:pt idx="56">
                  <c:v>-0.5</c:v>
                </c:pt>
                <c:pt idx="57">
                  <c:v>-0.5</c:v>
                </c:pt>
                <c:pt idx="58">
                  <c:v>-0.5</c:v>
                </c:pt>
                <c:pt idx="59">
                  <c:v>-0.5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-0.5</c:v>
                </c:pt>
                <c:pt idx="66">
                  <c:v>-0.5</c:v>
                </c:pt>
                <c:pt idx="67">
                  <c:v>-0.5</c:v>
                </c:pt>
                <c:pt idx="68">
                  <c:v>-0.5</c:v>
                </c:pt>
                <c:pt idx="69">
                  <c:v>-0.5</c:v>
                </c:pt>
                <c:pt idx="70">
                  <c:v>-0.5</c:v>
                </c:pt>
                <c:pt idx="71">
                  <c:v>-0.5</c:v>
                </c:pt>
                <c:pt idx="72">
                  <c:v>-0.5</c:v>
                </c:pt>
                <c:pt idx="73">
                  <c:v>-0.5</c:v>
                </c:pt>
                <c:pt idx="74">
                  <c:v>-0.5</c:v>
                </c:pt>
                <c:pt idx="75">
                  <c:v>-0.5</c:v>
                </c:pt>
                <c:pt idx="76">
                  <c:v>-0.5</c:v>
                </c:pt>
                <c:pt idx="77">
                  <c:v>-0.5</c:v>
                </c:pt>
                <c:pt idx="78">
                  <c:v>-0.5</c:v>
                </c:pt>
                <c:pt idx="79">
                  <c:v>-0.5</c:v>
                </c:pt>
                <c:pt idx="80">
                  <c:v>-0.5</c:v>
                </c:pt>
                <c:pt idx="81">
                  <c:v>-0.5</c:v>
                </c:pt>
                <c:pt idx="82">
                  <c:v>-0.5</c:v>
                </c:pt>
                <c:pt idx="83">
                  <c:v>-0.5</c:v>
                </c:pt>
                <c:pt idx="84">
                  <c:v>-0.5</c:v>
                </c:pt>
                <c:pt idx="85">
                  <c:v>-0.5</c:v>
                </c:pt>
                <c:pt idx="86">
                  <c:v>-0.5</c:v>
                </c:pt>
                <c:pt idx="87">
                  <c:v>-0.5</c:v>
                </c:pt>
                <c:pt idx="88">
                  <c:v>-0.5</c:v>
                </c:pt>
                <c:pt idx="89">
                  <c:v>-0.5</c:v>
                </c:pt>
                <c:pt idx="90">
                  <c:v>-0.5</c:v>
                </c:pt>
                <c:pt idx="91">
                  <c:v>-0.5</c:v>
                </c:pt>
                <c:pt idx="92">
                  <c:v>-0.5</c:v>
                </c:pt>
                <c:pt idx="93">
                  <c:v>-0.5</c:v>
                </c:pt>
                <c:pt idx="94">
                  <c:v>-0.5</c:v>
                </c:pt>
                <c:pt idx="95">
                  <c:v>-0.5</c:v>
                </c:pt>
                <c:pt idx="96">
                  <c:v>-0.5</c:v>
                </c:pt>
                <c:pt idx="97">
                  <c:v>-0.5</c:v>
                </c:pt>
                <c:pt idx="98">
                  <c:v>-0.5</c:v>
                </c:pt>
                <c:pt idx="99">
                  <c:v>-0.5</c:v>
                </c:pt>
                <c:pt idx="100">
                  <c:v>-0.5</c:v>
                </c:pt>
                <c:pt idx="101">
                  <c:v>-0.5</c:v>
                </c:pt>
                <c:pt idx="102">
                  <c:v>-0.5</c:v>
                </c:pt>
                <c:pt idx="103">
                  <c:v>-0.5</c:v>
                </c:pt>
                <c:pt idx="104">
                  <c:v>-0.5</c:v>
                </c:pt>
                <c:pt idx="105">
                  <c:v>-0.5</c:v>
                </c:pt>
                <c:pt idx="106">
                  <c:v>-0.5</c:v>
                </c:pt>
                <c:pt idx="107">
                  <c:v>-0.5</c:v>
                </c:pt>
                <c:pt idx="108">
                  <c:v>-0.5</c:v>
                </c:pt>
                <c:pt idx="109">
                  <c:v>-0.5</c:v>
                </c:pt>
                <c:pt idx="110">
                  <c:v>-0.5</c:v>
                </c:pt>
                <c:pt idx="111">
                  <c:v>-0.5</c:v>
                </c:pt>
                <c:pt idx="112">
                  <c:v>-0.5</c:v>
                </c:pt>
                <c:pt idx="113">
                  <c:v>-0.5</c:v>
                </c:pt>
                <c:pt idx="114">
                  <c:v>-0.5</c:v>
                </c:pt>
                <c:pt idx="115">
                  <c:v>-0.5</c:v>
                </c:pt>
                <c:pt idx="116">
                  <c:v>-0.5</c:v>
                </c:pt>
                <c:pt idx="117">
                  <c:v>-0.5</c:v>
                </c:pt>
                <c:pt idx="118">
                  <c:v>-0.5</c:v>
                </c:pt>
                <c:pt idx="119">
                  <c:v>-0.5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-0.5</c:v>
                </c:pt>
                <c:pt idx="129">
                  <c:v>-0.5</c:v>
                </c:pt>
                <c:pt idx="130">
                  <c:v>-0.5</c:v>
                </c:pt>
                <c:pt idx="131">
                  <c:v>-0.5</c:v>
                </c:pt>
                <c:pt idx="132">
                  <c:v>-0.5</c:v>
                </c:pt>
                <c:pt idx="133">
                  <c:v>-0.5</c:v>
                </c:pt>
                <c:pt idx="134">
                  <c:v>-0.5</c:v>
                </c:pt>
                <c:pt idx="135">
                  <c:v>-0.5</c:v>
                </c:pt>
                <c:pt idx="136">
                  <c:v>-0.5</c:v>
                </c:pt>
                <c:pt idx="137">
                  <c:v>-0.5</c:v>
                </c:pt>
                <c:pt idx="138">
                  <c:v>-0.5</c:v>
                </c:pt>
                <c:pt idx="139">
                  <c:v>-0.5</c:v>
                </c:pt>
                <c:pt idx="140">
                  <c:v>-0.5</c:v>
                </c:pt>
                <c:pt idx="141">
                  <c:v>-0.5</c:v>
                </c:pt>
                <c:pt idx="142">
                  <c:v>-0.5</c:v>
                </c:pt>
                <c:pt idx="143">
                  <c:v>-0.5</c:v>
                </c:pt>
                <c:pt idx="144">
                  <c:v>-0.5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-0.5</c:v>
                </c:pt>
                <c:pt idx="149">
                  <c:v>-0.5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  <c:pt idx="171">
                  <c:v>-0.5</c:v>
                </c:pt>
                <c:pt idx="172">
                  <c:v>-0.5</c:v>
                </c:pt>
                <c:pt idx="173">
                  <c:v>-0.5</c:v>
                </c:pt>
                <c:pt idx="174">
                  <c:v>-0.5</c:v>
                </c:pt>
                <c:pt idx="175">
                  <c:v>-0.5</c:v>
                </c:pt>
                <c:pt idx="176">
                  <c:v>-0.5</c:v>
                </c:pt>
                <c:pt idx="177">
                  <c:v>-0.5</c:v>
                </c:pt>
                <c:pt idx="178">
                  <c:v>-0.5</c:v>
                </c:pt>
                <c:pt idx="179">
                  <c:v>-0.5</c:v>
                </c:pt>
                <c:pt idx="180">
                  <c:v>-0.5</c:v>
                </c:pt>
                <c:pt idx="181">
                  <c:v>-0.5</c:v>
                </c:pt>
                <c:pt idx="182">
                  <c:v>-0.5</c:v>
                </c:pt>
                <c:pt idx="183">
                  <c:v>-0.5</c:v>
                </c:pt>
                <c:pt idx="184">
                  <c:v>-0.5</c:v>
                </c:pt>
                <c:pt idx="185">
                  <c:v>-0.5</c:v>
                </c:pt>
                <c:pt idx="186">
                  <c:v>-0.5</c:v>
                </c:pt>
                <c:pt idx="187">
                  <c:v>-0.5</c:v>
                </c:pt>
                <c:pt idx="188">
                  <c:v>-0.5</c:v>
                </c:pt>
                <c:pt idx="189">
                  <c:v>-0.5</c:v>
                </c:pt>
                <c:pt idx="190">
                  <c:v>-0.5</c:v>
                </c:pt>
                <c:pt idx="191">
                  <c:v>-0.5</c:v>
                </c:pt>
                <c:pt idx="192">
                  <c:v>-0.5</c:v>
                </c:pt>
                <c:pt idx="193">
                  <c:v>-0.5</c:v>
                </c:pt>
                <c:pt idx="194">
                  <c:v>-0.5</c:v>
                </c:pt>
                <c:pt idx="195">
                  <c:v>-0.5</c:v>
                </c:pt>
                <c:pt idx="196">
                  <c:v>-0.5</c:v>
                </c:pt>
                <c:pt idx="197">
                  <c:v>-0.5</c:v>
                </c:pt>
                <c:pt idx="198">
                  <c:v>-0.5</c:v>
                </c:pt>
                <c:pt idx="199">
                  <c:v>-0.5</c:v>
                </c:pt>
                <c:pt idx="200">
                  <c:v>-0.5</c:v>
                </c:pt>
                <c:pt idx="201">
                  <c:v>-0.5</c:v>
                </c:pt>
                <c:pt idx="202">
                  <c:v>-0.5</c:v>
                </c:pt>
                <c:pt idx="203">
                  <c:v>-0.5</c:v>
                </c:pt>
                <c:pt idx="204">
                  <c:v>-0.5</c:v>
                </c:pt>
                <c:pt idx="205">
                  <c:v>-0.5</c:v>
                </c:pt>
                <c:pt idx="206">
                  <c:v>-0.5</c:v>
                </c:pt>
                <c:pt idx="207">
                  <c:v>-0.5</c:v>
                </c:pt>
                <c:pt idx="208">
                  <c:v>-0.5</c:v>
                </c:pt>
                <c:pt idx="209">
                  <c:v>-0.5</c:v>
                </c:pt>
                <c:pt idx="210">
                  <c:v>-0.5</c:v>
                </c:pt>
                <c:pt idx="211">
                  <c:v>-0.5</c:v>
                </c:pt>
                <c:pt idx="212">
                  <c:v>-0.5</c:v>
                </c:pt>
                <c:pt idx="213">
                  <c:v>-0.5</c:v>
                </c:pt>
                <c:pt idx="214">
                  <c:v>-0.5</c:v>
                </c:pt>
                <c:pt idx="215">
                  <c:v>-0.5</c:v>
                </c:pt>
                <c:pt idx="216">
                  <c:v>-0.5</c:v>
                </c:pt>
                <c:pt idx="217">
                  <c:v>-0.5</c:v>
                </c:pt>
                <c:pt idx="218">
                  <c:v>-0.5</c:v>
                </c:pt>
                <c:pt idx="219">
                  <c:v>-0.5</c:v>
                </c:pt>
                <c:pt idx="220">
                  <c:v>-0.5</c:v>
                </c:pt>
                <c:pt idx="221">
                  <c:v>-0.5</c:v>
                </c:pt>
                <c:pt idx="222">
                  <c:v>-0.5</c:v>
                </c:pt>
                <c:pt idx="223">
                  <c:v>-0.5</c:v>
                </c:pt>
                <c:pt idx="224">
                  <c:v>-0.5</c:v>
                </c:pt>
                <c:pt idx="225">
                  <c:v>-0.5</c:v>
                </c:pt>
                <c:pt idx="226">
                  <c:v>-0.5</c:v>
                </c:pt>
                <c:pt idx="227">
                  <c:v>-0.5</c:v>
                </c:pt>
                <c:pt idx="228">
                  <c:v>-0.5</c:v>
                </c:pt>
                <c:pt idx="229">
                  <c:v>-0.5</c:v>
                </c:pt>
                <c:pt idx="230">
                  <c:v>-0.5</c:v>
                </c:pt>
                <c:pt idx="231">
                  <c:v>-0.5</c:v>
                </c:pt>
                <c:pt idx="232">
                  <c:v>-0.5</c:v>
                </c:pt>
                <c:pt idx="233">
                  <c:v>-0.5</c:v>
                </c:pt>
                <c:pt idx="234">
                  <c:v>-0.5</c:v>
                </c:pt>
                <c:pt idx="235">
                  <c:v>-0.5</c:v>
                </c:pt>
                <c:pt idx="236">
                  <c:v>-0.5</c:v>
                </c:pt>
                <c:pt idx="237">
                  <c:v>-0.5</c:v>
                </c:pt>
                <c:pt idx="238">
                  <c:v>-0.5</c:v>
                </c:pt>
                <c:pt idx="239">
                  <c:v>-0.5</c:v>
                </c:pt>
                <c:pt idx="240">
                  <c:v>-0.5</c:v>
                </c:pt>
                <c:pt idx="241">
                  <c:v>-0.5</c:v>
                </c:pt>
                <c:pt idx="242">
                  <c:v>-0.5</c:v>
                </c:pt>
                <c:pt idx="243">
                  <c:v>-0.5</c:v>
                </c:pt>
                <c:pt idx="244">
                  <c:v>-0.5</c:v>
                </c:pt>
                <c:pt idx="245">
                  <c:v>-0.5</c:v>
                </c:pt>
                <c:pt idx="246">
                  <c:v>-0.5</c:v>
                </c:pt>
                <c:pt idx="247">
                  <c:v>-0.5</c:v>
                </c:pt>
                <c:pt idx="248">
                  <c:v>-0.5</c:v>
                </c:pt>
                <c:pt idx="249">
                  <c:v>-0.5</c:v>
                </c:pt>
                <c:pt idx="250">
                  <c:v>-0.5</c:v>
                </c:pt>
                <c:pt idx="251">
                  <c:v>-0.5</c:v>
                </c:pt>
                <c:pt idx="252">
                  <c:v>-0.5</c:v>
                </c:pt>
                <c:pt idx="253">
                  <c:v>-0.5</c:v>
                </c:pt>
                <c:pt idx="254">
                  <c:v>-0.5</c:v>
                </c:pt>
                <c:pt idx="255">
                  <c:v>-0.5</c:v>
                </c:pt>
                <c:pt idx="256">
                  <c:v>-0.5</c:v>
                </c:pt>
                <c:pt idx="257">
                  <c:v>-0.5</c:v>
                </c:pt>
                <c:pt idx="258">
                  <c:v>-0.5</c:v>
                </c:pt>
                <c:pt idx="259">
                  <c:v>-0.5</c:v>
                </c:pt>
                <c:pt idx="260">
                  <c:v>-0.5</c:v>
                </c:pt>
                <c:pt idx="261">
                  <c:v>-0.5</c:v>
                </c:pt>
                <c:pt idx="262">
                  <c:v>-0.5</c:v>
                </c:pt>
                <c:pt idx="263">
                  <c:v>-0.5</c:v>
                </c:pt>
                <c:pt idx="264">
                  <c:v>-0.5</c:v>
                </c:pt>
                <c:pt idx="265">
                  <c:v>-0.5</c:v>
                </c:pt>
                <c:pt idx="266">
                  <c:v>-0.5</c:v>
                </c:pt>
                <c:pt idx="267">
                  <c:v>-0.5</c:v>
                </c:pt>
                <c:pt idx="268">
                  <c:v>-0.5</c:v>
                </c:pt>
                <c:pt idx="269">
                  <c:v>-0.5</c:v>
                </c:pt>
                <c:pt idx="270">
                  <c:v>-0.5</c:v>
                </c:pt>
                <c:pt idx="271">
                  <c:v>-0.5</c:v>
                </c:pt>
                <c:pt idx="272">
                  <c:v>-0.5</c:v>
                </c:pt>
                <c:pt idx="273">
                  <c:v>-0.5</c:v>
                </c:pt>
                <c:pt idx="274">
                  <c:v>-0.5</c:v>
                </c:pt>
                <c:pt idx="275">
                  <c:v>-0.5</c:v>
                </c:pt>
                <c:pt idx="276">
                  <c:v>-0.5</c:v>
                </c:pt>
                <c:pt idx="277">
                  <c:v>-0.5</c:v>
                </c:pt>
                <c:pt idx="278">
                  <c:v>-0.5</c:v>
                </c:pt>
                <c:pt idx="279">
                  <c:v>-0.5</c:v>
                </c:pt>
                <c:pt idx="280">
                  <c:v>-0.5</c:v>
                </c:pt>
                <c:pt idx="281">
                  <c:v>-0.5</c:v>
                </c:pt>
                <c:pt idx="282">
                  <c:v>-0.5</c:v>
                </c:pt>
                <c:pt idx="283">
                  <c:v>-0.5</c:v>
                </c:pt>
                <c:pt idx="284">
                  <c:v>-0.5</c:v>
                </c:pt>
                <c:pt idx="285">
                  <c:v>-0.5</c:v>
                </c:pt>
                <c:pt idx="286">
                  <c:v>-0.5</c:v>
                </c:pt>
                <c:pt idx="287">
                  <c:v>-0.5</c:v>
                </c:pt>
                <c:pt idx="288">
                  <c:v>-0.5</c:v>
                </c:pt>
                <c:pt idx="289">
                  <c:v>-0.5</c:v>
                </c:pt>
                <c:pt idx="290">
                  <c:v>-0.5</c:v>
                </c:pt>
                <c:pt idx="291">
                  <c:v>-0.5</c:v>
                </c:pt>
                <c:pt idx="292">
                  <c:v>-0.5</c:v>
                </c:pt>
                <c:pt idx="293">
                  <c:v>-0.5</c:v>
                </c:pt>
                <c:pt idx="294">
                  <c:v>-0.5</c:v>
                </c:pt>
                <c:pt idx="295">
                  <c:v>-0.5</c:v>
                </c:pt>
                <c:pt idx="296">
                  <c:v>-0.5</c:v>
                </c:pt>
                <c:pt idx="297">
                  <c:v>-0.5</c:v>
                </c:pt>
                <c:pt idx="298">
                  <c:v>-0.5</c:v>
                </c:pt>
                <c:pt idx="299">
                  <c:v>-0.5</c:v>
                </c:pt>
                <c:pt idx="300">
                  <c:v>-0.5</c:v>
                </c:pt>
                <c:pt idx="301">
                  <c:v>-0.5</c:v>
                </c:pt>
                <c:pt idx="302">
                  <c:v>-0.5</c:v>
                </c:pt>
                <c:pt idx="303">
                  <c:v>-0.5</c:v>
                </c:pt>
                <c:pt idx="304">
                  <c:v>-0.5</c:v>
                </c:pt>
                <c:pt idx="305">
                  <c:v>-0.5</c:v>
                </c:pt>
                <c:pt idx="306">
                  <c:v>-0.5</c:v>
                </c:pt>
                <c:pt idx="307">
                  <c:v>-0.5</c:v>
                </c:pt>
                <c:pt idx="308">
                  <c:v>-0.5</c:v>
                </c:pt>
                <c:pt idx="309">
                  <c:v>-0.5</c:v>
                </c:pt>
                <c:pt idx="310">
                  <c:v>-0.5</c:v>
                </c:pt>
                <c:pt idx="311">
                  <c:v>-0.5</c:v>
                </c:pt>
                <c:pt idx="312">
                  <c:v>-0.5</c:v>
                </c:pt>
                <c:pt idx="313">
                  <c:v>-0.5</c:v>
                </c:pt>
                <c:pt idx="314">
                  <c:v>-0.5</c:v>
                </c:pt>
                <c:pt idx="315">
                  <c:v>-0.5</c:v>
                </c:pt>
                <c:pt idx="316">
                  <c:v>-0.5</c:v>
                </c:pt>
                <c:pt idx="317">
                  <c:v>-0.5</c:v>
                </c:pt>
                <c:pt idx="318">
                  <c:v>-0.5</c:v>
                </c:pt>
                <c:pt idx="319">
                  <c:v>-0.5</c:v>
                </c:pt>
                <c:pt idx="320">
                  <c:v>-0.5</c:v>
                </c:pt>
                <c:pt idx="321">
                  <c:v>-0.5</c:v>
                </c:pt>
                <c:pt idx="322">
                  <c:v>-0.5</c:v>
                </c:pt>
                <c:pt idx="323">
                  <c:v>-0.5</c:v>
                </c:pt>
                <c:pt idx="324">
                  <c:v>-0.5</c:v>
                </c:pt>
                <c:pt idx="325">
                  <c:v>-0.5</c:v>
                </c:pt>
                <c:pt idx="326">
                  <c:v>-0.5</c:v>
                </c:pt>
                <c:pt idx="327">
                  <c:v>-0.5</c:v>
                </c:pt>
                <c:pt idx="328">
                  <c:v>-0.5</c:v>
                </c:pt>
                <c:pt idx="329">
                  <c:v>-0.5</c:v>
                </c:pt>
                <c:pt idx="330">
                  <c:v>-0.5</c:v>
                </c:pt>
                <c:pt idx="331">
                  <c:v>-0.5</c:v>
                </c:pt>
                <c:pt idx="332">
                  <c:v>-0.5</c:v>
                </c:pt>
                <c:pt idx="333">
                  <c:v>-0.5</c:v>
                </c:pt>
                <c:pt idx="334">
                  <c:v>-0.5</c:v>
                </c:pt>
                <c:pt idx="335">
                  <c:v>-0.5</c:v>
                </c:pt>
                <c:pt idx="336">
                  <c:v>-0.5</c:v>
                </c:pt>
                <c:pt idx="337">
                  <c:v>-0.5</c:v>
                </c:pt>
                <c:pt idx="338">
                  <c:v>-0.5</c:v>
                </c:pt>
                <c:pt idx="339">
                  <c:v>-0.5</c:v>
                </c:pt>
                <c:pt idx="340">
                  <c:v>-0.5</c:v>
                </c:pt>
                <c:pt idx="341">
                  <c:v>-0.5</c:v>
                </c:pt>
                <c:pt idx="342">
                  <c:v>-0.5</c:v>
                </c:pt>
                <c:pt idx="343">
                  <c:v>-0.5</c:v>
                </c:pt>
                <c:pt idx="344">
                  <c:v>-0.5</c:v>
                </c:pt>
                <c:pt idx="345">
                  <c:v>-0.5</c:v>
                </c:pt>
                <c:pt idx="346">
                  <c:v>-0.5</c:v>
                </c:pt>
                <c:pt idx="347">
                  <c:v>-0.5</c:v>
                </c:pt>
                <c:pt idx="348">
                  <c:v>-0.5</c:v>
                </c:pt>
                <c:pt idx="349">
                  <c:v>-0.5</c:v>
                </c:pt>
                <c:pt idx="350">
                  <c:v>-0.5</c:v>
                </c:pt>
                <c:pt idx="351">
                  <c:v>-0.5</c:v>
                </c:pt>
                <c:pt idx="352">
                  <c:v>-0.5</c:v>
                </c:pt>
                <c:pt idx="353">
                  <c:v>-0.5</c:v>
                </c:pt>
                <c:pt idx="354">
                  <c:v>-0.5</c:v>
                </c:pt>
                <c:pt idx="355">
                  <c:v>-0.5</c:v>
                </c:pt>
                <c:pt idx="356">
                  <c:v>-0.5</c:v>
                </c:pt>
                <c:pt idx="357">
                  <c:v>-0.5</c:v>
                </c:pt>
                <c:pt idx="358">
                  <c:v>-0.5</c:v>
                </c:pt>
                <c:pt idx="359">
                  <c:v>-0.5</c:v>
                </c:pt>
                <c:pt idx="360">
                  <c:v>-0.5</c:v>
                </c:pt>
                <c:pt idx="361">
                  <c:v>-0.5</c:v>
                </c:pt>
                <c:pt idx="362">
                  <c:v>-0.5</c:v>
                </c:pt>
                <c:pt idx="363">
                  <c:v>-0.5</c:v>
                </c:pt>
                <c:pt idx="364">
                  <c:v>-0.5</c:v>
                </c:pt>
                <c:pt idx="365">
                  <c:v>-0.5</c:v>
                </c:pt>
                <c:pt idx="366">
                  <c:v>-0.5</c:v>
                </c:pt>
                <c:pt idx="367">
                  <c:v>-0.5</c:v>
                </c:pt>
                <c:pt idx="368">
                  <c:v>-0.5</c:v>
                </c:pt>
                <c:pt idx="369">
                  <c:v>-0.5</c:v>
                </c:pt>
                <c:pt idx="370">
                  <c:v>-0.5</c:v>
                </c:pt>
                <c:pt idx="371">
                  <c:v>-0.5</c:v>
                </c:pt>
                <c:pt idx="372">
                  <c:v>-0.5</c:v>
                </c:pt>
                <c:pt idx="373">
                  <c:v>-0.5</c:v>
                </c:pt>
                <c:pt idx="374">
                  <c:v>-0.5</c:v>
                </c:pt>
                <c:pt idx="375">
                  <c:v>-0.5</c:v>
                </c:pt>
                <c:pt idx="376">
                  <c:v>-0.5</c:v>
                </c:pt>
                <c:pt idx="377">
                  <c:v>-0.5</c:v>
                </c:pt>
                <c:pt idx="378">
                  <c:v>-0.5</c:v>
                </c:pt>
                <c:pt idx="379">
                  <c:v>-0.5</c:v>
                </c:pt>
                <c:pt idx="380">
                  <c:v>-0.5</c:v>
                </c:pt>
                <c:pt idx="381">
                  <c:v>-0.5</c:v>
                </c:pt>
                <c:pt idx="382">
                  <c:v>-0.5</c:v>
                </c:pt>
                <c:pt idx="383">
                  <c:v>-0.5</c:v>
                </c:pt>
                <c:pt idx="384">
                  <c:v>-0.5</c:v>
                </c:pt>
                <c:pt idx="385">
                  <c:v>-0.5</c:v>
                </c:pt>
                <c:pt idx="386">
                  <c:v>-0.5</c:v>
                </c:pt>
                <c:pt idx="387">
                  <c:v>-0.5</c:v>
                </c:pt>
                <c:pt idx="388">
                  <c:v>-0.5</c:v>
                </c:pt>
                <c:pt idx="389">
                  <c:v>-0.5</c:v>
                </c:pt>
                <c:pt idx="390">
                  <c:v>-0.5</c:v>
                </c:pt>
                <c:pt idx="391">
                  <c:v>-0.5</c:v>
                </c:pt>
                <c:pt idx="392">
                  <c:v>-0.5</c:v>
                </c:pt>
                <c:pt idx="393">
                  <c:v>-0.5</c:v>
                </c:pt>
                <c:pt idx="394">
                  <c:v>-0.5</c:v>
                </c:pt>
                <c:pt idx="395">
                  <c:v>-0.5</c:v>
                </c:pt>
                <c:pt idx="396">
                  <c:v>-0.5</c:v>
                </c:pt>
                <c:pt idx="397">
                  <c:v>-0.5</c:v>
                </c:pt>
                <c:pt idx="398">
                  <c:v>-0.5</c:v>
                </c:pt>
                <c:pt idx="399">
                  <c:v>-0.5</c:v>
                </c:pt>
                <c:pt idx="400">
                  <c:v>-0.5</c:v>
                </c:pt>
                <c:pt idx="401">
                  <c:v>-0.5</c:v>
                </c:pt>
                <c:pt idx="402">
                  <c:v>-0.5</c:v>
                </c:pt>
                <c:pt idx="403">
                  <c:v>-0.5</c:v>
                </c:pt>
                <c:pt idx="404">
                  <c:v>-0.5</c:v>
                </c:pt>
                <c:pt idx="405">
                  <c:v>-0.5</c:v>
                </c:pt>
                <c:pt idx="406">
                  <c:v>-0.5</c:v>
                </c:pt>
                <c:pt idx="407">
                  <c:v>-0.5</c:v>
                </c:pt>
                <c:pt idx="408">
                  <c:v>-0.5</c:v>
                </c:pt>
                <c:pt idx="409">
                  <c:v>-0.5</c:v>
                </c:pt>
                <c:pt idx="410">
                  <c:v>-0.5</c:v>
                </c:pt>
                <c:pt idx="411">
                  <c:v>-0.5</c:v>
                </c:pt>
                <c:pt idx="412">
                  <c:v>-0.5</c:v>
                </c:pt>
                <c:pt idx="413">
                  <c:v>-0.5</c:v>
                </c:pt>
                <c:pt idx="414">
                  <c:v>-0.5</c:v>
                </c:pt>
                <c:pt idx="415">
                  <c:v>-0.5</c:v>
                </c:pt>
                <c:pt idx="416">
                  <c:v>-0.5</c:v>
                </c:pt>
                <c:pt idx="417">
                  <c:v>-0.5</c:v>
                </c:pt>
                <c:pt idx="418">
                  <c:v>-0.5</c:v>
                </c:pt>
                <c:pt idx="419">
                  <c:v>-0.5</c:v>
                </c:pt>
                <c:pt idx="420">
                  <c:v>-0.5</c:v>
                </c:pt>
                <c:pt idx="421">
                  <c:v>-0.5</c:v>
                </c:pt>
                <c:pt idx="422">
                  <c:v>-0.5</c:v>
                </c:pt>
                <c:pt idx="423">
                  <c:v>-0.5</c:v>
                </c:pt>
                <c:pt idx="424">
                  <c:v>-0.5</c:v>
                </c:pt>
                <c:pt idx="425">
                  <c:v>-0.5</c:v>
                </c:pt>
                <c:pt idx="426">
                  <c:v>-0.5</c:v>
                </c:pt>
                <c:pt idx="427">
                  <c:v>-0.5</c:v>
                </c:pt>
                <c:pt idx="428">
                  <c:v>-0.5</c:v>
                </c:pt>
                <c:pt idx="429">
                  <c:v>-0.5</c:v>
                </c:pt>
                <c:pt idx="430">
                  <c:v>-0.5</c:v>
                </c:pt>
                <c:pt idx="431">
                  <c:v>-0.5</c:v>
                </c:pt>
                <c:pt idx="432">
                  <c:v>-0.5</c:v>
                </c:pt>
                <c:pt idx="433">
                  <c:v>-0.5</c:v>
                </c:pt>
                <c:pt idx="434">
                  <c:v>-0.5</c:v>
                </c:pt>
                <c:pt idx="435">
                  <c:v>-0.5</c:v>
                </c:pt>
                <c:pt idx="436">
                  <c:v>-0.5</c:v>
                </c:pt>
                <c:pt idx="437">
                  <c:v>-0.5</c:v>
                </c:pt>
                <c:pt idx="438">
                  <c:v>-0.5</c:v>
                </c:pt>
                <c:pt idx="439">
                  <c:v>-0.5</c:v>
                </c:pt>
                <c:pt idx="440">
                  <c:v>-0.5</c:v>
                </c:pt>
                <c:pt idx="441">
                  <c:v>-0.5</c:v>
                </c:pt>
                <c:pt idx="442">
                  <c:v>-0.5</c:v>
                </c:pt>
                <c:pt idx="443">
                  <c:v>-0.5</c:v>
                </c:pt>
                <c:pt idx="444">
                  <c:v>-0.5</c:v>
                </c:pt>
                <c:pt idx="445">
                  <c:v>-0.5</c:v>
                </c:pt>
                <c:pt idx="446">
                  <c:v>-0.5</c:v>
                </c:pt>
                <c:pt idx="447">
                  <c:v>-0.5</c:v>
                </c:pt>
                <c:pt idx="448">
                  <c:v>-0.5</c:v>
                </c:pt>
                <c:pt idx="449">
                  <c:v>-0.5</c:v>
                </c:pt>
                <c:pt idx="450">
                  <c:v>-0.5</c:v>
                </c:pt>
                <c:pt idx="451">
                  <c:v>-0.5</c:v>
                </c:pt>
                <c:pt idx="452">
                  <c:v>-0.5</c:v>
                </c:pt>
                <c:pt idx="453">
                  <c:v>-0.5</c:v>
                </c:pt>
                <c:pt idx="454">
                  <c:v>-0.5</c:v>
                </c:pt>
                <c:pt idx="455">
                  <c:v>-0.5</c:v>
                </c:pt>
                <c:pt idx="456">
                  <c:v>-0.5</c:v>
                </c:pt>
                <c:pt idx="457">
                  <c:v>-0.5</c:v>
                </c:pt>
                <c:pt idx="458">
                  <c:v>-0.5</c:v>
                </c:pt>
                <c:pt idx="459">
                  <c:v>-0.5</c:v>
                </c:pt>
                <c:pt idx="460">
                  <c:v>-0.5</c:v>
                </c:pt>
                <c:pt idx="461">
                  <c:v>-0.5</c:v>
                </c:pt>
                <c:pt idx="462">
                  <c:v>-0.5</c:v>
                </c:pt>
                <c:pt idx="463">
                  <c:v>-0.5</c:v>
                </c:pt>
                <c:pt idx="464">
                  <c:v>-0.5</c:v>
                </c:pt>
                <c:pt idx="465">
                  <c:v>-0.5</c:v>
                </c:pt>
                <c:pt idx="466">
                  <c:v>-0.5</c:v>
                </c:pt>
                <c:pt idx="467">
                  <c:v>-0.5</c:v>
                </c:pt>
                <c:pt idx="468">
                  <c:v>-0.5</c:v>
                </c:pt>
                <c:pt idx="469">
                  <c:v>-0.5</c:v>
                </c:pt>
                <c:pt idx="470">
                  <c:v>-0.5</c:v>
                </c:pt>
                <c:pt idx="471">
                  <c:v>-0.5</c:v>
                </c:pt>
                <c:pt idx="472">
                  <c:v>-0.5</c:v>
                </c:pt>
                <c:pt idx="473">
                  <c:v>-0.5</c:v>
                </c:pt>
                <c:pt idx="474">
                  <c:v>-0.5</c:v>
                </c:pt>
                <c:pt idx="475">
                  <c:v>-0.5</c:v>
                </c:pt>
                <c:pt idx="476">
                  <c:v>-0.5</c:v>
                </c:pt>
                <c:pt idx="477">
                  <c:v>-0.5</c:v>
                </c:pt>
                <c:pt idx="478">
                  <c:v>-0.5</c:v>
                </c:pt>
                <c:pt idx="479">
                  <c:v>-0.5</c:v>
                </c:pt>
                <c:pt idx="480">
                  <c:v>-0.5</c:v>
                </c:pt>
                <c:pt idx="481">
                  <c:v>-0.5</c:v>
                </c:pt>
                <c:pt idx="482">
                  <c:v>-0.5</c:v>
                </c:pt>
                <c:pt idx="483">
                  <c:v>-0.5</c:v>
                </c:pt>
                <c:pt idx="484">
                  <c:v>-0.5</c:v>
                </c:pt>
                <c:pt idx="485">
                  <c:v>-0.5</c:v>
                </c:pt>
                <c:pt idx="486">
                  <c:v>-0.5</c:v>
                </c:pt>
                <c:pt idx="487">
                  <c:v>-0.5</c:v>
                </c:pt>
                <c:pt idx="488">
                  <c:v>-0.5</c:v>
                </c:pt>
                <c:pt idx="489">
                  <c:v>-0.5</c:v>
                </c:pt>
                <c:pt idx="490">
                  <c:v>-0.5</c:v>
                </c:pt>
                <c:pt idx="491">
                  <c:v>-0.5</c:v>
                </c:pt>
                <c:pt idx="492">
                  <c:v>-0.5</c:v>
                </c:pt>
                <c:pt idx="493">
                  <c:v>-0.5</c:v>
                </c:pt>
                <c:pt idx="494">
                  <c:v>-0.5</c:v>
                </c:pt>
                <c:pt idx="495">
                  <c:v>-0.5</c:v>
                </c:pt>
                <c:pt idx="496">
                  <c:v>-0.5</c:v>
                </c:pt>
                <c:pt idx="497">
                  <c:v>-0.5</c:v>
                </c:pt>
                <c:pt idx="498">
                  <c:v>-0.5</c:v>
                </c:pt>
                <c:pt idx="499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E61-4C0C-9ED7-DC2067F83667}"/>
            </c:ext>
          </c:extLst>
        </c:ser>
        <c:ser>
          <c:idx val="0"/>
          <c:order val="3"/>
          <c:tx>
            <c:v>Chord line</c:v>
          </c:tx>
          <c:spPr>
            <a:ln w="3175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Data1!$B$1:$B$500</c:f>
              <c:numCache>
                <c:formatCode>0.000000</c:formatCode>
                <c:ptCount val="500"/>
                <c:pt idx="0">
                  <c:v>0</c:v>
                </c:pt>
                <c:pt idx="1">
                  <c:v>4.9545966939179564E-6</c:v>
                </c:pt>
                <c:pt idx="2">
                  <c:v>1.9818337679722298E-5</c:v>
                </c:pt>
                <c:pt idx="3">
                  <c:v>4.4591075669564439E-5</c:v>
                </c:pt>
                <c:pt idx="4">
                  <c:v>7.9272565185806165E-5</c:v>
                </c:pt>
                <c:pt idx="5">
                  <c:v>1.2386246256268496E-4</c:v>
                </c:pt>
                <c:pt idx="6">
                  <c:v>1.7836032595031082E-4</c:v>
                </c:pt>
                <c:pt idx="7">
                  <c:v>2.4276561531888508E-4</c:v>
                </c:pt>
                <c:pt idx="8">
                  <c:v>3.1707769246391848E-4</c:v>
                </c:pt>
                <c:pt idx="9">
                  <c:v>4.0129582101267047E-4</c:v>
                </c:pt>
                <c:pt idx="10">
                  <c:v>4.9541916643136563E-4</c:v>
                </c:pt>
                <c:pt idx="11">
                  <c:v>5.9944679603363138E-4</c:v>
                </c:pt>
                <c:pt idx="12">
                  <c:v>7.133776789896018E-4</c:v>
                </c:pt>
                <c:pt idx="13">
                  <c:v>8.3721068633602069E-4</c:v>
                </c:pt>
                <c:pt idx="14">
                  <c:v>9.7094459098767683E-4</c:v>
                </c:pt>
                <c:pt idx="15">
                  <c:v>1.1145780677496164E-3</c:v>
                </c:pt>
                <c:pt idx="16">
                  <c:v>1.2681096933296887E-3</c:v>
                </c:pt>
                <c:pt idx="17">
                  <c:v>1.4315379463535338E-3</c:v>
                </c:pt>
                <c:pt idx="18">
                  <c:v>1.6048612073787938E-3</c:v>
                </c:pt>
                <c:pt idx="19">
                  <c:v>1.7880777589119878E-3</c:v>
                </c:pt>
                <c:pt idx="20">
                  <c:v>1.9811857854247217E-3</c:v>
                </c:pt>
                <c:pt idx="21">
                  <c:v>2.1841833733722282E-3</c:v>
                </c:pt>
                <c:pt idx="22">
                  <c:v>2.3970685112121304E-3</c:v>
                </c:pt>
                <c:pt idx="23">
                  <c:v>2.619839089424536E-3</c:v>
                </c:pt>
                <c:pt idx="24">
                  <c:v>2.8524929005325772E-3</c:v>
                </c:pt>
                <c:pt idx="25">
                  <c:v>3.0950276391248366E-3</c:v>
                </c:pt>
                <c:pt idx="26">
                  <c:v>3.3474409018774409E-3</c:v>
                </c:pt>
                <c:pt idx="27">
                  <c:v>3.609730187578708E-3</c:v>
                </c:pt>
                <c:pt idx="28">
                  <c:v>3.8818928971533495E-3</c:v>
                </c:pt>
                <c:pt idx="29">
                  <c:v>4.1639263336883392E-3</c:v>
                </c:pt>
                <c:pt idx="30">
                  <c:v>4.4558277024601134E-3</c:v>
                </c:pt>
                <c:pt idx="31">
                  <c:v>4.7575941109612163E-3</c:v>
                </c:pt>
                <c:pt idx="32">
                  <c:v>5.0692225689300541E-3</c:v>
                </c:pt>
                <c:pt idx="33">
                  <c:v>5.3907099883800935E-3</c:v>
                </c:pt>
                <c:pt idx="34">
                  <c:v>5.7220531836302824E-3</c:v>
                </c:pt>
                <c:pt idx="35">
                  <c:v>6.0632488713366905E-3</c:v>
                </c:pt>
                <c:pt idx="36">
                  <c:v>6.4142936705253728E-3</c:v>
                </c:pt>
                <c:pt idx="37">
                  <c:v>6.7751841026255644E-3</c:v>
                </c:pt>
                <c:pt idx="38">
                  <c:v>7.1459165915040979E-3</c:v>
                </c:pt>
                <c:pt idx="39">
                  <c:v>7.5264874635010415E-3</c:v>
                </c:pt>
                <c:pt idx="40">
                  <c:v>7.9168929474660032E-3</c:v>
                </c:pt>
                <c:pt idx="41">
                  <c:v>8.3171291747956566E-3</c:v>
                </c:pt>
                <c:pt idx="42">
                  <c:v>8.727192179471821E-3</c:v>
                </c:pt>
                <c:pt idx="43">
                  <c:v>9.1470778981007639E-3</c:v>
                </c:pt>
                <c:pt idx="44">
                  <c:v>9.5767821699537237E-3</c:v>
                </c:pt>
                <c:pt idx="45">
                  <c:v>1.0016300737007988E-2</c:v>
                </c:pt>
                <c:pt idx="46">
                  <c:v>1.0465629243989194E-2</c:v>
                </c:pt>
                <c:pt idx="47">
                  <c:v>1.092476323841407E-2</c:v>
                </c:pt>
                <c:pt idx="48">
                  <c:v>1.1393698170635291E-2</c:v>
                </c:pt>
                <c:pt idx="49">
                  <c:v>1.1872429393885775E-2</c:v>
                </c:pt>
                <c:pt idx="50">
                  <c:v>1.2360952164325312E-2</c:v>
                </c:pt>
                <c:pt idx="51">
                  <c:v>1.2859261641087194E-2</c:v>
                </c:pt>
                <c:pt idx="52">
                  <c:v>1.3367352886326511E-2</c:v>
                </c:pt>
                <c:pt idx="53">
                  <c:v>1.3885220865268999E-2</c:v>
                </c:pt>
                <c:pt idx="54">
                  <c:v>1.4412860446260445E-2</c:v>
                </c:pt>
                <c:pt idx="55">
                  <c:v>1.4950266400818424E-2</c:v>
                </c:pt>
                <c:pt idx="56">
                  <c:v>1.5497433403683258E-2</c:v>
                </c:pt>
                <c:pt idx="57">
                  <c:v>1.605435603287142E-2</c:v>
                </c:pt>
                <c:pt idx="58">
                  <c:v>1.6621028769728818E-2</c:v>
                </c:pt>
                <c:pt idx="59">
                  <c:v>1.719744599898565E-2</c:v>
                </c:pt>
                <c:pt idx="60">
                  <c:v>1.7783602008812238E-2</c:v>
                </c:pt>
                <c:pt idx="61">
                  <c:v>1.8379490990875214E-2</c:v>
                </c:pt>
                <c:pt idx="62">
                  <c:v>1.8985107040395466E-2</c:v>
                </c:pt>
                <c:pt idx="63">
                  <c:v>1.9600444156206542E-2</c:v>
                </c:pt>
                <c:pt idx="64">
                  <c:v>2.0225496240813712E-2</c:v>
                </c:pt>
                <c:pt idx="65">
                  <c:v>2.0860257100455248E-2</c:v>
                </c:pt>
                <c:pt idx="66">
                  <c:v>2.1504720445162939E-2</c:v>
                </c:pt>
                <c:pt idx="67">
                  <c:v>2.2158879888824812E-2</c:v>
                </c:pt>
                <c:pt idx="68">
                  <c:v>2.2822728949248527E-2</c:v>
                </c:pt>
                <c:pt idx="69">
                  <c:v>2.349626104822522E-2</c:v>
                </c:pt>
                <c:pt idx="70">
                  <c:v>2.4179469511595331E-2</c:v>
                </c:pt>
                <c:pt idx="71">
                  <c:v>2.487234756931378E-2</c:v>
                </c:pt>
                <c:pt idx="72">
                  <c:v>2.5574888355518133E-2</c:v>
                </c:pt>
                <c:pt idx="73">
                  <c:v>2.6287084908595659E-2</c:v>
                </c:pt>
                <c:pt idx="74">
                  <c:v>2.7008930171253165E-2</c:v>
                </c:pt>
                <c:pt idx="75">
                  <c:v>2.7740416990586381E-2</c:v>
                </c:pt>
                <c:pt idx="76">
                  <c:v>2.8481538118150684E-2</c:v>
                </c:pt>
                <c:pt idx="77">
                  <c:v>2.923228621003382E-2</c:v>
                </c:pt>
                <c:pt idx="78">
                  <c:v>2.9992653826927507E-2</c:v>
                </c:pt>
                <c:pt idx="79">
                  <c:v>3.0762633434202158E-2</c:v>
                </c:pt>
                <c:pt idx="80">
                  <c:v>3.1542217401980821E-2</c:v>
                </c:pt>
                <c:pt idx="81">
                  <c:v>3.2331398005215228E-2</c:v>
                </c:pt>
                <c:pt idx="82">
                  <c:v>3.313016742376218E-2</c:v>
                </c:pt>
                <c:pt idx="83">
                  <c:v>3.3938517742461038E-2</c:v>
                </c:pt>
                <c:pt idx="84">
                  <c:v>3.475644095121222E-2</c:v>
                </c:pt>
                <c:pt idx="85">
                  <c:v>3.5583928945056353E-2</c:v>
                </c:pt>
                <c:pt idx="86">
                  <c:v>3.6420973524254996E-2</c:v>
                </c:pt>
                <c:pt idx="87">
                  <c:v>3.7267566394371454E-2</c:v>
                </c:pt>
                <c:pt idx="88">
                  <c:v>3.8123699166353275E-2</c:v>
                </c:pt>
                <c:pt idx="89">
                  <c:v>3.8989363356615403E-2</c:v>
                </c:pt>
                <c:pt idx="90">
                  <c:v>3.9864550387123776E-2</c:v>
                </c:pt>
                <c:pt idx="91">
                  <c:v>4.0749251585480817E-2</c:v>
                </c:pt>
                <c:pt idx="92">
                  <c:v>4.1643458185011473E-2</c:v>
                </c:pt>
                <c:pt idx="93">
                  <c:v>4.2547161324849481E-2</c:v>
                </c:pt>
                <c:pt idx="94">
                  <c:v>4.346035205002563E-2</c:v>
                </c:pt>
                <c:pt idx="95">
                  <c:v>4.4383021311556581E-2</c:v>
                </c:pt>
                <c:pt idx="96">
                  <c:v>4.5315159966534124E-2</c:v>
                </c:pt>
                <c:pt idx="97">
                  <c:v>4.625675877821589E-2</c:v>
                </c:pt>
                <c:pt idx="98">
                  <c:v>4.7207808416117381E-2</c:v>
                </c:pt>
                <c:pt idx="99">
                  <c:v>4.8168299456103791E-2</c:v>
                </c:pt>
                <c:pt idx="100">
                  <c:v>4.9138222380483598E-2</c:v>
                </c:pt>
                <c:pt idx="101">
                  <c:v>5.0117567578102928E-2</c:v>
                </c:pt>
                <c:pt idx="102">
                  <c:v>5.1106325344440817E-2</c:v>
                </c:pt>
                <c:pt idx="103">
                  <c:v>5.2104485881705465E-2</c:v>
                </c:pt>
                <c:pt idx="104">
                  <c:v>5.3112039298931046E-2</c:v>
                </c:pt>
                <c:pt idx="105">
                  <c:v>5.4128975612075858E-2</c:v>
                </c:pt>
                <c:pt idx="106">
                  <c:v>5.5155284744121347E-2</c:v>
                </c:pt>
                <c:pt idx="107">
                  <c:v>5.6190956525171698E-2</c:v>
                </c:pt>
                <c:pt idx="108">
                  <c:v>5.7235980692555199E-2</c:v>
                </c:pt>
                <c:pt idx="109">
                  <c:v>5.8290346890925049E-2</c:v>
                </c:pt>
                <c:pt idx="110">
                  <c:v>5.9354044672362938E-2</c:v>
                </c:pt>
                <c:pt idx="111">
                  <c:v>6.0427063496481526E-2</c:v>
                </c:pt>
                <c:pt idx="112">
                  <c:v>6.1509392730530021E-2</c:v>
                </c:pt>
                <c:pt idx="113">
                  <c:v>6.2601021649498656E-2</c:v>
                </c:pt>
                <c:pt idx="114">
                  <c:v>6.3701939436225374E-2</c:v>
                </c:pt>
                <c:pt idx="115">
                  <c:v>6.4812135181502861E-2</c:v>
                </c:pt>
                <c:pt idx="116">
                  <c:v>6.5931597884186899E-2</c:v>
                </c:pt>
                <c:pt idx="117">
                  <c:v>6.7060316451305058E-2</c:v>
                </c:pt>
                <c:pt idx="118">
                  <c:v>6.8198279698166608E-2</c:v>
                </c:pt>
                <c:pt idx="119">
                  <c:v>6.9345476348473767E-2</c:v>
                </c:pt>
                <c:pt idx="120">
                  <c:v>7.050189503443316E-2</c:v>
                </c:pt>
                <c:pt idx="121">
                  <c:v>7.1667524296868401E-2</c:v>
                </c:pt>
                <c:pt idx="122">
                  <c:v>7.2842352585333559E-2</c:v>
                </c:pt>
                <c:pt idx="123">
                  <c:v>7.4026368258227948E-2</c:v>
                </c:pt>
                <c:pt idx="124">
                  <c:v>7.5219559582911377E-2</c:v>
                </c:pt>
                <c:pt idx="125">
                  <c:v>7.6421914735820273E-2</c:v>
                </c:pt>
                <c:pt idx="126">
                  <c:v>7.7633421802584812E-2</c:v>
                </c:pt>
                <c:pt idx="127">
                  <c:v>7.8854068778147268E-2</c:v>
                </c:pt>
                <c:pt idx="128">
                  <c:v>8.0083843566880586E-2</c:v>
                </c:pt>
                <c:pt idx="129">
                  <c:v>8.1322733982708617E-2</c:v>
                </c:pt>
                <c:pt idx="130">
                  <c:v>8.2570727749226691E-2</c:v>
                </c:pt>
                <c:pt idx="131">
                  <c:v>8.3827812499823295E-2</c:v>
                </c:pt>
                <c:pt idx="132">
                  <c:v>8.5093975777802311E-2</c:v>
                </c:pt>
                <c:pt idx="133">
                  <c:v>8.6369205036507135E-2</c:v>
                </c:pt>
                <c:pt idx="134">
                  <c:v>8.7653487639444361E-2</c:v>
                </c:pt>
                <c:pt idx="135">
                  <c:v>8.8946810860409342E-2</c:v>
                </c:pt>
                <c:pt idx="136">
                  <c:v>9.0249161883612206E-2</c:v>
                </c:pt>
                <c:pt idx="137">
                  <c:v>9.1560527803804637E-2</c:v>
                </c:pt>
                <c:pt idx="138">
                  <c:v>9.2880895626408333E-2</c:v>
                </c:pt>
                <c:pt idx="139">
                  <c:v>9.4210252267643013E-2</c:v>
                </c:pt>
                <c:pt idx="140">
                  <c:v>9.5548584554656757E-2</c:v>
                </c:pt>
                <c:pt idx="141">
                  <c:v>9.6895879225656123E-2</c:v>
                </c:pt>
                <c:pt idx="142">
                  <c:v>9.8252122930037711E-2</c:v>
                </c:pt>
                <c:pt idx="143">
                  <c:v>9.9617302228520166E-2</c:v>
                </c:pt>
                <c:pt idx="144">
                  <c:v>0.10099140359327796</c:v>
                </c:pt>
                <c:pt idx="145">
                  <c:v>0.10237441340807496</c:v>
                </c:pt>
                <c:pt idx="146">
                  <c:v>0.1037663179683993</c:v>
                </c:pt>
                <c:pt idx="147">
                  <c:v>0.10516710348159974</c:v>
                </c:pt>
                <c:pt idx="148">
                  <c:v>0.10657675606702155</c:v>
                </c:pt>
                <c:pt idx="149">
                  <c:v>0.10799526175614471</c:v>
                </c:pt>
                <c:pt idx="150">
                  <c:v>0.10942260649272206</c:v>
                </c:pt>
                <c:pt idx="151">
                  <c:v>0.11085877613291861</c:v>
                </c:pt>
                <c:pt idx="152">
                  <c:v>0.11230375644545154</c:v>
                </c:pt>
                <c:pt idx="153">
                  <c:v>0.11375753311173153</c:v>
                </c:pt>
                <c:pt idx="154">
                  <c:v>0.11522009172600445</c:v>
                </c:pt>
                <c:pt idx="155">
                  <c:v>0.11669141779549419</c:v>
                </c:pt>
                <c:pt idx="156">
                  <c:v>0.11817149674054617</c:v>
                </c:pt>
                <c:pt idx="157">
                  <c:v>0.11966031389477194</c:v>
                </c:pt>
                <c:pt idx="158">
                  <c:v>0.12115785450519423</c:v>
                </c:pt>
                <c:pt idx="159">
                  <c:v>0.12266410373239378</c:v>
                </c:pt>
                <c:pt idx="160">
                  <c:v>0.12417904665065549</c:v>
                </c:pt>
                <c:pt idx="161">
                  <c:v>0.12570266824811704</c:v>
                </c:pt>
                <c:pt idx="162">
                  <c:v>0.1272349534269176</c:v>
                </c:pt>
                <c:pt idx="163">
                  <c:v>0.12877588700334663</c:v>
                </c:pt>
                <c:pt idx="164">
                  <c:v>0.13032545370799575</c:v>
                </c:pt>
                <c:pt idx="165">
                  <c:v>0.13188363818590843</c:v>
                </c:pt>
                <c:pt idx="166">
                  <c:v>0.13345042499673354</c:v>
                </c:pt>
                <c:pt idx="167">
                  <c:v>0.13502579861487751</c:v>
                </c:pt>
                <c:pt idx="168">
                  <c:v>0.13660974342965859</c:v>
                </c:pt>
                <c:pt idx="169">
                  <c:v>0.13820224374546131</c:v>
                </c:pt>
                <c:pt idx="170">
                  <c:v>0.13980328378189188</c:v>
                </c:pt>
                <c:pt idx="171">
                  <c:v>0.14141284767393503</c:v>
                </c:pt>
                <c:pt idx="172">
                  <c:v>0.143030919472111</c:v>
                </c:pt>
                <c:pt idx="173">
                  <c:v>0.14465748314263338</c:v>
                </c:pt>
                <c:pt idx="174">
                  <c:v>0.14629252256756808</c:v>
                </c:pt>
                <c:pt idx="175">
                  <c:v>0.14793602154499341</c:v>
                </c:pt>
                <c:pt idx="176">
                  <c:v>0.14958796378916006</c:v>
                </c:pt>
                <c:pt idx="177">
                  <c:v>0.15124833293065298</c:v>
                </c:pt>
                <c:pt idx="178">
                  <c:v>0.15291711251655316</c:v>
                </c:pt>
                <c:pt idx="179">
                  <c:v>0.15459428601060099</c:v>
                </c:pt>
                <c:pt idx="180">
                  <c:v>0.15627983679335988</c:v>
                </c:pt>
                <c:pt idx="181">
                  <c:v>0.15797374816238119</c:v>
                </c:pt>
                <c:pt idx="182">
                  <c:v>0.15967600333236964</c:v>
                </c:pt>
                <c:pt idx="183">
                  <c:v>0.16138658543534967</c:v>
                </c:pt>
                <c:pt idx="184">
                  <c:v>0.16310547752083215</c:v>
                </c:pt>
                <c:pt idx="185">
                  <c:v>0.16483266255598328</c:v>
                </c:pt>
                <c:pt idx="186">
                  <c:v>0.1665681234257923</c:v>
                </c:pt>
                <c:pt idx="187">
                  <c:v>0.16831184293324197</c:v>
                </c:pt>
                <c:pt idx="188">
                  <c:v>0.17006380379947839</c:v>
                </c:pt>
                <c:pt idx="189">
                  <c:v>0.17182398866398252</c:v>
                </c:pt>
                <c:pt idx="190">
                  <c:v>0.1735923800847422</c:v>
                </c:pt>
                <c:pt idx="191">
                  <c:v>0.17536896053842488</c:v>
                </c:pt>
                <c:pt idx="192">
                  <c:v>0.17715371242055111</c:v>
                </c:pt>
                <c:pt idx="193">
                  <c:v>0.17894661804566958</c:v>
                </c:pt>
                <c:pt idx="194">
                  <c:v>0.18074765964753159</c:v>
                </c:pt>
                <c:pt idx="195">
                  <c:v>0.1825568193792676</c:v>
                </c:pt>
                <c:pt idx="196">
                  <c:v>0.18437407931356398</c:v>
                </c:pt>
                <c:pt idx="197">
                  <c:v>0.18619942144284063</c:v>
                </c:pt>
                <c:pt idx="198">
                  <c:v>0.18803282767942942</c:v>
                </c:pt>
                <c:pt idx="199">
                  <c:v>0.18987427985575323</c:v>
                </c:pt>
                <c:pt idx="200">
                  <c:v>0.19172375972450661</c:v>
                </c:pt>
                <c:pt idx="201">
                  <c:v>0.19358124895883555</c:v>
                </c:pt>
                <c:pt idx="202">
                  <c:v>0.19544672915252015</c:v>
                </c:pt>
                <c:pt idx="203">
                  <c:v>0.19732018182015654</c:v>
                </c:pt>
                <c:pt idx="204">
                  <c:v>0.1992015883973397</c:v>
                </c:pt>
                <c:pt idx="205">
                  <c:v>0.20109093024084834</c:v>
                </c:pt>
                <c:pt idx="206">
                  <c:v>0.20298818862882839</c:v>
                </c:pt>
                <c:pt idx="207">
                  <c:v>0.20489334476097976</c:v>
                </c:pt>
                <c:pt idx="208">
                  <c:v>0.20680637975874194</c:v>
                </c:pt>
                <c:pt idx="209">
                  <c:v>0.20872727466548102</c:v>
                </c:pt>
                <c:pt idx="210">
                  <c:v>0.21065601044667814</c:v>
                </c:pt>
                <c:pt idx="211">
                  <c:v>0.21259256799011716</c:v>
                </c:pt>
                <c:pt idx="212">
                  <c:v>0.21453692810607505</c:v>
                </c:pt>
                <c:pt idx="213">
                  <c:v>0.2164890715275114</c:v>
                </c:pt>
                <c:pt idx="214">
                  <c:v>0.21844897891025949</c:v>
                </c:pt>
                <c:pt idx="215">
                  <c:v>0.22041663083321805</c:v>
                </c:pt>
                <c:pt idx="216">
                  <c:v>0.22239200779854373</c:v>
                </c:pt>
                <c:pt idx="217">
                  <c:v>0.22437509023184399</c:v>
                </c:pt>
                <c:pt idx="218">
                  <c:v>0.22636585848237156</c:v>
                </c:pt>
                <c:pt idx="219">
                  <c:v>0.22836429282321902</c:v>
                </c:pt>
                <c:pt idx="220">
                  <c:v>0.2303703734515139</c:v>
                </c:pt>
                <c:pt idx="221">
                  <c:v>0.23238408048861525</c:v>
                </c:pt>
                <c:pt idx="222">
                  <c:v>0.23440539398031057</c:v>
                </c:pt>
                <c:pt idx="223">
                  <c:v>0.23643429389701376</c:v>
                </c:pt>
                <c:pt idx="224">
                  <c:v>0.23847076013396296</c:v>
                </c:pt>
                <c:pt idx="225">
                  <c:v>0.24051477251142062</c:v>
                </c:pt>
                <c:pt idx="226">
                  <c:v>0.24256631077487267</c:v>
                </c:pt>
                <c:pt idx="227">
                  <c:v>0.24462535459522983</c:v>
                </c:pt>
                <c:pt idx="228">
                  <c:v>0.24669188356902849</c:v>
                </c:pt>
                <c:pt idx="229">
                  <c:v>0.24876587721863352</c:v>
                </c:pt>
                <c:pt idx="230">
                  <c:v>0.25084731499244084</c:v>
                </c:pt>
                <c:pt idx="231">
                  <c:v>0.25293617626508091</c:v>
                </c:pt>
                <c:pt idx="232">
                  <c:v>0.25503244033762351</c:v>
                </c:pt>
                <c:pt idx="233">
                  <c:v>0.25713608643778241</c:v>
                </c:pt>
                <c:pt idx="234">
                  <c:v>0.25924709372012167</c:v>
                </c:pt>
                <c:pt idx="235">
                  <c:v>0.26136544126626193</c:v>
                </c:pt>
                <c:pt idx="236">
                  <c:v>0.26349110808508769</c:v>
                </c:pt>
                <c:pt idx="237">
                  <c:v>0.26562407311295533</c:v>
                </c:pt>
                <c:pt idx="238">
                  <c:v>0.26776431521390176</c:v>
                </c:pt>
                <c:pt idx="239">
                  <c:v>0.26991181317985435</c:v>
                </c:pt>
                <c:pt idx="240">
                  <c:v>0.27206654573084033</c:v>
                </c:pt>
                <c:pt idx="241">
                  <c:v>0.27422849151519824</c:v>
                </c:pt>
                <c:pt idx="242">
                  <c:v>0.27639762910978904</c:v>
                </c:pt>
                <c:pt idx="243">
                  <c:v>0.27857393702020894</c:v>
                </c:pt>
                <c:pt idx="244">
                  <c:v>0.28075739368100194</c:v>
                </c:pt>
                <c:pt idx="245">
                  <c:v>0.28294797745587386</c:v>
                </c:pt>
                <c:pt idx="246">
                  <c:v>0.28514566663790619</c:v>
                </c:pt>
                <c:pt idx="247">
                  <c:v>0.28735043944977212</c:v>
                </c:pt>
                <c:pt idx="248">
                  <c:v>0.28956227404395118</c:v>
                </c:pt>
                <c:pt idx="249">
                  <c:v>0.2917811485029469</c:v>
                </c:pt>
                <c:pt idx="250">
                  <c:v>0.29400704083950302</c:v>
                </c:pt>
                <c:pt idx="251">
                  <c:v>0.29623992899682194</c:v>
                </c:pt>
                <c:pt idx="252">
                  <c:v>0.29847979084878318</c:v>
                </c:pt>
                <c:pt idx="253">
                  <c:v>0.30072660420016228</c:v>
                </c:pt>
                <c:pt idx="254">
                  <c:v>0.30298034678685137</c:v>
                </c:pt>
                <c:pt idx="255">
                  <c:v>0.30524099627607926</c:v>
                </c:pt>
                <c:pt idx="256">
                  <c:v>0.30750853026663305</c:v>
                </c:pt>
                <c:pt idx="257">
                  <c:v>0.30978292628908</c:v>
                </c:pt>
                <c:pt idx="258">
                  <c:v>0.31206416180598984</c:v>
                </c:pt>
                <c:pt idx="259">
                  <c:v>0.31435221421215875</c:v>
                </c:pt>
                <c:pt idx="260">
                  <c:v>0.31664706083483307</c:v>
                </c:pt>
                <c:pt idx="261">
                  <c:v>0.31894867893393375</c:v>
                </c:pt>
                <c:pt idx="262">
                  <c:v>0.3212570457022822</c:v>
                </c:pt>
                <c:pt idx="263">
                  <c:v>0.32357213826582509</c:v>
                </c:pt>
                <c:pt idx="264">
                  <c:v>0.32589393368386299</c:v>
                </c:pt>
                <c:pt idx="265">
                  <c:v>0.3282224089492759</c:v>
                </c:pt>
                <c:pt idx="266">
                  <c:v>0.33055754098875223</c:v>
                </c:pt>
                <c:pt idx="267">
                  <c:v>0.33289930666301693</c:v>
                </c:pt>
                <c:pt idx="268">
                  <c:v>0.33524768276706118</c:v>
                </c:pt>
                <c:pt idx="269">
                  <c:v>0.33760264603037182</c:v>
                </c:pt>
                <c:pt idx="270">
                  <c:v>0.33996417311716254</c:v>
                </c:pt>
                <c:pt idx="271">
                  <c:v>0.34233224062660483</c:v>
                </c:pt>
                <c:pt idx="272">
                  <c:v>0.34470682509305983</c:v>
                </c:pt>
                <c:pt idx="273">
                  <c:v>0.34708790298631065</c:v>
                </c:pt>
                <c:pt idx="274">
                  <c:v>0.34947545071179609</c:v>
                </c:pt>
                <c:pt idx="275">
                  <c:v>0.35186944461084391</c:v>
                </c:pt>
                <c:pt idx="276">
                  <c:v>0.35426986096090574</c:v>
                </c:pt>
                <c:pt idx="277">
                  <c:v>0.35667667597579156</c:v>
                </c:pt>
                <c:pt idx="278">
                  <c:v>0.35908986580590629</c:v>
                </c:pt>
                <c:pt idx="279">
                  <c:v>0.36150940653848485</c:v>
                </c:pt>
                <c:pt idx="280">
                  <c:v>0.36393527419783034</c:v>
                </c:pt>
                <c:pt idx="281">
                  <c:v>0.36636744474555105</c:v>
                </c:pt>
                <c:pt idx="282">
                  <c:v>0.36880589408079867</c:v>
                </c:pt>
                <c:pt idx="283">
                  <c:v>0.3712505980405072</c:v>
                </c:pt>
                <c:pt idx="284">
                  <c:v>0.37370153239963222</c:v>
                </c:pt>
                <c:pt idx="285">
                  <c:v>0.37615867287139115</c:v>
                </c:pt>
                <c:pt idx="286">
                  <c:v>0.37862199510750394</c:v>
                </c:pt>
                <c:pt idx="287">
                  <c:v>0.38109147469843418</c:v>
                </c:pt>
                <c:pt idx="288">
                  <c:v>0.38356708717363108</c:v>
                </c:pt>
                <c:pt idx="289">
                  <c:v>0.38604880800177188</c:v>
                </c:pt>
                <c:pt idx="290">
                  <c:v>0.3885366125910048</c:v>
                </c:pt>
                <c:pt idx="291">
                  <c:v>0.39103047628919319</c:v>
                </c:pt>
                <c:pt idx="292">
                  <c:v>0.39353037438415939</c:v>
                </c:pt>
                <c:pt idx="293">
                  <c:v>0.3960362821039296</c:v>
                </c:pt>
                <c:pt idx="294">
                  <c:v>0.39854817461698</c:v>
                </c:pt>
                <c:pt idx="295">
                  <c:v>0.4010660270324814</c:v>
                </c:pt>
                <c:pt idx="296">
                  <c:v>0.40358981440054742</c:v>
                </c:pt>
                <c:pt idx="297">
                  <c:v>0.40611951171248117</c:v>
                </c:pt>
                <c:pt idx="298">
                  <c:v>0.4086550939010225</c:v>
                </c:pt>
                <c:pt idx="299">
                  <c:v>0.41119653584059757</c:v>
                </c:pt>
                <c:pt idx="300">
                  <c:v>0.41374381234756619</c:v>
                </c:pt>
                <c:pt idx="301">
                  <c:v>0.41629689818047322</c:v>
                </c:pt>
                <c:pt idx="302">
                  <c:v>0.41885576804029723</c:v>
                </c:pt>
                <c:pt idx="303">
                  <c:v>0.42142039657070196</c:v>
                </c:pt>
                <c:pt idx="304">
                  <c:v>0.42399075835828748</c:v>
                </c:pt>
                <c:pt idx="305">
                  <c:v>0.42656682793284162</c:v>
                </c:pt>
                <c:pt idx="306">
                  <c:v>0.42914857976759269</c:v>
                </c:pt>
                <c:pt idx="307">
                  <c:v>0.43173598827946269</c:v>
                </c:pt>
                <c:pt idx="308">
                  <c:v>0.43432902782932004</c:v>
                </c:pt>
                <c:pt idx="309">
                  <c:v>0.43692767272223476</c:v>
                </c:pt>
                <c:pt idx="310">
                  <c:v>0.43953189720773167</c:v>
                </c:pt>
                <c:pt idx="311">
                  <c:v>0.4421416754800469</c:v>
                </c:pt>
                <c:pt idx="312">
                  <c:v>0.44475698167838285</c:v>
                </c:pt>
                <c:pt idx="313">
                  <c:v>0.44737778988716459</c:v>
                </c:pt>
                <c:pt idx="314">
                  <c:v>0.45000407413629695</c:v>
                </c:pt>
                <c:pt idx="315">
                  <c:v>0.45263580840142115</c:v>
                </c:pt>
                <c:pt idx="316">
                  <c:v>0.45527296660417349</c:v>
                </c:pt>
                <c:pt idx="317">
                  <c:v>0.45791552261244328</c:v>
                </c:pt>
                <c:pt idx="318">
                  <c:v>0.46056345024063217</c:v>
                </c:pt>
                <c:pt idx="319">
                  <c:v>0.46321672324991292</c:v>
                </c:pt>
                <c:pt idx="320">
                  <c:v>0.46587531534849058</c:v>
                </c:pt>
                <c:pt idx="321">
                  <c:v>0.46853920019186157</c:v>
                </c:pt>
                <c:pt idx="322">
                  <c:v>0.47120835138307604</c:v>
                </c:pt>
                <c:pt idx="323">
                  <c:v>0.47388274247299855</c:v>
                </c:pt>
                <c:pt idx="324">
                  <c:v>0.47656234696057043</c:v>
                </c:pt>
                <c:pt idx="325">
                  <c:v>0.47924713829307297</c:v>
                </c:pt>
                <c:pt idx="326">
                  <c:v>0.48193708986638928</c:v>
                </c:pt>
                <c:pt idx="327">
                  <c:v>0.48463217502526945</c:v>
                </c:pt>
                <c:pt idx="328">
                  <c:v>0.48733236706359295</c:v>
                </c:pt>
                <c:pt idx="329">
                  <c:v>0.49003763922463506</c:v>
                </c:pt>
                <c:pt idx="330">
                  <c:v>0.49274796470133042</c:v>
                </c:pt>
                <c:pt idx="331">
                  <c:v>0.4954633166365402</c:v>
                </c:pt>
                <c:pt idx="332">
                  <c:v>0.4981836681233166</c:v>
                </c:pt>
                <c:pt idx="333">
                  <c:v>0.50090899220517071</c:v>
                </c:pt>
                <c:pt idx="334">
                  <c:v>0.50363926187633923</c:v>
                </c:pt>
                <c:pt idx="335">
                  <c:v>0.50637445008205195</c:v>
                </c:pt>
                <c:pt idx="336">
                  <c:v>0.50911452971880011</c:v>
                </c:pt>
                <c:pt idx="337">
                  <c:v>0.51185947363460449</c:v>
                </c:pt>
                <c:pt idx="338">
                  <c:v>0.51460925462928531</c:v>
                </c:pt>
                <c:pt idx="339">
                  <c:v>0.51736384545473046</c:v>
                </c:pt>
                <c:pt idx="340">
                  <c:v>0.52012321881516699</c:v>
                </c:pt>
                <c:pt idx="341">
                  <c:v>0.52288734736743059</c:v>
                </c:pt>
                <c:pt idx="342">
                  <c:v>0.52565620372123711</c:v>
                </c:pt>
                <c:pt idx="343">
                  <c:v>0.52842976043945322</c:v>
                </c:pt>
                <c:pt idx="344">
                  <c:v>0.53120799003836905</c:v>
                </c:pt>
                <c:pt idx="345">
                  <c:v>0.53399086498797033</c:v>
                </c:pt>
                <c:pt idx="346">
                  <c:v>0.53677835771221083</c:v>
                </c:pt>
                <c:pt idx="347">
                  <c:v>0.53957044058928638</c:v>
                </c:pt>
                <c:pt idx="348">
                  <c:v>0.54236708595190763</c:v>
                </c:pt>
                <c:pt idx="349">
                  <c:v>0.54516826608757496</c:v>
                </c:pt>
                <c:pt idx="350">
                  <c:v>0.54797395323885223</c:v>
                </c:pt>
                <c:pt idx="351">
                  <c:v>0.55078411960364337</c:v>
                </c:pt>
                <c:pt idx="352">
                  <c:v>0.55359873733546627</c:v>
                </c:pt>
                <c:pt idx="353">
                  <c:v>0.55641777854372954</c:v>
                </c:pt>
                <c:pt idx="354">
                  <c:v>0.55924121529400872</c:v>
                </c:pt>
                <c:pt idx="355">
                  <c:v>0.56206901960832267</c:v>
                </c:pt>
                <c:pt idx="356">
                  <c:v>0.56490116346541219</c:v>
                </c:pt>
                <c:pt idx="357">
                  <c:v>0.56773761880101548</c:v>
                </c:pt>
                <c:pt idx="358">
                  <c:v>0.57057835750814878</c:v>
                </c:pt>
                <c:pt idx="359">
                  <c:v>0.5734233514373821</c:v>
                </c:pt>
                <c:pt idx="360">
                  <c:v>0.57627257239712093</c:v>
                </c:pt>
                <c:pt idx="361">
                  <c:v>0.5791259921538835</c:v>
                </c:pt>
                <c:pt idx="362">
                  <c:v>0.58198358243258186</c:v>
                </c:pt>
                <c:pt idx="363">
                  <c:v>0.58484531491680136</c:v>
                </c:pt>
                <c:pt idx="364">
                  <c:v>0.58771116124908085</c:v>
                </c:pt>
                <c:pt idx="365">
                  <c:v>0.59058109303119544</c:v>
                </c:pt>
                <c:pt idx="366">
                  <c:v>0.59345508182443574</c:v>
                </c:pt>
                <c:pt idx="367">
                  <c:v>0.59633309914989119</c:v>
                </c:pt>
                <c:pt idx="368">
                  <c:v>0.59921511648873138</c:v>
                </c:pt>
                <c:pt idx="369">
                  <c:v>0.6021011052824895</c:v>
                </c:pt>
                <c:pt idx="370">
                  <c:v>0.60499103693334377</c:v>
                </c:pt>
                <c:pt idx="371">
                  <c:v>0.60788488280440323</c:v>
                </c:pt>
                <c:pt idx="372">
                  <c:v>0.61078261421998925</c:v>
                </c:pt>
                <c:pt idx="373">
                  <c:v>0.61368420246592092</c:v>
                </c:pt>
                <c:pt idx="374">
                  <c:v>0.61658961878979923</c:v>
                </c:pt>
                <c:pt idx="375">
                  <c:v>0.61949883440129161</c:v>
                </c:pt>
                <c:pt idx="376">
                  <c:v>0.6224118204724185</c:v>
                </c:pt>
                <c:pt idx="377">
                  <c:v>0.625328548137837</c:v>
                </c:pt>
                <c:pt idx="378">
                  <c:v>0.62824898849512922</c:v>
                </c:pt>
                <c:pt idx="379">
                  <c:v>0.63117311260508657</c:v>
                </c:pt>
                <c:pt idx="380">
                  <c:v>0.63410089149199766</c:v>
                </c:pt>
                <c:pt idx="381">
                  <c:v>0.63703229614393531</c:v>
                </c:pt>
                <c:pt idx="382">
                  <c:v>0.63996729751304415</c:v>
                </c:pt>
                <c:pt idx="383">
                  <c:v>0.64290586651582782</c:v>
                </c:pt>
                <c:pt idx="384">
                  <c:v>0.64584797403343797</c:v>
                </c:pt>
                <c:pt idx="385">
                  <c:v>0.64879359091196209</c:v>
                </c:pt>
                <c:pt idx="386">
                  <c:v>0.65174268796271284</c:v>
                </c:pt>
                <c:pt idx="387">
                  <c:v>0.65469523596251733</c:v>
                </c:pt>
                <c:pt idx="388">
                  <c:v>0.65765120565400648</c:v>
                </c:pt>
                <c:pt idx="389">
                  <c:v>0.6606105677459051</c:v>
                </c:pt>
                <c:pt idx="390">
                  <c:v>0.66357329291332134</c:v>
                </c:pt>
                <c:pt idx="391">
                  <c:v>0.66653935179803925</c:v>
                </c:pt>
                <c:pt idx="392">
                  <c:v>0.66950871500880726</c:v>
                </c:pt>
                <c:pt idx="393">
                  <c:v>0.67248135312163138</c:v>
                </c:pt>
                <c:pt idx="394">
                  <c:v>0.6754572366800653</c:v>
                </c:pt>
                <c:pt idx="395">
                  <c:v>0.67843633619550392</c:v>
                </c:pt>
                <c:pt idx="396">
                  <c:v>0.68141862214747362</c:v>
                </c:pt>
                <c:pt idx="397">
                  <c:v>0.68440406498392603</c:v>
                </c:pt>
                <c:pt idx="398">
                  <c:v>0.68739263512153115</c:v>
                </c:pt>
                <c:pt idx="399">
                  <c:v>0.6903843029459692</c:v>
                </c:pt>
                <c:pt idx="400">
                  <c:v>0.69337903881222562</c:v>
                </c:pt>
                <c:pt idx="401">
                  <c:v>0.69637681304488286</c:v>
                </c:pt>
                <c:pt idx="402">
                  <c:v>0.69937759593841675</c:v>
                </c:pt>
                <c:pt idx="403">
                  <c:v>0.70238135775748911</c:v>
                </c:pt>
                <c:pt idx="404">
                  <c:v>0.70538806873724358</c:v>
                </c:pt>
                <c:pt idx="405">
                  <c:v>0.70839769908359895</c:v>
                </c:pt>
                <c:pt idx="406">
                  <c:v>0.71141021897354673</c:v>
                </c:pt>
                <c:pt idx="407">
                  <c:v>0.71442559855544452</c:v>
                </c:pt>
                <c:pt idx="408">
                  <c:v>0.71744380794931262</c:v>
                </c:pt>
                <c:pt idx="409">
                  <c:v>0.72046481724713085</c:v>
                </c:pt>
                <c:pt idx="410">
                  <c:v>0.72348859651313369</c:v>
                </c:pt>
                <c:pt idx="411">
                  <c:v>0.72651511578410766</c:v>
                </c:pt>
                <c:pt idx="412">
                  <c:v>0.72954434506968779</c:v>
                </c:pt>
                <c:pt idx="413">
                  <c:v>0.73257625435265572</c:v>
                </c:pt>
                <c:pt idx="414">
                  <c:v>0.73561081358923541</c:v>
                </c:pt>
                <c:pt idx="415">
                  <c:v>0.7386479927093933</c:v>
                </c:pt>
                <c:pt idx="416">
                  <c:v>0.74168776161713368</c:v>
                </c:pt>
                <c:pt idx="417">
                  <c:v>0.7447300901907985</c:v>
                </c:pt>
                <c:pt idx="418">
                  <c:v>0.74777494828336577</c:v>
                </c:pt>
                <c:pt idx="419">
                  <c:v>0.75082230572274766</c:v>
                </c:pt>
                <c:pt idx="420">
                  <c:v>0.75387213231209049</c:v>
                </c:pt>
                <c:pt idx="421">
                  <c:v>0.75692439783007204</c:v>
                </c:pt>
                <c:pt idx="422">
                  <c:v>0.75997907203120352</c:v>
                </c:pt>
                <c:pt idx="423">
                  <c:v>0.76303612464612713</c:v>
                </c:pt>
                <c:pt idx="424">
                  <c:v>0.76609552538191783</c:v>
                </c:pt>
                <c:pt idx="425">
                  <c:v>0.76915724392238149</c:v>
                </c:pt>
                <c:pt idx="426">
                  <c:v>0.77222124992835761</c:v>
                </c:pt>
                <c:pt idx="427">
                  <c:v>0.77528751303801791</c:v>
                </c:pt>
                <c:pt idx="428">
                  <c:v>0.77835600286716788</c:v>
                </c:pt>
                <c:pt idx="429">
                  <c:v>0.78142668900954892</c:v>
                </c:pt>
                <c:pt idx="430">
                  <c:v>0.78449954103713782</c:v>
                </c:pt>
                <c:pt idx="431">
                  <c:v>0.78757452850045018</c:v>
                </c:pt>
                <c:pt idx="432">
                  <c:v>0.79065162092883967</c:v>
                </c:pt>
                <c:pt idx="433">
                  <c:v>0.79373078783080309</c:v>
                </c:pt>
                <c:pt idx="434">
                  <c:v>0.79681199869427966</c:v>
                </c:pt>
                <c:pt idx="435">
                  <c:v>0.79989522298695537</c:v>
                </c:pt>
                <c:pt idx="436">
                  <c:v>0.80298043015656417</c:v>
                </c:pt>
                <c:pt idx="437">
                  <c:v>0.80606758963119207</c:v>
                </c:pt>
                <c:pt idx="438">
                  <c:v>0.80915667081957843</c:v>
                </c:pt>
                <c:pt idx="439">
                  <c:v>0.81224764311142017</c:v>
                </c:pt>
                <c:pt idx="440">
                  <c:v>0.81534047587767555</c:v>
                </c:pt>
                <c:pt idx="441">
                  <c:v>0.81843513847086635</c:v>
                </c:pt>
                <c:pt idx="442">
                  <c:v>0.82153160022538252</c:v>
                </c:pt>
                <c:pt idx="443">
                  <c:v>0.82462983045778548</c:v>
                </c:pt>
                <c:pt idx="444">
                  <c:v>0.82772979846711325</c:v>
                </c:pt>
                <c:pt idx="445">
                  <c:v>0.8308314735351825</c:v>
                </c:pt>
                <c:pt idx="446">
                  <c:v>0.83393482492689608</c:v>
                </c:pt>
                <c:pt idx="447">
                  <c:v>0.83703982189054416</c:v>
                </c:pt>
                <c:pt idx="448">
                  <c:v>0.8401464336581117</c:v>
                </c:pt>
                <c:pt idx="449">
                  <c:v>0.84325462944558205</c:v>
                </c:pt>
                <c:pt idx="450">
                  <c:v>0.84636437845324164</c:v>
                </c:pt>
                <c:pt idx="451">
                  <c:v>0.84947564986598656</c:v>
                </c:pt>
                <c:pt idx="452">
                  <c:v>0.85258841285362663</c:v>
                </c:pt>
                <c:pt idx="453">
                  <c:v>0.85570263657119128</c:v>
                </c:pt>
                <c:pt idx="454">
                  <c:v>0.85881829015923528</c:v>
                </c:pt>
                <c:pt idx="455">
                  <c:v>0.86193534274414518</c:v>
                </c:pt>
                <c:pt idx="456">
                  <c:v>0.86505376343844365</c:v>
                </c:pt>
                <c:pt idx="457">
                  <c:v>0.86817352134109738</c:v>
                </c:pt>
                <c:pt idx="458">
                  <c:v>0.87129458553782158</c:v>
                </c:pt>
                <c:pt idx="459">
                  <c:v>0.87441692510138791</c:v>
                </c:pt>
                <c:pt idx="460">
                  <c:v>0.87754050909192971</c:v>
                </c:pt>
                <c:pt idx="461">
                  <c:v>0.88066530655724884</c:v>
                </c:pt>
                <c:pt idx="462">
                  <c:v>0.88379128653312367</c:v>
                </c:pt>
                <c:pt idx="463">
                  <c:v>0.88691841804361304</c:v>
                </c:pt>
                <c:pt idx="464">
                  <c:v>0.89004667010136695</c:v>
                </c:pt>
                <c:pt idx="465">
                  <c:v>0.89317601170793026</c:v>
                </c:pt>
                <c:pt idx="466">
                  <c:v>0.89630641185405224</c:v>
                </c:pt>
                <c:pt idx="467">
                  <c:v>0.8994378395199919</c:v>
                </c:pt>
                <c:pt idx="468">
                  <c:v>0.9025702636758276</c:v>
                </c:pt>
                <c:pt idx="469">
                  <c:v>0.90570365328176206</c:v>
                </c:pt>
                <c:pt idx="470">
                  <c:v>0.90883797728843208</c:v>
                </c:pt>
                <c:pt idx="471">
                  <c:v>0.91197320463721476</c:v>
                </c:pt>
                <c:pt idx="472">
                  <c:v>0.91510930426053605</c:v>
                </c:pt>
                <c:pt idx="473">
                  <c:v>0.91824624508217823</c:v>
                </c:pt>
                <c:pt idx="474">
                  <c:v>0.92138399601758791</c:v>
                </c:pt>
                <c:pt idx="475">
                  <c:v>0.92452252597418461</c:v>
                </c:pt>
                <c:pt idx="476">
                  <c:v>0.92766180385166763</c:v>
                </c:pt>
                <c:pt idx="477">
                  <c:v>0.93080179854232581</c:v>
                </c:pt>
                <c:pt idx="478">
                  <c:v>0.93394247893134419</c:v>
                </c:pt>
                <c:pt idx="479">
                  <c:v>0.9370838138971137</c:v>
                </c:pt>
                <c:pt idx="480">
                  <c:v>0.94022577231153837</c:v>
                </c:pt>
                <c:pt idx="481">
                  <c:v>0.94336832304034501</c:v>
                </c:pt>
                <c:pt idx="482">
                  <c:v>0.94651143494339052</c:v>
                </c:pt>
                <c:pt idx="483">
                  <c:v>0.9496550768749713</c:v>
                </c:pt>
                <c:pt idx="484">
                  <c:v>0.95279921768413134</c:v>
                </c:pt>
                <c:pt idx="485">
                  <c:v>0.9559438262149712</c:v>
                </c:pt>
                <c:pt idx="486">
                  <c:v>0.95908887130695719</c:v>
                </c:pt>
                <c:pt idx="487">
                  <c:v>0.96223432179522894</c:v>
                </c:pt>
                <c:pt idx="488">
                  <c:v>0.96538014651090975</c:v>
                </c:pt>
                <c:pt idx="489">
                  <c:v>0.96852631428141356</c:v>
                </c:pt>
                <c:pt idx="490">
                  <c:v>0.9716727939307559</c:v>
                </c:pt>
                <c:pt idx="491">
                  <c:v>0.97481955427986144</c:v>
                </c:pt>
                <c:pt idx="492">
                  <c:v>0.977966564146873</c:v>
                </c:pt>
                <c:pt idx="493">
                  <c:v>0.98111379234746177</c:v>
                </c:pt>
                <c:pt idx="494">
                  <c:v>0.98426120769513414</c:v>
                </c:pt>
                <c:pt idx="495">
                  <c:v>0.98740877900154345</c:v>
                </c:pt>
                <c:pt idx="496">
                  <c:v>0.99055647507679634</c:v>
                </c:pt>
                <c:pt idx="497">
                  <c:v>0.99370426472976414</c:v>
                </c:pt>
                <c:pt idx="498">
                  <c:v>0.99685211676839014</c:v>
                </c:pt>
                <c:pt idx="499">
                  <c:v>0.99999999999999989</c:v>
                </c:pt>
              </c:numCache>
            </c:numRef>
          </c:xVal>
          <c:yVal>
            <c:numRef>
              <c:f>Data1!$L$1:$L$500</c:f>
              <c:numCache>
                <c:formatCode>General</c:formatCode>
                <c:ptCount val="5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D8-493A-B9FB-F69BFBB4E9A9}"/>
            </c:ext>
          </c:extLst>
        </c:ser>
        <c:ser>
          <c:idx val="2"/>
          <c:order val="4"/>
          <c:tx>
            <c:v>Leading-edge Radius</c:v>
          </c:tx>
          <c:spPr>
            <a:ln w="6350">
              <a:solidFill>
                <a:srgbClr val="FF0000"/>
              </a:solidFill>
              <a:prstDash val="solid"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3-D9D8-493A-B9FB-F69BFBB4E9A9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2-D9D8-493A-B9FB-F69BFBB4E9A9}"/>
              </c:ext>
            </c:extLst>
          </c:dPt>
          <c:xVal>
            <c:numRef>
              <c:f>Data1!$T$1:$T$50</c:f>
              <c:numCache>
                <c:formatCode>0.000</c:formatCode>
                <c:ptCount val="50"/>
                <c:pt idx="0">
                  <c:v>3.165511504545114E-2</c:v>
                </c:pt>
                <c:pt idx="1">
                  <c:v>3.1524847771125616E-2</c:v>
                </c:pt>
                <c:pt idx="2">
                  <c:v>3.1136184933192035E-2</c:v>
                </c:pt>
                <c:pt idx="3">
                  <c:v>3.0495508364704101E-2</c:v>
                </c:pt>
                <c:pt idx="4">
                  <c:v>2.9613337957203931E-2</c:v>
                </c:pt>
                <c:pt idx="5">
                  <c:v>2.8504158924393758E-2</c:v>
                </c:pt>
                <c:pt idx="6">
                  <c:v>2.718618395532741E-2</c:v>
                </c:pt>
                <c:pt idx="7">
                  <c:v>2.5681054162559579E-2</c:v>
                </c:pt>
                <c:pt idx="8">
                  <c:v>2.4013483735675949E-2</c:v>
                </c:pt>
                <c:pt idx="9">
                  <c:v>2.2210854134983481E-2</c:v>
                </c:pt>
                <c:pt idx="10">
                  <c:v>2.0302764488689163E-2</c:v>
                </c:pt>
                <c:pt idx="11">
                  <c:v>1.8320545576033149E-2</c:v>
                </c:pt>
                <c:pt idx="12">
                  <c:v>1.6296745376759861E-2</c:v>
                </c:pt>
                <c:pt idx="13">
                  <c:v>1.4264594634190386E-2</c:v>
                </c:pt>
                <c:pt idx="14">
                  <c:v>1.2257461207335878E-2</c:v>
                </c:pt>
                <c:pt idx="15">
                  <c:v>1.0308302171575089E-2</c:v>
                </c:pt>
                <c:pt idx="16">
                  <c:v>8.4491226643877947E-3</c:v>
                </c:pt>
                <c:pt idx="17">
                  <c:v>6.7104503618822279E-3</c:v>
                </c:pt>
                <c:pt idx="18">
                  <c:v>5.1208342151973368E-3</c:v>
                </c:pt>
                <c:pt idx="19">
                  <c:v>3.7063756775143754E-3</c:v>
                </c:pt>
                <c:pt idx="20">
                  <c:v>2.4903001189172805E-3</c:v>
                </c:pt>
                <c:pt idx="21">
                  <c:v>1.4925754664579943E-3</c:v>
                </c:pt>
                <c:pt idx="22">
                  <c:v>7.295843313463112E-4</c:v>
                </c:pt>
                <c:pt idx="23">
                  <c:v>2.1385500692673584E-4</c:v>
                </c:pt>
                <c:pt idx="24">
                  <c:v>-4.6144245551868644E-5</c:v>
                </c:pt>
                <c:pt idx="25">
                  <c:v>-4.6144245551872168E-5</c:v>
                </c:pt>
                <c:pt idx="26">
                  <c:v>2.1385500692672703E-4</c:v>
                </c:pt>
                <c:pt idx="27">
                  <c:v>7.2958433134629895E-4</c:v>
                </c:pt>
                <c:pt idx="28">
                  <c:v>1.4925754664579765E-3</c:v>
                </c:pt>
                <c:pt idx="29">
                  <c:v>2.4903001189172593E-3</c:v>
                </c:pt>
                <c:pt idx="30">
                  <c:v>3.7063756775143489E-3</c:v>
                </c:pt>
                <c:pt idx="31">
                  <c:v>5.1208342151973082E-3</c:v>
                </c:pt>
                <c:pt idx="32">
                  <c:v>6.7104503618822019E-3</c:v>
                </c:pt>
                <c:pt idx="33">
                  <c:v>8.4491226643877738E-3</c:v>
                </c:pt>
                <c:pt idx="34">
                  <c:v>1.0308302171575068E-2</c:v>
                </c:pt>
                <c:pt idx="35">
                  <c:v>1.2257461207335865E-2</c:v>
                </c:pt>
                <c:pt idx="36">
                  <c:v>1.4264594634190379E-2</c:v>
                </c:pt>
                <c:pt idx="37">
                  <c:v>1.6296745376759861E-2</c:v>
                </c:pt>
                <c:pt idx="38">
                  <c:v>1.8320545576033156E-2</c:v>
                </c:pt>
                <c:pt idx="39">
                  <c:v>2.0302764488689173E-2</c:v>
                </c:pt>
                <c:pt idx="40">
                  <c:v>2.2210854134983502E-2</c:v>
                </c:pt>
                <c:pt idx="41">
                  <c:v>2.4013483735675977E-2</c:v>
                </c:pt>
                <c:pt idx="42">
                  <c:v>2.568105416255961E-2</c:v>
                </c:pt>
                <c:pt idx="43">
                  <c:v>2.7186183955327445E-2</c:v>
                </c:pt>
                <c:pt idx="44">
                  <c:v>2.8504158924393785E-2</c:v>
                </c:pt>
                <c:pt idx="45">
                  <c:v>2.9613337957203958E-2</c:v>
                </c:pt>
                <c:pt idx="46">
                  <c:v>3.0495508364704129E-2</c:v>
                </c:pt>
                <c:pt idx="47">
                  <c:v>3.1136184933192056E-2</c:v>
                </c:pt>
                <c:pt idx="48">
                  <c:v>3.152484777112563E-2</c:v>
                </c:pt>
                <c:pt idx="49">
                  <c:v>3.165511504545114E-2</c:v>
                </c:pt>
              </c:numCache>
            </c:numRef>
          </c:xVal>
          <c:yVal>
            <c:numRef>
              <c:f>Data1!$U$1:$U$50</c:f>
              <c:numCache>
                <c:formatCode>0.000</c:formatCode>
                <c:ptCount val="50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D8-493A-B9FB-F69BFBB4E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514255"/>
        <c:axId val="398087727"/>
      </c:scatterChart>
      <c:valAx>
        <c:axId val="1592514255"/>
        <c:scaling>
          <c:orientation val="minMax"/>
          <c:max val="1.1000000000000001"/>
          <c:min val="-0.1"/>
        </c:scaling>
        <c:delete val="0"/>
        <c:axPos val="b"/>
        <c:majorGridlines>
          <c:spPr>
            <a:ln w="6350" cap="flat" cmpd="sng" algn="ctr">
              <a:noFill/>
              <a:prstDash val="sysDot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 sz="800" b="0" i="1">
                    <a:latin typeface="Segoe UI" panose="020B0502040204020203" pitchFamily="34" charset="0"/>
                    <a:cs typeface="Segoe UI" panose="020B0502040204020203" pitchFamily="34" charset="0"/>
                  </a:rPr>
                  <a:t>All</a:t>
                </a:r>
                <a:r>
                  <a:rPr lang="en-GB" sz="800" b="0" i="1" baseline="0">
                    <a:latin typeface="Segoe UI" panose="020B0502040204020203" pitchFamily="34" charset="0"/>
                    <a:cs typeface="Segoe UI" panose="020B0502040204020203" pitchFamily="34" charset="0"/>
                  </a:rPr>
                  <a:t> dimensions are nomalized by the chord length c</a:t>
                </a:r>
                <a:endParaRPr lang="en-GB" sz="800" b="0" i="1"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c:rich>
          </c:tx>
          <c:layout>
            <c:manualLayout>
              <c:xMode val="edge"/>
              <c:yMode val="edge"/>
              <c:x val="0.74639403892931111"/>
              <c:y val="0.93634310615818461"/>
            </c:manualLayout>
          </c:layout>
          <c:overlay val="0"/>
        </c:title>
        <c:numFmt formatCode="0.0" sourceLinked="0"/>
        <c:majorTickMark val="out"/>
        <c:minorTickMark val="none"/>
        <c:tickLblPos val="none"/>
        <c:spPr>
          <a:noFill/>
          <a:ln w="3175" cap="flat" cmpd="sng" algn="ctr">
            <a:solidFill>
              <a:schemeClr val="bg2">
                <a:lumMod val="50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087727"/>
        <c:crosses val="autoZero"/>
        <c:crossBetween val="midCat"/>
        <c:majorUnit val="0.1"/>
        <c:minorUnit val="5.000000000000001E-2"/>
      </c:valAx>
      <c:valAx>
        <c:axId val="398087727"/>
        <c:scaling>
          <c:orientation val="minMax"/>
          <c:max val="0.2"/>
          <c:min val="-0.2"/>
        </c:scaling>
        <c:delete val="0"/>
        <c:axPos val="l"/>
        <c:majorGridlines>
          <c:spPr>
            <a:ln w="6350" cap="flat" cmpd="sng" algn="ctr">
              <a:noFill/>
              <a:prstDash val="sysDot"/>
              <a:round/>
              <a:headEnd w="sm" len="sm"/>
            </a:ln>
            <a:effectLst/>
          </c:spPr>
        </c:majorGridlines>
        <c:numFmt formatCode="0.00" sourceLinked="0"/>
        <c:majorTickMark val="out"/>
        <c:minorTickMark val="none"/>
        <c:tickLblPos val="none"/>
        <c:spPr>
          <a:noFill/>
          <a:ln w="3175" cap="flat" cmpd="sng" algn="ctr">
            <a:solidFill>
              <a:schemeClr val="bg2">
                <a:lumMod val="50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514255"/>
        <c:crossesAt val="0"/>
        <c:crossBetween val="midCat"/>
        <c:majorUnit val="0.1"/>
        <c:minorUnit val="5.000000000000001E-2"/>
      </c:valAx>
      <c:spPr>
        <a:noFill/>
        <a:ln>
          <a:solidFill>
            <a:schemeClr val="bg1"/>
          </a:solidFill>
        </a:ln>
      </c:spPr>
    </c:plotArea>
    <c:plotVisOnly val="1"/>
    <c:dispBlanksAs val="gap"/>
    <c:showDLblsOverMax val="0"/>
    <c:extLst/>
  </c:chart>
  <c:spPr>
    <a:solidFill>
      <a:schemeClr val="bg1"/>
    </a:solidFill>
    <a:ln w="3175">
      <a:solidFill>
        <a:schemeClr val="tx1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300" b="0">
                <a:solidFill>
                  <a:schemeClr val="tx1">
                    <a:lumMod val="75000"/>
                    <a:lumOff val="2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NACA 5-Digit</a:t>
            </a:r>
            <a:r>
              <a:rPr lang="en-GB" sz="1300" b="0" baseline="0">
                <a:solidFill>
                  <a:schemeClr val="tx1">
                    <a:lumMod val="75000"/>
                    <a:lumOff val="2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Series</a:t>
            </a:r>
            <a:endParaRPr lang="en-GB" sz="1300" b="0">
              <a:solidFill>
                <a:schemeClr val="tx1">
                  <a:lumMod val="75000"/>
                  <a:lumOff val="2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41018493105582704"/>
          <c:y val="9.159078327609824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478550514247639E-2"/>
          <c:y val="0.11281114266458409"/>
          <c:w val="0.9444080948730128"/>
          <c:h val="0.78354268115489389"/>
        </c:manualLayout>
      </c:layout>
      <c:scatterChart>
        <c:scatterStyle val="smoothMarker"/>
        <c:varyColors val="0"/>
        <c:ser>
          <c:idx val="0"/>
          <c:order val="0"/>
          <c:tx>
            <c:v>Upper Camber</c:v>
          </c:tx>
          <c:spPr>
            <a:ln w="127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Data2!$L$1:$L$501</c:f>
              <c:numCache>
                <c:formatCode>0.000000</c:formatCode>
                <c:ptCount val="501"/>
                <c:pt idx="0">
                  <c:v>0</c:v>
                </c:pt>
                <c:pt idx="1">
                  <c:v>-1.2134365382136762E-4</c:v>
                </c:pt>
                <c:pt idx="2">
                  <c:v>-2.3250466009001934E-4</c:v>
                </c:pt>
                <c:pt idx="3">
                  <c:v>-3.3344859965318211E-4</c:v>
                </c:pt>
                <c:pt idx="4">
                  <c:v>-4.2414125117957383E-4</c:v>
                </c:pt>
                <c:pt idx="5">
                  <c:v>-5.0454859468592871E-4</c:v>
                </c:pt>
                <c:pt idx="6">
                  <c:v>-5.7463681512787655E-4</c:v>
                </c:pt>
                <c:pt idx="7">
                  <c:v>-6.3437230605242355E-4</c:v>
                </c:pt>
                <c:pt idx="8">
                  <c:v>-6.8372167332211051E-4</c:v>
                </c:pt>
                <c:pt idx="9">
                  <c:v>-7.2265173891649737E-4</c:v>
                </c:pt>
                <c:pt idx="10">
                  <c:v>-7.5112954481658563E-4</c:v>
                </c:pt>
                <c:pt idx="11">
                  <c:v>-7.6912235697844389E-4</c:v>
                </c:pt>
                <c:pt idx="12">
                  <c:v>-7.7659766940163912E-4</c:v>
                </c:pt>
                <c:pt idx="13">
                  <c:v>-7.7352320829839971E-4</c:v>
                </c:pt>
                <c:pt idx="14">
                  <c:v>-7.5986693636897248E-4</c:v>
                </c:pt>
                <c:pt idx="15">
                  <c:v>-7.355970571885789E-4</c:v>
                </c:pt>
                <c:pt idx="16">
                  <c:v>-7.0068201971150868E-4</c:v>
                </c:pt>
                <c:pt idx="17">
                  <c:v>-6.5509052289710115E-4</c:v>
                </c:pt>
                <c:pt idx="18">
                  <c:v>-5.9879152046326016E-4</c:v>
                </c:pt>
                <c:pt idx="19">
                  <c:v>-5.3175422577161381E-4</c:v>
                </c:pt>
                <c:pt idx="20">
                  <c:v>-4.5394811684994988E-4</c:v>
                </c:pt>
                <c:pt idx="21">
                  <c:v>-3.6534294155557033E-4</c:v>
                </c:pt>
                <c:pt idx="22">
                  <c:v>-2.6590872288462892E-4</c:v>
                </c:pt>
                <c:pt idx="23">
                  <c:v>-1.5561576443130646E-4</c:v>
                </c:pt>
                <c:pt idx="24">
                  <c:v>-3.4434656001241896E-5</c:v>
                </c:pt>
                <c:pt idx="25">
                  <c:v>9.7663720617616363E-5</c:v>
                </c:pt>
                <c:pt idx="26">
                  <c:v>2.4070818572195047E-4</c:v>
                </c:pt>
                <c:pt idx="27">
                  <c:v>3.9472725559584537E-4</c:v>
                </c:pt>
                <c:pt idx="28">
                  <c:v>5.5974913624454821E-4</c:v>
                </c:pt>
                <c:pt idx="29">
                  <c:v>7.3580171695724825E-4</c:v>
                </c:pt>
                <c:pt idx="30">
                  <c:v>9.2291256369597023E-4</c:v>
                </c:pt>
                <c:pt idx="31">
                  <c:v>1.1211089123067258E-3</c:v>
                </c:pt>
                <c:pt idx="32">
                  <c:v>1.330417661552881E-3</c:v>
                </c:pt>
                <c:pt idx="33">
                  <c:v>1.5508653659662922E-3</c:v>
                </c:pt>
                <c:pt idx="34">
                  <c:v>1.7824782285153886E-3</c:v>
                </c:pt>
                <c:pt idx="35">
                  <c:v>2.0252820930886503E-3</c:v>
                </c:pt>
                <c:pt idx="36">
                  <c:v>2.2793024367920613E-3</c:v>
                </c:pt>
                <c:pt idx="37">
                  <c:v>2.544564362058843E-3</c:v>
                </c:pt>
                <c:pt idx="38">
                  <c:v>2.821092588571248E-3</c:v>
                </c:pt>
                <c:pt idx="39">
                  <c:v>3.1089114449938662E-3</c:v>
                </c:pt>
                <c:pt idx="40">
                  <c:v>3.4080448605178131E-3</c:v>
                </c:pt>
                <c:pt idx="41">
                  <c:v>3.7185163562162395E-3</c:v>
                </c:pt>
                <c:pt idx="42">
                  <c:v>4.0403490362110146E-3</c:v>
                </c:pt>
                <c:pt idx="43">
                  <c:v>4.3735655786517735E-3</c:v>
                </c:pt>
                <c:pt idx="44">
                  <c:v>4.7181882265083051E-3</c:v>
                </c:pt>
                <c:pt idx="45">
                  <c:v>5.0742387781771113E-3</c:v>
                </c:pt>
                <c:pt idx="46">
                  <c:v>5.4417385779043101E-3</c:v>
                </c:pt>
                <c:pt idx="47">
                  <c:v>5.820708506026246E-3</c:v>
                </c:pt>
                <c:pt idx="48">
                  <c:v>6.2111689690315334E-3</c:v>
                </c:pt>
                <c:pt idx="49">
                  <c:v>6.6131398894450962E-3</c:v>
                </c:pt>
                <c:pt idx="50">
                  <c:v>7.0266406955395936E-3</c:v>
                </c:pt>
                <c:pt idx="51">
                  <c:v>7.4516903108758177E-3</c:v>
                </c:pt>
                <c:pt idx="52">
                  <c:v>7.8883071436772409E-3</c:v>
                </c:pt>
                <c:pt idx="53">
                  <c:v>8.3365090760420084E-3</c:v>
                </c:pt>
                <c:pt idx="54">
                  <c:v>8.7963134529969594E-3</c:v>
                </c:pt>
                <c:pt idx="55">
                  <c:v>9.2677370714002155E-3</c:v>
                </c:pt>
                <c:pt idx="56">
                  <c:v>9.7507961686950084E-3</c:v>
                </c:pt>
                <c:pt idx="57">
                  <c:v>1.0245506411523357E-2</c:v>
                </c:pt>
                <c:pt idx="58">
                  <c:v>1.0751882884203564E-2</c:v>
                </c:pt>
                <c:pt idx="59">
                  <c:v>1.1269940077079595E-2</c:v>
                </c:pt>
                <c:pt idx="60">
                  <c:v>1.1799691874748813E-2</c:v>
                </c:pt>
                <c:pt idx="61">
                  <c:v>1.2341151544175005E-2</c:v>
                </c:pt>
                <c:pt idx="62">
                  <c:v>1.2894331722695732E-2</c:v>
                </c:pt>
                <c:pt idx="63">
                  <c:v>1.3459244405931079E-2</c:v>
                </c:pt>
                <c:pt idx="64">
                  <c:v>1.4035900935602728E-2</c:v>
                </c:pt>
                <c:pt idx="65">
                  <c:v>1.4624311987273726E-2</c:v>
                </c:pt>
                <c:pt idx="66">
                  <c:v>1.5224487558015826E-2</c:v>
                </c:pt>
                <c:pt idx="67">
                  <c:v>1.5836436954016913E-2</c:v>
                </c:pt>
                <c:pt idx="68">
                  <c:v>1.6460168778137486E-2</c:v>
                </c:pt>
                <c:pt idx="69">
                  <c:v>1.7095690917426576E-2</c:v>
                </c:pt>
                <c:pt idx="70">
                  <c:v>1.7743010530609719E-2</c:v>
                </c:pt>
                <c:pt idx="71">
                  <c:v>1.840213403555788E-2</c:v>
                </c:pt>
                <c:pt idx="72">
                  <c:v>1.9073067096752688E-2</c:v>
                </c:pt>
                <c:pt idx="73">
                  <c:v>1.975581461275621E-2</c:v>
                </c:pt>
                <c:pt idx="74">
                  <c:v>2.0450380703701636E-2</c:v>
                </c:pt>
                <c:pt idx="75">
                  <c:v>2.1156768698814644E-2</c:v>
                </c:pt>
                <c:pt idx="76">
                  <c:v>2.1874981123980421E-2</c:v>
                </c:pt>
                <c:pt idx="77">
                  <c:v>2.260501968937053E-2</c:v>
                </c:pt>
                <c:pt idx="78">
                  <c:v>2.3346885277140572E-2</c:v>
                </c:pt>
                <c:pt idx="79">
                  <c:v>2.4100577929216778E-2</c:v>
                </c:pt>
                <c:pt idx="80">
                  <c:v>2.4866096835182344E-2</c:v>
                </c:pt>
                <c:pt idx="81">
                  <c:v>2.5643440320280889E-2</c:v>
                </c:pt>
                <c:pt idx="82">
                  <c:v>2.6432605833550359E-2</c:v>
                </c:pt>
                <c:pt idx="83">
                  <c:v>2.7233589936103204E-2</c:v>
                </c:pt>
                <c:pt idx="84">
                  <c:v>2.8046388289568121E-2</c:v>
                </c:pt>
                <c:pt idx="85">
                  <c:v>2.8870995644708547E-2</c:v>
                </c:pt>
                <c:pt idx="86">
                  <c:v>2.9707405830234433E-2</c:v>
                </c:pt>
                <c:pt idx="87">
                  <c:v>3.0555611741821753E-2</c:v>
                </c:pt>
                <c:pt idx="88">
                  <c:v>3.1415605331357045E-2</c:v>
                </c:pt>
                <c:pt idx="89">
                  <c:v>3.2287377596422105E-2</c:v>
                </c:pt>
                <c:pt idx="90">
                  <c:v>3.3170918570034527E-2</c:v>
                </c:pt>
                <c:pt idx="91">
                  <c:v>3.406621731066159E-2</c:v>
                </c:pt>
                <c:pt idx="92">
                  <c:v>3.4973261892522201E-2</c:v>
                </c:pt>
                <c:pt idx="93">
                  <c:v>3.5892039396192468E-2</c:v>
                </c:pt>
                <c:pt idx="94">
                  <c:v>3.6822535899532598E-2</c:v>
                </c:pt>
                <c:pt idx="95">
                  <c:v>3.7764736468949456E-2</c:v>
                </c:pt>
                <c:pt idx="96">
                  <c:v>3.8718625151010322E-2</c:v>
                </c:pt>
                <c:pt idx="97">
                  <c:v>3.9684184964424239E-2</c:v>
                </c:pt>
                <c:pt idx="98">
                  <c:v>4.0661397892406172E-2</c:v>
                </c:pt>
                <c:pt idx="99">
                  <c:v>4.1650244875437378E-2</c:v>
                </c:pt>
                <c:pt idx="100">
                  <c:v>4.2650705804438707E-2</c:v>
                </c:pt>
                <c:pt idx="101">
                  <c:v>4.3662759514370236E-2</c:v>
                </c:pt>
                <c:pt idx="102">
                  <c:v>4.4686383778271478E-2</c:v>
                </c:pt>
                <c:pt idx="103">
                  <c:v>4.5721555301755847E-2</c:v>
                </c:pt>
                <c:pt idx="104">
                  <c:v>4.6768249717972249E-2</c:v>
                </c:pt>
                <c:pt idx="105">
                  <c:v>4.7826441583047399E-2</c:v>
                </c:pt>
                <c:pt idx="106">
                  <c:v>4.8896104372020632E-2</c:v>
                </c:pt>
                <c:pt idx="107">
                  <c:v>4.99772104752828E-2</c:v>
                </c:pt>
                <c:pt idx="108">
                  <c:v>5.1069731195531633E-2</c:v>
                </c:pt>
                <c:pt idx="109">
                  <c:v>5.2173636745251835E-2</c:v>
                </c:pt>
                <c:pt idx="110">
                  <c:v>5.3288896244733389E-2</c:v>
                </c:pt>
                <c:pt idx="111">
                  <c:v>5.4415477720633404E-2</c:v>
                </c:pt>
                <c:pt idx="112">
                  <c:v>5.5553348105094623E-2</c:v>
                </c:pt>
                <c:pt idx="113">
                  <c:v>5.6702473235424045E-2</c:v>
                </c:pt>
                <c:pt idx="114">
                  <c:v>5.7862817854342587E-2</c:v>
                </c:pt>
                <c:pt idx="115">
                  <c:v>5.9034345610810064E-2</c:v>
                </c:pt>
                <c:pt idx="116">
                  <c:v>6.0217019061432384E-2</c:v>
                </c:pt>
                <c:pt idx="117">
                  <c:v>6.1410799672454698E-2</c:v>
                </c:pt>
                <c:pt idx="118">
                  <c:v>6.2615647822345466E-2</c:v>
                </c:pt>
                <c:pt idx="119">
                  <c:v>6.3831522804974797E-2</c:v>
                </c:pt>
                <c:pt idx="120">
                  <c:v>6.5058382833388217E-2</c:v>
                </c:pt>
                <c:pt idx="121">
                  <c:v>6.6296185044178044E-2</c:v>
                </c:pt>
                <c:pt idx="122">
                  <c:v>6.7544885502452939E-2</c:v>
                </c:pt>
                <c:pt idx="123">
                  <c:v>6.8804439207405504E-2</c:v>
                </c:pt>
                <c:pt idx="124">
                  <c:v>7.0074800098475706E-2</c:v>
                </c:pt>
                <c:pt idx="125">
                  <c:v>7.1355921062108432E-2</c:v>
                </c:pt>
                <c:pt idx="126">
                  <c:v>7.2647753939102097E-2</c:v>
                </c:pt>
                <c:pt idx="127">
                  <c:v>7.395024953254431E-2</c:v>
                </c:pt>
                <c:pt idx="128">
                  <c:v>7.5263357616328699E-2</c:v>
                </c:pt>
                <c:pt idx="129">
                  <c:v>7.6587026944248307E-2</c:v>
                </c:pt>
                <c:pt idx="130">
                  <c:v>7.7921205259657247E-2</c:v>
                </c:pt>
                <c:pt idx="131">
                  <c:v>7.9265839305693753E-2</c:v>
                </c:pt>
                <c:pt idx="132">
                  <c:v>8.0620874836055109E-2</c:v>
                </c:pt>
                <c:pt idx="133">
                  <c:v>8.1986256626316478E-2</c:v>
                </c:pt>
                <c:pt idx="134">
                  <c:v>8.3361928485780515E-2</c:v>
                </c:pt>
                <c:pt idx="135">
                  <c:v>8.4747833269848902E-2</c:v>
                </c:pt>
                <c:pt idx="136">
                  <c:v>8.6143912892902158E-2</c:v>
                </c:pt>
                <c:pt idx="137">
                  <c:v>8.7550108341675009E-2</c:v>
                </c:pt>
                <c:pt idx="138">
                  <c:v>8.896635968911451E-2</c:v>
                </c:pt>
                <c:pt idx="139">
                  <c:v>9.0392606108704088E-2</c:v>
                </c:pt>
                <c:pt idx="140">
                  <c:v>9.1828785889241288E-2</c:v>
                </c:pt>
                <c:pt idx="141">
                  <c:v>9.3274836450050344E-2</c:v>
                </c:pt>
                <c:pt idx="142">
                  <c:v>9.4730694356614964E-2</c:v>
                </c:pt>
                <c:pt idx="143">
                  <c:v>9.619629533661278E-2</c:v>
                </c:pt>
                <c:pt idx="144">
                  <c:v>9.7671574296335259E-2</c:v>
                </c:pt>
                <c:pt idx="145">
                  <c:v>9.9156465337472355E-2</c:v>
                </c:pt>
                <c:pt idx="146">
                  <c:v>0.10065090177424492</c:v>
                </c:pt>
                <c:pt idx="147">
                  <c:v>0.10215481615086544</c:v>
                </c:pt>
                <c:pt idx="148">
                  <c:v>0.1036681402593056</c:v>
                </c:pt>
                <c:pt idx="149">
                  <c:v>0.10519080515735324</c:v>
                </c:pt>
                <c:pt idx="150">
                  <c:v>0.10672274118693602</c:v>
                </c:pt>
                <c:pt idx="151">
                  <c:v>0.10826387799269227</c:v>
                </c:pt>
                <c:pt idx="152">
                  <c:v>0.10981414454076781</c:v>
                </c:pt>
                <c:pt idx="153">
                  <c:v>0.11137346913781819</c:v>
                </c:pt>
                <c:pt idx="154">
                  <c:v>0.11294177945019435</c:v>
                </c:pt>
                <c:pt idx="155">
                  <c:v>0.11451900252329135</c:v>
                </c:pt>
                <c:pt idx="156">
                  <c:v>0.11610506480103834</c:v>
                </c:pt>
                <c:pt idx="157">
                  <c:v>0.1176998921455093</c:v>
                </c:pt>
                <c:pt idx="158">
                  <c:v>0.11930340985663263</c:v>
                </c:pt>
                <c:pt idx="159">
                  <c:v>0.12091554269198045</c:v>
                </c:pt>
                <c:pt idx="160">
                  <c:v>0.12253621488661409</c:v>
                </c:pt>
                <c:pt idx="161">
                  <c:v>0.12416535017296897</c:v>
                </c:pt>
                <c:pt idx="162">
                  <c:v>0.12580287180075619</c:v>
                </c:pt>
                <c:pt idx="163">
                  <c:v>0.12744870255686133</c:v>
                </c:pt>
                <c:pt idx="164">
                  <c:v>0.12910276478522431</c:v>
                </c:pt>
                <c:pt idx="165">
                  <c:v>0.13076498040667614</c:v>
                </c:pt>
                <c:pt idx="166">
                  <c:v>0.13243527093872062</c:v>
                </c:pt>
                <c:pt idx="167">
                  <c:v>0.13411355751523812</c:v>
                </c:pt>
                <c:pt idx="168">
                  <c:v>0.13579976090609794</c:v>
                </c:pt>
                <c:pt idx="169">
                  <c:v>0.1374938015366611</c:v>
                </c:pt>
                <c:pt idx="170">
                  <c:v>0.13919559950715893</c:v>
                </c:pt>
                <c:pt idx="171">
                  <c:v>0.14090507461193294</c:v>
                </c:pt>
                <c:pt idx="172">
                  <c:v>0.14262214635852116</c:v>
                </c:pt>
                <c:pt idx="173">
                  <c:v>0.14434673398657824</c:v>
                </c:pt>
                <c:pt idx="174">
                  <c:v>0.14607875648661783</c:v>
                </c:pt>
                <c:pt idx="175">
                  <c:v>0.14781813261856572</c:v>
                </c:pt>
                <c:pt idx="176">
                  <c:v>0.14956478093011269</c:v>
                </c:pt>
                <c:pt idx="177">
                  <c:v>0.15131861977485969</c:v>
                </c:pt>
                <c:pt idx="178">
                  <c:v>0.15307956733024553</c:v>
                </c:pt>
                <c:pt idx="179">
                  <c:v>0.15484754161525158</c:v>
                </c:pt>
                <c:pt idx="180">
                  <c:v>0.15662246050787651</c:v>
                </c:pt>
                <c:pt idx="181">
                  <c:v>0.15840424176237766</c:v>
                </c:pt>
                <c:pt idx="182">
                  <c:v>0.16019280302627428</c:v>
                </c:pt>
                <c:pt idx="183">
                  <c:v>0.1619880618571117</c:v>
                </c:pt>
                <c:pt idx="184">
                  <c:v>0.16378993573898412</c:v>
                </c:pt>
                <c:pt idx="185">
                  <c:v>0.16559834209881896</c:v>
                </c:pt>
                <c:pt idx="186">
                  <c:v>0.16741319832242074</c:v>
                </c:pt>
                <c:pt idx="187">
                  <c:v>0.16923442177028156</c:v>
                </c:pt>
                <c:pt idx="188">
                  <c:v>0.17106192979315932</c:v>
                </c:pt>
                <c:pt idx="189">
                  <c:v>0.17289563974743191</c:v>
                </c:pt>
                <c:pt idx="190">
                  <c:v>0.17473546901023332</c:v>
                </c:pt>
                <c:pt idx="191">
                  <c:v>0.17658133499438067</c:v>
                </c:pt>
                <c:pt idx="192">
                  <c:v>0.17843315516310268</c:v>
                </c:pt>
                <c:pt idx="193">
                  <c:v>0.18029084704458148</c:v>
                </c:pt>
                <c:pt idx="194">
                  <c:v>0.1821543282463195</c:v>
                </c:pt>
                <c:pt idx="195">
                  <c:v>0.18402351646934834</c:v>
                </c:pt>
                <c:pt idx="196">
                  <c:v>0.18589832952229432</c:v>
                </c:pt>
                <c:pt idx="197">
                  <c:v>0.18777868533531913</c:v>
                </c:pt>
                <c:pt idx="198">
                  <c:v>0.18966450197395471</c:v>
                </c:pt>
                <c:pt idx="199">
                  <c:v>0.1915556976528538</c:v>
                </c:pt>
                <c:pt idx="200">
                  <c:v>0.19345219074947903</c:v>
                </c:pt>
                <c:pt idx="201">
                  <c:v>0.19535389981775311</c:v>
                </c:pt>
                <c:pt idx="202">
                  <c:v>0.19726074360169918</c:v>
                </c:pt>
                <c:pt idx="203">
                  <c:v>0.19917264104909557</c:v>
                </c:pt>
                <c:pt idx="204">
                  <c:v>0.20108951132517616</c:v>
                </c:pt>
                <c:pt idx="205">
                  <c:v>0.2030112738264076</c:v>
                </c:pt>
                <c:pt idx="206">
                  <c:v>0.20493784819437372</c:v>
                </c:pt>
                <c:pt idx="207">
                  <c:v>0.20686915432980518</c:v>
                </c:pt>
                <c:pt idx="208">
                  <c:v>0.20880511240678673</c:v>
                </c:pt>
                <c:pt idx="209">
                  <c:v>0.21074564288718184</c:v>
                </c:pt>
                <c:pt idx="210">
                  <c:v>0.21269066653531499</c:v>
                </c:pt>
                <c:pt idx="211">
                  <c:v>0.21464010443295015</c:v>
                </c:pt>
                <c:pt idx="212">
                  <c:v>0.21659387799461235</c:v>
                </c:pt>
                <c:pt idx="213">
                  <c:v>0.21855190898329327</c:v>
                </c:pt>
                <c:pt idx="214">
                  <c:v>0.22051507802574594</c:v>
                </c:pt>
                <c:pt idx="215">
                  <c:v>0.22248576929224687</c:v>
                </c:pt>
                <c:pt idx="216">
                  <c:v>0.22446408177209243</c:v>
                </c:pt>
                <c:pt idx="217">
                  <c:v>0.22644999539169677</c:v>
                </c:pt>
                <c:pt idx="218">
                  <c:v>0.22844349000896641</c:v>
                </c:pt>
                <c:pt idx="219">
                  <c:v>0.23044454541364046</c:v>
                </c:pt>
                <c:pt idx="220">
                  <c:v>0.23245314132763054</c:v>
                </c:pt>
                <c:pt idx="221">
                  <c:v>0.23446925740536123</c:v>
                </c:pt>
                <c:pt idx="222">
                  <c:v>0.23649287323410978</c:v>
                </c:pt>
                <c:pt idx="223">
                  <c:v>0.23852396833434564</c:v>
                </c:pt>
                <c:pt idx="224">
                  <c:v>0.24056252216006907</c:v>
                </c:pt>
                <c:pt idx="225">
                  <c:v>0.2426085140991506</c:v>
                </c:pt>
                <c:pt idx="226">
                  <c:v>0.24466192347366858</c:v>
                </c:pt>
                <c:pt idx="227">
                  <c:v>0.24672272954024746</c:v>
                </c:pt>
                <c:pt idx="228">
                  <c:v>0.24879091149039465</c:v>
                </c:pt>
                <c:pt idx="229">
                  <c:v>0.25086644845083794</c:v>
                </c:pt>
                <c:pt idx="230">
                  <c:v>0.25294931948386123</c:v>
                </c:pt>
                <c:pt idx="231">
                  <c:v>0.25503950358764016</c:v>
                </c:pt>
                <c:pt idx="232">
                  <c:v>0.25713697969657745</c:v>
                </c:pt>
                <c:pt idx="233">
                  <c:v>0.25924172668163659</c:v>
                </c:pt>
                <c:pt idx="234">
                  <c:v>0.26135372335067619</c:v>
                </c:pt>
                <c:pt idx="235">
                  <c:v>0.26347294844878238</c:v>
                </c:pt>
                <c:pt idx="236">
                  <c:v>0.26559938065860117</c:v>
                </c:pt>
                <c:pt idx="237">
                  <c:v>0.2677329986006694</c:v>
                </c:pt>
                <c:pt idx="238">
                  <c:v>0.26987378083374564</c:v>
                </c:pt>
                <c:pt idx="239">
                  <c:v>0.27202170585513991</c:v>
                </c:pt>
                <c:pt idx="240">
                  <c:v>0.27417675210104181</c:v>
                </c:pt>
                <c:pt idx="241">
                  <c:v>0.27633889794684918</c:v>
                </c:pt>
                <c:pt idx="242">
                  <c:v>0.27850812170749412</c:v>
                </c:pt>
                <c:pt idx="243">
                  <c:v>0.2806844016377697</c:v>
                </c:pt>
                <c:pt idx="244">
                  <c:v>0.28286771593265447</c:v>
                </c:pt>
                <c:pt idx="245">
                  <c:v>0.28505804272763641</c:v>
                </c:pt>
                <c:pt idx="246">
                  <c:v>0.28725536009903552</c:v>
                </c:pt>
                <c:pt idx="247">
                  <c:v>0.28945964606432623</c:v>
                </c:pt>
                <c:pt idx="248">
                  <c:v>0.29167087858245705</c:v>
                </c:pt>
                <c:pt idx="249">
                  <c:v>0.29388903555417117</c:v>
                </c:pt>
                <c:pt idx="250">
                  <c:v>0.29611409482232381</c:v>
                </c:pt>
                <c:pt idx="251">
                  <c:v>0.29834603417220013</c:v>
                </c:pt>
                <c:pt idx="252">
                  <c:v>0.30058483133183067</c:v>
                </c:pt>
                <c:pt idx="253">
                  <c:v>0.30283046397230617</c:v>
                </c:pt>
                <c:pt idx="254">
                  <c:v>0.30508290970809132</c:v>
                </c:pt>
                <c:pt idx="255">
                  <c:v>0.30734214609733679</c:v>
                </c:pt>
                <c:pt idx="256">
                  <c:v>0.30960815064218999</c:v>
                </c:pt>
                <c:pt idx="257">
                  <c:v>0.31188090078910496</c:v>
                </c:pt>
                <c:pt idx="258">
                  <c:v>0.31416037392915008</c:v>
                </c:pt>
                <c:pt idx="259">
                  <c:v>0.31644654739831563</c:v>
                </c:pt>
                <c:pt idx="260">
                  <c:v>0.31873939847781912</c:v>
                </c:pt>
                <c:pt idx="261">
                  <c:v>0.32103890439440913</c:v>
                </c:pt>
                <c:pt idx="262">
                  <c:v>0.32334504232066857</c:v>
                </c:pt>
                <c:pt idx="263">
                  <c:v>0.32565778937531498</c:v>
                </c:pt>
                <c:pt idx="264">
                  <c:v>0.32797712262350215</c:v>
                </c:pt>
                <c:pt idx="265">
                  <c:v>0.33030301907711679</c:v>
                </c:pt>
                <c:pt idx="266">
                  <c:v>0.3326354556950768</c:v>
                </c:pt>
                <c:pt idx="267">
                  <c:v>0.33497440938362588</c:v>
                </c:pt>
                <c:pt idx="268">
                  <c:v>0.3373198569966282</c:v>
                </c:pt>
                <c:pt idx="269">
                  <c:v>0.33967177533586035</c:v>
                </c:pt>
                <c:pt idx="270">
                  <c:v>0.34203014115130276</c:v>
                </c:pt>
                <c:pt idx="271">
                  <c:v>0.34439493114142922</c:v>
                </c:pt>
                <c:pt idx="272">
                  <c:v>0.34676612195349454</c:v>
                </c:pt>
                <c:pt idx="273">
                  <c:v>0.34914369018382091</c:v>
                </c:pt>
                <c:pt idx="274">
                  <c:v>0.35152761237808328</c:v>
                </c:pt>
                <c:pt idx="275">
                  <c:v>0.35391786503159212</c:v>
                </c:pt>
                <c:pt idx="276">
                  <c:v>0.35631442458957574</c:v>
                </c:pt>
                <c:pt idx="277">
                  <c:v>0.3587172674474598</c:v>
                </c:pt>
                <c:pt idx="278">
                  <c:v>0.36112636995114705</c:v>
                </c:pt>
                <c:pt idx="279">
                  <c:v>0.36354170839729283</c:v>
                </c:pt>
                <c:pt idx="280">
                  <c:v>0.36596325903358201</c:v>
                </c:pt>
                <c:pt idx="281">
                  <c:v>0.36839099805900238</c:v>
                </c:pt>
                <c:pt idx="282">
                  <c:v>0.37082490162411691</c:v>
                </c:pt>
                <c:pt idx="283">
                  <c:v>0.37326494583133452</c:v>
                </c:pt>
                <c:pt idx="284">
                  <c:v>0.37571110673517943</c:v>
                </c:pt>
                <c:pt idx="285">
                  <c:v>0.37816336034255865</c:v>
                </c:pt>
                <c:pt idx="286">
                  <c:v>0.38062168261302842</c:v>
                </c:pt>
                <c:pt idx="287">
                  <c:v>0.38308604945905833</c:v>
                </c:pt>
                <c:pt idx="288">
                  <c:v>0.38555643674629431</c:v>
                </c:pt>
                <c:pt idx="289">
                  <c:v>0.38803282029382014</c:v>
                </c:pt>
                <c:pt idx="290">
                  <c:v>0.39051517587441698</c:v>
                </c:pt>
                <c:pt idx="291">
                  <c:v>0.39300347921482232</c:v>
                </c:pt>
                <c:pt idx="292">
                  <c:v>0.39549770599598599</c:v>
                </c:pt>
                <c:pt idx="293">
                  <c:v>0.39799783185332571</c:v>
                </c:pt>
                <c:pt idx="294">
                  <c:v>0.40050383237698123</c:v>
                </c:pt>
                <c:pt idx="295">
                  <c:v>0.40301568311206509</c:v>
                </c:pt>
                <c:pt idx="296">
                  <c:v>0.40553335955891512</c:v>
                </c:pt>
                <c:pt idx="297">
                  <c:v>0.40805683717334273</c:v>
                </c:pt>
                <c:pt idx="298">
                  <c:v>0.41058609136688023</c:v>
                </c:pt>
                <c:pt idx="299">
                  <c:v>0.41312109750702841</c:v>
                </c:pt>
                <c:pt idx="300">
                  <c:v>0.41566183091749948</c:v>
                </c:pt>
                <c:pt idx="301">
                  <c:v>0.41820826687846246</c:v>
                </c:pt>
                <c:pt idx="302">
                  <c:v>0.42076038062678361</c:v>
                </c:pt>
                <c:pt idx="303">
                  <c:v>0.42331814735626788</c:v>
                </c:pt>
                <c:pt idx="304">
                  <c:v>0.42588154221789776</c:v>
                </c:pt>
                <c:pt idx="305">
                  <c:v>0.42845054032007107</c:v>
                </c:pt>
                <c:pt idx="306">
                  <c:v>0.43102511672883731</c:v>
                </c:pt>
                <c:pt idx="307">
                  <c:v>0.43360524646813342</c:v>
                </c:pt>
                <c:pt idx="308">
                  <c:v>0.43619090452001669</c:v>
                </c:pt>
                <c:pt idx="309">
                  <c:v>0.43878206582489843</c:v>
                </c:pt>
                <c:pt idx="310">
                  <c:v>0.44137870528177381</c:v>
                </c:pt>
                <c:pt idx="311">
                  <c:v>0.44398079774845339</c:v>
                </c:pt>
                <c:pt idx="312">
                  <c:v>0.44658831804179094</c:v>
                </c:pt>
                <c:pt idx="313">
                  <c:v>0.44920124093791136</c:v>
                </c:pt>
                <c:pt idx="314">
                  <c:v>0.45181954117243756</c:v>
                </c:pt>
                <c:pt idx="315">
                  <c:v>0.4544431934407146</c:v>
                </c:pt>
                <c:pt idx="316">
                  <c:v>0.45707217239803533</c:v>
                </c:pt>
                <c:pt idx="317">
                  <c:v>0.45970645265986243</c:v>
                </c:pt>
                <c:pt idx="318">
                  <c:v>0.46234600880205112</c:v>
                </c:pt>
                <c:pt idx="319">
                  <c:v>0.4649908153610694</c:v>
                </c:pt>
                <c:pt idx="320">
                  <c:v>0.46764084683421919</c:v>
                </c:pt>
                <c:pt idx="321">
                  <c:v>0.47029607767985393</c:v>
                </c:pt>
                <c:pt idx="322">
                  <c:v>0.4729564823175979</c:v>
                </c:pt>
                <c:pt idx="323">
                  <c:v>0.47562203512856249</c:v>
                </c:pt>
                <c:pt idx="324">
                  <c:v>0.47829271045556265</c:v>
                </c:pt>
                <c:pt idx="325">
                  <c:v>0.48096848260333319</c:v>
                </c:pt>
                <c:pt idx="326">
                  <c:v>0.48364932583874154</c:v>
                </c:pt>
                <c:pt idx="327">
                  <c:v>0.48633521439100375</c:v>
                </c:pt>
                <c:pt idx="328">
                  <c:v>0.4890261224518952</c:v>
                </c:pt>
                <c:pt idx="329">
                  <c:v>0.49172202417596511</c:v>
                </c:pt>
                <c:pt idx="330">
                  <c:v>0.49442289368074638</c:v>
                </c:pt>
                <c:pt idx="331">
                  <c:v>0.4971287050469681</c:v>
                </c:pt>
                <c:pt idx="332">
                  <c:v>0.49983943231876438</c:v>
                </c:pt>
                <c:pt idx="333">
                  <c:v>0.5025550495038853</c:v>
                </c:pt>
                <c:pt idx="334">
                  <c:v>0.50527553057390584</c:v>
                </c:pt>
                <c:pt idx="335">
                  <c:v>0.50800084946443425</c:v>
                </c:pt>
                <c:pt idx="336">
                  <c:v>0.5107309800753207</c:v>
                </c:pt>
                <c:pt idx="337">
                  <c:v>0.51346589627086481</c:v>
                </c:pt>
                <c:pt idx="338">
                  <c:v>0.51620557188002358</c:v>
                </c:pt>
                <c:pt idx="339">
                  <c:v>0.51894998069661757</c:v>
                </c:pt>
                <c:pt idx="340">
                  <c:v>0.52169909647953872</c:v>
                </c:pt>
                <c:pt idx="341">
                  <c:v>0.52445289295295616</c:v>
                </c:pt>
                <c:pt idx="342">
                  <c:v>0.5272113438065229</c:v>
                </c:pt>
                <c:pt idx="343">
                  <c:v>0.52997442269558104</c:v>
                </c:pt>
                <c:pt idx="344">
                  <c:v>0.53274210324136873</c:v>
                </c:pt>
                <c:pt idx="345">
                  <c:v>0.53551435903122524</c:v>
                </c:pt>
                <c:pt idx="346">
                  <c:v>0.53829116361879681</c:v>
                </c:pt>
                <c:pt idx="347">
                  <c:v>0.54107249052424289</c:v>
                </c:pt>
                <c:pt idx="348">
                  <c:v>0.54385831323444089</c:v>
                </c:pt>
                <c:pt idx="349">
                  <c:v>0.54664860520319247</c:v>
                </c:pt>
                <c:pt idx="350">
                  <c:v>0.54944333985142879</c:v>
                </c:pt>
                <c:pt idx="351">
                  <c:v>0.5522424905674177</c:v>
                </c:pt>
                <c:pt idx="352">
                  <c:v>0.55504603070696856</c:v>
                </c:pt>
                <c:pt idx="353">
                  <c:v>0.55785393359363911</c:v>
                </c:pt>
                <c:pt idx="354">
                  <c:v>0.56066617251894224</c:v>
                </c:pt>
                <c:pt idx="355">
                  <c:v>0.56348272074255212</c:v>
                </c:pt>
                <c:pt idx="356">
                  <c:v>0.56630355149251288</c:v>
                </c:pt>
                <c:pt idx="357">
                  <c:v>0.56912863796544433</c:v>
                </c:pt>
                <c:pt idx="358">
                  <c:v>0.57195795332675214</c:v>
                </c:pt>
                <c:pt idx="359">
                  <c:v>0.57479147071083392</c:v>
                </c:pt>
                <c:pt idx="360">
                  <c:v>0.57762916322129065</c:v>
                </c:pt>
                <c:pt idx="361">
                  <c:v>0.5804710039311346</c:v>
                </c:pt>
                <c:pt idx="362">
                  <c:v>0.58331696588300042</c:v>
                </c:pt>
                <c:pt idx="363">
                  <c:v>0.58616702208935545</c:v>
                </c:pt>
                <c:pt idx="364">
                  <c:v>0.58902114553271101</c:v>
                </c:pt>
                <c:pt idx="365">
                  <c:v>0.59187930916583598</c:v>
                </c:pt>
                <c:pt idx="366">
                  <c:v>0.59474148591196774</c:v>
                </c:pt>
                <c:pt idx="367">
                  <c:v>0.59760764866502769</c:v>
                </c:pt>
                <c:pt idx="368">
                  <c:v>0.60047777028983496</c:v>
                </c:pt>
                <c:pt idx="369">
                  <c:v>0.60335182362232231</c:v>
                </c:pt>
                <c:pt idx="370">
                  <c:v>0.60622978146975171</c:v>
                </c:pt>
                <c:pt idx="371">
                  <c:v>0.60911161661093383</c:v>
                </c:pt>
                <c:pt idx="372">
                  <c:v>0.61199730179644418</c:v>
                </c:pt>
                <c:pt idx="373">
                  <c:v>0.6148868097488438</c:v>
                </c:pt>
                <c:pt idx="374">
                  <c:v>0.61778011316289949</c:v>
                </c:pt>
                <c:pt idx="375">
                  <c:v>0.62067718470580546</c:v>
                </c:pt>
                <c:pt idx="376">
                  <c:v>0.62357799701740702</c:v>
                </c:pt>
                <c:pt idx="377">
                  <c:v>0.6264825227104226</c:v>
                </c:pt>
                <c:pt idx="378">
                  <c:v>0.62939073437067194</c:v>
                </c:pt>
                <c:pt idx="379">
                  <c:v>0.63230260455730003</c:v>
                </c:pt>
                <c:pt idx="380">
                  <c:v>0.63521810580300642</c:v>
                </c:pt>
                <c:pt idx="381">
                  <c:v>0.6381372106142742</c:v>
                </c:pt>
                <c:pt idx="382">
                  <c:v>0.64105989147160092</c:v>
                </c:pt>
                <c:pt idx="383">
                  <c:v>0.64398612082973006</c:v>
                </c:pt>
                <c:pt idx="384">
                  <c:v>0.64691587111788518</c:v>
                </c:pt>
                <c:pt idx="385">
                  <c:v>0.64984911474000462</c:v>
                </c:pt>
                <c:pt idx="386">
                  <c:v>0.65278582407497776</c:v>
                </c:pt>
                <c:pt idx="387">
                  <c:v>0.65572597147688438</c:v>
                </c:pt>
                <c:pt idx="388">
                  <c:v>0.65866952927523303</c:v>
                </c:pt>
                <c:pt idx="389">
                  <c:v>0.66161646977520328</c:v>
                </c:pt>
                <c:pt idx="390">
                  <c:v>0.6645667652578876</c:v>
                </c:pt>
                <c:pt idx="391">
                  <c:v>0.66752038798053848</c:v>
                </c:pt>
                <c:pt idx="392">
                  <c:v>0.67047731017681167</c:v>
                </c:pt>
                <c:pt idx="393">
                  <c:v>0.67343750405701719</c:v>
                </c:pt>
                <c:pt idx="394">
                  <c:v>0.67640094180836741</c:v>
                </c:pt>
                <c:pt idx="395">
                  <c:v>0.67936759559523019</c:v>
                </c:pt>
                <c:pt idx="396">
                  <c:v>0.68233743755938137</c:v>
                </c:pt>
                <c:pt idx="397">
                  <c:v>0.68531043982026052</c:v>
                </c:pt>
                <c:pt idx="398">
                  <c:v>0.68828657447522956</c:v>
                </c:pt>
                <c:pt idx="399">
                  <c:v>0.69126581359982997</c:v>
                </c:pt>
                <c:pt idx="400">
                  <c:v>0.69424812924804591</c:v>
                </c:pt>
                <c:pt idx="401">
                  <c:v>0.69723349345256525</c:v>
                </c:pt>
                <c:pt idx="402">
                  <c:v>0.70022187822504733</c:v>
                </c:pt>
                <c:pt idx="403">
                  <c:v>0.70321325555638792</c:v>
                </c:pt>
                <c:pt idx="404">
                  <c:v>0.70620759741699002</c:v>
                </c:pt>
                <c:pt idx="405">
                  <c:v>0.70920487575703306</c:v>
                </c:pt>
                <c:pt idx="406">
                  <c:v>0.71220506250674864</c:v>
                </c:pt>
                <c:pt idx="407">
                  <c:v>0.71520812957669389</c:v>
                </c:pt>
                <c:pt idx="408">
                  <c:v>0.71821404885802931</c:v>
                </c:pt>
                <c:pt idx="409">
                  <c:v>0.7212227922227995</c:v>
                </c:pt>
                <c:pt idx="410">
                  <c:v>0.72423433152421324</c:v>
                </c:pt>
                <c:pt idx="411">
                  <c:v>0.7272486385969279</c:v>
                </c:pt>
                <c:pt idx="412">
                  <c:v>0.73026568525733537</c:v>
                </c:pt>
                <c:pt idx="413">
                  <c:v>0.73328544330385059</c:v>
                </c:pt>
                <c:pt idx="414">
                  <c:v>0.73630788451720053</c:v>
                </c:pt>
                <c:pt idx="415">
                  <c:v>0.73933298066071851</c:v>
                </c:pt>
                <c:pt idx="416">
                  <c:v>0.74236070348063654</c:v>
                </c:pt>
                <c:pt idx="417">
                  <c:v>0.74539102470638352</c:v>
                </c:pt>
                <c:pt idx="418">
                  <c:v>0.7484239160508841</c:v>
                </c:pt>
                <c:pt idx="419">
                  <c:v>0.75145934921085933</c:v>
                </c:pt>
                <c:pt idx="420">
                  <c:v>0.7544972958671311</c:v>
                </c:pt>
                <c:pt idx="421">
                  <c:v>0.75753772768492522</c:v>
                </c:pt>
                <c:pt idx="422">
                  <c:v>0.76058061631418228</c:v>
                </c:pt>
                <c:pt idx="423">
                  <c:v>0.76362593338986506</c:v>
                </c:pt>
                <c:pt idx="424">
                  <c:v>0.76667365053227277</c:v>
                </c:pt>
                <c:pt idx="425">
                  <c:v>0.76972373934735283</c:v>
                </c:pt>
                <c:pt idx="426">
                  <c:v>0.77277617142702038</c:v>
                </c:pt>
                <c:pt idx="427">
                  <c:v>0.77583091834947426</c:v>
                </c:pt>
                <c:pt idx="428">
                  <c:v>0.77888795167951885</c:v>
                </c:pt>
                <c:pt idx="429">
                  <c:v>0.78194724296888807</c:v>
                </c:pt>
                <c:pt idx="430">
                  <c:v>0.78500876375656892</c:v>
                </c:pt>
                <c:pt idx="431">
                  <c:v>0.78807248556913034</c:v>
                </c:pt>
                <c:pt idx="432">
                  <c:v>0.79113837992105007</c:v>
                </c:pt>
                <c:pt idx="433">
                  <c:v>0.79420641831505001</c:v>
                </c:pt>
                <c:pt idx="434">
                  <c:v>0.79727657224242621</c:v>
                </c:pt>
                <c:pt idx="435">
                  <c:v>0.8003488131833868</c:v>
                </c:pt>
                <c:pt idx="436">
                  <c:v>0.80342311260738886</c:v>
                </c:pt>
                <c:pt idx="437">
                  <c:v>0.80649944197347889</c:v>
                </c:pt>
                <c:pt idx="438">
                  <c:v>0.80957777273063336</c:v>
                </c:pt>
                <c:pt idx="439">
                  <c:v>0.81265807631810383</c:v>
                </c:pt>
                <c:pt idx="440">
                  <c:v>0.81574032416576259</c:v>
                </c:pt>
                <c:pt idx="441">
                  <c:v>0.81882448769444993</c:v>
                </c:pt>
                <c:pt idx="442">
                  <c:v>0.82191053831632388</c:v>
                </c:pt>
                <c:pt idx="443">
                  <c:v>0.82499844743521189</c:v>
                </c:pt>
                <c:pt idx="444">
                  <c:v>0.82808818644696514</c:v>
                </c:pt>
                <c:pt idx="445">
                  <c:v>0.83117972673981166</c:v>
                </c:pt>
                <c:pt idx="446">
                  <c:v>0.83427303969471645</c:v>
                </c:pt>
                <c:pt idx="447">
                  <c:v>0.8373680966857372</c:v>
                </c:pt>
                <c:pt idx="448">
                  <c:v>0.84046486908038742</c:v>
                </c:pt>
                <c:pt idx="449">
                  <c:v>0.84356332823999747</c:v>
                </c:pt>
                <c:pt idx="450">
                  <c:v>0.84666344552007811</c:v>
                </c:pt>
                <c:pt idx="451">
                  <c:v>0.8497651922706877</c:v>
                </c:pt>
                <c:pt idx="452">
                  <c:v>0.85286853983679789</c:v>
                </c:pt>
                <c:pt idx="453">
                  <c:v>0.855973459558663</c:v>
                </c:pt>
                <c:pt idx="454">
                  <c:v>0.85907992277218981</c:v>
                </c:pt>
                <c:pt idx="455">
                  <c:v>0.8621879008093104</c:v>
                </c:pt>
                <c:pt idx="456">
                  <c:v>0.86529736499835319</c:v>
                </c:pt>
                <c:pt idx="457">
                  <c:v>0.86840828666441972</c:v>
                </c:pt>
                <c:pt idx="458">
                  <c:v>0.87152063712975825</c:v>
                </c:pt>
                <c:pt idx="459">
                  <c:v>0.87463438771414259</c:v>
                </c:pt>
                <c:pt idx="460">
                  <c:v>0.87774950973524923</c:v>
                </c:pt>
                <c:pt idx="461">
                  <c:v>0.88086597450903659</c:v>
                </c:pt>
                <c:pt idx="462">
                  <c:v>0.88398375335012735</c:v>
                </c:pt>
                <c:pt idx="463">
                  <c:v>0.88710281757218679</c:v>
                </c:pt>
                <c:pt idx="464">
                  <c:v>0.89022313848830892</c:v>
                </c:pt>
                <c:pt idx="465">
                  <c:v>0.89334468741139705</c:v>
                </c:pt>
                <c:pt idx="466">
                  <c:v>0.89646743565455056</c:v>
                </c:pt>
                <c:pt idx="467">
                  <c:v>0.89959135453144756</c:v>
                </c:pt>
                <c:pt idx="468">
                  <c:v>0.90271641535673364</c:v>
                </c:pt>
                <c:pt idx="469">
                  <c:v>0.90584258944640605</c:v>
                </c:pt>
                <c:pt idx="470">
                  <c:v>0.90896984811820281</c:v>
                </c:pt>
                <c:pt idx="471">
                  <c:v>0.91209816269198907</c:v>
                </c:pt>
                <c:pt idx="472">
                  <c:v>0.91522750449014667</c:v>
                </c:pt>
                <c:pt idx="473">
                  <c:v>0.91835784483796212</c:v>
                </c:pt>
                <c:pt idx="474">
                  <c:v>0.92148915506401619</c:v>
                </c:pt>
                <c:pt idx="475">
                  <c:v>0.92462140650057367</c:v>
                </c:pt>
                <c:pt idx="476">
                  <c:v>0.92775457048397147</c:v>
                </c:pt>
                <c:pt idx="477">
                  <c:v>0.93088861835501102</c:v>
                </c:pt>
                <c:pt idx="478">
                  <c:v>0.93402352145934531</c:v>
                </c:pt>
                <c:pt idx="479">
                  <c:v>0.93715925114787102</c:v>
                </c:pt>
                <c:pt idx="480">
                  <c:v>0.94029577877711712</c:v>
                </c:pt>
                <c:pt idx="481">
                  <c:v>0.9434330757096353</c:v>
                </c:pt>
                <c:pt idx="482">
                  <c:v>0.94657111331438837</c:v>
                </c:pt>
                <c:pt idx="483">
                  <c:v>0.94970986296714066</c:v>
                </c:pt>
                <c:pt idx="484">
                  <c:v>0.95284929605084567</c:v>
                </c:pt>
                <c:pt idx="485">
                  <c:v>0.95598938395603505</c:v>
                </c:pt>
                <c:pt idx="486">
                  <c:v>0.95913009808120653</c:v>
                </c:pt>
                <c:pt idx="487">
                  <c:v>0.96227140983321002</c:v>
                </c:pt>
                <c:pt idx="488">
                  <c:v>0.96541329062763548</c:v>
                </c:pt>
                <c:pt idx="489">
                  <c:v>0.96855571188919654</c:v>
                </c:pt>
                <c:pt idx="490">
                  <c:v>0.97169864505211745</c:v>
                </c:pt>
                <c:pt idx="491">
                  <c:v>0.97484206156051534</c:v>
                </c:pt>
                <c:pt idx="492">
                  <c:v>0.97798593286878299</c:v>
                </c:pt>
                <c:pt idx="493">
                  <c:v>0.98113023044197167</c:v>
                </c:pt>
                <c:pt idx="494">
                  <c:v>0.98427492575616926</c:v>
                </c:pt>
                <c:pt idx="495">
                  <c:v>0.98741999029888172</c:v>
                </c:pt>
                <c:pt idx="496">
                  <c:v>0.99056539556940848</c:v>
                </c:pt>
                <c:pt idx="497">
                  <c:v>0.99371111307922066</c:v>
                </c:pt>
                <c:pt idx="498">
                  <c:v>0.99685711435233348</c:v>
                </c:pt>
                <c:pt idx="499">
                  <c:v>1.0000033709256806</c:v>
                </c:pt>
                <c:pt idx="500">
                  <c:v>1</c:v>
                </c:pt>
              </c:numCache>
            </c:numRef>
          </c:xVal>
          <c:yVal>
            <c:numRef>
              <c:f>Data2!$M$1:$M$501</c:f>
              <c:numCache>
                <c:formatCode>0.000000</c:formatCode>
                <c:ptCount val="501"/>
                <c:pt idx="0">
                  <c:v>0</c:v>
                </c:pt>
                <c:pt idx="1">
                  <c:v>3.7714007957128867E-4</c:v>
                </c:pt>
                <c:pt idx="2">
                  <c:v>7.5691339233932185E-4</c:v>
                </c:pt>
                <c:pt idx="3">
                  <c:v>1.1393287737869609E-3</c:v>
                </c:pt>
                <c:pt idx="4">
                  <c:v>1.524393849080543E-3</c:v>
                </c:pt>
                <c:pt idx="5">
                  <c:v>1.9121150268821558E-3</c:v>
                </c:pt>
                <c:pt idx="6">
                  <c:v>2.3024974935109458E-3</c:v>
                </c:pt>
                <c:pt idx="7">
                  <c:v>2.6955452074211689E-3</c:v>
                </c:pt>
                <c:pt idx="8">
                  <c:v>3.0912608940117537E-3</c:v>
                </c:pt>
                <c:pt idx="9">
                  <c:v>3.4896460407684128E-3</c:v>
                </c:pt>
                <c:pt idx="10">
                  <c:v>3.8907008927365184E-3</c:v>
                </c:pt>
                <c:pt idx="11">
                  <c:v>4.2944244483289241E-3</c:v>
                </c:pt>
                <c:pt idx="12">
                  <c:v>4.7008144554673698E-3</c:v>
                </c:pt>
                <c:pt idx="13">
                  <c:v>5.1098674080610135E-3</c:v>
                </c:pt>
                <c:pt idx="14">
                  <c:v>5.5215785428241399E-3</c:v>
                </c:pt>
                <c:pt idx="15">
                  <c:v>5.9359418364328485E-3</c:v>
                </c:pt>
                <c:pt idx="16">
                  <c:v>6.3529500030213614E-3</c:v>
                </c:pt>
                <c:pt idx="17">
                  <c:v>6.7725944920255981E-3</c:v>
                </c:pt>
                <c:pt idx="18">
                  <c:v>7.1948654863667359E-3</c:v>
                </c:pt>
                <c:pt idx="19">
                  <c:v>7.6197519009858659E-3</c:v>
                </c:pt>
                <c:pt idx="20">
                  <c:v>8.0472413817231307E-3</c:v>
                </c:pt>
                <c:pt idx="21">
                  <c:v>8.4773203045507631E-3</c:v>
                </c:pt>
                <c:pt idx="22">
                  <c:v>8.9099737751568379E-3</c:v>
                </c:pt>
                <c:pt idx="23">
                  <c:v>9.3451856288846308E-3</c:v>
                </c:pt>
                <c:pt idx="24">
                  <c:v>9.7829384310277965E-3</c:v>
                </c:pt>
                <c:pt idx="25">
                  <c:v>1.0223213477486729E-2</c:v>
                </c:pt>
                <c:pt idx="26">
                  <c:v>1.0665990795783929E-2</c:v>
                </c:pt>
                <c:pt idx="27">
                  <c:v>1.111124914644661E-2</c:v>
                </c:pt>
                <c:pt idx="28">
                  <c:v>1.1558966024753332E-2</c:v>
                </c:pt>
                <c:pt idx="29">
                  <c:v>1.2009117662851334E-2</c:v>
                </c:pt>
                <c:pt idx="30">
                  <c:v>1.2461679032246636E-2</c:v>
                </c:pt>
                <c:pt idx="31">
                  <c:v>1.2916623846666631E-2</c:v>
                </c:pt>
                <c:pt idx="32">
                  <c:v>1.3373924565304158E-2</c:v>
                </c:pt>
                <c:pt idx="33">
                  <c:v>1.3833552396440137E-2</c:v>
                </c:pt>
                <c:pt idx="34">
                  <c:v>1.4295477301450921E-2</c:v>
                </c:pt>
                <c:pt idx="35">
                  <c:v>1.4759667999203403E-2</c:v>
                </c:pt>
                <c:pt idx="36">
                  <c:v>1.5226091970841274E-2</c:v>
                </c:pt>
                <c:pt idx="37">
                  <c:v>1.5694715464964613E-2</c:v>
                </c:pt>
                <c:pt idx="38">
                  <c:v>1.6165503503207664E-2</c:v>
                </c:pt>
                <c:pt idx="39">
                  <c:v>1.6638419886218121E-2</c:v>
                </c:pt>
                <c:pt idx="40">
                  <c:v>1.711342720004131E-2</c:v>
                </c:pt>
                <c:pt idx="41">
                  <c:v>1.7590486822913275E-2</c:v>
                </c:pt>
                <c:pt idx="42">
                  <c:v>1.8069558932466187E-2</c:v>
                </c:pt>
                <c:pt idx="43">
                  <c:v>1.8550602513350618E-2</c:v>
                </c:pt>
                <c:pt idx="44">
                  <c:v>1.9033575365278652E-2</c:v>
                </c:pt>
                <c:pt idx="45">
                  <c:v>1.9518434111491186E-2</c:v>
                </c:pt>
                <c:pt idx="46">
                  <c:v>2.0005134207654214E-2</c:v>
                </c:pt>
                <c:pt idx="47">
                  <c:v>2.0493629951187382E-2</c:v>
                </c:pt>
                <c:pt idx="48">
                  <c:v>2.0983874491030979E-2</c:v>
                </c:pt>
                <c:pt idx="49">
                  <c:v>2.1475819837852392E-2</c:v>
                </c:pt>
                <c:pt idx="50">
                  <c:v>2.1969416874699645E-2</c:v>
                </c:pt>
                <c:pt idx="51">
                  <c:v>2.2464615368103742E-2</c:v>
                </c:pt>
                <c:pt idx="52">
                  <c:v>2.2961363979635729E-2</c:v>
                </c:pt>
                <c:pt idx="53">
                  <c:v>2.3459610277921601E-2</c:v>
                </c:pt>
                <c:pt idx="54">
                  <c:v>2.3959300751119537E-2</c:v>
                </c:pt>
                <c:pt idx="55">
                  <c:v>2.4460380819865075E-2</c:v>
                </c:pt>
                <c:pt idx="56">
                  <c:v>2.4962794850685713E-2</c:v>
                </c:pt>
                <c:pt idx="57">
                  <c:v>2.5466486169891899E-2</c:v>
                </c:pt>
                <c:pt idx="58">
                  <c:v>2.5971397077946341E-2</c:v>
                </c:pt>
                <c:pt idx="59">
                  <c:v>2.6477468864316824E-2</c:v>
                </c:pt>
                <c:pt idx="60">
                  <c:v>2.6984641822816312E-2</c:v>
                </c:pt>
                <c:pt idx="61">
                  <c:v>2.7492855267433284E-2</c:v>
                </c:pt>
                <c:pt idx="62">
                  <c:v>2.800204754865733E-2</c:v>
                </c:pt>
                <c:pt idx="63">
                  <c:v>2.8512156070302375E-2</c:v>
                </c:pt>
                <c:pt idx="64">
                  <c:v>2.9023117306831284E-2</c:v>
                </c:pt>
                <c:pt idx="65">
                  <c:v>2.9534866821186029E-2</c:v>
                </c:pt>
                <c:pt idx="66">
                  <c:v>3.0047339283124461E-2</c:v>
                </c:pt>
                <c:pt idx="67">
                  <c:v>3.0560468488068503E-2</c:v>
                </c:pt>
                <c:pt idx="68">
                  <c:v>3.1074187376465511E-2</c:v>
                </c:pt>
                <c:pt idx="69">
                  <c:v>3.1588428053664845E-2</c:v>
                </c:pt>
                <c:pt idx="70">
                  <c:v>3.2103121810313107E-2</c:v>
                </c:pt>
                <c:pt idx="71">
                  <c:v>3.2618199143267738E-2</c:v>
                </c:pt>
                <c:pt idx="72">
                  <c:v>3.3133589777033512E-2</c:v>
                </c:pt>
                <c:pt idx="73">
                  <c:v>3.3649222685720064E-2</c:v>
                </c:pt>
                <c:pt idx="74">
                  <c:v>3.4165026115524258E-2</c:v>
                </c:pt>
                <c:pt idx="75">
                  <c:v>3.4680927607735695E-2</c:v>
                </c:pt>
                <c:pt idx="76">
                  <c:v>3.5196854022266938E-2</c:v>
                </c:pt>
                <c:pt idx="77">
                  <c:v>3.5712731561708802E-2</c:v>
                </c:pt>
                <c:pt idx="78">
                  <c:v>3.6228485795907858E-2</c:v>
                </c:pt>
                <c:pt idx="79">
                  <c:v>3.6744041687068477E-2</c:v>
                </c:pt>
                <c:pt idx="80">
                  <c:v>3.7259323615375026E-2</c:v>
                </c:pt>
                <c:pt idx="81">
                  <c:v>3.7774255405134606E-2</c:v>
                </c:pt>
                <c:pt idx="82">
                  <c:v>3.8288760351436878E-2</c:v>
                </c:pt>
                <c:pt idx="83">
                  <c:v>3.8802761247328454E-2</c:v>
                </c:pt>
                <c:pt idx="84">
                  <c:v>3.9316180411498924E-2</c:v>
                </c:pt>
                <c:pt idx="85">
                  <c:v>3.9828939716474249E-2</c:v>
                </c:pt>
                <c:pt idx="86">
                  <c:v>4.0340960617313903E-2</c:v>
                </c:pt>
                <c:pt idx="87">
                  <c:v>4.0852164180805992E-2</c:v>
                </c:pt>
                <c:pt idx="88">
                  <c:v>4.1362471115155897E-2</c:v>
                </c:pt>
                <c:pt idx="89">
                  <c:v>4.1871801800161999E-2</c:v>
                </c:pt>
                <c:pt idx="90">
                  <c:v>4.2380076317871648E-2</c:v>
                </c:pt>
                <c:pt idx="91">
                  <c:v>4.2887214483711161E-2</c:v>
                </c:pt>
                <c:pt idx="92">
                  <c:v>4.3393135878081406E-2</c:v>
                </c:pt>
                <c:pt idx="93">
                  <c:v>4.3897759878410443E-2</c:v>
                </c:pt>
                <c:pt idx="94">
                  <c:v>4.440100569165515E-2</c:v>
                </c:pt>
                <c:pt idx="95">
                  <c:v>4.4902792387241638E-2</c:v>
                </c:pt>
                <c:pt idx="96">
                  <c:v>4.5403038930434181E-2</c:v>
                </c:pt>
                <c:pt idx="97">
                  <c:v>4.5901664216122171E-2</c:v>
                </c:pt>
                <c:pt idx="98">
                  <c:v>4.6398587103014019E-2</c:v>
                </c:pt>
                <c:pt idx="99">
                  <c:v>4.6893726448224704E-2</c:v>
                </c:pt>
                <c:pt idx="100">
                  <c:v>4.7387001142245512E-2</c:v>
                </c:pt>
                <c:pt idx="101">
                  <c:v>4.7878330144282222E-2</c:v>
                </c:pt>
                <c:pt idx="102">
                  <c:v>4.8367632517947581E-2</c:v>
                </c:pt>
                <c:pt idx="103">
                  <c:v>4.8854827467293888E-2</c:v>
                </c:pt>
                <c:pt idx="104">
                  <c:v>4.9339834373170091E-2</c:v>
                </c:pt>
                <c:pt idx="105">
                  <c:v>4.9822572829888168E-2</c:v>
                </c:pt>
                <c:pt idx="106">
                  <c:v>5.0302962682182165E-2</c:v>
                </c:pt>
                <c:pt idx="107">
                  <c:v>5.078092406244282E-2</c:v>
                </c:pt>
                <c:pt idx="108">
                  <c:v>5.1256377428211021E-2</c:v>
                </c:pt>
                <c:pt idx="109">
                  <c:v>5.1729243599910824E-2</c:v>
                </c:pt>
                <c:pt idx="110">
                  <c:v>5.219944379880518E-2</c:v>
                </c:pt>
                <c:pt idx="111">
                  <c:v>5.2666899685153507E-2</c:v>
                </c:pt>
                <c:pt idx="112">
                  <c:v>5.3131533396553618E-2</c:v>
                </c:pt>
                <c:pt idx="113">
                  <c:v>5.359326758644592E-2</c:v>
                </c:pt>
                <c:pt idx="114">
                  <c:v>5.4052025462761201E-2</c:v>
                </c:pt>
                <c:pt idx="115">
                  <c:v>5.4507730826690318E-2</c:v>
                </c:pt>
                <c:pt idx="116">
                  <c:v>5.4960308111554834E-2</c:v>
                </c:pt>
                <c:pt idx="117">
                  <c:v>5.5409682421756937E-2</c:v>
                </c:pt>
                <c:pt idx="118">
                  <c:v>5.5855779571786925E-2</c:v>
                </c:pt>
                <c:pt idx="119">
                  <c:v>5.6298526125266174E-2</c:v>
                </c:pt>
                <c:pt idx="120">
                  <c:v>5.6737849434002945E-2</c:v>
                </c:pt>
                <c:pt idx="121">
                  <c:v>5.7173677677038237E-2</c:v>
                </c:pt>
                <c:pt idx="122">
                  <c:v>5.7605939899659522E-2</c:v>
                </c:pt>
                <c:pt idx="123">
                  <c:v>5.8034566052358766E-2</c:v>
                </c:pt>
                <c:pt idx="124">
                  <c:v>5.845948702971171E-2</c:v>
                </c:pt>
                <c:pt idx="125">
                  <c:v>5.8880634709155513E-2</c:v>
                </c:pt>
                <c:pt idx="126">
                  <c:v>5.9297941989641126E-2</c:v>
                </c:pt>
                <c:pt idx="127">
                  <c:v>5.9711342830137591E-2</c:v>
                </c:pt>
                <c:pt idx="128">
                  <c:v>6.0120772287964544E-2</c:v>
                </c:pt>
                <c:pt idx="129">
                  <c:v>6.0526166556930355E-2</c:v>
                </c:pt>
                <c:pt idx="130">
                  <c:v>6.09274630052523E-2</c:v>
                </c:pt>
                <c:pt idx="131">
                  <c:v>6.1324600213236199E-2</c:v>
                </c:pt>
                <c:pt idx="132">
                  <c:v>6.1717518010692786E-2</c:v>
                </c:pt>
                <c:pt idx="133">
                  <c:v>6.2106157514068332E-2</c:v>
                </c:pt>
                <c:pt idx="134">
                  <c:v>6.2490461163267008E-2</c:v>
                </c:pt>
                <c:pt idx="135">
                  <c:v>6.2870372758143528E-2</c:v>
                </c:pt>
                <c:pt idx="136">
                  <c:v>6.3245837494644047E-2</c:v>
                </c:pt>
                <c:pt idx="137">
                  <c:v>6.3616802000574194E-2</c:v>
                </c:pt>
                <c:pt idx="138">
                  <c:v>6.3983214370973776E-2</c:v>
                </c:pt>
                <c:pt idx="139">
                  <c:v>6.4345024203076792E-2</c:v>
                </c:pt>
                <c:pt idx="140">
                  <c:v>6.4702182630838129E-2</c:v>
                </c:pt>
                <c:pt idx="141">
                  <c:v>6.505464235900621E-2</c:v>
                </c:pt>
                <c:pt idx="142">
                  <c:v>6.5402357696723493E-2</c:v>
                </c:pt>
                <c:pt idx="143">
                  <c:v>6.574528459063618E-2</c:v>
                </c:pt>
                <c:pt idx="144">
                  <c:v>6.6083380657495305E-2</c:v>
                </c:pt>
                <c:pt idx="145">
                  <c:v>6.6416605216232091E-2</c:v>
                </c:pt>
                <c:pt idx="146">
                  <c:v>6.6744919319490684E-2</c:v>
                </c:pt>
                <c:pt idx="147">
                  <c:v>6.7068285784602985E-2</c:v>
                </c:pt>
                <c:pt idx="148">
                  <c:v>6.738666922398949E-2</c:v>
                </c:pt>
                <c:pt idx="149">
                  <c:v>6.7700036074972214E-2</c:v>
                </c:pt>
                <c:pt idx="150">
                  <c:v>6.8008354628985412E-2</c:v>
                </c:pt>
                <c:pt idx="151">
                  <c:v>6.8311595060170913E-2</c:v>
                </c:pt>
                <c:pt idx="152">
                  <c:v>6.8609729453345661E-2</c:v>
                </c:pt>
                <c:pt idx="153">
                  <c:v>6.8902731831329889E-2</c:v>
                </c:pt>
                <c:pt idx="154">
                  <c:v>6.9190578181624274E-2</c:v>
                </c:pt>
                <c:pt idx="155">
                  <c:v>6.9473246482426365E-2</c:v>
                </c:pt>
                <c:pt idx="156">
                  <c:v>6.9750716727976364E-2</c:v>
                </c:pt>
                <c:pt idx="157">
                  <c:v>7.002297095322349E-2</c:v>
                </c:pt>
                <c:pt idx="158">
                  <c:v>7.0289993257804717E-2</c:v>
                </c:pt>
                <c:pt idx="159">
                  <c:v>7.0551769829328509E-2</c:v>
                </c:pt>
                <c:pt idx="160">
                  <c:v>7.0808288965956895E-2</c:v>
                </c:pt>
                <c:pt idx="161">
                  <c:v>7.1059541098279694E-2</c:v>
                </c:pt>
                <c:pt idx="162">
                  <c:v>7.1305518810475768E-2</c:v>
                </c:pt>
                <c:pt idx="163">
                  <c:v>7.154621686075642E-2</c:v>
                </c:pt>
                <c:pt idx="164">
                  <c:v>7.1781632201087381E-2</c:v>
                </c:pt>
                <c:pt idx="165">
                  <c:v>7.2011763996185418E-2</c:v>
                </c:pt>
                <c:pt idx="166">
                  <c:v>7.2236613641787406E-2</c:v>
                </c:pt>
                <c:pt idx="167">
                  <c:v>7.2456184782189417E-2</c:v>
                </c:pt>
                <c:pt idx="168">
                  <c:v>7.2670483327054641E-2</c:v>
                </c:pt>
                <c:pt idx="169">
                  <c:v>7.2879517467488539E-2</c:v>
                </c:pt>
                <c:pt idx="170">
                  <c:v>7.3083297691381569E-2</c:v>
                </c:pt>
                <c:pt idx="171">
                  <c:v>7.3281836798019154E-2</c:v>
                </c:pt>
                <c:pt idx="172">
                  <c:v>7.3475149911959373E-2</c:v>
                </c:pt>
                <c:pt idx="173">
                  <c:v>7.3663254496179609E-2</c:v>
                </c:pt>
                <c:pt idx="174">
                  <c:v>7.3846170364493549E-2</c:v>
                </c:pt>
                <c:pt idx="175">
                  <c:v>7.4023919693240542E-2</c:v>
                </c:pt>
                <c:pt idx="176">
                  <c:v>7.4196527032249049E-2</c:v>
                </c:pt>
                <c:pt idx="177">
                  <c:v>7.4364019315077551E-2</c:v>
                </c:pt>
                <c:pt idx="178">
                  <c:v>7.4526425868535084E-2</c:v>
                </c:pt>
                <c:pt idx="179">
                  <c:v>7.4683778421485075E-2</c:v>
                </c:pt>
                <c:pt idx="180">
                  <c:v>7.4836111112935644E-2</c:v>
                </c:pt>
                <c:pt idx="181">
                  <c:v>7.4983460499420299E-2</c:v>
                </c:pt>
                <c:pt idx="182">
                  <c:v>7.512586556167275E-2</c:v>
                </c:pt>
                <c:pt idx="183">
                  <c:v>7.526336771059991E-2</c:v>
                </c:pt>
                <c:pt idx="184">
                  <c:v>7.5396010792557505E-2</c:v>
                </c:pt>
                <c:pt idx="185">
                  <c:v>7.5523841093932537E-2</c:v>
                </c:pt>
                <c:pt idx="186">
                  <c:v>7.5646907345036901E-2</c:v>
                </c:pt>
                <c:pt idx="187">
                  <c:v>7.5765260723317102E-2</c:v>
                </c:pt>
                <c:pt idx="188">
                  <c:v>7.5878954855884473E-2</c:v>
                </c:pt>
                <c:pt idx="189">
                  <c:v>7.5988045821370559E-2</c:v>
                </c:pt>
                <c:pt idx="190">
                  <c:v>7.6092592151112443E-2</c:v>
                </c:pt>
                <c:pt idx="191">
                  <c:v>7.6192654829672926E-2</c:v>
                </c:pt>
                <c:pt idx="192">
                  <c:v>7.6288297294699811E-2</c:v>
                </c:pt>
                <c:pt idx="193">
                  <c:v>7.6379585436129924E-2</c:v>
                </c:pt>
                <c:pt idx="194">
                  <c:v>7.6466587594741592E-2</c:v>
                </c:pt>
                <c:pt idx="195">
                  <c:v>7.6549374560061084E-2</c:v>
                </c:pt>
                <c:pt idx="196">
                  <c:v>7.6628019567627562E-2</c:v>
                </c:pt>
                <c:pt idx="197">
                  <c:v>7.6702598295621191E-2</c:v>
                </c:pt>
                <c:pt idx="198">
                  <c:v>7.6773188860858932E-2</c:v>
                </c:pt>
                <c:pt idx="199">
                  <c:v>7.6839871814163546E-2</c:v>
                </c:pt>
                <c:pt idx="200">
                  <c:v>7.6902730135109648E-2</c:v>
                </c:pt>
                <c:pt idx="201">
                  <c:v>7.6961849226152276E-2</c:v>
                </c:pt>
                <c:pt idx="202">
                  <c:v>7.7017316906142608E-2</c:v>
                </c:pt>
                <c:pt idx="203">
                  <c:v>7.7069223403235965E-2</c:v>
                </c:pt>
                <c:pt idx="204">
                  <c:v>7.7117661347196997E-2</c:v>
                </c:pt>
                <c:pt idx="205">
                  <c:v>7.7162725761107595E-2</c:v>
                </c:pt>
                <c:pt idx="206">
                  <c:v>7.7204514052482659E-2</c:v>
                </c:pt>
                <c:pt idx="207">
                  <c:v>7.7243126003800122E-2</c:v>
                </c:pt>
                <c:pt idx="208">
                  <c:v>7.7278663762450087E-2</c:v>
                </c:pt>
                <c:pt idx="209">
                  <c:v>7.7311231830110683E-2</c:v>
                </c:pt>
                <c:pt idx="210">
                  <c:v>7.7340937051556743E-2</c:v>
                </c:pt>
                <c:pt idx="211">
                  <c:v>7.7367888602908497E-2</c:v>
                </c:pt>
                <c:pt idx="212">
                  <c:v>7.7392197979328545E-2</c:v>
                </c:pt>
                <c:pt idx="213">
                  <c:v>7.7413978982175183E-2</c:v>
                </c:pt>
                <c:pt idx="214">
                  <c:v>7.7433305780856443E-2</c:v>
                </c:pt>
                <c:pt idx="215">
                  <c:v>7.7450129295078066E-2</c:v>
                </c:pt>
                <c:pt idx="216">
                  <c:v>7.7464443847846925E-2</c:v>
                </c:pt>
                <c:pt idx="217">
                  <c:v>7.7476247763710482E-2</c:v>
                </c:pt>
                <c:pt idx="218">
                  <c:v>7.7485539499577274E-2</c:v>
                </c:pt>
                <c:pt idx="219">
                  <c:v>7.7492317645114675E-2</c:v>
                </c:pt>
                <c:pt idx="220">
                  <c:v>7.7496580923123629E-2</c:v>
                </c:pt>
                <c:pt idx="221">
                  <c:v>7.7498328189890373E-2</c:v>
                </c:pt>
                <c:pt idx="222">
                  <c:v>7.7497558435515007E-2</c:v>
                </c:pt>
                <c:pt idx="223">
                  <c:v>7.7494270784216765E-2</c:v>
                </c:pt>
                <c:pt idx="224">
                  <c:v>7.7488464494616091E-2</c:v>
                </c:pt>
                <c:pt idx="225">
                  <c:v>7.7480138959993311E-2</c:v>
                </c:pt>
                <c:pt idx="226">
                  <c:v>7.746929370852397E-2</c:v>
                </c:pt>
                <c:pt idx="227">
                  <c:v>7.7455928403490484E-2</c:v>
                </c:pt>
                <c:pt idx="228">
                  <c:v>7.7440042843470572E-2</c:v>
                </c:pt>
                <c:pt idx="229">
                  <c:v>7.7421636962501844E-2</c:v>
                </c:pt>
                <c:pt idx="230">
                  <c:v>7.7400710830222874E-2</c:v>
                </c:pt>
                <c:pt idx="231">
                  <c:v>7.7377264651990754E-2</c:v>
                </c:pt>
                <c:pt idx="232">
                  <c:v>7.7351298768974661E-2</c:v>
                </c:pt>
                <c:pt idx="233">
                  <c:v>7.7322813658225867E-2</c:v>
                </c:pt>
                <c:pt idx="234">
                  <c:v>7.7291809932724151E-2</c:v>
                </c:pt>
                <c:pt idx="235">
                  <c:v>7.7258288341400028E-2</c:v>
                </c:pt>
                <c:pt idx="236">
                  <c:v>7.7222249769133597E-2</c:v>
                </c:pt>
                <c:pt idx="237">
                  <c:v>7.7183695236729244E-2</c:v>
                </c:pt>
                <c:pt idx="238">
                  <c:v>7.7142625900866804E-2</c:v>
                </c:pt>
                <c:pt idx="239">
                  <c:v>7.7099043054028649E-2</c:v>
                </c:pt>
                <c:pt idx="240">
                  <c:v>7.7052948124403053E-2</c:v>
                </c:pt>
                <c:pt idx="241">
                  <c:v>7.7004342675763796E-2</c:v>
                </c:pt>
                <c:pt idx="242">
                  <c:v>7.695322840732581E-2</c:v>
                </c:pt>
                <c:pt idx="243">
                  <c:v>7.6899607153576924E-2</c:v>
                </c:pt>
                <c:pt idx="244">
                  <c:v>7.6843480884086227E-2</c:v>
                </c:pt>
                <c:pt idx="245">
                  <c:v>7.6784851703287998E-2</c:v>
                </c:pt>
                <c:pt idx="246">
                  <c:v>7.6723721850242524E-2</c:v>
                </c:pt>
                <c:pt idx="247">
                  <c:v>7.6660093698372692E-2</c:v>
                </c:pt>
                <c:pt idx="248">
                  <c:v>7.6593969755177238E-2</c:v>
                </c:pt>
                <c:pt idx="249">
                  <c:v>7.6525352661919899E-2</c:v>
                </c:pt>
                <c:pt idx="250">
                  <c:v>7.6454245193295425E-2</c:v>
                </c:pt>
                <c:pt idx="251">
                  <c:v>7.6380650257071664E-2</c:v>
                </c:pt>
                <c:pt idx="252">
                  <c:v>7.6304570893708068E-2</c:v>
                </c:pt>
                <c:pt idx="253">
                  <c:v>7.6226010275951189E-2</c:v>
                </c:pt>
                <c:pt idx="254">
                  <c:v>7.6144971708406006E-2</c:v>
                </c:pt>
                <c:pt idx="255">
                  <c:v>7.6061458627084466E-2</c:v>
                </c:pt>
                <c:pt idx="256">
                  <c:v>7.5975474598930559E-2</c:v>
                </c:pt>
                <c:pt idx="257">
                  <c:v>7.5887023321321953E-2</c:v>
                </c:pt>
                <c:pt idx="258">
                  <c:v>7.5796108621548744E-2</c:v>
                </c:pt>
                <c:pt idx="259">
                  <c:v>7.5702734456268905E-2</c:v>
                </c:pt>
                <c:pt idx="260">
                  <c:v>7.5606904910940825E-2</c:v>
                </c:pt>
                <c:pt idx="261">
                  <c:v>7.5508624199232918E-2</c:v>
                </c:pt>
                <c:pt idx="262">
                  <c:v>7.5407896662410406E-2</c:v>
                </c:pt>
                <c:pt idx="263">
                  <c:v>7.5304726768699204E-2</c:v>
                </c:pt>
                <c:pt idx="264">
                  <c:v>7.5199119112627416E-2</c:v>
                </c:pt>
                <c:pt idx="265">
                  <c:v>7.5091078414344106E-2</c:v>
                </c:pt>
                <c:pt idx="266">
                  <c:v>7.4980609518915539E-2</c:v>
                </c:pt>
                <c:pt idx="267">
                  <c:v>7.486771739559954E-2</c:v>
                </c:pt>
                <c:pt idx="268">
                  <c:v>7.4752407137096924E-2</c:v>
                </c:pt>
                <c:pt idx="269">
                  <c:v>7.4634683958781575E-2</c:v>
                </c:pt>
                <c:pt idx="270">
                  <c:v>7.4514553197907937E-2</c:v>
                </c:pt>
                <c:pt idx="271">
                  <c:v>7.4392020312796986E-2</c:v>
                </c:pt>
                <c:pt idx="272">
                  <c:v>7.4267090882000439E-2</c:v>
                </c:pt>
                <c:pt idx="273">
                  <c:v>7.4139770603443234E-2</c:v>
                </c:pt>
                <c:pt idx="274">
                  <c:v>7.4010065293544855E-2</c:v>
                </c:pt>
                <c:pt idx="275">
                  <c:v>7.387798088631875E-2</c:v>
                </c:pt>
                <c:pt idx="276">
                  <c:v>7.3743523432451358E-2</c:v>
                </c:pt>
                <c:pt idx="277">
                  <c:v>7.3606699098359443E-2</c:v>
                </c:pt>
                <c:pt idx="278">
                  <c:v>7.3467514165227094E-2</c:v>
                </c:pt>
                <c:pt idx="279">
                  <c:v>7.3325975028021434E-2</c:v>
                </c:pt>
                <c:pt idx="280">
                  <c:v>7.3182088194488445E-2</c:v>
                </c:pt>
                <c:pt idx="281">
                  <c:v>7.3035860284127715E-2</c:v>
                </c:pt>
                <c:pt idx="282">
                  <c:v>7.2887298027147662E-2</c:v>
                </c:pt>
                <c:pt idx="283">
                  <c:v>7.2736408263399999E-2</c:v>
                </c:pt>
                <c:pt idx="284">
                  <c:v>7.2583197941295002E-2</c:v>
                </c:pt>
                <c:pt idx="285">
                  <c:v>7.2427674116696594E-2</c:v>
                </c:pt>
                <c:pt idx="286">
                  <c:v>7.2269843951798002E-2</c:v>
                </c:pt>
                <c:pt idx="287">
                  <c:v>7.2109714713978382E-2</c:v>
                </c:pt>
                <c:pt idx="288">
                  <c:v>7.1947293774639876E-2</c:v>
                </c:pt>
                <c:pt idx="289">
                  <c:v>7.178258860802611E-2</c:v>
                </c:pt>
                <c:pt idx="290">
                  <c:v>7.1615606790021616E-2</c:v>
                </c:pt>
                <c:pt idx="291">
                  <c:v>7.1446355996932914E-2</c:v>
                </c:pt>
                <c:pt idx="292">
                  <c:v>7.127484400425127E-2</c:v>
                </c:pt>
                <c:pt idx="293">
                  <c:v>7.1101078685397154E-2</c:v>
                </c:pt>
                <c:pt idx="294">
                  <c:v>7.0925068010446721E-2</c:v>
                </c:pt>
                <c:pt idx="295">
                  <c:v>7.0746820044840952E-2</c:v>
                </c:pt>
                <c:pt idx="296">
                  <c:v>7.0566342948076899E-2</c:v>
                </c:pt>
                <c:pt idx="297">
                  <c:v>7.0383644972381712E-2</c:v>
                </c:pt>
                <c:pt idx="298">
                  <c:v>7.0198734461369913E-2</c:v>
                </c:pt>
                <c:pt idx="299">
                  <c:v>7.0011619848683385E-2</c:v>
                </c:pt>
                <c:pt idx="300">
                  <c:v>6.9822309656615164E-2</c:v>
                </c:pt>
                <c:pt idx="301">
                  <c:v>6.963081249471649E-2</c:v>
                </c:pt>
                <c:pt idx="302">
                  <c:v>6.9437137058388207E-2</c:v>
                </c:pt>
                <c:pt idx="303">
                  <c:v>6.9241292127455806E-2</c:v>
                </c:pt>
                <c:pt idx="304">
                  <c:v>6.9043286564728884E-2</c:v>
                </c:pt>
                <c:pt idx="305">
                  <c:v>6.8843129314545587E-2</c:v>
                </c:pt>
                <c:pt idx="306">
                  <c:v>6.8640829401301451E-2</c:v>
                </c:pt>
                <c:pt idx="307">
                  <c:v>6.8436395927963481E-2</c:v>
                </c:pt>
                <c:pt idx="308">
                  <c:v>6.8229838074569671E-2</c:v>
                </c:pt>
                <c:pt idx="309">
                  <c:v>6.8021165096713951E-2</c:v>
                </c:pt>
                <c:pt idx="310">
                  <c:v>6.7810386324017299E-2</c:v>
                </c:pt>
                <c:pt idx="311">
                  <c:v>6.7597511158584492E-2</c:v>
                </c:pt>
                <c:pt idx="312">
                  <c:v>6.7382549073447706E-2</c:v>
                </c:pt>
                <c:pt idx="313">
                  <c:v>6.7165509610996557E-2</c:v>
                </c:pt>
                <c:pt idx="314">
                  <c:v>6.6946402381395057E-2</c:v>
                </c:pt>
                <c:pt idx="315">
                  <c:v>6.672523706098582E-2</c:v>
                </c:pt>
                <c:pt idx="316">
                  <c:v>6.6502023390681828E-2</c:v>
                </c:pt>
                <c:pt idx="317">
                  <c:v>6.6276771174345647E-2</c:v>
                </c:pt>
                <c:pt idx="318">
                  <c:v>6.6049490277157105E-2</c:v>
                </c:pt>
                <c:pt idx="319">
                  <c:v>6.5820190623968836E-2</c:v>
                </c:pt>
                <c:pt idx="320">
                  <c:v>6.5588882197650786E-2</c:v>
                </c:pt>
                <c:pt idx="321">
                  <c:v>6.5355575037423452E-2</c:v>
                </c:pt>
                <c:pt idx="322">
                  <c:v>6.5120279237180181E-2</c:v>
                </c:pt>
                <c:pt idx="323">
                  <c:v>6.4883004943799158E-2</c:v>
                </c:pt>
                <c:pt idx="324">
                  <c:v>6.4643762355445111E-2</c:v>
                </c:pt>
                <c:pt idx="325">
                  <c:v>6.4402561719860793E-2</c:v>
                </c:pt>
                <c:pt idx="326">
                  <c:v>6.415941333264924E-2</c:v>
                </c:pt>
                <c:pt idx="327">
                  <c:v>6.391432753554635E-2</c:v>
                </c:pt>
                <c:pt idx="328">
                  <c:v>6.366731471468462E-2</c:v>
                </c:pt>
                <c:pt idx="329">
                  <c:v>6.3418385298848065E-2</c:v>
                </c:pt>
                <c:pt idx="330">
                  <c:v>6.3167549757718627E-2</c:v>
                </c:pt>
                <c:pt idx="331">
                  <c:v>6.291481860011458E-2</c:v>
                </c:pt>
                <c:pt idx="332">
                  <c:v>6.2660202372221127E-2</c:v>
                </c:pt>
                <c:pt idx="333">
                  <c:v>6.2403711655813321E-2</c:v>
                </c:pt>
                <c:pt idx="334">
                  <c:v>6.2145357066472076E-2</c:v>
                </c:pt>
                <c:pt idx="335">
                  <c:v>6.1885149251792795E-2</c:v>
                </c:pt>
                <c:pt idx="336">
                  <c:v>6.1623098889588251E-2</c:v>
                </c:pt>
                <c:pt idx="337">
                  <c:v>6.1359216686084364E-2</c:v>
                </c:pt>
                <c:pt idx="338">
                  <c:v>6.1093513374110495E-2</c:v>
                </c:pt>
                <c:pt idx="339">
                  <c:v>6.0825999711284273E-2</c:v>
                </c:pt>
                <c:pt idx="340">
                  <c:v>6.0556686478190638E-2</c:v>
                </c:pt>
                <c:pt idx="341">
                  <c:v>6.0285584476556499E-2</c:v>
                </c:pt>
                <c:pt idx="342">
                  <c:v>6.0012704527420163E-2</c:v>
                </c:pt>
                <c:pt idx="343">
                  <c:v>5.9738057469297168E-2</c:v>
                </c:pt>
                <c:pt idx="344">
                  <c:v>5.9461654156341401E-2</c:v>
                </c:pt>
                <c:pt idx="345">
                  <c:v>5.9183505456503027E-2</c:v>
                </c:pt>
                <c:pt idx="346">
                  <c:v>5.8903622249682909E-2</c:v>
                </c:pt>
                <c:pt idx="347">
                  <c:v>5.8622015425884189E-2</c:v>
                </c:pt>
                <c:pt idx="348">
                  <c:v>5.8338695883361012E-2</c:v>
                </c:pt>
                <c:pt idx="349">
                  <c:v>5.8053674526764999E-2</c:v>
                </c:pt>
                <c:pt idx="350">
                  <c:v>5.7766962265289795E-2</c:v>
                </c:pt>
                <c:pt idx="351">
                  <c:v>5.7478570010813801E-2</c:v>
                </c:pt>
                <c:pt idx="352">
                  <c:v>5.7188508676041652E-2</c:v>
                </c:pt>
                <c:pt idx="353">
                  <c:v>5.6896789172644902E-2</c:v>
                </c:pt>
                <c:pt idx="354">
                  <c:v>5.660342240940152E-2</c:v>
                </c:pt>
                <c:pt idx="355">
                  <c:v>5.6308419290335698E-2</c:v>
                </c:pt>
                <c:pt idx="356">
                  <c:v>5.6011790712857196E-2</c:v>
                </c:pt>
                <c:pt idx="357">
                  <c:v>5.5713547565901189E-2</c:v>
                </c:pt>
                <c:pt idx="358">
                  <c:v>5.5413700728068997E-2</c:v>
                </c:pt>
                <c:pt idx="359">
                  <c:v>5.5112261065769524E-2</c:v>
                </c:pt>
                <c:pt idx="360">
                  <c:v>5.480923943136215E-2</c:v>
                </c:pt>
                <c:pt idx="361">
                  <c:v>5.4504646661301559E-2</c:v>
                </c:pt>
                <c:pt idx="362">
                  <c:v>5.4198493574284294E-2</c:v>
                </c:pt>
                <c:pt idx="363">
                  <c:v>5.3890790969397806E-2</c:v>
                </c:pt>
                <c:pt idx="364">
                  <c:v>5.3581549624272487E-2</c:v>
                </c:pt>
                <c:pt idx="365">
                  <c:v>5.3270780293236099E-2</c:v>
                </c:pt>
                <c:pt idx="366">
                  <c:v>5.2958493705472433E-2</c:v>
                </c:pt>
                <c:pt idx="367">
                  <c:v>5.2644700563183107E-2</c:v>
                </c:pt>
                <c:pt idx="368">
                  <c:v>5.2329411539753526E-2</c:v>
                </c:pt>
                <c:pt idx="369">
                  <c:v>5.2012637277923553E-2</c:v>
                </c:pt>
                <c:pt idx="370">
                  <c:v>5.169438838796285E-2</c:v>
                </c:pt>
                <c:pt idx="371">
                  <c:v>5.1374675445850684E-2</c:v>
                </c:pt>
                <c:pt idx="372">
                  <c:v>5.1053508991462174E-2</c:v>
                </c:pt>
                <c:pt idx="373">
                  <c:v>5.0730899526759743E-2</c:v>
                </c:pt>
                <c:pt idx="374">
                  <c:v>5.0406857513990433E-2</c:v>
                </c:pt>
                <c:pt idx="375">
                  <c:v>5.0081393373890351E-2</c:v>
                </c:pt>
                <c:pt idx="376">
                  <c:v>4.9754517483895158E-2</c:v>
                </c:pt>
                <c:pt idx="377">
                  <c:v>4.9426240176358258E-2</c:v>
                </c:pt>
                <c:pt idx="378">
                  <c:v>4.9096571736776146E-2</c:v>
                </c:pt>
                <c:pt idx="379">
                  <c:v>4.8765522402021436E-2</c:v>
                </c:pt>
                <c:pt idx="380">
                  <c:v>4.8433102358584244E-2</c:v>
                </c:pt>
                <c:pt idx="381">
                  <c:v>4.8099321740822022E-2</c:v>
                </c:pt>
                <c:pt idx="382">
                  <c:v>4.7764190629217732E-2</c:v>
                </c:pt>
                <c:pt idx="383">
                  <c:v>4.7427719048647732E-2</c:v>
                </c:pt>
                <c:pt idx="384">
                  <c:v>4.7089916966658672E-2</c:v>
                </c:pt>
                <c:pt idx="385">
                  <c:v>4.6750794291754383E-2</c:v>
                </c:pt>
                <c:pt idx="386">
                  <c:v>4.6410360871692612E-2</c:v>
                </c:pt>
                <c:pt idx="387">
                  <c:v>4.6068626491792372E-2</c:v>
                </c:pt>
                <c:pt idx="388">
                  <c:v>4.5725600873252045E-2</c:v>
                </c:pt>
                <c:pt idx="389">
                  <c:v>4.5381293671478307E-2</c:v>
                </c:pt>
                <c:pt idx="390">
                  <c:v>4.5035714474426759E-2</c:v>
                </c:pt>
                <c:pt idx="391">
                  <c:v>4.4688872800953905E-2</c:v>
                </c:pt>
                <c:pt idx="392">
                  <c:v>4.4340778099181591E-2</c:v>
                </c:pt>
                <c:pt idx="393">
                  <c:v>4.3991439744873226E-2</c:v>
                </c:pt>
                <c:pt idx="394">
                  <c:v>4.364086703982329E-2</c:v>
                </c:pt>
                <c:pt idx="395">
                  <c:v>4.3289069210259094E-2</c:v>
                </c:pt>
                <c:pt idx="396">
                  <c:v>4.2936055405256524E-2</c:v>
                </c:pt>
                <c:pt idx="397">
                  <c:v>4.2581834695168991E-2</c:v>
                </c:pt>
                <c:pt idx="398">
                  <c:v>4.2226416070070022E-2</c:v>
                </c:pt>
                <c:pt idx="399">
                  <c:v>4.1869808438210969E-2</c:v>
                </c:pt>
                <c:pt idx="400">
                  <c:v>4.1512020624491927E-2</c:v>
                </c:pt>
                <c:pt idx="401">
                  <c:v>4.1153061368948821E-2</c:v>
                </c:pt>
                <c:pt idx="402">
                  <c:v>4.0792939325254497E-2</c:v>
                </c:pt>
                <c:pt idx="403">
                  <c:v>4.043166305923581E-2</c:v>
                </c:pt>
                <c:pt idx="404">
                  <c:v>4.0069241047406362E-2</c:v>
                </c:pt>
                <c:pt idx="405">
                  <c:v>3.9705681675515123E-2</c:v>
                </c:pt>
                <c:pt idx="406">
                  <c:v>3.9340993237111377E-2</c:v>
                </c:pt>
                <c:pt idx="407">
                  <c:v>3.8975183932126206E-2</c:v>
                </c:pt>
                <c:pt idx="408">
                  <c:v>3.86082618654712E-2</c:v>
                </c:pt>
                <c:pt idx="409">
                  <c:v>3.824023504565361E-2</c:v>
                </c:pt>
                <c:pt idx="410">
                  <c:v>3.7871111383409692E-2</c:v>
                </c:pt>
                <c:pt idx="411">
                  <c:v>3.7500898690355326E-2</c:v>
                </c:pt>
                <c:pt idx="412">
                  <c:v>3.7129604677654783E-2</c:v>
                </c:pt>
                <c:pt idx="413">
                  <c:v>3.6757236954707798E-2</c:v>
                </c:pt>
                <c:pt idx="414">
                  <c:v>3.6383803027855016E-2</c:v>
                </c:pt>
                <c:pt idx="415">
                  <c:v>3.6009310299102419E-2</c:v>
                </c:pt>
                <c:pt idx="416">
                  <c:v>3.5633766064864972E-2</c:v>
                </c:pt>
                <c:pt idx="417">
                  <c:v>3.5257177514729156E-2</c:v>
                </c:pt>
                <c:pt idx="418">
                  <c:v>3.4879551730235561E-2</c:v>
                </c:pt>
                <c:pt idx="419">
                  <c:v>3.4500895683681337E-2</c:v>
                </c:pt>
                <c:pt idx="420">
                  <c:v>3.4121216236942191E-2</c:v>
                </c:pt>
                <c:pt idx="421">
                  <c:v>3.3740520140315713E-2</c:v>
                </c:pt>
                <c:pt idx="422">
                  <c:v>3.3358814031384409E-2</c:v>
                </c:pt>
                <c:pt idx="423">
                  <c:v>3.2976104433900338E-2</c:v>
                </c:pt>
                <c:pt idx="424">
                  <c:v>3.2592397756690185E-2</c:v>
                </c:pt>
                <c:pt idx="425">
                  <c:v>3.2207700292582478E-2</c:v>
                </c:pt>
                <c:pt idx="426">
                  <c:v>3.182201821735562E-2</c:v>
                </c:pt>
                <c:pt idx="427">
                  <c:v>3.1435357588708378E-2</c:v>
                </c:pt>
                <c:pt idx="428">
                  <c:v>3.1047724345252083E-2</c:v>
                </c:pt>
                <c:pt idx="429">
                  <c:v>3.065912430552508E-2</c:v>
                </c:pt>
                <c:pt idx="430">
                  <c:v>3.0269563167030125E-2</c:v>
                </c:pt>
                <c:pt idx="431">
                  <c:v>2.9879046505293952E-2</c:v>
                </c:pt>
                <c:pt idx="432">
                  <c:v>2.9487579772950301E-2</c:v>
                </c:pt>
                <c:pt idx="433">
                  <c:v>2.9095168298845647E-2</c:v>
                </c:pt>
                <c:pt idx="434">
                  <c:v>2.8701817287168838E-2</c:v>
                </c:pt>
                <c:pt idx="435">
                  <c:v>2.8307531816603591E-2</c:v>
                </c:pt>
                <c:pt idx="436">
                  <c:v>2.7912316839505791E-2</c:v>
                </c:pt>
                <c:pt idx="437">
                  <c:v>2.7516177181103621E-2</c:v>
                </c:pt>
                <c:pt idx="438">
                  <c:v>2.7119117538722926E-2</c:v>
                </c:pt>
                <c:pt idx="439">
                  <c:v>2.6721142481036273E-2</c:v>
                </c:pt>
                <c:pt idx="440">
                  <c:v>2.6322256447336722E-2</c:v>
                </c:pt>
                <c:pt idx="441">
                  <c:v>2.5922463746836575E-2</c:v>
                </c:pt>
                <c:pt idx="442">
                  <c:v>2.552176855799089E-2</c:v>
                </c:pt>
                <c:pt idx="443">
                  <c:v>2.5120174927846042E-2</c:v>
                </c:pt>
                <c:pt idx="444">
                  <c:v>2.4717686771413675E-2</c:v>
                </c:pt>
                <c:pt idx="445">
                  <c:v>2.4314307871070071E-2</c:v>
                </c:pt>
                <c:pt idx="446">
                  <c:v>2.3910041875981121E-2</c:v>
                </c:pt>
                <c:pt idx="447">
                  <c:v>2.3504892301553261E-2</c:v>
                </c:pt>
                <c:pt idx="448">
                  <c:v>2.3098862528909744E-2</c:v>
                </c:pt>
                <c:pt idx="449">
                  <c:v>2.2691955804394065E-2</c:v>
                </c:pt>
                <c:pt idx="450">
                  <c:v>2.2284175239098428E-2</c:v>
                </c:pt>
                <c:pt idx="451">
                  <c:v>2.1875523808419384E-2</c:v>
                </c:pt>
                <c:pt idx="452">
                  <c:v>2.1466004351639752E-2</c:v>
                </c:pt>
                <c:pt idx="453">
                  <c:v>2.1055619571537391E-2</c:v>
                </c:pt>
                <c:pt idx="454">
                  <c:v>2.0644372034020315E-2</c:v>
                </c:pt>
                <c:pt idx="455">
                  <c:v>2.0232264167789015E-2</c:v>
                </c:pt>
                <c:pt idx="456">
                  <c:v>1.9819298264025963E-2</c:v>
                </c:pt>
                <c:pt idx="457">
                  <c:v>1.9405476476112089E-2</c:v>
                </c:pt>
                <c:pt idx="458">
                  <c:v>1.8990800819370601E-2</c:v>
                </c:pt>
                <c:pt idx="459">
                  <c:v>1.8575273170837989E-2</c:v>
                </c:pt>
                <c:pt idx="460">
                  <c:v>1.815889526906295E-2</c:v>
                </c:pt>
                <c:pt idx="461">
                  <c:v>1.7741668713932578E-2</c:v>
                </c:pt>
                <c:pt idx="462">
                  <c:v>1.7323594966526069E-2</c:v>
                </c:pt>
                <c:pt idx="463">
                  <c:v>1.6904675348997023E-2</c:v>
                </c:pt>
                <c:pt idx="464">
                  <c:v>1.6484911044482534E-2</c:v>
                </c:pt>
                <c:pt idx="465">
                  <c:v>1.6064303097041155E-2</c:v>
                </c:pt>
                <c:pt idx="466">
                  <c:v>1.564285241161828E-2</c:v>
                </c:pt>
                <c:pt idx="467">
                  <c:v>1.5220559754040146E-2</c:v>
                </c:pt>
                <c:pt idx="468">
                  <c:v>1.479742575103548E-2</c:v>
                </c:pt>
                <c:pt idx="469">
                  <c:v>1.4373450890285872E-2</c:v>
                </c:pt>
                <c:pt idx="470">
                  <c:v>1.3948635520504323E-2</c:v>
                </c:pt>
                <c:pt idx="471">
                  <c:v>1.3522979851541753E-2</c:v>
                </c:pt>
                <c:pt idx="472">
                  <c:v>1.3096483954522765E-2</c:v>
                </c:pt>
                <c:pt idx="473">
                  <c:v>1.266914776200909E-2</c:v>
                </c:pt>
                <c:pt idx="474">
                  <c:v>1.2240971068191745E-2</c:v>
                </c:pt>
                <c:pt idx="475">
                  <c:v>1.1811953529112266E-2</c:v>
                </c:pt>
                <c:pt idx="476">
                  <c:v>1.1382094662911511E-2</c:v>
                </c:pt>
                <c:pt idx="477">
                  <c:v>1.0951393850108106E-2</c:v>
                </c:pt>
                <c:pt idx="478">
                  <c:v>1.0519850333904901E-2</c:v>
                </c:pt>
                <c:pt idx="479">
                  <c:v>1.0087463220524092E-2</c:v>
                </c:pt>
                <c:pt idx="480">
                  <c:v>9.6542314795714582E-3</c:v>
                </c:pt>
                <c:pt idx="481">
                  <c:v>9.2201539444286482E-3</c:v>
                </c:pt>
                <c:pt idx="482">
                  <c:v>8.7852293126746105E-3</c:v>
                </c:pt>
                <c:pt idx="483">
                  <c:v>8.3494561465355562E-3</c:v>
                </c:pt>
                <c:pt idx="484">
                  <c:v>7.912832873363633E-3</c:v>
                </c:pt>
                <c:pt idx="485">
                  <c:v>7.4753577861438698E-3</c:v>
                </c:pt>
                <c:pt idx="486">
                  <c:v>7.0370290440306517E-3</c:v>
                </c:pt>
                <c:pt idx="487">
                  <c:v>6.5978446729117188E-3</c:v>
                </c:pt>
                <c:pt idx="488">
                  <c:v>6.1578025660016592E-3</c:v>
                </c:pt>
                <c:pt idx="489">
                  <c:v>5.7169004844636251E-3</c:v>
                </c:pt>
                <c:pt idx="490">
                  <c:v>5.2751360580593669E-3</c:v>
                </c:pt>
                <c:pt idx="491">
                  <c:v>4.8325067858282569E-3</c:v>
                </c:pt>
                <c:pt idx="492">
                  <c:v>4.3890100367942574E-3</c:v>
                </c:pt>
                <c:pt idx="493">
                  <c:v>3.9446430507016775E-3</c:v>
                </c:pt>
                <c:pt idx="494">
                  <c:v>3.4994029387792236E-3</c:v>
                </c:pt>
                <c:pt idx="495">
                  <c:v>3.0532866845318241E-3</c:v>
                </c:pt>
                <c:pt idx="496">
                  <c:v>2.6062911445617425E-3</c:v>
                </c:pt>
                <c:pt idx="497">
                  <c:v>2.1584130494167217E-3</c:v>
                </c:pt>
                <c:pt idx="498">
                  <c:v>1.7096490044668478E-3</c:v>
                </c:pt>
                <c:pt idx="499">
                  <c:v>1.2599954908093999E-3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93-4240-8F2E-337A63C4D4D2}"/>
            </c:ext>
          </c:extLst>
        </c:ser>
        <c:ser>
          <c:idx val="1"/>
          <c:order val="1"/>
          <c:tx>
            <c:v>Lower Camber</c:v>
          </c:tx>
          <c:spPr>
            <a:ln w="127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Data2!$N$1:$N$501</c:f>
              <c:numCache>
                <c:formatCode>0.000000</c:formatCode>
                <c:ptCount val="501"/>
                <c:pt idx="0">
                  <c:v>0</c:v>
                </c:pt>
                <c:pt idx="1">
                  <c:v>1.3125284720920353E-4</c:v>
                </c:pt>
                <c:pt idx="2">
                  <c:v>2.7214133544946394E-4</c:v>
                </c:pt>
                <c:pt idx="3">
                  <c:v>4.2263075099231099E-4</c:v>
                </c:pt>
                <c:pt idx="4">
                  <c:v>5.8268638155118617E-4</c:v>
                </c:pt>
                <c:pt idx="5">
                  <c:v>7.5227351981129863E-4</c:v>
                </c:pt>
                <c:pt idx="6">
                  <c:v>9.3135746702849818E-4</c:v>
                </c:pt>
                <c:pt idx="7">
                  <c:v>1.1199035366901938E-3</c:v>
                </c:pt>
                <c:pt idx="8">
                  <c:v>1.3178770582499475E-3</c:v>
                </c:pt>
                <c:pt idx="9">
                  <c:v>1.5252433809418383E-3</c:v>
                </c:pt>
                <c:pt idx="10">
                  <c:v>1.7419678776793169E-3</c:v>
                </c:pt>
                <c:pt idx="11">
                  <c:v>1.9680159490457066E-3</c:v>
                </c:pt>
                <c:pt idx="12">
                  <c:v>2.2033530273808427E-3</c:v>
                </c:pt>
                <c:pt idx="13">
                  <c:v>2.4479445809704411E-3</c:v>
                </c:pt>
                <c:pt idx="14">
                  <c:v>2.7017561183443261E-3</c:v>
                </c:pt>
                <c:pt idx="15">
                  <c:v>2.9647531926878115E-3</c:v>
                </c:pt>
                <c:pt idx="16">
                  <c:v>3.2369014063708861E-3</c:v>
                </c:pt>
                <c:pt idx="17">
                  <c:v>3.5181664156041688E-3</c:v>
                </c:pt>
                <c:pt idx="18">
                  <c:v>3.8085139352208477E-3</c:v>
                </c:pt>
                <c:pt idx="19">
                  <c:v>4.1079097435955895E-3</c:v>
                </c:pt>
                <c:pt idx="20">
                  <c:v>4.4163196876993932E-3</c:v>
                </c:pt>
                <c:pt idx="21">
                  <c:v>4.7337096883000272E-3</c:v>
                </c:pt>
                <c:pt idx="22">
                  <c:v>5.0600457453088901E-3</c:v>
                </c:pt>
                <c:pt idx="23">
                  <c:v>5.3952939432803781E-3</c:v>
                </c:pt>
                <c:pt idx="24">
                  <c:v>5.7394204570663963E-3</c:v>
                </c:pt>
                <c:pt idx="25">
                  <c:v>6.0923915576320568E-3</c:v>
                </c:pt>
                <c:pt idx="26">
                  <c:v>6.4541736180329309E-3</c:v>
                </c:pt>
                <c:pt idx="27">
                  <c:v>6.8247331195615702E-3</c:v>
                </c:pt>
                <c:pt idx="28">
                  <c:v>7.2040366580621504E-3</c:v>
                </c:pt>
                <c:pt idx="29">
                  <c:v>7.5920509504194301E-3</c:v>
                </c:pt>
                <c:pt idx="30">
                  <c:v>7.988742841224257E-3</c:v>
                </c:pt>
                <c:pt idx="31">
                  <c:v>8.3940793096157068E-3</c:v>
                </c:pt>
                <c:pt idx="32">
                  <c:v>8.8080274763072276E-3</c:v>
                </c:pt>
                <c:pt idx="33">
                  <c:v>9.2305546107938948E-3</c:v>
                </c:pt>
                <c:pt idx="34">
                  <c:v>9.661628138745177E-3</c:v>
                </c:pt>
                <c:pt idx="35">
                  <c:v>1.010121564958473E-2</c:v>
                </c:pt>
                <c:pt idx="36">
                  <c:v>1.0549284904258684E-2</c:v>
                </c:pt>
                <c:pt idx="37">
                  <c:v>1.1005803843192285E-2</c:v>
                </c:pt>
                <c:pt idx="38">
                  <c:v>1.1470740594436948E-2</c:v>
                </c:pt>
                <c:pt idx="39">
                  <c:v>1.1944063482008216E-2</c:v>
                </c:pt>
                <c:pt idx="40">
                  <c:v>1.2425741034414194E-2</c:v>
                </c:pt>
                <c:pt idx="41">
                  <c:v>1.2915741993375075E-2</c:v>
                </c:pt>
                <c:pt idx="42">
                  <c:v>1.3414035322732627E-2</c:v>
                </c:pt>
                <c:pt idx="43">
                  <c:v>1.3920590217549754E-2</c:v>
                </c:pt>
                <c:pt idx="44">
                  <c:v>1.4435376113399142E-2</c:v>
                </c:pt>
                <c:pt idx="45">
                  <c:v>1.4958362695838865E-2</c:v>
                </c:pt>
                <c:pt idx="46">
                  <c:v>1.5489519910074079E-2</c:v>
                </c:pt>
                <c:pt idx="47">
                  <c:v>1.6028817970801894E-2</c:v>
                </c:pt>
                <c:pt idx="48">
                  <c:v>1.6576227372239051E-2</c:v>
                </c:pt>
                <c:pt idx="49">
                  <c:v>1.7131718898326452E-2</c:v>
                </c:pt>
                <c:pt idx="50">
                  <c:v>1.7695263633111032E-2</c:v>
                </c:pt>
                <c:pt idx="51">
                  <c:v>1.826683297129857E-2</c:v>
                </c:pt>
                <c:pt idx="52">
                  <c:v>1.8846398628975781E-2</c:v>
                </c:pt>
                <c:pt idx="53">
                  <c:v>1.943393265449599E-2</c:v>
                </c:pt>
                <c:pt idx="54">
                  <c:v>2.002940743952393E-2</c:v>
                </c:pt>
                <c:pt idx="55">
                  <c:v>2.063279573023663E-2</c:v>
                </c:pt>
                <c:pt idx="56">
                  <c:v>2.1244070638671508E-2</c:v>
                </c:pt>
                <c:pt idx="57">
                  <c:v>2.1863205654219481E-2</c:v>
                </c:pt>
                <c:pt idx="58">
                  <c:v>2.2490174655254075E-2</c:v>
                </c:pt>
                <c:pt idx="59">
                  <c:v>2.3124951920891704E-2</c:v>
                </c:pt>
                <c:pt idx="60">
                  <c:v>2.3767512142875664E-2</c:v>
                </c:pt>
                <c:pt idx="61">
                  <c:v>2.4417830437575422E-2</c:v>
                </c:pt>
                <c:pt idx="62">
                  <c:v>2.50758823580952E-2</c:v>
                </c:pt>
                <c:pt idx="63">
                  <c:v>2.5741643906482006E-2</c:v>
                </c:pt>
                <c:pt idx="64">
                  <c:v>2.6415091546024696E-2</c:v>
                </c:pt>
                <c:pt idx="65">
                  <c:v>2.7096202213636771E-2</c:v>
                </c:pt>
                <c:pt idx="66">
                  <c:v>2.7784953332310052E-2</c:v>
                </c:pt>
                <c:pt idx="67">
                  <c:v>2.8481322823632711E-2</c:v>
                </c:pt>
                <c:pt idx="68">
                  <c:v>2.9185289120359569E-2</c:v>
                </c:pt>
                <c:pt idx="69">
                  <c:v>2.9896831179023864E-2</c:v>
                </c:pt>
                <c:pt idx="70">
                  <c:v>3.0615928492580942E-2</c:v>
                </c:pt>
                <c:pt idx="71">
                  <c:v>3.1342561103069676E-2</c:v>
                </c:pt>
                <c:pt idx="72">
                  <c:v>3.2076709614283577E-2</c:v>
                </c:pt>
                <c:pt idx="73">
                  <c:v>3.2818355204435108E-2</c:v>
                </c:pt>
                <c:pt idx="74">
                  <c:v>3.3567479638804694E-2</c:v>
                </c:pt>
                <c:pt idx="75">
                  <c:v>3.4324065282358117E-2</c:v>
                </c:pt>
                <c:pt idx="76">
                  <c:v>3.5088095112320944E-2</c:v>
                </c:pt>
                <c:pt idx="77">
                  <c:v>3.585955273069711E-2</c:v>
                </c:pt>
                <c:pt idx="78">
                  <c:v>3.6638422376714441E-2</c:v>
                </c:pt>
                <c:pt idx="79">
                  <c:v>3.7424688939187538E-2</c:v>
                </c:pt>
                <c:pt idx="80">
                  <c:v>3.8218337968779298E-2</c:v>
                </c:pt>
                <c:pt idx="81">
                  <c:v>3.9019355690149568E-2</c:v>
                </c:pt>
                <c:pt idx="82">
                  <c:v>3.9827729013974002E-2</c:v>
                </c:pt>
                <c:pt idx="83">
                  <c:v>4.0643445548818873E-2</c:v>
                </c:pt>
                <c:pt idx="84">
                  <c:v>4.1466493612856314E-2</c:v>
                </c:pt>
                <c:pt idx="85">
                  <c:v>4.229686224540416E-2</c:v>
                </c:pt>
                <c:pt idx="86">
                  <c:v>4.3134541218275563E-2</c:v>
                </c:pt>
                <c:pt idx="87">
                  <c:v>4.3979521046921155E-2</c:v>
                </c:pt>
                <c:pt idx="88">
                  <c:v>4.4831793001349506E-2</c:v>
                </c:pt>
                <c:pt idx="89">
                  <c:v>4.5691349116808701E-2</c:v>
                </c:pt>
                <c:pt idx="90">
                  <c:v>4.6558182204213025E-2</c:v>
                </c:pt>
                <c:pt idx="91">
                  <c:v>4.7432285860300044E-2</c:v>
                </c:pt>
                <c:pt idx="92">
                  <c:v>4.8313654477500745E-2</c:v>
                </c:pt>
                <c:pt idx="93">
                  <c:v>4.9202283253506493E-2</c:v>
                </c:pt>
                <c:pt idx="94">
                  <c:v>5.0098168200518663E-2</c:v>
                </c:pt>
                <c:pt idx="95">
                  <c:v>5.1001306154163706E-2</c:v>
                </c:pt>
                <c:pt idx="96">
                  <c:v>5.1911694782057927E-2</c:v>
                </c:pt>
                <c:pt idx="97">
                  <c:v>5.282933259200754E-2</c:v>
                </c:pt>
                <c:pt idx="98">
                  <c:v>5.3754218939828589E-2</c:v>
                </c:pt>
                <c:pt idx="99">
                  <c:v>5.4686354036770204E-2</c:v>
                </c:pt>
                <c:pt idx="100">
                  <c:v>5.5625738956528489E-2</c:v>
                </c:pt>
                <c:pt idx="101">
                  <c:v>5.6572375641835621E-2</c:v>
                </c:pt>
                <c:pt idx="102">
                  <c:v>5.7526266910610156E-2</c:v>
                </c:pt>
                <c:pt idx="103">
                  <c:v>5.8487416461655083E-2</c:v>
                </c:pt>
                <c:pt idx="104">
                  <c:v>5.9455828879889844E-2</c:v>
                </c:pt>
                <c:pt idx="105">
                  <c:v>6.0431509641104317E-2</c:v>
                </c:pt>
                <c:pt idx="106">
                  <c:v>6.1414465116222061E-2</c:v>
                </c:pt>
                <c:pt idx="107">
                  <c:v>6.2404702575060596E-2</c:v>
                </c:pt>
                <c:pt idx="108">
                  <c:v>6.3402230189578773E-2</c:v>
                </c:pt>
                <c:pt idx="109">
                  <c:v>6.440705703659827E-2</c:v>
                </c:pt>
                <c:pt idx="110">
                  <c:v>6.5419193099992487E-2</c:v>
                </c:pt>
                <c:pt idx="111">
                  <c:v>6.6438649272329647E-2</c:v>
                </c:pt>
                <c:pt idx="112">
                  <c:v>6.7465437355965427E-2</c:v>
                </c:pt>
                <c:pt idx="113">
                  <c:v>6.8499570063573267E-2</c:v>
                </c:pt>
                <c:pt idx="114">
                  <c:v>6.9541061018108169E-2</c:v>
                </c:pt>
                <c:pt idx="115">
                  <c:v>7.0589924752195665E-2</c:v>
                </c:pt>
                <c:pt idx="116">
                  <c:v>7.1646176706941414E-2</c:v>
                </c:pt>
                <c:pt idx="117">
                  <c:v>7.270983323015541E-2</c:v>
                </c:pt>
                <c:pt idx="118">
                  <c:v>7.3780911573987751E-2</c:v>
                </c:pt>
                <c:pt idx="119">
                  <c:v>7.4859429891972737E-2</c:v>
                </c:pt>
                <c:pt idx="120">
                  <c:v>7.5945407235478102E-2</c:v>
                </c:pt>
                <c:pt idx="121">
                  <c:v>7.7038863549558759E-2</c:v>
                </c:pt>
                <c:pt idx="122">
                  <c:v>7.8139819668214178E-2</c:v>
                </c:pt>
                <c:pt idx="123">
                  <c:v>7.9248297309050392E-2</c:v>
                </c:pt>
                <c:pt idx="124">
                  <c:v>8.0364319067347048E-2</c:v>
                </c:pt>
                <c:pt idx="125">
                  <c:v>8.1487908409532114E-2</c:v>
                </c:pt>
                <c:pt idx="126">
                  <c:v>8.2619089666067527E-2</c:v>
                </c:pt>
                <c:pt idx="127">
                  <c:v>8.3757888023750227E-2</c:v>
                </c:pt>
                <c:pt idx="128">
                  <c:v>8.4904329517432472E-2</c:v>
                </c:pt>
                <c:pt idx="129">
                  <c:v>8.6058441021168927E-2</c:v>
                </c:pt>
                <c:pt idx="130">
                  <c:v>8.7220250238796135E-2</c:v>
                </c:pt>
                <c:pt idx="131">
                  <c:v>8.8389785693952838E-2</c:v>
                </c:pt>
                <c:pt idx="132">
                  <c:v>8.9567076719549513E-2</c:v>
                </c:pt>
                <c:pt idx="133">
                  <c:v>9.0752153446697792E-2</c:v>
                </c:pt>
                <c:pt idx="134">
                  <c:v>9.1945046793108207E-2</c:v>
                </c:pt>
                <c:pt idx="135">
                  <c:v>9.3145788450969783E-2</c:v>
                </c:pt>
                <c:pt idx="136">
                  <c:v>9.4354410874322253E-2</c:v>
                </c:pt>
                <c:pt idx="137">
                  <c:v>9.5570947265934264E-2</c:v>
                </c:pt>
                <c:pt idx="138">
                  <c:v>9.6795431563702156E-2</c:v>
                </c:pt>
                <c:pt idx="139">
                  <c:v>9.8027898426581939E-2</c:v>
                </c:pt>
                <c:pt idx="140">
                  <c:v>9.9268383220072226E-2</c:v>
                </c:pt>
                <c:pt idx="141">
                  <c:v>0.1005169220012619</c:v>
                </c:pt>
                <c:pt idx="142">
                  <c:v>0.10177355150346046</c:v>
                </c:pt>
                <c:pt idx="143">
                  <c:v>0.10303830912042755</c:v>
                </c:pt>
                <c:pt idx="144">
                  <c:v>0.10431123289022066</c:v>
                </c:pt>
                <c:pt idx="145">
                  <c:v>0.10559236147867757</c:v>
                </c:pt>
                <c:pt idx="146">
                  <c:v>0.10688173416255368</c:v>
                </c:pt>
                <c:pt idx="147">
                  <c:v>0.10817939081233405</c:v>
                </c:pt>
                <c:pt idx="148">
                  <c:v>0.1094853718747375</c:v>
                </c:pt>
                <c:pt idx="149">
                  <c:v>0.11079971835493618</c:v>
                </c:pt>
                <c:pt idx="150">
                  <c:v>0.11212247179850811</c:v>
                </c:pt>
                <c:pt idx="151">
                  <c:v>0.11345367427314496</c:v>
                </c:pt>
                <c:pt idx="152">
                  <c:v>0.11479336835013527</c:v>
                </c:pt>
                <c:pt idx="153">
                  <c:v>0.11614159708564488</c:v>
                </c:pt>
                <c:pt idx="154">
                  <c:v>0.11749840400181455</c:v>
                </c:pt>
                <c:pt idx="155">
                  <c:v>0.11886383306769703</c:v>
                </c:pt>
                <c:pt idx="156">
                  <c:v>0.12023792868005399</c:v>
                </c:pt>
                <c:pt idx="157">
                  <c:v>0.12162073564403458</c:v>
                </c:pt>
                <c:pt idx="158">
                  <c:v>0.12301229915375583</c:v>
                </c:pt>
                <c:pt idx="159">
                  <c:v>0.12441266477280712</c:v>
                </c:pt>
                <c:pt idx="160">
                  <c:v>0.12582187841469689</c:v>
                </c:pt>
                <c:pt idx="161">
                  <c:v>0.12723998632326511</c:v>
                </c:pt>
                <c:pt idx="162">
                  <c:v>0.128667035053079</c:v>
                </c:pt>
                <c:pt idx="163">
                  <c:v>0.13010307144983194</c:v>
                </c:pt>
                <c:pt idx="164">
                  <c:v>0.1315481426307672</c:v>
                </c:pt>
                <c:pt idx="165">
                  <c:v>0.13300229596514071</c:v>
                </c:pt>
                <c:pt idx="166">
                  <c:v>0.13446557905474646</c:v>
                </c:pt>
                <c:pt idx="167">
                  <c:v>0.1359380397145169</c:v>
                </c:pt>
                <c:pt idx="168">
                  <c:v>0.13741972595321925</c:v>
                </c:pt>
                <c:pt idx="169">
                  <c:v>0.13891068595426151</c:v>
                </c:pt>
                <c:pt idx="170">
                  <c:v>0.14041096805662484</c:v>
                </c:pt>
                <c:pt idx="171">
                  <c:v>0.14192062073593711</c:v>
                </c:pt>
                <c:pt idx="172">
                  <c:v>0.14343969258570083</c:v>
                </c:pt>
                <c:pt idx="173">
                  <c:v>0.14496823229868852</c:v>
                </c:pt>
                <c:pt idx="174">
                  <c:v>0.14650628864851833</c:v>
                </c:pt>
                <c:pt idx="175">
                  <c:v>0.14805391047142111</c:v>
                </c:pt>
                <c:pt idx="176">
                  <c:v>0.14961114664820743</c:v>
                </c:pt>
                <c:pt idx="177">
                  <c:v>0.15117804608644628</c:v>
                </c:pt>
                <c:pt idx="178">
                  <c:v>0.15275465770286079</c:v>
                </c:pt>
                <c:pt idx="179">
                  <c:v>0.1543410304059504</c:v>
                </c:pt>
                <c:pt idx="180">
                  <c:v>0.15593721307884326</c:v>
                </c:pt>
                <c:pt idx="181">
                  <c:v>0.15754325456238472</c:v>
                </c:pt>
                <c:pt idx="182">
                  <c:v>0.159159203638465</c:v>
                </c:pt>
                <c:pt idx="183">
                  <c:v>0.16078510901358764</c:v>
                </c:pt>
                <c:pt idx="184">
                  <c:v>0.16242101930268019</c:v>
                </c:pt>
                <c:pt idx="185">
                  <c:v>0.16406698301314759</c:v>
                </c:pt>
                <c:pt idx="186">
                  <c:v>0.16572304852916386</c:v>
                </c:pt>
                <c:pt idx="187">
                  <c:v>0.16738926409620239</c:v>
                </c:pt>
                <c:pt idx="188">
                  <c:v>0.16906567780579745</c:v>
                </c:pt>
                <c:pt idx="189">
                  <c:v>0.17075233758053313</c:v>
                </c:pt>
                <c:pt idx="190">
                  <c:v>0.17244929115925109</c:v>
                </c:pt>
                <c:pt idx="191">
                  <c:v>0.17415658608246909</c:v>
                </c:pt>
                <c:pt idx="192">
                  <c:v>0.17587426967799955</c:v>
                </c:pt>
                <c:pt idx="193">
                  <c:v>0.17760238904675768</c:v>
                </c:pt>
                <c:pt idx="194">
                  <c:v>0.17934099104874368</c:v>
                </c:pt>
                <c:pt idx="195">
                  <c:v>0.18109012228918686</c:v>
                </c:pt>
                <c:pt idx="196">
                  <c:v>0.18284982910483363</c:v>
                </c:pt>
                <c:pt idx="197">
                  <c:v>0.18462015755036212</c:v>
                </c:pt>
                <c:pt idx="198">
                  <c:v>0.18640115338490412</c:v>
                </c:pt>
                <c:pt idx="199">
                  <c:v>0.18819286205865265</c:v>
                </c:pt>
                <c:pt idx="200">
                  <c:v>0.1899953286995342</c:v>
                </c:pt>
                <c:pt idx="201">
                  <c:v>0.19180859809991799</c:v>
                </c:pt>
                <c:pt idx="202">
                  <c:v>0.19363271470334112</c:v>
                </c:pt>
                <c:pt idx="203">
                  <c:v>0.1954677225912175</c:v>
                </c:pt>
                <c:pt idx="204">
                  <c:v>0.19731366546950324</c:v>
                </c:pt>
                <c:pt idx="205">
                  <c:v>0.19917058665528908</c:v>
                </c:pt>
                <c:pt idx="206">
                  <c:v>0.20103852906328307</c:v>
                </c:pt>
                <c:pt idx="207">
                  <c:v>0.20291753519215433</c:v>
                </c:pt>
                <c:pt idx="208">
                  <c:v>0.20480764711069716</c:v>
                </c:pt>
                <c:pt idx="209">
                  <c:v>0.2067089064437802</c:v>
                </c:pt>
                <c:pt idx="210">
                  <c:v>0.2086213543580413</c:v>
                </c:pt>
                <c:pt idx="211">
                  <c:v>0.21054503154728418</c:v>
                </c:pt>
                <c:pt idx="212">
                  <c:v>0.21247997821753775</c:v>
                </c:pt>
                <c:pt idx="213">
                  <c:v>0.21442623407172953</c:v>
                </c:pt>
                <c:pt idx="214">
                  <c:v>0.21638287979477305</c:v>
                </c:pt>
                <c:pt idx="215">
                  <c:v>0.21834749237418924</c:v>
                </c:pt>
                <c:pt idx="216">
                  <c:v>0.22031993382499504</c:v>
                </c:pt>
                <c:pt idx="217">
                  <c:v>0.2223001850719912</c:v>
                </c:pt>
                <c:pt idx="218">
                  <c:v>0.22428822695577671</c:v>
                </c:pt>
                <c:pt idx="219">
                  <c:v>0.22628404023279758</c:v>
                </c:pt>
                <c:pt idx="220">
                  <c:v>0.22828760557539726</c:v>
                </c:pt>
                <c:pt idx="221">
                  <c:v>0.23029890357186927</c:v>
                </c:pt>
                <c:pt idx="222">
                  <c:v>0.23231791472651137</c:v>
                </c:pt>
                <c:pt idx="223">
                  <c:v>0.23434461945968188</c:v>
                </c:pt>
                <c:pt idx="224">
                  <c:v>0.23637899810785684</c:v>
                </c:pt>
                <c:pt idx="225">
                  <c:v>0.23842103092369063</c:v>
                </c:pt>
                <c:pt idx="226">
                  <c:v>0.24047069807607677</c:v>
                </c:pt>
                <c:pt idx="227">
                  <c:v>0.24252797965021219</c:v>
                </c:pt>
                <c:pt idx="228">
                  <c:v>0.24459285564766234</c:v>
                </c:pt>
                <c:pt idx="229">
                  <c:v>0.24666530598642913</c:v>
                </c:pt>
                <c:pt idx="230">
                  <c:v>0.24874531050102044</c:v>
                </c:pt>
                <c:pt idx="231">
                  <c:v>0.25083284894252167</c:v>
                </c:pt>
                <c:pt idx="232">
                  <c:v>0.25292790097866957</c:v>
                </c:pt>
                <c:pt idx="233">
                  <c:v>0.25503044619392823</c:v>
                </c:pt>
                <c:pt idx="234">
                  <c:v>0.25714046408956714</c:v>
                </c:pt>
                <c:pt idx="235">
                  <c:v>0.25925793408374148</c:v>
                </c:pt>
                <c:pt idx="236">
                  <c:v>0.26138283551157421</c:v>
                </c:pt>
                <c:pt idx="237">
                  <c:v>0.26351514762524125</c:v>
                </c:pt>
                <c:pt idx="238">
                  <c:v>0.26565484959405788</c:v>
                </c:pt>
                <c:pt idx="239">
                  <c:v>0.2678019205045688</c:v>
                </c:pt>
                <c:pt idx="240">
                  <c:v>0.26995633936063884</c:v>
                </c:pt>
                <c:pt idx="241">
                  <c:v>0.27211808508354729</c:v>
                </c:pt>
                <c:pt idx="242">
                  <c:v>0.27428713651208397</c:v>
                </c:pt>
                <c:pt idx="243">
                  <c:v>0.27646347240264818</c:v>
                </c:pt>
                <c:pt idx="244">
                  <c:v>0.27864707142934941</c:v>
                </c:pt>
                <c:pt idx="245">
                  <c:v>0.2808379121841113</c:v>
                </c:pt>
                <c:pt idx="246">
                  <c:v>0.28303597317677687</c:v>
                </c:pt>
                <c:pt idx="247">
                  <c:v>0.28524123283521802</c:v>
                </c:pt>
                <c:pt idx="248">
                  <c:v>0.28745366950544532</c:v>
                </c:pt>
                <c:pt idx="249">
                  <c:v>0.28967326145172262</c:v>
                </c:pt>
                <c:pt idx="250">
                  <c:v>0.29189998685668223</c:v>
                </c:pt>
                <c:pt idx="251">
                  <c:v>0.29413382382144376</c:v>
                </c:pt>
                <c:pt idx="252">
                  <c:v>0.29637475036573568</c:v>
                </c:pt>
                <c:pt idx="253">
                  <c:v>0.29862274442801839</c:v>
                </c:pt>
                <c:pt idx="254">
                  <c:v>0.30087778386561143</c:v>
                </c:pt>
                <c:pt idx="255">
                  <c:v>0.30313984645482173</c:v>
                </c:pt>
                <c:pt idx="256">
                  <c:v>0.30540890989107611</c:v>
                </c:pt>
                <c:pt idx="257">
                  <c:v>0.30768495178905503</c:v>
                </c:pt>
                <c:pt idx="258">
                  <c:v>0.30996794968282959</c:v>
                </c:pt>
                <c:pt idx="259">
                  <c:v>0.31225788102600188</c:v>
                </c:pt>
                <c:pt idx="260">
                  <c:v>0.31455472319184702</c:v>
                </c:pt>
                <c:pt idx="261">
                  <c:v>0.31685845347345837</c:v>
                </c:pt>
                <c:pt idx="262">
                  <c:v>0.31916904908389582</c:v>
                </c:pt>
                <c:pt idx="263">
                  <c:v>0.32148648715633521</c:v>
                </c:pt>
                <c:pt idx="264">
                  <c:v>0.32381074474422383</c:v>
                </c:pt>
                <c:pt idx="265">
                  <c:v>0.32614179882143501</c:v>
                </c:pt>
                <c:pt idx="266">
                  <c:v>0.32847962628242766</c:v>
                </c:pt>
                <c:pt idx="267">
                  <c:v>0.33082420394240797</c:v>
                </c:pt>
                <c:pt idx="268">
                  <c:v>0.33317550853749417</c:v>
                </c:pt>
                <c:pt idx="269">
                  <c:v>0.3355335167248833</c:v>
                </c:pt>
                <c:pt idx="270">
                  <c:v>0.33789820508302232</c:v>
                </c:pt>
                <c:pt idx="271">
                  <c:v>0.34026955011178045</c:v>
                </c:pt>
                <c:pt idx="272">
                  <c:v>0.34264752823262512</c:v>
                </c:pt>
                <c:pt idx="273">
                  <c:v>0.34503211578880039</c:v>
                </c:pt>
                <c:pt idx="274">
                  <c:v>0.3474232890455089</c:v>
                </c:pt>
                <c:pt idx="275">
                  <c:v>0.3498210241900957</c:v>
                </c:pt>
                <c:pt idx="276">
                  <c:v>0.35222529733223573</c:v>
                </c:pt>
                <c:pt idx="277">
                  <c:v>0.35463608450412332</c:v>
                </c:pt>
                <c:pt idx="278">
                  <c:v>0.35705336166066554</c:v>
                </c:pt>
                <c:pt idx="279">
                  <c:v>0.35947710467967686</c:v>
                </c:pt>
                <c:pt idx="280">
                  <c:v>0.36190728936207867</c:v>
                </c:pt>
                <c:pt idx="281">
                  <c:v>0.36434389143209972</c:v>
                </c:pt>
                <c:pt idx="282">
                  <c:v>0.36678688653748043</c:v>
                </c:pt>
                <c:pt idx="283">
                  <c:v>0.36923625024967988</c:v>
                </c:pt>
                <c:pt idx="284">
                  <c:v>0.371691958064085</c:v>
                </c:pt>
                <c:pt idx="285">
                  <c:v>0.37415398540022365</c:v>
                </c:pt>
                <c:pt idx="286">
                  <c:v>0.37662230760197946</c:v>
                </c:pt>
                <c:pt idx="287">
                  <c:v>0.37909689993781004</c:v>
                </c:pt>
                <c:pt idx="288">
                  <c:v>0.38157773760096786</c:v>
                </c:pt>
                <c:pt idx="289">
                  <c:v>0.38406479570972363</c:v>
                </c:pt>
                <c:pt idx="290">
                  <c:v>0.38655804930759263</c:v>
                </c:pt>
                <c:pt idx="291">
                  <c:v>0.38905747336356405</c:v>
                </c:pt>
                <c:pt idx="292">
                  <c:v>0.39156304277233278</c:v>
                </c:pt>
                <c:pt idx="293">
                  <c:v>0.3940747323545335</c:v>
                </c:pt>
                <c:pt idx="294">
                  <c:v>0.39659251685697877</c:v>
                </c:pt>
                <c:pt idx="295">
                  <c:v>0.3991163709528977</c:v>
                </c:pt>
                <c:pt idx="296">
                  <c:v>0.40164626924217972</c:v>
                </c:pt>
                <c:pt idx="297">
                  <c:v>0.40418218625161961</c:v>
                </c:pt>
                <c:pt idx="298">
                  <c:v>0.40672409643516477</c:v>
                </c:pt>
                <c:pt idx="299">
                  <c:v>0.40927197417416672</c:v>
                </c:pt>
                <c:pt idx="300">
                  <c:v>0.4118257937776329</c:v>
                </c:pt>
                <c:pt idx="301">
                  <c:v>0.41438552948248397</c:v>
                </c:pt>
                <c:pt idx="302">
                  <c:v>0.41695115545381084</c:v>
                </c:pt>
                <c:pt idx="303">
                  <c:v>0.41952264578513604</c:v>
                </c:pt>
                <c:pt idx="304">
                  <c:v>0.4220999744986772</c:v>
                </c:pt>
                <c:pt idx="305">
                  <c:v>0.42468311554561217</c:v>
                </c:pt>
                <c:pt idx="306">
                  <c:v>0.42727204280634806</c:v>
                </c:pt>
                <c:pt idx="307">
                  <c:v>0.42986673009079196</c:v>
                </c:pt>
                <c:pt idx="308">
                  <c:v>0.43246715113862338</c:v>
                </c:pt>
                <c:pt idx="309">
                  <c:v>0.4350732796195711</c:v>
                </c:pt>
                <c:pt idx="310">
                  <c:v>0.43768508913368953</c:v>
                </c:pt>
                <c:pt idx="311">
                  <c:v>0.44030255321164041</c:v>
                </c:pt>
                <c:pt idx="312">
                  <c:v>0.44292564531497475</c:v>
                </c:pt>
                <c:pt idx="313">
                  <c:v>0.44555433883641782</c:v>
                </c:pt>
                <c:pt idx="314">
                  <c:v>0.44818860710015634</c:v>
                </c:pt>
                <c:pt idx="315">
                  <c:v>0.45082842336212769</c:v>
                </c:pt>
                <c:pt idx="316">
                  <c:v>0.45347376081031165</c:v>
                </c:pt>
                <c:pt idx="317">
                  <c:v>0.45612459256502413</c:v>
                </c:pt>
                <c:pt idx="318">
                  <c:v>0.45878089167921321</c:v>
                </c:pt>
                <c:pt idx="319">
                  <c:v>0.46144263113875644</c:v>
                </c:pt>
                <c:pt idx="320">
                  <c:v>0.46410978386276197</c:v>
                </c:pt>
                <c:pt idx="321">
                  <c:v>0.46678232270386921</c:v>
                </c:pt>
                <c:pt idx="322">
                  <c:v>0.46946022044855418</c:v>
                </c:pt>
                <c:pt idx="323">
                  <c:v>0.47214344981743461</c:v>
                </c:pt>
                <c:pt idx="324">
                  <c:v>0.4748319834655782</c:v>
                </c:pt>
                <c:pt idx="325">
                  <c:v>0.47752579398281275</c:v>
                </c:pt>
                <c:pt idx="326">
                  <c:v>0.48022485389403702</c:v>
                </c:pt>
                <c:pt idx="327">
                  <c:v>0.48292913565953516</c:v>
                </c:pt>
                <c:pt idx="328">
                  <c:v>0.48563861167529071</c:v>
                </c:pt>
                <c:pt idx="329">
                  <c:v>0.488353254273305</c:v>
                </c:pt>
                <c:pt idx="330">
                  <c:v>0.49107303572191446</c:v>
                </c:pt>
                <c:pt idx="331">
                  <c:v>0.49379792822611229</c:v>
                </c:pt>
                <c:pt idx="332">
                  <c:v>0.49652790392786883</c:v>
                </c:pt>
                <c:pt idx="333">
                  <c:v>0.49926293490645607</c:v>
                </c:pt>
                <c:pt idx="334">
                  <c:v>0.50200299317877262</c:v>
                </c:pt>
                <c:pt idx="335">
                  <c:v>0.50474805069966966</c:v>
                </c:pt>
                <c:pt idx="336">
                  <c:v>0.50749807936227953</c:v>
                </c:pt>
                <c:pt idx="337">
                  <c:v>0.51025305099834417</c:v>
                </c:pt>
                <c:pt idx="338">
                  <c:v>0.51301293737854703</c:v>
                </c:pt>
                <c:pt idx="339">
                  <c:v>0.51577771021284335</c:v>
                </c:pt>
                <c:pt idx="340">
                  <c:v>0.51854734115079526</c:v>
                </c:pt>
                <c:pt idx="341">
                  <c:v>0.52132180178190501</c:v>
                </c:pt>
                <c:pt idx="342">
                  <c:v>0.52410106363595133</c:v>
                </c:pt>
                <c:pt idx="343">
                  <c:v>0.52688509818332541</c:v>
                </c:pt>
                <c:pt idx="344">
                  <c:v>0.52967387683536937</c:v>
                </c:pt>
                <c:pt idx="345">
                  <c:v>0.53246737094471541</c:v>
                </c:pt>
                <c:pt idx="346">
                  <c:v>0.53526555180562485</c:v>
                </c:pt>
                <c:pt idx="347">
                  <c:v>0.53806839065432988</c:v>
                </c:pt>
                <c:pt idx="348">
                  <c:v>0.54087585866937438</c:v>
                </c:pt>
                <c:pt idx="349">
                  <c:v>0.54368792697195745</c:v>
                </c:pt>
                <c:pt idx="350">
                  <c:v>0.54650456662627567</c:v>
                </c:pt>
                <c:pt idx="351">
                  <c:v>0.54932574863986905</c:v>
                </c:pt>
                <c:pt idx="352">
                  <c:v>0.55215144396396398</c:v>
                </c:pt>
                <c:pt idx="353">
                  <c:v>0.55498162349381996</c:v>
                </c:pt>
                <c:pt idx="354">
                  <c:v>0.5578162580690752</c:v>
                </c:pt>
                <c:pt idx="355">
                  <c:v>0.56065531847409322</c:v>
                </c:pt>
                <c:pt idx="356">
                  <c:v>0.56349877543831151</c:v>
                </c:pt>
                <c:pt idx="357">
                  <c:v>0.56634659963658662</c:v>
                </c:pt>
                <c:pt idx="358">
                  <c:v>0.56919876168954542</c:v>
                </c:pt>
                <c:pt idx="359">
                  <c:v>0.57205523216393028</c:v>
                </c:pt>
                <c:pt idx="360">
                  <c:v>0.57491598157295121</c:v>
                </c:pt>
                <c:pt idx="361">
                  <c:v>0.57778098037663239</c:v>
                </c:pt>
                <c:pt idx="362">
                  <c:v>0.5806501989821633</c:v>
                </c:pt>
                <c:pt idx="363">
                  <c:v>0.58352360774424727</c:v>
                </c:pt>
                <c:pt idx="364">
                  <c:v>0.58640117696545069</c:v>
                </c:pt>
                <c:pt idx="365">
                  <c:v>0.5892828768965549</c:v>
                </c:pt>
                <c:pt idx="366">
                  <c:v>0.59216867773690374</c:v>
                </c:pt>
                <c:pt idx="367">
                  <c:v>0.59505854963475469</c:v>
                </c:pt>
                <c:pt idx="368">
                  <c:v>0.59795246268762781</c:v>
                </c:pt>
                <c:pt idx="369">
                  <c:v>0.60085038694265669</c:v>
                </c:pt>
                <c:pt idx="370">
                  <c:v>0.60375229239693584</c:v>
                </c:pt>
                <c:pt idx="371">
                  <c:v>0.60665814899787263</c:v>
                </c:pt>
                <c:pt idx="372">
                  <c:v>0.60956792664353432</c:v>
                </c:pt>
                <c:pt idx="373">
                  <c:v>0.61248159518299805</c:v>
                </c:pt>
                <c:pt idx="374">
                  <c:v>0.61539912441669897</c:v>
                </c:pt>
                <c:pt idx="375">
                  <c:v>0.61832048409677776</c:v>
                </c:pt>
                <c:pt idx="376">
                  <c:v>0.62124564392742998</c:v>
                </c:pt>
                <c:pt idx="377">
                  <c:v>0.62417457356525141</c:v>
                </c:pt>
                <c:pt idx="378">
                  <c:v>0.6271072426195865</c:v>
                </c:pt>
                <c:pt idx="379">
                  <c:v>0.63004362065287312</c:v>
                </c:pt>
                <c:pt idx="380">
                  <c:v>0.63298367718098891</c:v>
                </c:pt>
                <c:pt idx="381">
                  <c:v>0.63592738167359641</c:v>
                </c:pt>
                <c:pt idx="382">
                  <c:v>0.63887470355448739</c:v>
                </c:pt>
                <c:pt idx="383">
                  <c:v>0.64182561220192558</c:v>
                </c:pt>
                <c:pt idx="384">
                  <c:v>0.64478007694899075</c:v>
                </c:pt>
                <c:pt idx="385">
                  <c:v>0.64773806708391957</c:v>
                </c:pt>
                <c:pt idx="386">
                  <c:v>0.65069955185044792</c:v>
                </c:pt>
                <c:pt idx="387">
                  <c:v>0.65366450044815028</c:v>
                </c:pt>
                <c:pt idx="388">
                  <c:v>0.65663288203277992</c:v>
                </c:pt>
                <c:pt idx="389">
                  <c:v>0.65960466571660692</c:v>
                </c:pt>
                <c:pt idx="390">
                  <c:v>0.66257982056875508</c:v>
                </c:pt>
                <c:pt idx="391">
                  <c:v>0.66555831561554002</c:v>
                </c:pt>
                <c:pt idx="392">
                  <c:v>0.66854011984080286</c:v>
                </c:pt>
                <c:pt idx="393">
                  <c:v>0.67152520218624556</c:v>
                </c:pt>
                <c:pt idx="394">
                  <c:v>0.67451353155176319</c:v>
                </c:pt>
                <c:pt idx="395">
                  <c:v>0.67750507679577765</c:v>
                </c:pt>
                <c:pt idx="396">
                  <c:v>0.68049980673556587</c:v>
                </c:pt>
                <c:pt idx="397">
                  <c:v>0.68349769014759154</c:v>
                </c:pt>
                <c:pt idx="398">
                  <c:v>0.68649869576783273</c:v>
                </c:pt>
                <c:pt idx="399">
                  <c:v>0.68950279229210842</c:v>
                </c:pt>
                <c:pt idx="400">
                  <c:v>0.69250994837640534</c:v>
                </c:pt>
                <c:pt idx="401">
                  <c:v>0.69552013263720047</c:v>
                </c:pt>
                <c:pt idx="402">
                  <c:v>0.69853331365178617</c:v>
                </c:pt>
                <c:pt idx="403">
                  <c:v>0.7015494599585903</c:v>
                </c:pt>
                <c:pt idx="404">
                  <c:v>0.70456854005749714</c:v>
                </c:pt>
                <c:pt idx="405">
                  <c:v>0.70759052241016485</c:v>
                </c:pt>
                <c:pt idx="406">
                  <c:v>0.71061537544034481</c:v>
                </c:pt>
                <c:pt idx="407">
                  <c:v>0.71364306753419515</c:v>
                </c:pt>
                <c:pt idx="408">
                  <c:v>0.71667356704059593</c:v>
                </c:pt>
                <c:pt idx="409">
                  <c:v>0.7197068422714622</c:v>
                </c:pt>
                <c:pt idx="410">
                  <c:v>0.72274286150205413</c:v>
                </c:pt>
                <c:pt idx="411">
                  <c:v>0.72578159297128741</c:v>
                </c:pt>
                <c:pt idx="412">
                  <c:v>0.72882300488204022</c:v>
                </c:pt>
                <c:pt idx="413">
                  <c:v>0.73186706540146085</c:v>
                </c:pt>
                <c:pt idx="414">
                  <c:v>0.7349137426612703</c:v>
                </c:pt>
                <c:pt idx="415">
                  <c:v>0.73796300475806809</c:v>
                </c:pt>
                <c:pt idx="416">
                  <c:v>0.74101481975363082</c:v>
                </c:pt>
                <c:pt idx="417">
                  <c:v>0.74406915567521348</c:v>
                </c:pt>
                <c:pt idx="418">
                  <c:v>0.74712598051584744</c:v>
                </c:pt>
                <c:pt idx="419">
                  <c:v>0.750185262234636</c:v>
                </c:pt>
                <c:pt idx="420">
                  <c:v>0.75324696875704988</c:v>
                </c:pt>
                <c:pt idx="421">
                  <c:v>0.75631106797521885</c:v>
                </c:pt>
                <c:pt idx="422">
                  <c:v>0.75937752774822476</c:v>
                </c:pt>
                <c:pt idx="423">
                  <c:v>0.7624463159023892</c:v>
                </c:pt>
                <c:pt idx="424">
                  <c:v>0.76551740023156289</c:v>
                </c:pt>
                <c:pt idx="425">
                  <c:v>0.76859074849741016</c:v>
                </c:pt>
                <c:pt idx="426">
                  <c:v>0.77166632842969485</c:v>
                </c:pt>
                <c:pt idx="427">
                  <c:v>0.77474410772656155</c:v>
                </c:pt>
                <c:pt idx="428">
                  <c:v>0.77782405405481692</c:v>
                </c:pt>
                <c:pt idx="429">
                  <c:v>0.78090613505020978</c:v>
                </c:pt>
                <c:pt idx="430">
                  <c:v>0.78399031831770671</c:v>
                </c:pt>
                <c:pt idx="431">
                  <c:v>0.78707657143177001</c:v>
                </c:pt>
                <c:pt idx="432">
                  <c:v>0.79016486193662927</c:v>
                </c:pt>
                <c:pt idx="433">
                  <c:v>0.79325515734655616</c:v>
                </c:pt>
                <c:pt idx="434">
                  <c:v>0.7963474251461331</c:v>
                </c:pt>
                <c:pt idx="435">
                  <c:v>0.79944163279052394</c:v>
                </c:pt>
                <c:pt idx="436">
                  <c:v>0.80253774770573949</c:v>
                </c:pt>
                <c:pt idx="437">
                  <c:v>0.80563573728890525</c:v>
                </c:pt>
                <c:pt idx="438">
                  <c:v>0.80873556890852349</c:v>
                </c:pt>
                <c:pt idx="439">
                  <c:v>0.81183720990473651</c:v>
                </c:pt>
                <c:pt idx="440">
                  <c:v>0.81494062758958852</c:v>
                </c:pt>
                <c:pt idx="441">
                  <c:v>0.81804578924728277</c:v>
                </c:pt>
                <c:pt idx="442">
                  <c:v>0.82115266213444116</c:v>
                </c:pt>
                <c:pt idx="443">
                  <c:v>0.82426121348035908</c:v>
                </c:pt>
                <c:pt idx="444">
                  <c:v>0.82737141048726137</c:v>
                </c:pt>
                <c:pt idx="445">
                  <c:v>0.83048322033055333</c:v>
                </c:pt>
                <c:pt idx="446">
                  <c:v>0.83359661015907571</c:v>
                </c:pt>
                <c:pt idx="447">
                  <c:v>0.83671154709535112</c:v>
                </c:pt>
                <c:pt idx="448">
                  <c:v>0.83982799823583598</c:v>
                </c:pt>
                <c:pt idx="449">
                  <c:v>0.84294593065116663</c:v>
                </c:pt>
                <c:pt idx="450">
                  <c:v>0.84606531138640517</c:v>
                </c:pt>
                <c:pt idx="451">
                  <c:v>0.84918610746128542</c:v>
                </c:pt>
                <c:pt idx="452">
                  <c:v>0.85230828587045537</c:v>
                </c:pt>
                <c:pt idx="453">
                  <c:v>0.85543181358371956</c:v>
                </c:pt>
                <c:pt idx="454">
                  <c:v>0.85855665754628074</c:v>
                </c:pt>
                <c:pt idx="455">
                  <c:v>0.86168278467897996</c:v>
                </c:pt>
                <c:pt idx="456">
                  <c:v>0.8648101618785341</c:v>
                </c:pt>
                <c:pt idx="457">
                  <c:v>0.86793875601777504</c:v>
                </c:pt>
                <c:pt idx="458">
                  <c:v>0.8710685339458849</c:v>
                </c:pt>
                <c:pt idx="459">
                  <c:v>0.87419946248863323</c:v>
                </c:pt>
                <c:pt idx="460">
                  <c:v>0.87733150844861019</c:v>
                </c:pt>
                <c:pt idx="461">
                  <c:v>0.88046463860546109</c:v>
                </c:pt>
                <c:pt idx="462">
                  <c:v>0.88359881971611998</c:v>
                </c:pt>
                <c:pt idx="463">
                  <c:v>0.8867340185150393</c:v>
                </c:pt>
                <c:pt idx="464">
                  <c:v>0.88987020171442499</c:v>
                </c:pt>
                <c:pt idx="465">
                  <c:v>0.89300733600446347</c:v>
                </c:pt>
                <c:pt idx="466">
                  <c:v>0.89614538805355393</c:v>
                </c:pt>
                <c:pt idx="467">
                  <c:v>0.89928432450853624</c:v>
                </c:pt>
                <c:pt idx="468">
                  <c:v>0.90242411199492156</c:v>
                </c:pt>
                <c:pt idx="469">
                  <c:v>0.90556471711711806</c:v>
                </c:pt>
                <c:pt idx="470">
                  <c:v>0.90870610645866134</c:v>
                </c:pt>
                <c:pt idx="471">
                  <c:v>0.91184824658244046</c:v>
                </c:pt>
                <c:pt idx="472">
                  <c:v>0.91499110403092543</c:v>
                </c:pt>
                <c:pt idx="473">
                  <c:v>0.91813464532639433</c:v>
                </c:pt>
                <c:pt idx="474">
                  <c:v>0.92127883697115964</c:v>
                </c:pt>
                <c:pt idx="475">
                  <c:v>0.92442364544779554</c:v>
                </c:pt>
                <c:pt idx="476">
                  <c:v>0.92756903721936379</c:v>
                </c:pt>
                <c:pt idx="477">
                  <c:v>0.9307149787296406</c:v>
                </c:pt>
                <c:pt idx="478">
                  <c:v>0.93386143640334307</c:v>
                </c:pt>
                <c:pt idx="479">
                  <c:v>0.93700837664635639</c:v>
                </c:pt>
                <c:pt idx="480">
                  <c:v>0.94015576584595961</c:v>
                </c:pt>
                <c:pt idx="481">
                  <c:v>0.94330357037105472</c:v>
                </c:pt>
                <c:pt idx="482">
                  <c:v>0.94645175657239267</c:v>
                </c:pt>
                <c:pt idx="483">
                  <c:v>0.94960029078280195</c:v>
                </c:pt>
                <c:pt idx="484">
                  <c:v>0.952749139317417</c:v>
                </c:pt>
                <c:pt idx="485">
                  <c:v>0.95589826847390735</c:v>
                </c:pt>
                <c:pt idx="486">
                  <c:v>0.95904764453270785</c:v>
                </c:pt>
                <c:pt idx="487">
                  <c:v>0.96219723375724786</c:v>
                </c:pt>
                <c:pt idx="488">
                  <c:v>0.96534700239418403</c:v>
                </c:pt>
                <c:pt idx="489">
                  <c:v>0.96849691667363058</c:v>
                </c:pt>
                <c:pt idx="490">
                  <c:v>0.97164694280939434</c:v>
                </c:pt>
                <c:pt idx="491">
                  <c:v>0.97479704699920755</c:v>
                </c:pt>
                <c:pt idx="492">
                  <c:v>0.977947195424963</c:v>
                </c:pt>
                <c:pt idx="493">
                  <c:v>0.98109735425295186</c:v>
                </c:pt>
                <c:pt idx="494">
                  <c:v>0.98424748963409903</c:v>
                </c:pt>
                <c:pt idx="495">
                  <c:v>0.98739756770420517</c:v>
                </c:pt>
                <c:pt idx="496">
                  <c:v>0.9905475545841842</c:v>
                </c:pt>
                <c:pt idx="497">
                  <c:v>0.99369741638030762</c:v>
                </c:pt>
                <c:pt idx="498">
                  <c:v>0.99684711918444679</c:v>
                </c:pt>
                <c:pt idx="499">
                  <c:v>0.9999966290743193</c:v>
                </c:pt>
                <c:pt idx="500">
                  <c:v>1</c:v>
                </c:pt>
              </c:numCache>
            </c:numRef>
          </c:xVal>
          <c:yVal>
            <c:numRef>
              <c:f>Data2!$O$1:$O$501</c:f>
              <c:numCache>
                <c:formatCode>0.000000</c:formatCode>
                <c:ptCount val="501"/>
                <c:pt idx="0">
                  <c:v>0</c:v>
                </c:pt>
                <c:pt idx="1">
                  <c:v>-3.738068336273017E-4</c:v>
                </c:pt>
                <c:pt idx="2">
                  <c:v>-7.4358145108583491E-4</c:v>
                </c:pt>
                <c:pt idx="3">
                  <c:v>-1.1093358151452216E-3</c:v>
                </c:pt>
                <c:pt idx="4">
                  <c:v>-1.4710827621800884E-3</c:v>
                </c:pt>
                <c:pt idx="5">
                  <c:v>-1.8288359945786367E-3</c:v>
                </c:pt>
                <c:pt idx="6">
                  <c:v>-2.182610072938409E-3</c:v>
                </c:pt>
                <c:pt idx="7">
                  <c:v>-2.532420408017677E-3</c:v>
                </c:pt>
                <c:pt idx="8">
                  <c:v>-2.8782832524579735E-3</c:v>
                </c:pt>
                <c:pt idx="9">
                  <c:v>-3.2202156922781569E-3</c:v>
                </c:pt>
                <c:pt idx="10">
                  <c:v>-3.5582356381396707E-3</c:v>
                </c:pt>
                <c:pt idx="11">
                  <c:v>-3.8923618163868388E-3</c:v>
                </c:pt>
                <c:pt idx="12">
                  <c:v>-4.2226137598622652E-3</c:v>
                </c:pt>
                <c:pt idx="13">
                  <c:v>-4.5490117985008257E-3</c:v>
                </c:pt>
                <c:pt idx="14">
                  <c:v>-4.8715770497052896E-3</c:v>
                </c:pt>
                <c:pt idx="15">
                  <c:v>-5.1903314085040408E-3</c:v>
                </c:pt>
                <c:pt idx="16">
                  <c:v>-5.5052975374930762E-3</c:v>
                </c:pt>
                <c:pt idx="17">
                  <c:v>-5.8164988565692433E-3</c:v>
                </c:pt>
                <c:pt idx="18">
                  <c:v>-6.1239595324505186E-3</c:v>
                </c:pt>
                <c:pt idx="19">
                  <c:v>-6.4277044679934203E-3</c:v>
                </c:pt>
                <c:pt idx="20">
                  <c:v>-6.7277592913040293E-3</c:v>
                </c:pt>
                <c:pt idx="21">
                  <c:v>-7.024150344651368E-3</c:v>
                </c:pt>
                <c:pt idx="22">
                  <c:v>-7.3169046731825999E-3</c:v>
                </c:pt>
                <c:pt idx="23">
                  <c:v>-7.6060500134454293E-3</c:v>
                </c:pt>
                <c:pt idx="24">
                  <c:v>-7.8916147817201156E-3</c:v>
                </c:pt>
                <c:pt idx="25">
                  <c:v>-8.1736280621665242E-3</c:v>
                </c:pt>
                <c:pt idx="26">
                  <c:v>-8.4521195947876646E-3</c:v>
                </c:pt>
                <c:pt idx="27">
                  <c:v>-8.727119763216962E-3</c:v>
                </c:pt>
                <c:pt idx="28">
                  <c:v>-8.9986595823301554E-3</c:v>
                </c:pt>
                <c:pt idx="29">
                  <c:v>-9.2667706856886783E-3</c:v>
                </c:pt>
                <c:pt idx="30">
                  <c:v>-9.531485312818385E-3</c:v>
                </c:pt>
                <c:pt idx="31">
                  <c:v>-9.7928362963268928E-3</c:v>
                </c:pt>
                <c:pt idx="32">
                  <c:v>-1.0050857048867533E-2</c:v>
                </c:pt>
                <c:pt idx="33">
                  <c:v>-1.0305581549951773E-2</c:v>
                </c:pt>
                <c:pt idx="34">
                  <c:v>-1.0557044332616859E-2</c:v>
                </c:pt>
                <c:pt idx="35">
                  <c:v>-1.0805280469954047E-2</c:v>
                </c:pt>
                <c:pt idx="36">
                  <c:v>-1.105032556150288E-2</c:v>
                </c:pt>
                <c:pt idx="37">
                  <c:v>-1.129221571951654E-2</c:v>
                </c:pt>
                <c:pt idx="38">
                  <c:v>-1.1530987555104712E-2</c:v>
                </c:pt>
                <c:pt idx="39">
                  <c:v>-1.1766678164260093E-2</c:v>
                </c:pt>
                <c:pt idx="40">
                  <c:v>-1.1999325113773992E-2</c:v>
                </c:pt>
                <c:pt idx="41">
                  <c:v>-1.2228966427048016E-2</c:v>
                </c:pt>
                <c:pt idx="42">
                  <c:v>-1.2455640569807519E-2</c:v>
                </c:pt>
                <c:pt idx="43">
                  <c:v>-1.2679386435723925E-2</c:v>
                </c:pt>
                <c:pt idx="44">
                  <c:v>-1.290024333195261E-2</c:v>
                </c:pt>
                <c:pt idx="45">
                  <c:v>-1.3118250964592659E-2</c:v>
                </c:pt>
                <c:pt idx="46">
                  <c:v>-1.3333449424075746E-2</c:v>
                </c:pt>
                <c:pt idx="47">
                  <c:v>-1.3545879170490997E-2</c:v>
                </c:pt>
                <c:pt idx="48">
                  <c:v>-1.3755581018853477E-2</c:v>
                </c:pt>
                <c:pt idx="49">
                  <c:v>-1.3962596124322385E-2</c:v>
                </c:pt>
                <c:pt idx="50">
                  <c:v>-1.4166965967377687E-2</c:v>
                </c:pt>
                <c:pt idx="51">
                  <c:v>-1.4368732338961278E-2</c:v>
                </c:pt>
                <c:pt idx="52">
                  <c:v>-1.4567937325591054E-2</c:v>
                </c:pt>
                <c:pt idx="53">
                  <c:v>-1.4764623294454833E-2</c:v>
                </c:pt>
                <c:pt idx="54">
                  <c:v>-1.4958832878491667E-2</c:v>
                </c:pt>
                <c:pt idx="55">
                  <c:v>-1.5150608961468845E-2</c:v>
                </c:pt>
                <c:pt idx="56">
                  <c:v>-1.5339994663060951E-2</c:v>
                </c:pt>
                <c:pt idx="57">
                  <c:v>-1.5527033323939902E-2</c:v>
                </c:pt>
                <c:pt idx="58">
                  <c:v>-1.5711768490882443E-2</c:v>
                </c:pt>
                <c:pt idx="59">
                  <c:v>-1.5894243901903436E-2</c:v>
                </c:pt>
                <c:pt idx="60">
                  <c:v>-1.6074503471422266E-2</c:v>
                </c:pt>
                <c:pt idx="61">
                  <c:v>-1.625259127546962E-2</c:v>
                </c:pt>
                <c:pt idx="62">
                  <c:v>-1.642855153694249E-2</c:v>
                </c:pt>
                <c:pt idx="63">
                  <c:v>-1.6602428610914561E-2</c:v>
                </c:pt>
                <c:pt idx="64">
                  <c:v>-1.6774266970009027E-2</c:v>
                </c:pt>
                <c:pt idx="65">
                  <c:v>-1.6944111189841717E-2</c:v>
                </c:pt>
                <c:pt idx="66">
                  <c:v>-1.7112005934540493E-2</c:v>
                </c:pt>
                <c:pt idx="67">
                  <c:v>-1.7277995942348932E-2</c:v>
                </c:pt>
                <c:pt idx="68">
                  <c:v>-1.7442126011320166E-2</c:v>
                </c:pt>
                <c:pt idx="69">
                  <c:v>-1.7604440985107807E-2</c:v>
                </c:pt>
                <c:pt idx="70">
                  <c:v>-1.7764985738860473E-2</c:v>
                </c:pt>
                <c:pt idx="71">
                  <c:v>-1.7923805165225452E-2</c:v>
                </c:pt>
                <c:pt idx="72">
                  <c:v>-1.8080944160468175E-2</c:v>
                </c:pt>
                <c:pt idx="73">
                  <c:v>-1.8236447610712456E-2</c:v>
                </c:pt>
                <c:pt idx="74">
                  <c:v>-1.8390360378307442E-2</c:v>
                </c:pt>
                <c:pt idx="75">
                  <c:v>-1.8542727288325855E-2</c:v>
                </c:pt>
                <c:pt idx="76">
                  <c:v>-1.8693593115198602E-2</c:v>
                </c:pt>
                <c:pt idx="77">
                  <c:v>-1.8843002569490459E-2</c:v>
                </c:pt>
                <c:pt idx="78">
                  <c:v>-1.8991000284819998E-2</c:v>
                </c:pt>
                <c:pt idx="79">
                  <c:v>-1.9137630804928762E-2</c:v>
                </c:pt>
                <c:pt idx="80">
                  <c:v>-1.9282938570901947E-2</c:v>
                </c:pt>
                <c:pt idx="81">
                  <c:v>-1.9426967908544229E-2</c:v>
                </c:pt>
                <c:pt idx="82">
                  <c:v>-1.9569763015913011E-2</c:v>
                </c:pt>
                <c:pt idx="83">
                  <c:v>-1.9711367951011131E-2</c:v>
                </c:pt>
                <c:pt idx="84">
                  <c:v>-1.9851826619640914E-2</c:v>
                </c:pt>
                <c:pt idx="85">
                  <c:v>-1.9991182763420504E-2</c:v>
                </c:pt>
                <c:pt idx="86">
                  <c:v>-2.0129479947963509E-2</c:v>
                </c:pt>
                <c:pt idx="87">
                  <c:v>-2.0266761551221646E-2</c:v>
                </c:pt>
                <c:pt idx="88">
                  <c:v>-2.0403070751990715E-2</c:v>
                </c:pt>
                <c:pt idx="89">
                  <c:v>-2.0538450518578659E-2</c:v>
                </c:pt>
                <c:pt idx="90">
                  <c:v>-2.0672943597634327E-2</c:v>
                </c:pt>
                <c:pt idx="91">
                  <c:v>-2.0806592503135404E-2</c:v>
                </c:pt>
                <c:pt idx="92">
                  <c:v>-2.0939439505532752E-2</c:v>
                </c:pt>
                <c:pt idx="93">
                  <c:v>-2.1071526621048116E-2</c:v>
                </c:pt>
                <c:pt idx="94">
                  <c:v>-2.1202895601121853E-2</c:v>
                </c:pt>
                <c:pt idx="95">
                  <c:v>-2.1333587922006292E-2</c:v>
                </c:pt>
                <c:pt idx="96">
                  <c:v>-2.1463644774500079E-2</c:v>
                </c:pt>
                <c:pt idx="97">
                  <c:v>-2.1593107053818093E-2</c:v>
                </c:pt>
                <c:pt idx="98">
                  <c:v>-2.1722015349591256E-2</c:v>
                </c:pt>
                <c:pt idx="99">
                  <c:v>-2.1850409935989329E-2</c:v>
                </c:pt>
                <c:pt idx="100">
                  <c:v>-2.1978330761959826E-2</c:v>
                </c:pt>
                <c:pt idx="101">
                  <c:v>-2.2105817441575592E-2</c:v>
                </c:pt>
                <c:pt idx="102">
                  <c:v>-2.2232909244482166E-2</c:v>
                </c:pt>
                <c:pt idx="103">
                  <c:v>-2.23596450864368E-2</c:v>
                </c:pt>
                <c:pt idx="104">
                  <c:v>-2.2486063519929159E-2</c:v>
                </c:pt>
                <c:pt idx="105">
                  <c:v>-2.2612202724874075E-2</c:v>
                </c:pt>
                <c:pt idx="106">
                  <c:v>-2.2738100499365709E-2</c:v>
                </c:pt>
                <c:pt idx="107">
                  <c:v>-2.2863794250482034E-2</c:v>
                </c:pt>
                <c:pt idx="108">
                  <c:v>-2.2989320985128313E-2</c:v>
                </c:pt>
                <c:pt idx="109">
                  <c:v>-2.3114717300906987E-2</c:v>
                </c:pt>
                <c:pt idx="110">
                  <c:v>-2.3240019377002076E-2</c:v>
                </c:pt>
                <c:pt idx="111">
                  <c:v>-2.3365262965064332E-2</c:v>
                </c:pt>
                <c:pt idx="112">
                  <c:v>-2.3490483380084429E-2</c:v>
                </c:pt>
                <c:pt idx="113">
                  <c:v>-2.3615715491239475E-2</c:v>
                </c:pt>
                <c:pt idx="114">
                  <c:v>-2.3740993712699117E-2</c:v>
                </c:pt>
                <c:pt idx="115">
                  <c:v>-2.3866351994376391E-2</c:v>
                </c:pt>
                <c:pt idx="116">
                  <c:v>-2.399182381260799E-2</c:v>
                </c:pt>
                <c:pt idx="117">
                  <c:v>-2.4117442160749038E-2</c:v>
                </c:pt>
                <c:pt idx="118">
                  <c:v>-2.4243239539666221E-2</c:v>
                </c:pt>
                <c:pt idx="119">
                  <c:v>-2.4369247948113789E-2</c:v>
                </c:pt>
                <c:pt idx="120">
                  <c:v>-2.4495498872975967E-2</c:v>
                </c:pt>
                <c:pt idx="121">
                  <c:v>-2.4622023279359306E-2</c:v>
                </c:pt>
                <c:pt idx="122">
                  <c:v>-2.4748851600518981E-2</c:v>
                </c:pt>
                <c:pt idx="123">
                  <c:v>-2.4876013727601735E-2</c:v>
                </c:pt>
                <c:pt idx="124">
                  <c:v>-2.5003538999189053E-2</c:v>
                </c:pt>
                <c:pt idx="125">
                  <c:v>-2.5131456190623805E-2</c:v>
                </c:pt>
                <c:pt idx="126">
                  <c:v>-2.5259793503103214E-2</c:v>
                </c:pt>
                <c:pt idx="127">
                  <c:v>-2.5388578552521725E-2</c:v>
                </c:pt>
                <c:pt idx="128">
                  <c:v>-2.5517838358046514E-2</c:v>
                </c:pt>
                <c:pt idx="129">
                  <c:v>-2.5647599330409578E-2</c:v>
                </c:pt>
                <c:pt idx="130">
                  <c:v>-2.5777887259899161E-2</c:v>
                </c:pt>
                <c:pt idx="131">
                  <c:v>-2.5908727304034655E-2</c:v>
                </c:pt>
                <c:pt idx="132">
                  <c:v>-2.6040143974908551E-2</c:v>
                </c:pt>
                <c:pt idx="133">
                  <c:v>-2.6172161126179531E-2</c:v>
                </c:pt>
                <c:pt idx="134">
                  <c:v>-2.6304801939700962E-2</c:v>
                </c:pt>
                <c:pt idx="135">
                  <c:v>-2.6438088911769658E-2</c:v>
                </c:pt>
                <c:pt idx="136">
                  <c:v>-2.6572043838979504E-2</c:v>
                </c:pt>
                <c:pt idx="137">
                  <c:v>-2.6706687803665693E-2</c:v>
                </c:pt>
                <c:pt idx="138">
                  <c:v>-2.68420411589252E-2</c:v>
                </c:pt>
                <c:pt idx="139">
                  <c:v>-2.6978123513199521E-2</c:v>
                </c:pt>
                <c:pt idx="140">
                  <c:v>-2.7114953714406888E-2</c:v>
                </c:pt>
                <c:pt idx="141">
                  <c:v>-2.7252549833610491E-2</c:v>
                </c:pt>
                <c:pt idx="142">
                  <c:v>-2.7390929148211049E-2</c:v>
                </c:pt>
                <c:pt idx="143">
                  <c:v>-2.7530108124651776E-2</c:v>
                </c:pt>
                <c:pt idx="144">
                  <c:v>-2.767010240062457E-2</c:v>
                </c:pt>
                <c:pt idx="145">
                  <c:v>-2.7810926766767167E-2</c:v>
                </c:pt>
                <c:pt idx="146">
                  <c:v>-2.7952595147840976E-2</c:v>
                </c:pt>
                <c:pt idx="147">
                  <c:v>-2.8095120583381022E-2</c:v>
                </c:pt>
                <c:pt idx="148">
                  <c:v>-2.8238515207808738E-2</c:v>
                </c:pt>
                <c:pt idx="149">
                  <c:v>-2.8382790230000364E-2</c:v>
                </c:pt>
                <c:pt idx="150">
                  <c:v>-2.8527955912303327E-2</c:v>
                </c:pt>
                <c:pt idx="151">
                  <c:v>-2.8674021548994431E-2</c:v>
                </c:pt>
                <c:pt idx="152">
                  <c:v>-2.8820995444173894E-2</c:v>
                </c:pt>
                <c:pt idx="153">
                  <c:v>-2.8968884889090604E-2</c:v>
                </c:pt>
                <c:pt idx="154">
                  <c:v>-2.9117696138893735E-2</c:v>
                </c:pt>
                <c:pt idx="155">
                  <c:v>-2.9267434388807675E-2</c:v>
                </c:pt>
                <c:pt idx="156">
                  <c:v>-2.9418103749727219E-2</c:v>
                </c:pt>
                <c:pt idx="157">
                  <c:v>-2.9569707223230927E-2</c:v>
                </c:pt>
                <c:pt idx="158">
                  <c:v>-2.9722246676011269E-2</c:v>
                </c:pt>
                <c:pt idx="159">
                  <c:v>-2.9875722813721077E-2</c:v>
                </c:pt>
                <c:pt idx="160">
                  <c:v>-3.0030135154236172E-2</c:v>
                </c:pt>
                <c:pt idx="161">
                  <c:v>-3.0185482000335013E-2</c:v>
                </c:pt>
                <c:pt idx="162">
                  <c:v>-3.0341760411796728E-2</c:v>
                </c:pt>
                <c:pt idx="163">
                  <c:v>-3.0498966176919804E-2</c:v>
                </c:pt>
                <c:pt idx="164">
                  <c:v>-3.0657093783464259E-2</c:v>
                </c:pt>
                <c:pt idx="165">
                  <c:v>-3.0816136389020334E-2</c:v>
                </c:pt>
                <c:pt idx="166">
                  <c:v>-3.0976085790808242E-2</c:v>
                </c:pt>
                <c:pt idx="167">
                  <c:v>-3.1136932394913289E-2</c:v>
                </c:pt>
                <c:pt idx="168">
                  <c:v>-3.1298665184961827E-2</c:v>
                </c:pt>
                <c:pt idx="169">
                  <c:v>-3.1461271690243472E-2</c:v>
                </c:pt>
                <c:pt idx="170">
                  <c:v>-3.1624737953286283E-2</c:v>
                </c:pt>
                <c:pt idx="171">
                  <c:v>-3.1789048496891542E-2</c:v>
                </c:pt>
                <c:pt idx="172">
                  <c:v>-3.1954186290635372E-2</c:v>
                </c:pt>
                <c:pt idx="173">
                  <c:v>-3.2120132716844912E-2</c:v>
                </c:pt>
                <c:pt idx="174">
                  <c:v>-3.2286867536057334E-2</c:v>
                </c:pt>
                <c:pt idx="175">
                  <c:v>-3.2454368851970353E-2</c:v>
                </c:pt>
                <c:pt idx="176">
                  <c:v>-3.2622613075892655E-2</c:v>
                </c:pt>
                <c:pt idx="177">
                  <c:v>-3.2791574890704167E-2</c:v>
                </c:pt>
                <c:pt idx="178">
                  <c:v>-3.2961227214335059E-2</c:v>
                </c:pt>
                <c:pt idx="179">
                  <c:v>-3.3131541162773996E-2</c:v>
                </c:pt>
                <c:pt idx="180">
                  <c:v>-3.3302486012614929E-2</c:v>
                </c:pt>
                <c:pt idx="181">
                  <c:v>-3.347402916315359E-2</c:v>
                </c:pt>
                <c:pt idx="182">
                  <c:v>-3.3646136098043365E-2</c:v>
                </c:pt>
                <c:pt idx="183">
                  <c:v>-3.3818770346521899E-2</c:v>
                </c:pt>
                <c:pt idx="184">
                  <c:v>-3.3991893444218602E-2</c:v>
                </c:pt>
                <c:pt idx="185">
                  <c:v>-3.4165464893554563E-2</c:v>
                </c:pt>
                <c:pt idx="186">
                  <c:v>-3.4339442123745401E-2</c:v>
                </c:pt>
                <c:pt idx="187">
                  <c:v>-3.4513780450418356E-2</c:v>
                </c:pt>
                <c:pt idx="188">
                  <c:v>-3.4688433034854749E-2</c:v>
                </c:pt>
                <c:pt idx="189">
                  <c:v>-3.4863350842868839E-2</c:v>
                </c:pt>
                <c:pt idx="190">
                  <c:v>-3.503848260333435E-2</c:v>
                </c:pt>
                <c:pt idx="191">
                  <c:v>-3.5213774766369874E-2</c:v>
                </c:pt>
                <c:pt idx="192">
                  <c:v>-3.5389171461193941E-2</c:v>
                </c:pt>
                <c:pt idx="193">
                  <c:v>-3.5564614453661728E-2</c:v>
                </c:pt>
                <c:pt idx="194">
                  <c:v>-3.5740043103493352E-2</c:v>
                </c:pt>
                <c:pt idx="195">
                  <c:v>-3.5915394321205898E-2</c:v>
                </c:pt>
                <c:pt idx="196">
                  <c:v>-3.6090602524759569E-2</c:v>
                </c:pt>
                <c:pt idx="197">
                  <c:v>-3.626559959592926E-2</c:v>
                </c:pt>
                <c:pt idx="198">
                  <c:v>-3.6440314836412302E-2</c:v>
                </c:pt>
                <c:pt idx="199">
                  <c:v>-3.661467492368381E-2</c:v>
                </c:pt>
                <c:pt idx="200">
                  <c:v>-3.6788603866610058E-2</c:v>
                </c:pt>
                <c:pt idx="201">
                  <c:v>-3.6962022960831259E-2</c:v>
                </c:pt>
                <c:pt idx="202">
                  <c:v>-3.7134850743924634E-2</c:v>
                </c:pt>
                <c:pt idx="203">
                  <c:v>-3.7307002950358971E-2</c:v>
                </c:pt>
                <c:pt idx="204">
                  <c:v>-3.7478392466251613E-2</c:v>
                </c:pt>
                <c:pt idx="205">
                  <c:v>-3.7648929283939661E-2</c:v>
                </c:pt>
                <c:pt idx="206">
                  <c:v>-3.7818520456376112E-2</c:v>
                </c:pt>
                <c:pt idx="207">
                  <c:v>-3.7987070051363807E-2</c:v>
                </c:pt>
                <c:pt idx="208">
                  <c:v>-3.8154479105637712E-2</c:v>
                </c:pt>
                <c:pt idx="209">
                  <c:v>-3.832064557880905E-2</c:v>
                </c:pt>
                <c:pt idx="210">
                  <c:v>-3.8485464307183304E-2</c:v>
                </c:pt>
                <c:pt idx="211">
                  <c:v>-3.8648826957465271E-2</c:v>
                </c:pt>
                <c:pt idx="212">
                  <c:v>-3.8810621980364973E-2</c:v>
                </c:pt>
                <c:pt idx="213">
                  <c:v>-3.8970734564118509E-2</c:v>
                </c:pt>
                <c:pt idx="214">
                  <c:v>-3.9129020569848488E-2</c:v>
                </c:pt>
                <c:pt idx="215">
                  <c:v>-3.9285351886783018E-2</c:v>
                </c:pt>
                <c:pt idx="216">
                  <c:v>-3.9439719105333684E-2</c:v>
                </c:pt>
                <c:pt idx="217">
                  <c:v>-3.9592117470869506E-2</c:v>
                </c:pt>
                <c:pt idx="218">
                  <c:v>-3.9742542316953192E-2</c:v>
                </c:pt>
                <c:pt idx="219">
                  <c:v>-3.9890989065544294E-2</c:v>
                </c:pt>
                <c:pt idx="220">
                  <c:v>-4.0037453227182704E-2</c:v>
                </c:pt>
                <c:pt idx="221">
                  <c:v>-4.0181930401152907E-2</c:v>
                </c:pt>
                <c:pt idx="222">
                  <c:v>-4.0324416275628168E-2</c:v>
                </c:pt>
                <c:pt idx="223">
                  <c:v>-4.046490662779538E-2</c:v>
                </c:pt>
                <c:pt idx="224">
                  <c:v>-4.0603397323959886E-2</c:v>
                </c:pt>
                <c:pt idx="225">
                  <c:v>-4.0739884319630833E-2</c:v>
                </c:pt>
                <c:pt idx="226">
                  <c:v>-4.0874363659586549E-2</c:v>
                </c:pt>
                <c:pt idx="227">
                  <c:v>-4.1006831477920197E-2</c:v>
                </c:pt>
                <c:pt idx="228">
                  <c:v>-4.1137283998065627E-2</c:v>
                </c:pt>
                <c:pt idx="229">
                  <c:v>-4.1265717532803337E-2</c:v>
                </c:pt>
                <c:pt idx="230">
                  <c:v>-4.1392128484246699E-2</c:v>
                </c:pt>
                <c:pt idx="231">
                  <c:v>-4.1516513343808237E-2</c:v>
                </c:pt>
                <c:pt idx="232">
                  <c:v>-4.1638868692146086E-2</c:v>
                </c:pt>
                <c:pt idx="233">
                  <c:v>-4.1759191199090578E-2</c:v>
                </c:pt>
                <c:pt idx="234">
                  <c:v>-4.187747762355111E-2</c:v>
                </c:pt>
                <c:pt idx="235">
                  <c:v>-4.199372481340298E-2</c:v>
                </c:pt>
                <c:pt idx="236">
                  <c:v>-4.2107929705354596E-2</c:v>
                </c:pt>
                <c:pt idx="237">
                  <c:v>-4.2220089324794645E-2</c:v>
                </c:pt>
                <c:pt idx="238">
                  <c:v>-4.2330200785619762E-2</c:v>
                </c:pt>
                <c:pt idx="239">
                  <c:v>-4.2438261290042231E-2</c:v>
                </c:pt>
                <c:pt idx="240">
                  <c:v>-4.2544268128377957E-2</c:v>
                </c:pt>
                <c:pt idx="241">
                  <c:v>-4.2648218678814853E-2</c:v>
                </c:pt>
                <c:pt idx="242">
                  <c:v>-4.2750110407161535E-2</c:v>
                </c:pt>
                <c:pt idx="243">
                  <c:v>-4.2849940866576175E-2</c:v>
                </c:pt>
                <c:pt idx="244">
                  <c:v>-4.2947707697276183E-2</c:v>
                </c:pt>
                <c:pt idx="245">
                  <c:v>-4.3043408626227866E-2</c:v>
                </c:pt>
                <c:pt idx="246">
                  <c:v>-4.3137041466817058E-2</c:v>
                </c:pt>
                <c:pt idx="247">
                  <c:v>-4.3228604118499991E-2</c:v>
                </c:pt>
                <c:pt idx="248">
                  <c:v>-4.331809456643497E-2</c:v>
                </c:pt>
                <c:pt idx="249">
                  <c:v>-4.3405510881094581E-2</c:v>
                </c:pt>
                <c:pt idx="250">
                  <c:v>-4.3490851217858867E-2</c:v>
                </c:pt>
                <c:pt idx="251">
                  <c:v>-4.3574113816589183E-2</c:v>
                </c:pt>
                <c:pt idx="252">
                  <c:v>-4.3655297001182827E-2</c:v>
                </c:pt>
                <c:pt idx="253">
                  <c:v>-4.3734399179109151E-2</c:v>
                </c:pt>
                <c:pt idx="254">
                  <c:v>-4.3811418840925979E-2</c:v>
                </c:pt>
                <c:pt idx="255">
                  <c:v>-4.3886354559777824E-2</c:v>
                </c:pt>
                <c:pt idx="256">
                  <c:v>-4.3959204990875043E-2</c:v>
                </c:pt>
                <c:pt idx="257">
                  <c:v>-4.4029968870954284E-2</c:v>
                </c:pt>
                <c:pt idx="258">
                  <c:v>-4.4098645017720497E-2</c:v>
                </c:pt>
                <c:pt idx="259">
                  <c:v>-4.4165232329270374E-2</c:v>
                </c:pt>
                <c:pt idx="260">
                  <c:v>-4.4229729783497401E-2</c:v>
                </c:pt>
                <c:pt idx="261">
                  <c:v>-4.4292136437478744E-2</c:v>
                </c:pt>
                <c:pt idx="262">
                  <c:v>-4.4352451426843909E-2</c:v>
                </c:pt>
                <c:pt idx="263">
                  <c:v>-4.4410673965125234E-2</c:v>
                </c:pt>
                <c:pt idx="264">
                  <c:v>-4.4466803343090819E-2</c:v>
                </c:pt>
                <c:pt idx="265">
                  <c:v>-4.4520838928059227E-2</c:v>
                </c:pt>
                <c:pt idx="266">
                  <c:v>-4.4572780163196705E-2</c:v>
                </c:pt>
                <c:pt idx="267">
                  <c:v>-4.4622626566797094E-2</c:v>
                </c:pt>
                <c:pt idx="268">
                  <c:v>-4.4670377731543739E-2</c:v>
                </c:pt>
                <c:pt idx="269">
                  <c:v>-4.4716033323754817E-2</c:v>
                </c:pt>
                <c:pt idx="270">
                  <c:v>-4.4759593082610932E-2</c:v>
                </c:pt>
                <c:pt idx="271">
                  <c:v>-4.4801056819366088E-2</c:v>
                </c:pt>
                <c:pt idx="272">
                  <c:v>-4.4840424416541694E-2</c:v>
                </c:pt>
                <c:pt idx="273">
                  <c:v>-4.4877695827103777E-2</c:v>
                </c:pt>
                <c:pt idx="274">
                  <c:v>-4.4912871073624003E-2</c:v>
                </c:pt>
                <c:pt idx="275">
                  <c:v>-4.4945950247423656E-2</c:v>
                </c:pt>
                <c:pt idx="276">
                  <c:v>-4.4976933507702238E-2</c:v>
                </c:pt>
                <c:pt idx="277">
                  <c:v>-4.5005821080649197E-2</c:v>
                </c:pt>
                <c:pt idx="278">
                  <c:v>-4.5032613258540466E-2</c:v>
                </c:pt>
                <c:pt idx="279">
                  <c:v>-4.5057310398818572E-2</c:v>
                </c:pt>
                <c:pt idx="280">
                  <c:v>-4.5079912923157987E-2</c:v>
                </c:pt>
                <c:pt idx="281">
                  <c:v>-4.5100421316514296E-2</c:v>
                </c:pt>
                <c:pt idx="282">
                  <c:v>-4.5118836126158947E-2</c:v>
                </c:pt>
                <c:pt idx="283">
                  <c:v>-4.5135157960698245E-2</c:v>
                </c:pt>
                <c:pt idx="284">
                  <c:v>-4.5149387489078263E-2</c:v>
                </c:pt>
                <c:pt idx="285">
                  <c:v>-4.5161525439574517E-2</c:v>
                </c:pt>
                <c:pt idx="286">
                  <c:v>-4.5171572598767501E-2</c:v>
                </c:pt>
                <c:pt idx="287">
                  <c:v>-4.5179529810504042E-2</c:v>
                </c:pt>
                <c:pt idx="288">
                  <c:v>-4.5185397974844353E-2</c:v>
                </c:pt>
                <c:pt idx="289">
                  <c:v>-4.5189178046995584E-2</c:v>
                </c:pt>
                <c:pt idx="290">
                  <c:v>-4.5190871036231317E-2</c:v>
                </c:pt>
                <c:pt idx="291">
                  <c:v>-4.5190478004798112E-2</c:v>
                </c:pt>
                <c:pt idx="292">
                  <c:v>-4.5188000066808537E-2</c:v>
                </c:pt>
                <c:pt idx="293">
                  <c:v>-4.5183438387121272E-2</c:v>
                </c:pt>
                <c:pt idx="294">
                  <c:v>-4.5176794180208327E-2</c:v>
                </c:pt>
                <c:pt idx="295">
                  <c:v>-4.5168068709010037E-2</c:v>
                </c:pt>
                <c:pt idx="296">
                  <c:v>-4.5157263283777338E-2</c:v>
                </c:pt>
                <c:pt idx="297">
                  <c:v>-4.5144379260902097E-2</c:v>
                </c:pt>
                <c:pt idx="298">
                  <c:v>-4.512941804173564E-2</c:v>
                </c:pt>
                <c:pt idx="299">
                  <c:v>-4.5112381071395466E-2</c:v>
                </c:pt>
                <c:pt idx="300">
                  <c:v>-4.5093269837560637E-2</c:v>
                </c:pt>
                <c:pt idx="301">
                  <c:v>-4.5072085869255936E-2</c:v>
                </c:pt>
                <c:pt idx="302">
                  <c:v>-4.5048830735625253E-2</c:v>
                </c:pt>
                <c:pt idx="303">
                  <c:v>-4.5023506044694073E-2</c:v>
                </c:pt>
                <c:pt idx="304">
                  <c:v>-4.499611344212142E-2</c:v>
                </c:pt>
                <c:pt idx="305">
                  <c:v>-4.4966654609941994E-2</c:v>
                </c:pt>
                <c:pt idx="306">
                  <c:v>-4.4935131265297967E-2</c:v>
                </c:pt>
                <c:pt idx="307">
                  <c:v>-4.4901545159161255E-2</c:v>
                </c:pt>
                <c:pt idx="308">
                  <c:v>-4.48658980750462E-2</c:v>
                </c:pt>
                <c:pt idx="309">
                  <c:v>-4.4828191827713255E-2</c:v>
                </c:pt>
                <c:pt idx="310">
                  <c:v>-4.4788428261863619E-2</c:v>
                </c:pt>
                <c:pt idx="311">
                  <c:v>-4.4746609250825062E-2</c:v>
                </c:pt>
                <c:pt idx="312">
                  <c:v>-4.4702736695229617E-2</c:v>
                </c:pt>
                <c:pt idx="313">
                  <c:v>-4.4656812521682895E-2</c:v>
                </c:pt>
                <c:pt idx="314">
                  <c:v>-4.4608838681425601E-2</c:v>
                </c:pt>
                <c:pt idx="315">
                  <c:v>-4.4558817148987399E-2</c:v>
                </c:pt>
                <c:pt idx="316">
                  <c:v>-4.450674992083363E-2</c:v>
                </c:pt>
                <c:pt idx="317">
                  <c:v>-4.4452639014004515E-2</c:v>
                </c:pt>
                <c:pt idx="318">
                  <c:v>-4.4396486464748142E-2</c:v>
                </c:pt>
                <c:pt idx="319">
                  <c:v>-4.4338294327146345E-2</c:v>
                </c:pt>
                <c:pt idx="320">
                  <c:v>-4.4278064671734937E-2</c:v>
                </c:pt>
                <c:pt idx="321">
                  <c:v>-4.4215799584117498E-2</c:v>
                </c:pt>
                <c:pt idx="322">
                  <c:v>-4.4151501163573699E-2</c:v>
                </c:pt>
                <c:pt idx="323">
                  <c:v>-4.4085171521662254E-2</c:v>
                </c:pt>
                <c:pt idx="324">
                  <c:v>-4.4016812780818822E-2</c:v>
                </c:pt>
                <c:pt idx="325">
                  <c:v>-4.3946427072948817E-2</c:v>
                </c:pt>
                <c:pt idx="326">
                  <c:v>-4.3874016538015974E-2</c:v>
                </c:pt>
                <c:pt idx="327">
                  <c:v>-4.3799583322626595E-2</c:v>
                </c:pt>
                <c:pt idx="328">
                  <c:v>-4.3723129578609798E-2</c:v>
                </c:pt>
                <c:pt idx="329">
                  <c:v>-4.3644657461594225E-2</c:v>
                </c:pt>
                <c:pt idx="330">
                  <c:v>-4.3564169129581186E-2</c:v>
                </c:pt>
                <c:pt idx="331">
                  <c:v>-4.348166674151497E-2</c:v>
                </c:pt>
                <c:pt idx="332">
                  <c:v>-4.3397152455850296E-2</c:v>
                </c:pt>
                <c:pt idx="333">
                  <c:v>-4.3310628429117315E-2</c:v>
                </c:pt>
                <c:pt idx="334">
                  <c:v>-4.3222096814484398E-2</c:v>
                </c:pt>
                <c:pt idx="335">
                  <c:v>-4.3131559760318988E-2</c:v>
                </c:pt>
                <c:pt idx="336">
                  <c:v>-4.3039019408747353E-2</c:v>
                </c:pt>
                <c:pt idx="337">
                  <c:v>-4.294447789421231E-2</c:v>
                </c:pt>
                <c:pt idx="338">
                  <c:v>-4.284793734203067E-2</c:v>
                </c:pt>
                <c:pt idx="339">
                  <c:v>-4.2749399866949742E-2</c:v>
                </c:pt>
                <c:pt idx="340">
                  <c:v>-4.26488675717034E-2</c:v>
                </c:pt>
                <c:pt idx="341">
                  <c:v>-4.2546342545568459E-2</c:v>
                </c:pt>
                <c:pt idx="342">
                  <c:v>-4.2441826862920834E-2</c:v>
                </c:pt>
                <c:pt idx="343">
                  <c:v>-4.2335322581792859E-2</c:v>
                </c:pt>
                <c:pt idx="344">
                  <c:v>-4.2226831742430915E-2</c:v>
                </c:pt>
                <c:pt idx="345">
                  <c:v>-4.211635636585466E-2</c:v>
                </c:pt>
                <c:pt idx="346">
                  <c:v>-4.2003898452417553E-2</c:v>
                </c:pt>
                <c:pt idx="347">
                  <c:v>-4.1889459980369401E-2</c:v>
                </c:pt>
                <c:pt idx="348">
                  <c:v>-4.1773042904420778E-2</c:v>
                </c:pt>
                <c:pt idx="349">
                  <c:v>-4.1654649154310032E-2</c:v>
                </c:pt>
                <c:pt idx="350">
                  <c:v>-4.1534280633373097E-2</c:v>
                </c:pt>
                <c:pt idx="351">
                  <c:v>-4.1411939217116209E-2</c:v>
                </c:pt>
                <c:pt idx="352">
                  <c:v>-4.1287626751792053E-2</c:v>
                </c:pt>
                <c:pt idx="353">
                  <c:v>-4.11613450529799E-2</c:v>
                </c:pt>
                <c:pt idx="354">
                  <c:v>-4.103309590416903E-2</c:v>
                </c:pt>
                <c:pt idx="355">
                  <c:v>-4.0902881055347284E-2</c:v>
                </c:pt>
                <c:pt idx="356">
                  <c:v>-4.0770702221593777E-2</c:v>
                </c:pt>
                <c:pt idx="357">
                  <c:v>-4.0636561081676445E-2</c:v>
                </c:pt>
                <c:pt idx="358">
                  <c:v>-4.0500459276655403E-2</c:v>
                </c:pt>
                <c:pt idx="359">
                  <c:v>-4.0362398408491193E-2</c:v>
                </c:pt>
                <c:pt idx="360">
                  <c:v>-4.0222380038659397E-2</c:v>
                </c:pt>
                <c:pt idx="361">
                  <c:v>-4.0080405686771167E-2</c:v>
                </c:pt>
                <c:pt idx="362">
                  <c:v>-3.9936476829200492E-2</c:v>
                </c:pt>
                <c:pt idx="363">
                  <c:v>-3.9790594897717912E-2</c:v>
                </c:pt>
                <c:pt idx="364">
                  <c:v>-3.9642761278131919E-2</c:v>
                </c:pt>
                <c:pt idx="365">
                  <c:v>-3.9492977308937048E-2</c:v>
                </c:pt>
                <c:pt idx="366">
                  <c:v>-3.9341244279970482E-2</c:v>
                </c:pt>
                <c:pt idx="367">
                  <c:v>-3.9187563431076176E-2</c:v>
                </c:pt>
                <c:pt idx="368">
                  <c:v>-3.9031935950777433E-2</c:v>
                </c:pt>
                <c:pt idx="369">
                  <c:v>-3.8874362974958408E-2</c:v>
                </c:pt>
                <c:pt idx="370">
                  <c:v>-3.8714845585554478E-2</c:v>
                </c:pt>
                <c:pt idx="371">
                  <c:v>-3.8553384809251454E-2</c:v>
                </c:pt>
                <c:pt idx="372">
                  <c:v>-3.838998161619514E-2</c:v>
                </c:pt>
                <c:pt idx="373">
                  <c:v>-3.8224636918710336E-2</c:v>
                </c:pt>
                <c:pt idx="374">
                  <c:v>-3.8057351570029971E-2</c:v>
                </c:pt>
                <c:pt idx="375">
                  <c:v>-3.7888126363034999E-2</c:v>
                </c:pt>
                <c:pt idx="376">
                  <c:v>-3.7716962029005E-2</c:v>
                </c:pt>
                <c:pt idx="377">
                  <c:v>-3.7543859236379748E-2</c:v>
                </c:pt>
                <c:pt idx="378">
                  <c:v>-3.7368818589532574E-2</c:v>
                </c:pt>
                <c:pt idx="379">
                  <c:v>-3.7191840627554817E-2</c:v>
                </c:pt>
                <c:pt idx="380">
                  <c:v>-3.7012925823052871E-2</c:v>
                </c:pt>
                <c:pt idx="381">
                  <c:v>-3.6832074580957337E-2</c:v>
                </c:pt>
                <c:pt idx="382">
                  <c:v>-3.6649287237344425E-2</c:v>
                </c:pt>
                <c:pt idx="383">
                  <c:v>-3.6464564058270824E-2</c:v>
                </c:pt>
                <c:pt idx="384">
                  <c:v>-3.6277905238621365E-2</c:v>
                </c:pt>
                <c:pt idx="385">
                  <c:v>-3.608931090097027E-2</c:v>
                </c:pt>
                <c:pt idx="386">
                  <c:v>-3.5898781094456038E-2</c:v>
                </c:pt>
                <c:pt idx="387">
                  <c:v>-3.570631579367059E-2</c:v>
                </c:pt>
                <c:pt idx="388">
                  <c:v>-3.5511914897562627E-2</c:v>
                </c:pt>
                <c:pt idx="389">
                  <c:v>-3.5315578228355515E-2</c:v>
                </c:pt>
                <c:pt idx="390">
                  <c:v>-3.5117305530480224E-2</c:v>
                </c:pt>
                <c:pt idx="391">
                  <c:v>-3.491709646952329E-2</c:v>
                </c:pt>
                <c:pt idx="392">
                  <c:v>-3.4714950631190469E-2</c:v>
                </c:pt>
                <c:pt idx="393">
                  <c:v>-3.451086752028576E-2</c:v>
                </c:pt>
                <c:pt idx="394">
                  <c:v>-3.4304846559706816E-2</c:v>
                </c:pt>
                <c:pt idx="395">
                  <c:v>-3.4096887089456289E-2</c:v>
                </c:pt>
                <c:pt idx="396">
                  <c:v>-3.3886988365669932E-2</c:v>
                </c:pt>
                <c:pt idx="397">
                  <c:v>-3.3675149559661638E-2</c:v>
                </c:pt>
                <c:pt idx="398">
                  <c:v>-3.3461369756984966E-2</c:v>
                </c:pt>
                <c:pt idx="399">
                  <c:v>-3.3245647956512962E-2</c:v>
                </c:pt>
                <c:pt idx="400">
                  <c:v>-3.3027983069534514E-2</c:v>
                </c:pt>
                <c:pt idx="401">
                  <c:v>-3.2808373918869552E-2</c:v>
                </c:pt>
                <c:pt idx="402">
                  <c:v>-3.258681923800167E-2</c:v>
                </c:pt>
                <c:pt idx="403">
                  <c:v>-3.2363317670229354E-2</c:v>
                </c:pt>
                <c:pt idx="404">
                  <c:v>-3.2137867767836018E-2</c:v>
                </c:pt>
                <c:pt idx="405">
                  <c:v>-3.1910467991278585E-2</c:v>
                </c:pt>
                <c:pt idx="406">
                  <c:v>-3.1681116708395532E-2</c:v>
                </c:pt>
                <c:pt idx="407">
                  <c:v>-3.1449812193633825E-2</c:v>
                </c:pt>
                <c:pt idx="408">
                  <c:v>-3.1216552627296213E-2</c:v>
                </c:pt>
                <c:pt idx="409">
                  <c:v>-3.0981336094807403E-2</c:v>
                </c:pt>
                <c:pt idx="410">
                  <c:v>-3.0744160586001146E-2</c:v>
                </c:pt>
                <c:pt idx="411">
                  <c:v>-3.0505023994427224E-2</c:v>
                </c:pt>
                <c:pt idx="412">
                  <c:v>-3.0263924116679029E-2</c:v>
                </c:pt>
                <c:pt idx="413">
                  <c:v>-3.0020858651742047E-2</c:v>
                </c:pt>
                <c:pt idx="414">
                  <c:v>-2.9775825200363062E-2</c:v>
                </c:pt>
                <c:pt idx="415">
                  <c:v>-2.952882126444089E-2</c:v>
                </c:pt>
                <c:pt idx="416">
                  <c:v>-2.9279844246438466E-2</c:v>
                </c:pt>
                <c:pt idx="417">
                  <c:v>-2.9028891448816284E-2</c:v>
                </c:pt>
                <c:pt idx="418">
                  <c:v>-2.8775960073488083E-2</c:v>
                </c:pt>
                <c:pt idx="419">
                  <c:v>-2.8521047221298602E-2</c:v>
                </c:pt>
                <c:pt idx="420">
                  <c:v>-2.8264149891523028E-2</c:v>
                </c:pt>
                <c:pt idx="421">
                  <c:v>-2.8005264981389801E-2</c:v>
                </c:pt>
                <c:pt idx="422">
                  <c:v>-2.774438928562533E-2</c:v>
                </c:pt>
                <c:pt idx="423">
                  <c:v>-2.7481519496022139E-2</c:v>
                </c:pt>
                <c:pt idx="424">
                  <c:v>-2.7216652201029493E-2</c:v>
                </c:pt>
                <c:pt idx="425">
                  <c:v>-2.6949783885368023E-2</c:v>
                </c:pt>
                <c:pt idx="426">
                  <c:v>-2.6680910929666977E-2</c:v>
                </c:pt>
                <c:pt idx="427">
                  <c:v>-2.6410029610125792E-2</c:v>
                </c:pt>
                <c:pt idx="428">
                  <c:v>-2.6137136098199003E-2</c:v>
                </c:pt>
                <c:pt idx="429">
                  <c:v>-2.5862226460305206E-2</c:v>
                </c:pt>
                <c:pt idx="430">
                  <c:v>-2.5585296657560465E-2</c:v>
                </c:pt>
                <c:pt idx="431">
                  <c:v>-2.5306342545535557E-2</c:v>
                </c:pt>
                <c:pt idx="432">
                  <c:v>-2.5025359874038124E-2</c:v>
                </c:pt>
                <c:pt idx="433">
                  <c:v>-2.4742344286919092E-2</c:v>
                </c:pt>
                <c:pt idx="434">
                  <c:v>-2.4457291321904263E-2</c:v>
                </c:pt>
                <c:pt idx="435">
                  <c:v>-2.4170196410450245E-2</c:v>
                </c:pt>
                <c:pt idx="436">
                  <c:v>-2.3881054877626436E-2</c:v>
                </c:pt>
                <c:pt idx="437">
                  <c:v>-2.3589861942021097E-2</c:v>
                </c:pt>
                <c:pt idx="438">
                  <c:v>-2.3296612715673785E-2</c:v>
                </c:pt>
                <c:pt idx="439">
                  <c:v>-2.3001302204032705E-2</c:v>
                </c:pt>
                <c:pt idx="440">
                  <c:v>-2.2703925305937882E-2</c:v>
                </c:pt>
                <c:pt idx="441">
                  <c:v>-2.2404476813630132E-2</c:v>
                </c:pt>
                <c:pt idx="442">
                  <c:v>-2.2102951412785982E-2</c:v>
                </c:pt>
                <c:pt idx="443">
                  <c:v>-2.1799343682578413E-2</c:v>
                </c:pt>
                <c:pt idx="444">
                  <c:v>-2.1493648095764002E-2</c:v>
                </c:pt>
                <c:pt idx="445">
                  <c:v>-2.1185859018796001E-2</c:v>
                </c:pt>
                <c:pt idx="446">
                  <c:v>-2.0875970711964106E-2</c:v>
                </c:pt>
                <c:pt idx="447">
                  <c:v>-2.0563977329560508E-2</c:v>
                </c:pt>
                <c:pt idx="448">
                  <c:v>-2.0249872920072267E-2</c:v>
                </c:pt>
                <c:pt idx="449">
                  <c:v>-1.9933651426401064E-2</c:v>
                </c:pt>
                <c:pt idx="450">
                  <c:v>-1.961530668610879E-2</c:v>
                </c:pt>
                <c:pt idx="451">
                  <c:v>-1.9294832431690594E-2</c:v>
                </c:pt>
                <c:pt idx="452">
                  <c:v>-1.8972222290874582E-2</c:v>
                </c:pt>
                <c:pt idx="453">
                  <c:v>-1.864746978694886E-2</c:v>
                </c:pt>
                <c:pt idx="454">
                  <c:v>-1.8320568339115044E-2</c:v>
                </c:pt>
                <c:pt idx="455">
                  <c:v>-1.7991511262869287E-2</c:v>
                </c:pt>
                <c:pt idx="456">
                  <c:v>-1.7660291770410553E-2</c:v>
                </c:pt>
                <c:pt idx="457">
                  <c:v>-1.7326902971076075E-2</c:v>
                </c:pt>
                <c:pt idx="458">
                  <c:v>-1.6991337871804138E-2</c:v>
                </c:pt>
                <c:pt idx="459">
                  <c:v>-1.6653589377624001E-2</c:v>
                </c:pt>
                <c:pt idx="460">
                  <c:v>-1.6313650292173746E-2</c:v>
                </c:pt>
                <c:pt idx="461">
                  <c:v>-1.5971513318245135E-2</c:v>
                </c:pt>
                <c:pt idx="462">
                  <c:v>-1.5627171058355944E-2</c:v>
                </c:pt>
                <c:pt idx="463">
                  <c:v>-1.5280616015350464E-2</c:v>
                </c:pt>
                <c:pt idx="464">
                  <c:v>-1.4931840593026611E-2</c:v>
                </c:pt>
                <c:pt idx="465">
                  <c:v>-1.4580837096791484E-2</c:v>
                </c:pt>
                <c:pt idx="466">
                  <c:v>-1.4227597734343893E-2</c:v>
                </c:pt>
                <c:pt idx="467">
                  <c:v>-1.3872114616385012E-2</c:v>
                </c:pt>
                <c:pt idx="468">
                  <c:v>-1.3514379757356181E-2</c:v>
                </c:pt>
                <c:pt idx="469">
                  <c:v>-1.3154385076204728E-2</c:v>
                </c:pt>
                <c:pt idx="470">
                  <c:v>-1.2792122397177372E-2</c:v>
                </c:pt>
                <c:pt idx="471">
                  <c:v>-1.2427583450640782E-2</c:v>
                </c:pt>
                <c:pt idx="472">
                  <c:v>-1.2060759873930668E-2</c:v>
                </c:pt>
                <c:pt idx="473">
                  <c:v>-1.1691643212227616E-2</c:v>
                </c:pt>
                <c:pt idx="474">
                  <c:v>-1.1320224919460815E-2</c:v>
                </c:pt>
                <c:pt idx="475">
                  <c:v>-1.0946496359239779E-2</c:v>
                </c:pt>
                <c:pt idx="476">
                  <c:v>-1.0570448805812689E-2</c:v>
                </c:pt>
                <c:pt idx="477">
                  <c:v>-1.0192073445053223E-2</c:v>
                </c:pt>
                <c:pt idx="478">
                  <c:v>-9.8113613754742708E-3</c:v>
                </c:pt>
                <c:pt idx="479">
                  <c:v>-9.4283036092690977E-3</c:v>
                </c:pt>
                <c:pt idx="480">
                  <c:v>-9.0428910733802645E-3</c:v>
                </c:pt>
                <c:pt idx="481">
                  <c:v>-8.6551146105954199E-3</c:v>
                </c:pt>
                <c:pt idx="482">
                  <c:v>-8.2649649806706693E-3</c:v>
                </c:pt>
                <c:pt idx="483">
                  <c:v>-7.8724328614810934E-3</c:v>
                </c:pt>
                <c:pt idx="484">
                  <c:v>-7.4775088501984714E-3</c:v>
                </c:pt>
                <c:pt idx="485">
                  <c:v>-7.0801834644956272E-3</c:v>
                </c:pt>
                <c:pt idx="486">
                  <c:v>-6.6804471437787631E-3</c:v>
                </c:pt>
                <c:pt idx="487">
                  <c:v>-6.2782902504454939E-3</c:v>
                </c:pt>
                <c:pt idx="488">
                  <c:v>-5.8737030711707005E-3</c:v>
                </c:pt>
                <c:pt idx="489">
                  <c:v>-5.4666758182187461E-3</c:v>
                </c:pt>
                <c:pt idx="490">
                  <c:v>-5.0571986307821103E-3</c:v>
                </c:pt>
                <c:pt idx="491">
                  <c:v>-4.6452615763471466E-3</c:v>
                </c:pt>
                <c:pt idx="492">
                  <c:v>-4.2308546520856468E-3</c:v>
                </c:pt>
                <c:pt idx="493">
                  <c:v>-3.8139677862732511E-3</c:v>
                </c:pt>
                <c:pt idx="494">
                  <c:v>-3.3945908397339307E-3</c:v>
                </c:pt>
                <c:pt idx="495">
                  <c:v>-2.972713607310151E-3</c:v>
                </c:pt>
                <c:pt idx="496">
                  <c:v>-2.5483258193599967E-3</c:v>
                </c:pt>
                <c:pt idx="497">
                  <c:v>-2.1214171432790353E-3</c:v>
                </c:pt>
                <c:pt idx="498">
                  <c:v>-1.6919771850485564E-3</c:v>
                </c:pt>
                <c:pt idx="499">
                  <c:v>-1.2599954908093999E-3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93-4240-8F2E-337A63C4D4D2}"/>
            </c:ext>
          </c:extLst>
        </c:ser>
        <c:ser>
          <c:idx val="2"/>
          <c:order val="2"/>
          <c:tx>
            <c:v>Camber Line</c:v>
          </c:tx>
          <c:spPr>
            <a:ln w="317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Data2!$B$1:$B$500</c:f>
              <c:numCache>
                <c:formatCode>0.000000</c:formatCode>
                <c:ptCount val="500"/>
                <c:pt idx="0">
                  <c:v>0</c:v>
                </c:pt>
                <c:pt idx="1">
                  <c:v>4.9545966939179564E-6</c:v>
                </c:pt>
                <c:pt idx="2">
                  <c:v>1.9818337679722298E-5</c:v>
                </c:pt>
                <c:pt idx="3">
                  <c:v>4.4591075669564439E-5</c:v>
                </c:pt>
                <c:pt idx="4">
                  <c:v>7.9272565185806165E-5</c:v>
                </c:pt>
                <c:pt idx="5">
                  <c:v>1.2386246256268496E-4</c:v>
                </c:pt>
                <c:pt idx="6">
                  <c:v>1.7836032595031082E-4</c:v>
                </c:pt>
                <c:pt idx="7">
                  <c:v>2.4276561531888508E-4</c:v>
                </c:pt>
                <c:pt idx="8">
                  <c:v>3.1707769246391848E-4</c:v>
                </c:pt>
                <c:pt idx="9">
                  <c:v>4.0129582101267047E-4</c:v>
                </c:pt>
                <c:pt idx="10">
                  <c:v>4.9541916643136563E-4</c:v>
                </c:pt>
                <c:pt idx="11">
                  <c:v>5.9944679603363138E-4</c:v>
                </c:pt>
                <c:pt idx="12">
                  <c:v>7.133776789896018E-4</c:v>
                </c:pt>
                <c:pt idx="13">
                  <c:v>8.3721068633602069E-4</c:v>
                </c:pt>
                <c:pt idx="14">
                  <c:v>9.7094459098767683E-4</c:v>
                </c:pt>
                <c:pt idx="15">
                  <c:v>1.1145780677496164E-3</c:v>
                </c:pt>
                <c:pt idx="16">
                  <c:v>1.2681096933296887E-3</c:v>
                </c:pt>
                <c:pt idx="17">
                  <c:v>1.4315379463535338E-3</c:v>
                </c:pt>
                <c:pt idx="18">
                  <c:v>1.6048612073787938E-3</c:v>
                </c:pt>
                <c:pt idx="19">
                  <c:v>1.7880777589119878E-3</c:v>
                </c:pt>
                <c:pt idx="20">
                  <c:v>1.9811857854247217E-3</c:v>
                </c:pt>
                <c:pt idx="21">
                  <c:v>2.1841833733722282E-3</c:v>
                </c:pt>
                <c:pt idx="22">
                  <c:v>2.3970685112121304E-3</c:v>
                </c:pt>
                <c:pt idx="23">
                  <c:v>2.619839089424536E-3</c:v>
                </c:pt>
                <c:pt idx="24">
                  <c:v>2.8524929005325772E-3</c:v>
                </c:pt>
                <c:pt idx="25">
                  <c:v>3.0950276391248366E-3</c:v>
                </c:pt>
                <c:pt idx="26">
                  <c:v>3.3474409018774409E-3</c:v>
                </c:pt>
                <c:pt idx="27">
                  <c:v>3.609730187578708E-3</c:v>
                </c:pt>
                <c:pt idx="28">
                  <c:v>3.8818928971533495E-3</c:v>
                </c:pt>
                <c:pt idx="29">
                  <c:v>4.1639263336883392E-3</c:v>
                </c:pt>
                <c:pt idx="30">
                  <c:v>4.4558277024601134E-3</c:v>
                </c:pt>
                <c:pt idx="31">
                  <c:v>4.7575941109612163E-3</c:v>
                </c:pt>
                <c:pt idx="32">
                  <c:v>5.0692225689300541E-3</c:v>
                </c:pt>
                <c:pt idx="33">
                  <c:v>5.3907099883800935E-3</c:v>
                </c:pt>
                <c:pt idx="34">
                  <c:v>5.7220531836302824E-3</c:v>
                </c:pt>
                <c:pt idx="35">
                  <c:v>6.0632488713366905E-3</c:v>
                </c:pt>
                <c:pt idx="36">
                  <c:v>6.4142936705253728E-3</c:v>
                </c:pt>
                <c:pt idx="37">
                  <c:v>6.7751841026255644E-3</c:v>
                </c:pt>
                <c:pt idx="38">
                  <c:v>7.1459165915040979E-3</c:v>
                </c:pt>
                <c:pt idx="39">
                  <c:v>7.5264874635010415E-3</c:v>
                </c:pt>
                <c:pt idx="40">
                  <c:v>7.9168929474660032E-3</c:v>
                </c:pt>
                <c:pt idx="41">
                  <c:v>8.3171291747956566E-3</c:v>
                </c:pt>
                <c:pt idx="42">
                  <c:v>8.727192179471821E-3</c:v>
                </c:pt>
                <c:pt idx="43">
                  <c:v>9.1470778981007639E-3</c:v>
                </c:pt>
                <c:pt idx="44">
                  <c:v>9.5767821699537237E-3</c:v>
                </c:pt>
                <c:pt idx="45">
                  <c:v>1.0016300737007988E-2</c:v>
                </c:pt>
                <c:pt idx="46">
                  <c:v>1.0465629243989194E-2</c:v>
                </c:pt>
                <c:pt idx="47">
                  <c:v>1.092476323841407E-2</c:v>
                </c:pt>
                <c:pt idx="48">
                  <c:v>1.1393698170635291E-2</c:v>
                </c:pt>
                <c:pt idx="49">
                  <c:v>1.1872429393885775E-2</c:v>
                </c:pt>
                <c:pt idx="50">
                  <c:v>1.2360952164325312E-2</c:v>
                </c:pt>
                <c:pt idx="51">
                  <c:v>1.2859261641087194E-2</c:v>
                </c:pt>
                <c:pt idx="52">
                  <c:v>1.3367352886326511E-2</c:v>
                </c:pt>
                <c:pt idx="53">
                  <c:v>1.3885220865268999E-2</c:v>
                </c:pt>
                <c:pt idx="54">
                  <c:v>1.4412860446260445E-2</c:v>
                </c:pt>
                <c:pt idx="55">
                  <c:v>1.4950266400818424E-2</c:v>
                </c:pt>
                <c:pt idx="56">
                  <c:v>1.5497433403683258E-2</c:v>
                </c:pt>
                <c:pt idx="57">
                  <c:v>1.605435603287142E-2</c:v>
                </c:pt>
                <c:pt idx="58">
                  <c:v>1.6621028769728818E-2</c:v>
                </c:pt>
                <c:pt idx="59">
                  <c:v>1.719744599898565E-2</c:v>
                </c:pt>
                <c:pt idx="60">
                  <c:v>1.7783602008812238E-2</c:v>
                </c:pt>
                <c:pt idx="61">
                  <c:v>1.8379490990875214E-2</c:v>
                </c:pt>
                <c:pt idx="62">
                  <c:v>1.8985107040395466E-2</c:v>
                </c:pt>
                <c:pt idx="63">
                  <c:v>1.9600444156206542E-2</c:v>
                </c:pt>
                <c:pt idx="64">
                  <c:v>2.0225496240813712E-2</c:v>
                </c:pt>
                <c:pt idx="65">
                  <c:v>2.0860257100455248E-2</c:v>
                </c:pt>
                <c:pt idx="66">
                  <c:v>2.1504720445162939E-2</c:v>
                </c:pt>
                <c:pt idx="67">
                  <c:v>2.2158879888824812E-2</c:v>
                </c:pt>
                <c:pt idx="68">
                  <c:v>2.2822728949248527E-2</c:v>
                </c:pt>
                <c:pt idx="69">
                  <c:v>2.349626104822522E-2</c:v>
                </c:pt>
                <c:pt idx="70">
                  <c:v>2.4179469511595331E-2</c:v>
                </c:pt>
                <c:pt idx="71">
                  <c:v>2.487234756931378E-2</c:v>
                </c:pt>
                <c:pt idx="72">
                  <c:v>2.5574888355518133E-2</c:v>
                </c:pt>
                <c:pt idx="73">
                  <c:v>2.6287084908595659E-2</c:v>
                </c:pt>
                <c:pt idx="74">
                  <c:v>2.7008930171253165E-2</c:v>
                </c:pt>
                <c:pt idx="75">
                  <c:v>2.7740416990586381E-2</c:v>
                </c:pt>
                <c:pt idx="76">
                  <c:v>2.8481538118150684E-2</c:v>
                </c:pt>
                <c:pt idx="77">
                  <c:v>2.923228621003382E-2</c:v>
                </c:pt>
                <c:pt idx="78">
                  <c:v>2.9992653826927507E-2</c:v>
                </c:pt>
                <c:pt idx="79">
                  <c:v>3.0762633434202158E-2</c:v>
                </c:pt>
                <c:pt idx="80">
                  <c:v>3.1542217401980821E-2</c:v>
                </c:pt>
                <c:pt idx="81">
                  <c:v>3.2331398005215228E-2</c:v>
                </c:pt>
                <c:pt idx="82">
                  <c:v>3.313016742376218E-2</c:v>
                </c:pt>
                <c:pt idx="83">
                  <c:v>3.3938517742461038E-2</c:v>
                </c:pt>
                <c:pt idx="84">
                  <c:v>3.475644095121222E-2</c:v>
                </c:pt>
                <c:pt idx="85">
                  <c:v>3.5583928945056353E-2</c:v>
                </c:pt>
                <c:pt idx="86">
                  <c:v>3.6420973524254996E-2</c:v>
                </c:pt>
                <c:pt idx="87">
                  <c:v>3.7267566394371454E-2</c:v>
                </c:pt>
                <c:pt idx="88">
                  <c:v>3.8123699166353275E-2</c:v>
                </c:pt>
                <c:pt idx="89">
                  <c:v>3.8989363356615403E-2</c:v>
                </c:pt>
                <c:pt idx="90">
                  <c:v>3.9864550387123776E-2</c:v>
                </c:pt>
                <c:pt idx="91">
                  <c:v>4.0749251585480817E-2</c:v>
                </c:pt>
                <c:pt idx="92">
                  <c:v>4.1643458185011473E-2</c:v>
                </c:pt>
                <c:pt idx="93">
                  <c:v>4.2547161324849481E-2</c:v>
                </c:pt>
                <c:pt idx="94">
                  <c:v>4.346035205002563E-2</c:v>
                </c:pt>
                <c:pt idx="95">
                  <c:v>4.4383021311556581E-2</c:v>
                </c:pt>
                <c:pt idx="96">
                  <c:v>4.5315159966534124E-2</c:v>
                </c:pt>
                <c:pt idx="97">
                  <c:v>4.625675877821589E-2</c:v>
                </c:pt>
                <c:pt idx="98">
                  <c:v>4.7207808416117381E-2</c:v>
                </c:pt>
                <c:pt idx="99">
                  <c:v>4.8168299456103791E-2</c:v>
                </c:pt>
                <c:pt idx="100">
                  <c:v>4.9138222380483598E-2</c:v>
                </c:pt>
                <c:pt idx="101">
                  <c:v>5.0117567578102928E-2</c:v>
                </c:pt>
                <c:pt idx="102">
                  <c:v>5.1106325344440817E-2</c:v>
                </c:pt>
                <c:pt idx="103">
                  <c:v>5.2104485881705465E-2</c:v>
                </c:pt>
                <c:pt idx="104">
                  <c:v>5.3112039298931046E-2</c:v>
                </c:pt>
                <c:pt idx="105">
                  <c:v>5.4128975612075858E-2</c:v>
                </c:pt>
                <c:pt idx="106">
                  <c:v>5.5155284744121347E-2</c:v>
                </c:pt>
                <c:pt idx="107">
                  <c:v>5.6190956525171698E-2</c:v>
                </c:pt>
                <c:pt idx="108">
                  <c:v>5.7235980692555199E-2</c:v>
                </c:pt>
                <c:pt idx="109">
                  <c:v>5.8290346890925049E-2</c:v>
                </c:pt>
                <c:pt idx="110">
                  <c:v>5.9354044672362938E-2</c:v>
                </c:pt>
                <c:pt idx="111">
                  <c:v>6.0427063496481526E-2</c:v>
                </c:pt>
                <c:pt idx="112">
                  <c:v>6.1509392730530021E-2</c:v>
                </c:pt>
                <c:pt idx="113">
                  <c:v>6.2601021649498656E-2</c:v>
                </c:pt>
                <c:pt idx="114">
                  <c:v>6.3701939436225374E-2</c:v>
                </c:pt>
                <c:pt idx="115">
                  <c:v>6.4812135181502861E-2</c:v>
                </c:pt>
                <c:pt idx="116">
                  <c:v>6.5931597884186899E-2</c:v>
                </c:pt>
                <c:pt idx="117">
                  <c:v>6.7060316451305058E-2</c:v>
                </c:pt>
                <c:pt idx="118">
                  <c:v>6.8198279698166608E-2</c:v>
                </c:pt>
                <c:pt idx="119">
                  <c:v>6.9345476348473767E-2</c:v>
                </c:pt>
                <c:pt idx="120">
                  <c:v>7.050189503443316E-2</c:v>
                </c:pt>
                <c:pt idx="121">
                  <c:v>7.1667524296868401E-2</c:v>
                </c:pt>
                <c:pt idx="122">
                  <c:v>7.2842352585333559E-2</c:v>
                </c:pt>
                <c:pt idx="123">
                  <c:v>7.4026368258227948E-2</c:v>
                </c:pt>
                <c:pt idx="124">
                  <c:v>7.5219559582911377E-2</c:v>
                </c:pt>
                <c:pt idx="125">
                  <c:v>7.6421914735820273E-2</c:v>
                </c:pt>
                <c:pt idx="126">
                  <c:v>7.7633421802584812E-2</c:v>
                </c:pt>
                <c:pt idx="127">
                  <c:v>7.8854068778147268E-2</c:v>
                </c:pt>
                <c:pt idx="128">
                  <c:v>8.0083843566880586E-2</c:v>
                </c:pt>
                <c:pt idx="129">
                  <c:v>8.1322733982708617E-2</c:v>
                </c:pt>
                <c:pt idx="130">
                  <c:v>8.2570727749226691E-2</c:v>
                </c:pt>
                <c:pt idx="131">
                  <c:v>8.3827812499823295E-2</c:v>
                </c:pt>
                <c:pt idx="132">
                  <c:v>8.5093975777802311E-2</c:v>
                </c:pt>
                <c:pt idx="133">
                  <c:v>8.6369205036507135E-2</c:v>
                </c:pt>
                <c:pt idx="134">
                  <c:v>8.7653487639444361E-2</c:v>
                </c:pt>
                <c:pt idx="135">
                  <c:v>8.8946810860409342E-2</c:v>
                </c:pt>
                <c:pt idx="136">
                  <c:v>9.0249161883612206E-2</c:v>
                </c:pt>
                <c:pt idx="137">
                  <c:v>9.1560527803804637E-2</c:v>
                </c:pt>
                <c:pt idx="138">
                  <c:v>9.2880895626408333E-2</c:v>
                </c:pt>
                <c:pt idx="139">
                  <c:v>9.4210252267643013E-2</c:v>
                </c:pt>
                <c:pt idx="140">
                  <c:v>9.5548584554656757E-2</c:v>
                </c:pt>
                <c:pt idx="141">
                  <c:v>9.6895879225656123E-2</c:v>
                </c:pt>
                <c:pt idx="142">
                  <c:v>9.8252122930037711E-2</c:v>
                </c:pt>
                <c:pt idx="143">
                  <c:v>9.9617302228520166E-2</c:v>
                </c:pt>
                <c:pt idx="144">
                  <c:v>0.10099140359327796</c:v>
                </c:pt>
                <c:pt idx="145">
                  <c:v>0.10237441340807496</c:v>
                </c:pt>
                <c:pt idx="146">
                  <c:v>0.1037663179683993</c:v>
                </c:pt>
                <c:pt idx="147">
                  <c:v>0.10516710348159974</c:v>
                </c:pt>
                <c:pt idx="148">
                  <c:v>0.10657675606702155</c:v>
                </c:pt>
                <c:pt idx="149">
                  <c:v>0.10799526175614471</c:v>
                </c:pt>
                <c:pt idx="150">
                  <c:v>0.10942260649272206</c:v>
                </c:pt>
                <c:pt idx="151">
                  <c:v>0.11085877613291861</c:v>
                </c:pt>
                <c:pt idx="152">
                  <c:v>0.11230375644545154</c:v>
                </c:pt>
                <c:pt idx="153">
                  <c:v>0.11375753311173153</c:v>
                </c:pt>
                <c:pt idx="154">
                  <c:v>0.11522009172600445</c:v>
                </c:pt>
                <c:pt idx="155">
                  <c:v>0.11669141779549419</c:v>
                </c:pt>
                <c:pt idx="156">
                  <c:v>0.11817149674054617</c:v>
                </c:pt>
                <c:pt idx="157">
                  <c:v>0.11966031389477194</c:v>
                </c:pt>
                <c:pt idx="158">
                  <c:v>0.12115785450519423</c:v>
                </c:pt>
                <c:pt idx="159">
                  <c:v>0.12266410373239378</c:v>
                </c:pt>
                <c:pt idx="160">
                  <c:v>0.12417904665065549</c:v>
                </c:pt>
                <c:pt idx="161">
                  <c:v>0.12570266824811704</c:v>
                </c:pt>
                <c:pt idx="162">
                  <c:v>0.1272349534269176</c:v>
                </c:pt>
                <c:pt idx="163">
                  <c:v>0.12877588700334663</c:v>
                </c:pt>
                <c:pt idx="164">
                  <c:v>0.13032545370799575</c:v>
                </c:pt>
                <c:pt idx="165">
                  <c:v>0.13188363818590843</c:v>
                </c:pt>
                <c:pt idx="166">
                  <c:v>0.13345042499673354</c:v>
                </c:pt>
                <c:pt idx="167">
                  <c:v>0.13502579861487751</c:v>
                </c:pt>
                <c:pt idx="168">
                  <c:v>0.13660974342965859</c:v>
                </c:pt>
                <c:pt idx="169">
                  <c:v>0.13820224374546131</c:v>
                </c:pt>
                <c:pt idx="170">
                  <c:v>0.13980328378189188</c:v>
                </c:pt>
                <c:pt idx="171">
                  <c:v>0.14141284767393503</c:v>
                </c:pt>
                <c:pt idx="172">
                  <c:v>0.143030919472111</c:v>
                </c:pt>
                <c:pt idx="173">
                  <c:v>0.14465748314263338</c:v>
                </c:pt>
                <c:pt idx="174">
                  <c:v>0.14629252256756808</c:v>
                </c:pt>
                <c:pt idx="175">
                  <c:v>0.14793602154499341</c:v>
                </c:pt>
                <c:pt idx="176">
                  <c:v>0.14958796378916006</c:v>
                </c:pt>
                <c:pt idx="177">
                  <c:v>0.15124833293065298</c:v>
                </c:pt>
                <c:pt idx="178">
                  <c:v>0.15291711251655316</c:v>
                </c:pt>
                <c:pt idx="179">
                  <c:v>0.15459428601060099</c:v>
                </c:pt>
                <c:pt idx="180">
                  <c:v>0.15627983679335988</c:v>
                </c:pt>
                <c:pt idx="181">
                  <c:v>0.15797374816238119</c:v>
                </c:pt>
                <c:pt idx="182">
                  <c:v>0.15967600333236964</c:v>
                </c:pt>
                <c:pt idx="183">
                  <c:v>0.16138658543534967</c:v>
                </c:pt>
                <c:pt idx="184">
                  <c:v>0.16310547752083215</c:v>
                </c:pt>
                <c:pt idx="185">
                  <c:v>0.16483266255598328</c:v>
                </c:pt>
                <c:pt idx="186">
                  <c:v>0.1665681234257923</c:v>
                </c:pt>
                <c:pt idx="187">
                  <c:v>0.16831184293324197</c:v>
                </c:pt>
                <c:pt idx="188">
                  <c:v>0.17006380379947839</c:v>
                </c:pt>
                <c:pt idx="189">
                  <c:v>0.17182398866398252</c:v>
                </c:pt>
                <c:pt idx="190">
                  <c:v>0.1735923800847422</c:v>
                </c:pt>
                <c:pt idx="191">
                  <c:v>0.17536896053842488</c:v>
                </c:pt>
                <c:pt idx="192">
                  <c:v>0.17715371242055111</c:v>
                </c:pt>
                <c:pt idx="193">
                  <c:v>0.17894661804566958</c:v>
                </c:pt>
                <c:pt idx="194">
                  <c:v>0.18074765964753159</c:v>
                </c:pt>
                <c:pt idx="195">
                  <c:v>0.1825568193792676</c:v>
                </c:pt>
                <c:pt idx="196">
                  <c:v>0.18437407931356398</c:v>
                </c:pt>
                <c:pt idx="197">
                  <c:v>0.18619942144284063</c:v>
                </c:pt>
                <c:pt idx="198">
                  <c:v>0.18803282767942942</c:v>
                </c:pt>
                <c:pt idx="199">
                  <c:v>0.18987427985575323</c:v>
                </c:pt>
                <c:pt idx="200">
                  <c:v>0.19172375972450661</c:v>
                </c:pt>
                <c:pt idx="201">
                  <c:v>0.19358124895883555</c:v>
                </c:pt>
                <c:pt idx="202">
                  <c:v>0.19544672915252015</c:v>
                </c:pt>
                <c:pt idx="203">
                  <c:v>0.19732018182015654</c:v>
                </c:pt>
                <c:pt idx="204">
                  <c:v>0.1992015883973397</c:v>
                </c:pt>
                <c:pt idx="205">
                  <c:v>0.20109093024084834</c:v>
                </c:pt>
                <c:pt idx="206">
                  <c:v>0.20298818862882839</c:v>
                </c:pt>
                <c:pt idx="207">
                  <c:v>0.20489334476097976</c:v>
                </c:pt>
                <c:pt idx="208">
                  <c:v>0.20680637975874194</c:v>
                </c:pt>
                <c:pt idx="209">
                  <c:v>0.20872727466548102</c:v>
                </c:pt>
                <c:pt idx="210">
                  <c:v>0.21065601044667814</c:v>
                </c:pt>
                <c:pt idx="211">
                  <c:v>0.21259256799011716</c:v>
                </c:pt>
                <c:pt idx="212">
                  <c:v>0.21453692810607505</c:v>
                </c:pt>
                <c:pt idx="213">
                  <c:v>0.2164890715275114</c:v>
                </c:pt>
                <c:pt idx="214">
                  <c:v>0.21844897891025949</c:v>
                </c:pt>
                <c:pt idx="215">
                  <c:v>0.22041663083321805</c:v>
                </c:pt>
                <c:pt idx="216">
                  <c:v>0.22239200779854373</c:v>
                </c:pt>
                <c:pt idx="217">
                  <c:v>0.22437509023184399</c:v>
                </c:pt>
                <c:pt idx="218">
                  <c:v>0.22636585848237156</c:v>
                </c:pt>
                <c:pt idx="219">
                  <c:v>0.22836429282321902</c:v>
                </c:pt>
                <c:pt idx="220">
                  <c:v>0.2303703734515139</c:v>
                </c:pt>
                <c:pt idx="221">
                  <c:v>0.23238408048861525</c:v>
                </c:pt>
                <c:pt idx="222">
                  <c:v>0.23440539398031057</c:v>
                </c:pt>
                <c:pt idx="223">
                  <c:v>0.23643429389701376</c:v>
                </c:pt>
                <c:pt idx="224">
                  <c:v>0.23847076013396296</c:v>
                </c:pt>
                <c:pt idx="225">
                  <c:v>0.24051477251142062</c:v>
                </c:pt>
                <c:pt idx="226">
                  <c:v>0.24256631077487267</c:v>
                </c:pt>
                <c:pt idx="227">
                  <c:v>0.24462535459522983</c:v>
                </c:pt>
                <c:pt idx="228">
                  <c:v>0.24669188356902849</c:v>
                </c:pt>
                <c:pt idx="229">
                  <c:v>0.24876587721863352</c:v>
                </c:pt>
                <c:pt idx="230">
                  <c:v>0.25084731499244084</c:v>
                </c:pt>
                <c:pt idx="231">
                  <c:v>0.25293617626508091</c:v>
                </c:pt>
                <c:pt idx="232">
                  <c:v>0.25503244033762351</c:v>
                </c:pt>
                <c:pt idx="233">
                  <c:v>0.25713608643778241</c:v>
                </c:pt>
                <c:pt idx="234">
                  <c:v>0.25924709372012167</c:v>
                </c:pt>
                <c:pt idx="235">
                  <c:v>0.26136544126626193</c:v>
                </c:pt>
                <c:pt idx="236">
                  <c:v>0.26349110808508769</c:v>
                </c:pt>
                <c:pt idx="237">
                  <c:v>0.26562407311295533</c:v>
                </c:pt>
                <c:pt idx="238">
                  <c:v>0.26776431521390176</c:v>
                </c:pt>
                <c:pt idx="239">
                  <c:v>0.26991181317985435</c:v>
                </c:pt>
                <c:pt idx="240">
                  <c:v>0.27206654573084033</c:v>
                </c:pt>
                <c:pt idx="241">
                  <c:v>0.27422849151519824</c:v>
                </c:pt>
                <c:pt idx="242">
                  <c:v>0.27639762910978904</c:v>
                </c:pt>
                <c:pt idx="243">
                  <c:v>0.27857393702020894</c:v>
                </c:pt>
                <c:pt idx="244">
                  <c:v>0.28075739368100194</c:v>
                </c:pt>
                <c:pt idx="245">
                  <c:v>0.28294797745587386</c:v>
                </c:pt>
                <c:pt idx="246">
                  <c:v>0.28514566663790619</c:v>
                </c:pt>
                <c:pt idx="247">
                  <c:v>0.28735043944977212</c:v>
                </c:pt>
                <c:pt idx="248">
                  <c:v>0.28956227404395118</c:v>
                </c:pt>
                <c:pt idx="249">
                  <c:v>0.2917811485029469</c:v>
                </c:pt>
                <c:pt idx="250">
                  <c:v>0.29400704083950302</c:v>
                </c:pt>
                <c:pt idx="251">
                  <c:v>0.29623992899682194</c:v>
                </c:pt>
                <c:pt idx="252">
                  <c:v>0.29847979084878318</c:v>
                </c:pt>
                <c:pt idx="253">
                  <c:v>0.30072660420016228</c:v>
                </c:pt>
                <c:pt idx="254">
                  <c:v>0.30298034678685137</c:v>
                </c:pt>
                <c:pt idx="255">
                  <c:v>0.30524099627607926</c:v>
                </c:pt>
                <c:pt idx="256">
                  <c:v>0.30750853026663305</c:v>
                </c:pt>
                <c:pt idx="257">
                  <c:v>0.30978292628908</c:v>
                </c:pt>
                <c:pt idx="258">
                  <c:v>0.31206416180598984</c:v>
                </c:pt>
                <c:pt idx="259">
                  <c:v>0.31435221421215875</c:v>
                </c:pt>
                <c:pt idx="260">
                  <c:v>0.31664706083483307</c:v>
                </c:pt>
                <c:pt idx="261">
                  <c:v>0.31894867893393375</c:v>
                </c:pt>
                <c:pt idx="262">
                  <c:v>0.3212570457022822</c:v>
                </c:pt>
                <c:pt idx="263">
                  <c:v>0.32357213826582509</c:v>
                </c:pt>
                <c:pt idx="264">
                  <c:v>0.32589393368386299</c:v>
                </c:pt>
                <c:pt idx="265">
                  <c:v>0.3282224089492759</c:v>
                </c:pt>
                <c:pt idx="266">
                  <c:v>0.33055754098875223</c:v>
                </c:pt>
                <c:pt idx="267">
                  <c:v>0.33289930666301693</c:v>
                </c:pt>
                <c:pt idx="268">
                  <c:v>0.33524768276706118</c:v>
                </c:pt>
                <c:pt idx="269">
                  <c:v>0.33760264603037182</c:v>
                </c:pt>
                <c:pt idx="270">
                  <c:v>0.33996417311716254</c:v>
                </c:pt>
                <c:pt idx="271">
                  <c:v>0.34233224062660483</c:v>
                </c:pt>
                <c:pt idx="272">
                  <c:v>0.34470682509305983</c:v>
                </c:pt>
                <c:pt idx="273">
                  <c:v>0.34708790298631065</c:v>
                </c:pt>
                <c:pt idx="274">
                  <c:v>0.34947545071179609</c:v>
                </c:pt>
                <c:pt idx="275">
                  <c:v>0.35186944461084391</c:v>
                </c:pt>
                <c:pt idx="276">
                  <c:v>0.35426986096090574</c:v>
                </c:pt>
                <c:pt idx="277">
                  <c:v>0.35667667597579156</c:v>
                </c:pt>
                <c:pt idx="278">
                  <c:v>0.35908986580590629</c:v>
                </c:pt>
                <c:pt idx="279">
                  <c:v>0.36150940653848485</c:v>
                </c:pt>
                <c:pt idx="280">
                  <c:v>0.36393527419783034</c:v>
                </c:pt>
                <c:pt idx="281">
                  <c:v>0.36636744474555105</c:v>
                </c:pt>
                <c:pt idx="282">
                  <c:v>0.36880589408079867</c:v>
                </c:pt>
                <c:pt idx="283">
                  <c:v>0.3712505980405072</c:v>
                </c:pt>
                <c:pt idx="284">
                  <c:v>0.37370153239963222</c:v>
                </c:pt>
                <c:pt idx="285">
                  <c:v>0.37615867287139115</c:v>
                </c:pt>
                <c:pt idx="286">
                  <c:v>0.37862199510750394</c:v>
                </c:pt>
                <c:pt idx="287">
                  <c:v>0.38109147469843418</c:v>
                </c:pt>
                <c:pt idx="288">
                  <c:v>0.38356708717363108</c:v>
                </c:pt>
                <c:pt idx="289">
                  <c:v>0.38604880800177188</c:v>
                </c:pt>
                <c:pt idx="290">
                  <c:v>0.3885366125910048</c:v>
                </c:pt>
                <c:pt idx="291">
                  <c:v>0.39103047628919319</c:v>
                </c:pt>
                <c:pt idx="292">
                  <c:v>0.39353037438415939</c:v>
                </c:pt>
                <c:pt idx="293">
                  <c:v>0.3960362821039296</c:v>
                </c:pt>
                <c:pt idx="294">
                  <c:v>0.39854817461698</c:v>
                </c:pt>
                <c:pt idx="295">
                  <c:v>0.4010660270324814</c:v>
                </c:pt>
                <c:pt idx="296">
                  <c:v>0.40358981440054742</c:v>
                </c:pt>
                <c:pt idx="297">
                  <c:v>0.40611951171248117</c:v>
                </c:pt>
                <c:pt idx="298">
                  <c:v>0.4086550939010225</c:v>
                </c:pt>
                <c:pt idx="299">
                  <c:v>0.41119653584059757</c:v>
                </c:pt>
                <c:pt idx="300">
                  <c:v>0.41374381234756619</c:v>
                </c:pt>
                <c:pt idx="301">
                  <c:v>0.41629689818047322</c:v>
                </c:pt>
                <c:pt idx="302">
                  <c:v>0.41885576804029723</c:v>
                </c:pt>
                <c:pt idx="303">
                  <c:v>0.42142039657070196</c:v>
                </c:pt>
                <c:pt idx="304">
                  <c:v>0.42399075835828748</c:v>
                </c:pt>
                <c:pt idx="305">
                  <c:v>0.42656682793284162</c:v>
                </c:pt>
                <c:pt idx="306">
                  <c:v>0.42914857976759269</c:v>
                </c:pt>
                <c:pt idx="307">
                  <c:v>0.43173598827946269</c:v>
                </c:pt>
                <c:pt idx="308">
                  <c:v>0.43432902782932004</c:v>
                </c:pt>
                <c:pt idx="309">
                  <c:v>0.43692767272223476</c:v>
                </c:pt>
                <c:pt idx="310">
                  <c:v>0.43953189720773167</c:v>
                </c:pt>
                <c:pt idx="311">
                  <c:v>0.4421416754800469</c:v>
                </c:pt>
                <c:pt idx="312">
                  <c:v>0.44475698167838285</c:v>
                </c:pt>
                <c:pt idx="313">
                  <c:v>0.44737778988716459</c:v>
                </c:pt>
                <c:pt idx="314">
                  <c:v>0.45000407413629695</c:v>
                </c:pt>
                <c:pt idx="315">
                  <c:v>0.45263580840142115</c:v>
                </c:pt>
                <c:pt idx="316">
                  <c:v>0.45527296660417349</c:v>
                </c:pt>
                <c:pt idx="317">
                  <c:v>0.45791552261244328</c:v>
                </c:pt>
                <c:pt idx="318">
                  <c:v>0.46056345024063217</c:v>
                </c:pt>
                <c:pt idx="319">
                  <c:v>0.46321672324991292</c:v>
                </c:pt>
                <c:pt idx="320">
                  <c:v>0.46587531534849058</c:v>
                </c:pt>
                <c:pt idx="321">
                  <c:v>0.46853920019186157</c:v>
                </c:pt>
                <c:pt idx="322">
                  <c:v>0.47120835138307604</c:v>
                </c:pt>
                <c:pt idx="323">
                  <c:v>0.47388274247299855</c:v>
                </c:pt>
                <c:pt idx="324">
                  <c:v>0.47656234696057043</c:v>
                </c:pt>
                <c:pt idx="325">
                  <c:v>0.47924713829307297</c:v>
                </c:pt>
                <c:pt idx="326">
                  <c:v>0.48193708986638928</c:v>
                </c:pt>
                <c:pt idx="327">
                  <c:v>0.48463217502526945</c:v>
                </c:pt>
                <c:pt idx="328">
                  <c:v>0.48733236706359295</c:v>
                </c:pt>
                <c:pt idx="329">
                  <c:v>0.49003763922463506</c:v>
                </c:pt>
                <c:pt idx="330">
                  <c:v>0.49274796470133042</c:v>
                </c:pt>
                <c:pt idx="331">
                  <c:v>0.4954633166365402</c:v>
                </c:pt>
                <c:pt idx="332">
                  <c:v>0.4981836681233166</c:v>
                </c:pt>
                <c:pt idx="333">
                  <c:v>0.50090899220517071</c:v>
                </c:pt>
                <c:pt idx="334">
                  <c:v>0.50363926187633923</c:v>
                </c:pt>
                <c:pt idx="335">
                  <c:v>0.50637445008205195</c:v>
                </c:pt>
                <c:pt idx="336">
                  <c:v>0.50911452971880011</c:v>
                </c:pt>
                <c:pt idx="337">
                  <c:v>0.51185947363460449</c:v>
                </c:pt>
                <c:pt idx="338">
                  <c:v>0.51460925462928531</c:v>
                </c:pt>
                <c:pt idx="339">
                  <c:v>0.51736384545473046</c:v>
                </c:pt>
                <c:pt idx="340">
                  <c:v>0.52012321881516699</c:v>
                </c:pt>
                <c:pt idx="341">
                  <c:v>0.52288734736743059</c:v>
                </c:pt>
                <c:pt idx="342">
                  <c:v>0.52565620372123711</c:v>
                </c:pt>
                <c:pt idx="343">
                  <c:v>0.52842976043945322</c:v>
                </c:pt>
                <c:pt idx="344">
                  <c:v>0.53120799003836905</c:v>
                </c:pt>
                <c:pt idx="345">
                  <c:v>0.53399086498797033</c:v>
                </c:pt>
                <c:pt idx="346">
                  <c:v>0.53677835771221083</c:v>
                </c:pt>
                <c:pt idx="347">
                  <c:v>0.53957044058928638</c:v>
                </c:pt>
                <c:pt idx="348">
                  <c:v>0.54236708595190763</c:v>
                </c:pt>
                <c:pt idx="349">
                  <c:v>0.54516826608757496</c:v>
                </c:pt>
                <c:pt idx="350">
                  <c:v>0.54797395323885223</c:v>
                </c:pt>
                <c:pt idx="351">
                  <c:v>0.55078411960364337</c:v>
                </c:pt>
                <c:pt idx="352">
                  <c:v>0.55359873733546627</c:v>
                </c:pt>
                <c:pt idx="353">
                  <c:v>0.55641777854372954</c:v>
                </c:pt>
                <c:pt idx="354">
                  <c:v>0.55924121529400872</c:v>
                </c:pt>
                <c:pt idx="355">
                  <c:v>0.56206901960832267</c:v>
                </c:pt>
                <c:pt idx="356">
                  <c:v>0.56490116346541219</c:v>
                </c:pt>
                <c:pt idx="357">
                  <c:v>0.56773761880101548</c:v>
                </c:pt>
                <c:pt idx="358">
                  <c:v>0.57057835750814878</c:v>
                </c:pt>
                <c:pt idx="359">
                  <c:v>0.5734233514373821</c:v>
                </c:pt>
                <c:pt idx="360">
                  <c:v>0.57627257239712093</c:v>
                </c:pt>
                <c:pt idx="361">
                  <c:v>0.5791259921538835</c:v>
                </c:pt>
                <c:pt idx="362">
                  <c:v>0.58198358243258186</c:v>
                </c:pt>
                <c:pt idx="363">
                  <c:v>0.58484531491680136</c:v>
                </c:pt>
                <c:pt idx="364">
                  <c:v>0.58771116124908085</c:v>
                </c:pt>
                <c:pt idx="365">
                  <c:v>0.59058109303119544</c:v>
                </c:pt>
                <c:pt idx="366">
                  <c:v>0.59345508182443574</c:v>
                </c:pt>
                <c:pt idx="367">
                  <c:v>0.59633309914989119</c:v>
                </c:pt>
                <c:pt idx="368">
                  <c:v>0.59921511648873138</c:v>
                </c:pt>
                <c:pt idx="369">
                  <c:v>0.6021011052824895</c:v>
                </c:pt>
                <c:pt idx="370">
                  <c:v>0.60499103693334377</c:v>
                </c:pt>
                <c:pt idx="371">
                  <c:v>0.60788488280440323</c:v>
                </c:pt>
                <c:pt idx="372">
                  <c:v>0.61078261421998925</c:v>
                </c:pt>
                <c:pt idx="373">
                  <c:v>0.61368420246592092</c:v>
                </c:pt>
                <c:pt idx="374">
                  <c:v>0.61658961878979923</c:v>
                </c:pt>
                <c:pt idx="375">
                  <c:v>0.61949883440129161</c:v>
                </c:pt>
                <c:pt idx="376">
                  <c:v>0.6224118204724185</c:v>
                </c:pt>
                <c:pt idx="377">
                  <c:v>0.625328548137837</c:v>
                </c:pt>
                <c:pt idx="378">
                  <c:v>0.62824898849512922</c:v>
                </c:pt>
                <c:pt idx="379">
                  <c:v>0.63117311260508657</c:v>
                </c:pt>
                <c:pt idx="380">
                  <c:v>0.63410089149199766</c:v>
                </c:pt>
                <c:pt idx="381">
                  <c:v>0.63703229614393531</c:v>
                </c:pt>
                <c:pt idx="382">
                  <c:v>0.63996729751304415</c:v>
                </c:pt>
                <c:pt idx="383">
                  <c:v>0.64290586651582782</c:v>
                </c:pt>
                <c:pt idx="384">
                  <c:v>0.64584797403343797</c:v>
                </c:pt>
                <c:pt idx="385">
                  <c:v>0.64879359091196209</c:v>
                </c:pt>
                <c:pt idx="386">
                  <c:v>0.65174268796271284</c:v>
                </c:pt>
                <c:pt idx="387">
                  <c:v>0.65469523596251733</c:v>
                </c:pt>
                <c:pt idx="388">
                  <c:v>0.65765120565400648</c:v>
                </c:pt>
                <c:pt idx="389">
                  <c:v>0.6606105677459051</c:v>
                </c:pt>
                <c:pt idx="390">
                  <c:v>0.66357329291332134</c:v>
                </c:pt>
                <c:pt idx="391">
                  <c:v>0.66653935179803925</c:v>
                </c:pt>
                <c:pt idx="392">
                  <c:v>0.66950871500880726</c:v>
                </c:pt>
                <c:pt idx="393">
                  <c:v>0.67248135312163138</c:v>
                </c:pt>
                <c:pt idx="394">
                  <c:v>0.6754572366800653</c:v>
                </c:pt>
                <c:pt idx="395">
                  <c:v>0.67843633619550392</c:v>
                </c:pt>
                <c:pt idx="396">
                  <c:v>0.68141862214747362</c:v>
                </c:pt>
                <c:pt idx="397">
                  <c:v>0.68440406498392603</c:v>
                </c:pt>
                <c:pt idx="398">
                  <c:v>0.68739263512153115</c:v>
                </c:pt>
                <c:pt idx="399">
                  <c:v>0.6903843029459692</c:v>
                </c:pt>
                <c:pt idx="400">
                  <c:v>0.69337903881222562</c:v>
                </c:pt>
                <c:pt idx="401">
                  <c:v>0.69637681304488286</c:v>
                </c:pt>
                <c:pt idx="402">
                  <c:v>0.69937759593841675</c:v>
                </c:pt>
                <c:pt idx="403">
                  <c:v>0.70238135775748911</c:v>
                </c:pt>
                <c:pt idx="404">
                  <c:v>0.70538806873724358</c:v>
                </c:pt>
                <c:pt idx="405">
                  <c:v>0.70839769908359895</c:v>
                </c:pt>
                <c:pt idx="406">
                  <c:v>0.71141021897354673</c:v>
                </c:pt>
                <c:pt idx="407">
                  <c:v>0.71442559855544452</c:v>
                </c:pt>
                <c:pt idx="408">
                  <c:v>0.71744380794931262</c:v>
                </c:pt>
                <c:pt idx="409">
                  <c:v>0.72046481724713085</c:v>
                </c:pt>
                <c:pt idx="410">
                  <c:v>0.72348859651313369</c:v>
                </c:pt>
                <c:pt idx="411">
                  <c:v>0.72651511578410766</c:v>
                </c:pt>
                <c:pt idx="412">
                  <c:v>0.72954434506968779</c:v>
                </c:pt>
                <c:pt idx="413">
                  <c:v>0.73257625435265572</c:v>
                </c:pt>
                <c:pt idx="414">
                  <c:v>0.73561081358923541</c:v>
                </c:pt>
                <c:pt idx="415">
                  <c:v>0.7386479927093933</c:v>
                </c:pt>
                <c:pt idx="416">
                  <c:v>0.74168776161713368</c:v>
                </c:pt>
                <c:pt idx="417">
                  <c:v>0.7447300901907985</c:v>
                </c:pt>
                <c:pt idx="418">
                  <c:v>0.74777494828336577</c:v>
                </c:pt>
                <c:pt idx="419">
                  <c:v>0.75082230572274766</c:v>
                </c:pt>
                <c:pt idx="420">
                  <c:v>0.75387213231209049</c:v>
                </c:pt>
                <c:pt idx="421">
                  <c:v>0.75692439783007204</c:v>
                </c:pt>
                <c:pt idx="422">
                  <c:v>0.75997907203120352</c:v>
                </c:pt>
                <c:pt idx="423">
                  <c:v>0.76303612464612713</c:v>
                </c:pt>
                <c:pt idx="424">
                  <c:v>0.76609552538191783</c:v>
                </c:pt>
                <c:pt idx="425">
                  <c:v>0.76915724392238149</c:v>
                </c:pt>
                <c:pt idx="426">
                  <c:v>0.77222124992835761</c:v>
                </c:pt>
                <c:pt idx="427">
                  <c:v>0.77528751303801791</c:v>
                </c:pt>
                <c:pt idx="428">
                  <c:v>0.77835600286716788</c:v>
                </c:pt>
                <c:pt idx="429">
                  <c:v>0.78142668900954892</c:v>
                </c:pt>
                <c:pt idx="430">
                  <c:v>0.78449954103713782</c:v>
                </c:pt>
                <c:pt idx="431">
                  <c:v>0.78757452850045018</c:v>
                </c:pt>
                <c:pt idx="432">
                  <c:v>0.79065162092883967</c:v>
                </c:pt>
                <c:pt idx="433">
                  <c:v>0.79373078783080309</c:v>
                </c:pt>
                <c:pt idx="434">
                  <c:v>0.79681199869427966</c:v>
                </c:pt>
                <c:pt idx="435">
                  <c:v>0.79989522298695537</c:v>
                </c:pt>
                <c:pt idx="436">
                  <c:v>0.80298043015656417</c:v>
                </c:pt>
                <c:pt idx="437">
                  <c:v>0.80606758963119207</c:v>
                </c:pt>
                <c:pt idx="438">
                  <c:v>0.80915667081957843</c:v>
                </c:pt>
                <c:pt idx="439">
                  <c:v>0.81224764311142017</c:v>
                </c:pt>
                <c:pt idx="440">
                  <c:v>0.81534047587767555</c:v>
                </c:pt>
                <c:pt idx="441">
                  <c:v>0.81843513847086635</c:v>
                </c:pt>
                <c:pt idx="442">
                  <c:v>0.82153160022538252</c:v>
                </c:pt>
                <c:pt idx="443">
                  <c:v>0.82462983045778548</c:v>
                </c:pt>
                <c:pt idx="444">
                  <c:v>0.82772979846711325</c:v>
                </c:pt>
                <c:pt idx="445">
                  <c:v>0.8308314735351825</c:v>
                </c:pt>
                <c:pt idx="446">
                  <c:v>0.83393482492689608</c:v>
                </c:pt>
                <c:pt idx="447">
                  <c:v>0.83703982189054416</c:v>
                </c:pt>
                <c:pt idx="448">
                  <c:v>0.8401464336581117</c:v>
                </c:pt>
                <c:pt idx="449">
                  <c:v>0.84325462944558205</c:v>
                </c:pt>
                <c:pt idx="450">
                  <c:v>0.84636437845324164</c:v>
                </c:pt>
                <c:pt idx="451">
                  <c:v>0.84947564986598656</c:v>
                </c:pt>
                <c:pt idx="452">
                  <c:v>0.85258841285362663</c:v>
                </c:pt>
                <c:pt idx="453">
                  <c:v>0.85570263657119128</c:v>
                </c:pt>
                <c:pt idx="454">
                  <c:v>0.85881829015923528</c:v>
                </c:pt>
                <c:pt idx="455">
                  <c:v>0.86193534274414518</c:v>
                </c:pt>
                <c:pt idx="456">
                  <c:v>0.86505376343844365</c:v>
                </c:pt>
                <c:pt idx="457">
                  <c:v>0.86817352134109738</c:v>
                </c:pt>
                <c:pt idx="458">
                  <c:v>0.87129458553782158</c:v>
                </c:pt>
                <c:pt idx="459">
                  <c:v>0.87441692510138791</c:v>
                </c:pt>
                <c:pt idx="460">
                  <c:v>0.87754050909192971</c:v>
                </c:pt>
                <c:pt idx="461">
                  <c:v>0.88066530655724884</c:v>
                </c:pt>
                <c:pt idx="462">
                  <c:v>0.88379128653312367</c:v>
                </c:pt>
                <c:pt idx="463">
                  <c:v>0.88691841804361304</c:v>
                </c:pt>
                <c:pt idx="464">
                  <c:v>0.89004667010136695</c:v>
                </c:pt>
                <c:pt idx="465">
                  <c:v>0.89317601170793026</c:v>
                </c:pt>
                <c:pt idx="466">
                  <c:v>0.89630641185405224</c:v>
                </c:pt>
                <c:pt idx="467">
                  <c:v>0.8994378395199919</c:v>
                </c:pt>
                <c:pt idx="468">
                  <c:v>0.9025702636758276</c:v>
                </c:pt>
                <c:pt idx="469">
                  <c:v>0.90570365328176206</c:v>
                </c:pt>
                <c:pt idx="470">
                  <c:v>0.90883797728843208</c:v>
                </c:pt>
                <c:pt idx="471">
                  <c:v>0.91197320463721476</c:v>
                </c:pt>
                <c:pt idx="472">
                  <c:v>0.91510930426053605</c:v>
                </c:pt>
                <c:pt idx="473">
                  <c:v>0.91824624508217823</c:v>
                </c:pt>
                <c:pt idx="474">
                  <c:v>0.92138399601758791</c:v>
                </c:pt>
                <c:pt idx="475">
                  <c:v>0.92452252597418461</c:v>
                </c:pt>
                <c:pt idx="476">
                  <c:v>0.92766180385166763</c:v>
                </c:pt>
                <c:pt idx="477">
                  <c:v>0.93080179854232581</c:v>
                </c:pt>
                <c:pt idx="478">
                  <c:v>0.93394247893134419</c:v>
                </c:pt>
                <c:pt idx="479">
                  <c:v>0.9370838138971137</c:v>
                </c:pt>
                <c:pt idx="480">
                  <c:v>0.94022577231153837</c:v>
                </c:pt>
                <c:pt idx="481">
                  <c:v>0.94336832304034501</c:v>
                </c:pt>
                <c:pt idx="482">
                  <c:v>0.94651143494339052</c:v>
                </c:pt>
                <c:pt idx="483">
                  <c:v>0.9496550768749713</c:v>
                </c:pt>
                <c:pt idx="484">
                  <c:v>0.95279921768413134</c:v>
                </c:pt>
                <c:pt idx="485">
                  <c:v>0.9559438262149712</c:v>
                </c:pt>
                <c:pt idx="486">
                  <c:v>0.95908887130695719</c:v>
                </c:pt>
                <c:pt idx="487">
                  <c:v>0.96223432179522894</c:v>
                </c:pt>
                <c:pt idx="488">
                  <c:v>0.96538014651090975</c:v>
                </c:pt>
                <c:pt idx="489">
                  <c:v>0.96852631428141356</c:v>
                </c:pt>
                <c:pt idx="490">
                  <c:v>0.9716727939307559</c:v>
                </c:pt>
                <c:pt idx="491">
                  <c:v>0.97481955427986144</c:v>
                </c:pt>
                <c:pt idx="492">
                  <c:v>0.977966564146873</c:v>
                </c:pt>
                <c:pt idx="493">
                  <c:v>0.98111379234746177</c:v>
                </c:pt>
                <c:pt idx="494">
                  <c:v>0.98426120769513414</c:v>
                </c:pt>
                <c:pt idx="495">
                  <c:v>0.98740877900154345</c:v>
                </c:pt>
                <c:pt idx="496">
                  <c:v>0.99055647507679634</c:v>
                </c:pt>
                <c:pt idx="497">
                  <c:v>0.99370426472976414</c:v>
                </c:pt>
                <c:pt idx="498">
                  <c:v>0.99685211676839014</c:v>
                </c:pt>
                <c:pt idx="499">
                  <c:v>0.99999999999999989</c:v>
                </c:pt>
              </c:numCache>
            </c:numRef>
          </c:xVal>
          <c:yVal>
            <c:numRef>
              <c:f>Data2!$R$1:$R$500</c:f>
              <c:numCache>
                <c:formatCode>0.0000</c:formatCode>
                <c:ptCount val="500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3">
                  <c:v>-0.5</c:v>
                </c:pt>
                <c:pt idx="54">
                  <c:v>-0.5</c:v>
                </c:pt>
                <c:pt idx="55">
                  <c:v>-0.5</c:v>
                </c:pt>
                <c:pt idx="56">
                  <c:v>-0.5</c:v>
                </c:pt>
                <c:pt idx="57">
                  <c:v>-0.5</c:v>
                </c:pt>
                <c:pt idx="58">
                  <c:v>-0.5</c:v>
                </c:pt>
                <c:pt idx="59">
                  <c:v>-0.5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-0.5</c:v>
                </c:pt>
                <c:pt idx="66">
                  <c:v>-0.5</c:v>
                </c:pt>
                <c:pt idx="67">
                  <c:v>-0.5</c:v>
                </c:pt>
                <c:pt idx="68">
                  <c:v>-0.5</c:v>
                </c:pt>
                <c:pt idx="69">
                  <c:v>-0.5</c:v>
                </c:pt>
                <c:pt idx="70">
                  <c:v>-0.5</c:v>
                </c:pt>
                <c:pt idx="71">
                  <c:v>-0.5</c:v>
                </c:pt>
                <c:pt idx="72">
                  <c:v>-0.5</c:v>
                </c:pt>
                <c:pt idx="73">
                  <c:v>-0.5</c:v>
                </c:pt>
                <c:pt idx="74">
                  <c:v>-0.5</c:v>
                </c:pt>
                <c:pt idx="75">
                  <c:v>-0.5</c:v>
                </c:pt>
                <c:pt idx="76">
                  <c:v>-0.5</c:v>
                </c:pt>
                <c:pt idx="77">
                  <c:v>-0.5</c:v>
                </c:pt>
                <c:pt idx="78">
                  <c:v>-0.5</c:v>
                </c:pt>
                <c:pt idx="79">
                  <c:v>-0.5</c:v>
                </c:pt>
                <c:pt idx="80">
                  <c:v>-0.5</c:v>
                </c:pt>
                <c:pt idx="81">
                  <c:v>-0.5</c:v>
                </c:pt>
                <c:pt idx="82">
                  <c:v>-0.5</c:v>
                </c:pt>
                <c:pt idx="83">
                  <c:v>-0.5</c:v>
                </c:pt>
                <c:pt idx="84">
                  <c:v>-0.5</c:v>
                </c:pt>
                <c:pt idx="85">
                  <c:v>-0.5</c:v>
                </c:pt>
                <c:pt idx="86">
                  <c:v>-0.5</c:v>
                </c:pt>
                <c:pt idx="87">
                  <c:v>-0.5</c:v>
                </c:pt>
                <c:pt idx="88">
                  <c:v>-0.5</c:v>
                </c:pt>
                <c:pt idx="89">
                  <c:v>-0.5</c:v>
                </c:pt>
                <c:pt idx="90">
                  <c:v>-0.5</c:v>
                </c:pt>
                <c:pt idx="91">
                  <c:v>-0.5</c:v>
                </c:pt>
                <c:pt idx="92">
                  <c:v>-0.5</c:v>
                </c:pt>
                <c:pt idx="93">
                  <c:v>-0.5</c:v>
                </c:pt>
                <c:pt idx="94">
                  <c:v>-0.5</c:v>
                </c:pt>
                <c:pt idx="95">
                  <c:v>-0.5</c:v>
                </c:pt>
                <c:pt idx="96">
                  <c:v>-0.5</c:v>
                </c:pt>
                <c:pt idx="97">
                  <c:v>-0.5</c:v>
                </c:pt>
                <c:pt idx="98">
                  <c:v>-0.5</c:v>
                </c:pt>
                <c:pt idx="99">
                  <c:v>-0.5</c:v>
                </c:pt>
                <c:pt idx="100">
                  <c:v>-0.5</c:v>
                </c:pt>
                <c:pt idx="101">
                  <c:v>-0.5</c:v>
                </c:pt>
                <c:pt idx="102">
                  <c:v>-0.5</c:v>
                </c:pt>
                <c:pt idx="103">
                  <c:v>-0.5</c:v>
                </c:pt>
                <c:pt idx="104">
                  <c:v>-0.5</c:v>
                </c:pt>
                <c:pt idx="105">
                  <c:v>-0.5</c:v>
                </c:pt>
                <c:pt idx="106">
                  <c:v>-0.5</c:v>
                </c:pt>
                <c:pt idx="107">
                  <c:v>-0.5</c:v>
                </c:pt>
                <c:pt idx="108">
                  <c:v>-0.5</c:v>
                </c:pt>
                <c:pt idx="109">
                  <c:v>-0.5</c:v>
                </c:pt>
                <c:pt idx="110">
                  <c:v>-0.5</c:v>
                </c:pt>
                <c:pt idx="111">
                  <c:v>-0.5</c:v>
                </c:pt>
                <c:pt idx="112">
                  <c:v>-0.5</c:v>
                </c:pt>
                <c:pt idx="113">
                  <c:v>-0.5</c:v>
                </c:pt>
                <c:pt idx="114">
                  <c:v>-0.5</c:v>
                </c:pt>
                <c:pt idx="115">
                  <c:v>-0.5</c:v>
                </c:pt>
                <c:pt idx="116">
                  <c:v>-0.5</c:v>
                </c:pt>
                <c:pt idx="117">
                  <c:v>-0.5</c:v>
                </c:pt>
                <c:pt idx="118">
                  <c:v>-0.5</c:v>
                </c:pt>
                <c:pt idx="119">
                  <c:v>-0.5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-0.5</c:v>
                </c:pt>
                <c:pt idx="129">
                  <c:v>-0.5</c:v>
                </c:pt>
                <c:pt idx="130">
                  <c:v>-0.5</c:v>
                </c:pt>
                <c:pt idx="131">
                  <c:v>-0.5</c:v>
                </c:pt>
                <c:pt idx="132">
                  <c:v>-0.5</c:v>
                </c:pt>
                <c:pt idx="133">
                  <c:v>-0.5</c:v>
                </c:pt>
                <c:pt idx="134">
                  <c:v>-0.5</c:v>
                </c:pt>
                <c:pt idx="135">
                  <c:v>-0.5</c:v>
                </c:pt>
                <c:pt idx="136">
                  <c:v>-0.5</c:v>
                </c:pt>
                <c:pt idx="137">
                  <c:v>-0.5</c:v>
                </c:pt>
                <c:pt idx="138">
                  <c:v>-0.5</c:v>
                </c:pt>
                <c:pt idx="139">
                  <c:v>-0.5</c:v>
                </c:pt>
                <c:pt idx="140">
                  <c:v>-0.5</c:v>
                </c:pt>
                <c:pt idx="141">
                  <c:v>-0.5</c:v>
                </c:pt>
                <c:pt idx="142">
                  <c:v>-0.5</c:v>
                </c:pt>
                <c:pt idx="143">
                  <c:v>-0.5</c:v>
                </c:pt>
                <c:pt idx="144">
                  <c:v>-0.5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-0.5</c:v>
                </c:pt>
                <c:pt idx="149">
                  <c:v>-0.5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  <c:pt idx="171">
                  <c:v>-0.5</c:v>
                </c:pt>
                <c:pt idx="172">
                  <c:v>-0.5</c:v>
                </c:pt>
                <c:pt idx="173">
                  <c:v>-0.5</c:v>
                </c:pt>
                <c:pt idx="174">
                  <c:v>-0.5</c:v>
                </c:pt>
                <c:pt idx="175">
                  <c:v>-0.5</c:v>
                </c:pt>
                <c:pt idx="176">
                  <c:v>-0.5</c:v>
                </c:pt>
                <c:pt idx="177">
                  <c:v>-0.5</c:v>
                </c:pt>
                <c:pt idx="178">
                  <c:v>-0.5</c:v>
                </c:pt>
                <c:pt idx="179">
                  <c:v>-0.5</c:v>
                </c:pt>
                <c:pt idx="180">
                  <c:v>-0.5</c:v>
                </c:pt>
                <c:pt idx="181">
                  <c:v>-0.5</c:v>
                </c:pt>
                <c:pt idx="182">
                  <c:v>-0.5</c:v>
                </c:pt>
                <c:pt idx="183">
                  <c:v>-0.5</c:v>
                </c:pt>
                <c:pt idx="184">
                  <c:v>-0.5</c:v>
                </c:pt>
                <c:pt idx="185">
                  <c:v>-0.5</c:v>
                </c:pt>
                <c:pt idx="186">
                  <c:v>-0.5</c:v>
                </c:pt>
                <c:pt idx="187">
                  <c:v>-0.5</c:v>
                </c:pt>
                <c:pt idx="188">
                  <c:v>-0.5</c:v>
                </c:pt>
                <c:pt idx="189">
                  <c:v>-0.5</c:v>
                </c:pt>
                <c:pt idx="190">
                  <c:v>-0.5</c:v>
                </c:pt>
                <c:pt idx="191">
                  <c:v>-0.5</c:v>
                </c:pt>
                <c:pt idx="192">
                  <c:v>-0.5</c:v>
                </c:pt>
                <c:pt idx="193">
                  <c:v>-0.5</c:v>
                </c:pt>
                <c:pt idx="194">
                  <c:v>-0.5</c:v>
                </c:pt>
                <c:pt idx="195">
                  <c:v>-0.5</c:v>
                </c:pt>
                <c:pt idx="196">
                  <c:v>-0.5</c:v>
                </c:pt>
                <c:pt idx="197">
                  <c:v>-0.5</c:v>
                </c:pt>
                <c:pt idx="198">
                  <c:v>-0.5</c:v>
                </c:pt>
                <c:pt idx="199">
                  <c:v>-0.5</c:v>
                </c:pt>
                <c:pt idx="200">
                  <c:v>-0.5</c:v>
                </c:pt>
                <c:pt idx="201">
                  <c:v>-0.5</c:v>
                </c:pt>
                <c:pt idx="202">
                  <c:v>-0.5</c:v>
                </c:pt>
                <c:pt idx="203">
                  <c:v>-0.5</c:v>
                </c:pt>
                <c:pt idx="204">
                  <c:v>-0.5</c:v>
                </c:pt>
                <c:pt idx="205">
                  <c:v>-0.5</c:v>
                </c:pt>
                <c:pt idx="206">
                  <c:v>-0.5</c:v>
                </c:pt>
                <c:pt idx="207">
                  <c:v>-0.5</c:v>
                </c:pt>
                <c:pt idx="208">
                  <c:v>-0.5</c:v>
                </c:pt>
                <c:pt idx="209">
                  <c:v>-0.5</c:v>
                </c:pt>
                <c:pt idx="210">
                  <c:v>-0.5</c:v>
                </c:pt>
                <c:pt idx="211">
                  <c:v>-0.5</c:v>
                </c:pt>
                <c:pt idx="212">
                  <c:v>-0.5</c:v>
                </c:pt>
                <c:pt idx="213">
                  <c:v>-0.5</c:v>
                </c:pt>
                <c:pt idx="214">
                  <c:v>-0.5</c:v>
                </c:pt>
                <c:pt idx="215">
                  <c:v>-0.5</c:v>
                </c:pt>
                <c:pt idx="216">
                  <c:v>-0.5</c:v>
                </c:pt>
                <c:pt idx="217">
                  <c:v>-0.5</c:v>
                </c:pt>
                <c:pt idx="218">
                  <c:v>-0.5</c:v>
                </c:pt>
                <c:pt idx="219">
                  <c:v>-0.5</c:v>
                </c:pt>
                <c:pt idx="220">
                  <c:v>-0.5</c:v>
                </c:pt>
                <c:pt idx="221">
                  <c:v>-0.5</c:v>
                </c:pt>
                <c:pt idx="222">
                  <c:v>-0.5</c:v>
                </c:pt>
                <c:pt idx="223">
                  <c:v>-0.5</c:v>
                </c:pt>
                <c:pt idx="224">
                  <c:v>-0.5</c:v>
                </c:pt>
                <c:pt idx="225">
                  <c:v>-0.5</c:v>
                </c:pt>
                <c:pt idx="226">
                  <c:v>-0.5</c:v>
                </c:pt>
                <c:pt idx="227">
                  <c:v>-0.5</c:v>
                </c:pt>
                <c:pt idx="228">
                  <c:v>-0.5</c:v>
                </c:pt>
                <c:pt idx="229">
                  <c:v>-0.5</c:v>
                </c:pt>
                <c:pt idx="230">
                  <c:v>-0.5</c:v>
                </c:pt>
                <c:pt idx="231">
                  <c:v>-0.5</c:v>
                </c:pt>
                <c:pt idx="232">
                  <c:v>-0.5</c:v>
                </c:pt>
                <c:pt idx="233">
                  <c:v>-0.5</c:v>
                </c:pt>
                <c:pt idx="234">
                  <c:v>-0.5</c:v>
                </c:pt>
                <c:pt idx="235">
                  <c:v>-0.5</c:v>
                </c:pt>
                <c:pt idx="236">
                  <c:v>-0.5</c:v>
                </c:pt>
                <c:pt idx="237">
                  <c:v>-0.5</c:v>
                </c:pt>
                <c:pt idx="238">
                  <c:v>-0.5</c:v>
                </c:pt>
                <c:pt idx="239">
                  <c:v>-0.5</c:v>
                </c:pt>
                <c:pt idx="240">
                  <c:v>-0.5</c:v>
                </c:pt>
                <c:pt idx="241">
                  <c:v>-0.5</c:v>
                </c:pt>
                <c:pt idx="242">
                  <c:v>-0.5</c:v>
                </c:pt>
                <c:pt idx="243">
                  <c:v>-0.5</c:v>
                </c:pt>
                <c:pt idx="244">
                  <c:v>-0.5</c:v>
                </c:pt>
                <c:pt idx="245">
                  <c:v>-0.5</c:v>
                </c:pt>
                <c:pt idx="246">
                  <c:v>-0.5</c:v>
                </c:pt>
                <c:pt idx="247">
                  <c:v>-0.5</c:v>
                </c:pt>
                <c:pt idx="248">
                  <c:v>-0.5</c:v>
                </c:pt>
                <c:pt idx="249">
                  <c:v>-0.5</c:v>
                </c:pt>
                <c:pt idx="250">
                  <c:v>-0.5</c:v>
                </c:pt>
                <c:pt idx="251">
                  <c:v>-0.5</c:v>
                </c:pt>
                <c:pt idx="252">
                  <c:v>-0.5</c:v>
                </c:pt>
                <c:pt idx="253">
                  <c:v>-0.5</c:v>
                </c:pt>
                <c:pt idx="254">
                  <c:v>-0.5</c:v>
                </c:pt>
                <c:pt idx="255">
                  <c:v>-0.5</c:v>
                </c:pt>
                <c:pt idx="256">
                  <c:v>-0.5</c:v>
                </c:pt>
                <c:pt idx="257">
                  <c:v>-0.5</c:v>
                </c:pt>
                <c:pt idx="258">
                  <c:v>-0.5</c:v>
                </c:pt>
                <c:pt idx="259">
                  <c:v>-0.5</c:v>
                </c:pt>
                <c:pt idx="260">
                  <c:v>-0.5</c:v>
                </c:pt>
                <c:pt idx="261">
                  <c:v>-0.5</c:v>
                </c:pt>
                <c:pt idx="262">
                  <c:v>-0.5</c:v>
                </c:pt>
                <c:pt idx="263">
                  <c:v>-0.5</c:v>
                </c:pt>
                <c:pt idx="264">
                  <c:v>-0.5</c:v>
                </c:pt>
                <c:pt idx="265">
                  <c:v>-0.5</c:v>
                </c:pt>
                <c:pt idx="266">
                  <c:v>-0.5</c:v>
                </c:pt>
                <c:pt idx="267">
                  <c:v>-0.5</c:v>
                </c:pt>
                <c:pt idx="268">
                  <c:v>-0.5</c:v>
                </c:pt>
                <c:pt idx="269">
                  <c:v>-0.5</c:v>
                </c:pt>
                <c:pt idx="270">
                  <c:v>-0.5</c:v>
                </c:pt>
                <c:pt idx="271">
                  <c:v>-0.5</c:v>
                </c:pt>
                <c:pt idx="272">
                  <c:v>-0.5</c:v>
                </c:pt>
                <c:pt idx="273">
                  <c:v>-0.5</c:v>
                </c:pt>
                <c:pt idx="274">
                  <c:v>-0.5</c:v>
                </c:pt>
                <c:pt idx="275">
                  <c:v>-0.5</c:v>
                </c:pt>
                <c:pt idx="276">
                  <c:v>-0.5</c:v>
                </c:pt>
                <c:pt idx="277">
                  <c:v>-0.5</c:v>
                </c:pt>
                <c:pt idx="278">
                  <c:v>-0.5</c:v>
                </c:pt>
                <c:pt idx="279">
                  <c:v>-0.5</c:v>
                </c:pt>
                <c:pt idx="280">
                  <c:v>-0.5</c:v>
                </c:pt>
                <c:pt idx="281">
                  <c:v>-0.5</c:v>
                </c:pt>
                <c:pt idx="282">
                  <c:v>-0.5</c:v>
                </c:pt>
                <c:pt idx="283">
                  <c:v>-0.5</c:v>
                </c:pt>
                <c:pt idx="284">
                  <c:v>-0.5</c:v>
                </c:pt>
                <c:pt idx="285">
                  <c:v>-0.5</c:v>
                </c:pt>
                <c:pt idx="286">
                  <c:v>-0.5</c:v>
                </c:pt>
                <c:pt idx="287">
                  <c:v>-0.5</c:v>
                </c:pt>
                <c:pt idx="288">
                  <c:v>-0.5</c:v>
                </c:pt>
                <c:pt idx="289">
                  <c:v>-0.5</c:v>
                </c:pt>
                <c:pt idx="290">
                  <c:v>-0.5</c:v>
                </c:pt>
                <c:pt idx="291">
                  <c:v>-0.5</c:v>
                </c:pt>
                <c:pt idx="292">
                  <c:v>-0.5</c:v>
                </c:pt>
                <c:pt idx="293">
                  <c:v>-0.5</c:v>
                </c:pt>
                <c:pt idx="294">
                  <c:v>-0.5</c:v>
                </c:pt>
                <c:pt idx="295">
                  <c:v>-0.5</c:v>
                </c:pt>
                <c:pt idx="296">
                  <c:v>-0.5</c:v>
                </c:pt>
                <c:pt idx="297">
                  <c:v>-0.5</c:v>
                </c:pt>
                <c:pt idx="298">
                  <c:v>-0.5</c:v>
                </c:pt>
                <c:pt idx="299">
                  <c:v>-0.5</c:v>
                </c:pt>
                <c:pt idx="300">
                  <c:v>-0.5</c:v>
                </c:pt>
                <c:pt idx="301">
                  <c:v>-0.5</c:v>
                </c:pt>
                <c:pt idx="302">
                  <c:v>-0.5</c:v>
                </c:pt>
                <c:pt idx="303">
                  <c:v>-0.5</c:v>
                </c:pt>
                <c:pt idx="304">
                  <c:v>-0.5</c:v>
                </c:pt>
                <c:pt idx="305">
                  <c:v>-0.5</c:v>
                </c:pt>
                <c:pt idx="306">
                  <c:v>-0.5</c:v>
                </c:pt>
                <c:pt idx="307">
                  <c:v>-0.5</c:v>
                </c:pt>
                <c:pt idx="308">
                  <c:v>-0.5</c:v>
                </c:pt>
                <c:pt idx="309">
                  <c:v>-0.5</c:v>
                </c:pt>
                <c:pt idx="310">
                  <c:v>-0.5</c:v>
                </c:pt>
                <c:pt idx="311">
                  <c:v>-0.5</c:v>
                </c:pt>
                <c:pt idx="312">
                  <c:v>-0.5</c:v>
                </c:pt>
                <c:pt idx="313">
                  <c:v>-0.5</c:v>
                </c:pt>
                <c:pt idx="314">
                  <c:v>-0.5</c:v>
                </c:pt>
                <c:pt idx="315">
                  <c:v>-0.5</c:v>
                </c:pt>
                <c:pt idx="316">
                  <c:v>-0.5</c:v>
                </c:pt>
                <c:pt idx="317">
                  <c:v>-0.5</c:v>
                </c:pt>
                <c:pt idx="318">
                  <c:v>-0.5</c:v>
                </c:pt>
                <c:pt idx="319">
                  <c:v>-0.5</c:v>
                </c:pt>
                <c:pt idx="320">
                  <c:v>-0.5</c:v>
                </c:pt>
                <c:pt idx="321">
                  <c:v>-0.5</c:v>
                </c:pt>
                <c:pt idx="322">
                  <c:v>-0.5</c:v>
                </c:pt>
                <c:pt idx="323">
                  <c:v>-0.5</c:v>
                </c:pt>
                <c:pt idx="324">
                  <c:v>-0.5</c:v>
                </c:pt>
                <c:pt idx="325">
                  <c:v>-0.5</c:v>
                </c:pt>
                <c:pt idx="326">
                  <c:v>-0.5</c:v>
                </c:pt>
                <c:pt idx="327">
                  <c:v>-0.5</c:v>
                </c:pt>
                <c:pt idx="328">
                  <c:v>-0.5</c:v>
                </c:pt>
                <c:pt idx="329">
                  <c:v>-0.5</c:v>
                </c:pt>
                <c:pt idx="330">
                  <c:v>-0.5</c:v>
                </c:pt>
                <c:pt idx="331">
                  <c:v>-0.5</c:v>
                </c:pt>
                <c:pt idx="332">
                  <c:v>-0.5</c:v>
                </c:pt>
                <c:pt idx="333">
                  <c:v>-0.5</c:v>
                </c:pt>
                <c:pt idx="334">
                  <c:v>-0.5</c:v>
                </c:pt>
                <c:pt idx="335">
                  <c:v>-0.5</c:v>
                </c:pt>
                <c:pt idx="336">
                  <c:v>-0.5</c:v>
                </c:pt>
                <c:pt idx="337">
                  <c:v>-0.5</c:v>
                </c:pt>
                <c:pt idx="338">
                  <c:v>-0.5</c:v>
                </c:pt>
                <c:pt idx="339">
                  <c:v>-0.5</c:v>
                </c:pt>
                <c:pt idx="340">
                  <c:v>-0.5</c:v>
                </c:pt>
                <c:pt idx="341">
                  <c:v>-0.5</c:v>
                </c:pt>
                <c:pt idx="342">
                  <c:v>-0.5</c:v>
                </c:pt>
                <c:pt idx="343">
                  <c:v>-0.5</c:v>
                </c:pt>
                <c:pt idx="344">
                  <c:v>-0.5</c:v>
                </c:pt>
                <c:pt idx="345">
                  <c:v>-0.5</c:v>
                </c:pt>
                <c:pt idx="346">
                  <c:v>-0.5</c:v>
                </c:pt>
                <c:pt idx="347">
                  <c:v>-0.5</c:v>
                </c:pt>
                <c:pt idx="348">
                  <c:v>-0.5</c:v>
                </c:pt>
                <c:pt idx="349">
                  <c:v>-0.5</c:v>
                </c:pt>
                <c:pt idx="350">
                  <c:v>-0.5</c:v>
                </c:pt>
                <c:pt idx="351">
                  <c:v>-0.5</c:v>
                </c:pt>
                <c:pt idx="352">
                  <c:v>-0.5</c:v>
                </c:pt>
                <c:pt idx="353">
                  <c:v>-0.5</c:v>
                </c:pt>
                <c:pt idx="354">
                  <c:v>-0.5</c:v>
                </c:pt>
                <c:pt idx="355">
                  <c:v>-0.5</c:v>
                </c:pt>
                <c:pt idx="356">
                  <c:v>-0.5</c:v>
                </c:pt>
                <c:pt idx="357">
                  <c:v>-0.5</c:v>
                </c:pt>
                <c:pt idx="358">
                  <c:v>-0.5</c:v>
                </c:pt>
                <c:pt idx="359">
                  <c:v>-0.5</c:v>
                </c:pt>
                <c:pt idx="360">
                  <c:v>-0.5</c:v>
                </c:pt>
                <c:pt idx="361">
                  <c:v>-0.5</c:v>
                </c:pt>
                <c:pt idx="362">
                  <c:v>-0.5</c:v>
                </c:pt>
                <c:pt idx="363">
                  <c:v>-0.5</c:v>
                </c:pt>
                <c:pt idx="364">
                  <c:v>-0.5</c:v>
                </c:pt>
                <c:pt idx="365">
                  <c:v>-0.5</c:v>
                </c:pt>
                <c:pt idx="366">
                  <c:v>-0.5</c:v>
                </c:pt>
                <c:pt idx="367">
                  <c:v>-0.5</c:v>
                </c:pt>
                <c:pt idx="368">
                  <c:v>-0.5</c:v>
                </c:pt>
                <c:pt idx="369">
                  <c:v>-0.5</c:v>
                </c:pt>
                <c:pt idx="370">
                  <c:v>-0.5</c:v>
                </c:pt>
                <c:pt idx="371">
                  <c:v>-0.5</c:v>
                </c:pt>
                <c:pt idx="372">
                  <c:v>-0.5</c:v>
                </c:pt>
                <c:pt idx="373">
                  <c:v>-0.5</c:v>
                </c:pt>
                <c:pt idx="374">
                  <c:v>-0.5</c:v>
                </c:pt>
                <c:pt idx="375">
                  <c:v>-0.5</c:v>
                </c:pt>
                <c:pt idx="376">
                  <c:v>-0.5</c:v>
                </c:pt>
                <c:pt idx="377">
                  <c:v>-0.5</c:v>
                </c:pt>
                <c:pt idx="378">
                  <c:v>-0.5</c:v>
                </c:pt>
                <c:pt idx="379">
                  <c:v>-0.5</c:v>
                </c:pt>
                <c:pt idx="380">
                  <c:v>-0.5</c:v>
                </c:pt>
                <c:pt idx="381">
                  <c:v>-0.5</c:v>
                </c:pt>
                <c:pt idx="382">
                  <c:v>-0.5</c:v>
                </c:pt>
                <c:pt idx="383">
                  <c:v>-0.5</c:v>
                </c:pt>
                <c:pt idx="384">
                  <c:v>-0.5</c:v>
                </c:pt>
                <c:pt idx="385">
                  <c:v>-0.5</c:v>
                </c:pt>
                <c:pt idx="386">
                  <c:v>-0.5</c:v>
                </c:pt>
                <c:pt idx="387">
                  <c:v>-0.5</c:v>
                </c:pt>
                <c:pt idx="388">
                  <c:v>-0.5</c:v>
                </c:pt>
                <c:pt idx="389">
                  <c:v>-0.5</c:v>
                </c:pt>
                <c:pt idx="390">
                  <c:v>-0.5</c:v>
                </c:pt>
                <c:pt idx="391">
                  <c:v>-0.5</c:v>
                </c:pt>
                <c:pt idx="392">
                  <c:v>-0.5</c:v>
                </c:pt>
                <c:pt idx="393">
                  <c:v>-0.5</c:v>
                </c:pt>
                <c:pt idx="394">
                  <c:v>-0.5</c:v>
                </c:pt>
                <c:pt idx="395">
                  <c:v>-0.5</c:v>
                </c:pt>
                <c:pt idx="396">
                  <c:v>-0.5</c:v>
                </c:pt>
                <c:pt idx="397">
                  <c:v>-0.5</c:v>
                </c:pt>
                <c:pt idx="398">
                  <c:v>-0.5</c:v>
                </c:pt>
                <c:pt idx="399">
                  <c:v>-0.5</c:v>
                </c:pt>
                <c:pt idx="400">
                  <c:v>-0.5</c:v>
                </c:pt>
                <c:pt idx="401">
                  <c:v>-0.5</c:v>
                </c:pt>
                <c:pt idx="402">
                  <c:v>-0.5</c:v>
                </c:pt>
                <c:pt idx="403">
                  <c:v>-0.5</c:v>
                </c:pt>
                <c:pt idx="404">
                  <c:v>-0.5</c:v>
                </c:pt>
                <c:pt idx="405">
                  <c:v>-0.5</c:v>
                </c:pt>
                <c:pt idx="406">
                  <c:v>-0.5</c:v>
                </c:pt>
                <c:pt idx="407">
                  <c:v>-0.5</c:v>
                </c:pt>
                <c:pt idx="408">
                  <c:v>-0.5</c:v>
                </c:pt>
                <c:pt idx="409">
                  <c:v>-0.5</c:v>
                </c:pt>
                <c:pt idx="410">
                  <c:v>-0.5</c:v>
                </c:pt>
                <c:pt idx="411">
                  <c:v>-0.5</c:v>
                </c:pt>
                <c:pt idx="412">
                  <c:v>-0.5</c:v>
                </c:pt>
                <c:pt idx="413">
                  <c:v>-0.5</c:v>
                </c:pt>
                <c:pt idx="414">
                  <c:v>-0.5</c:v>
                </c:pt>
                <c:pt idx="415">
                  <c:v>-0.5</c:v>
                </c:pt>
                <c:pt idx="416">
                  <c:v>-0.5</c:v>
                </c:pt>
                <c:pt idx="417">
                  <c:v>-0.5</c:v>
                </c:pt>
                <c:pt idx="418">
                  <c:v>-0.5</c:v>
                </c:pt>
                <c:pt idx="419">
                  <c:v>-0.5</c:v>
                </c:pt>
                <c:pt idx="420">
                  <c:v>-0.5</c:v>
                </c:pt>
                <c:pt idx="421">
                  <c:v>-0.5</c:v>
                </c:pt>
                <c:pt idx="422">
                  <c:v>-0.5</c:v>
                </c:pt>
                <c:pt idx="423">
                  <c:v>-0.5</c:v>
                </c:pt>
                <c:pt idx="424">
                  <c:v>-0.5</c:v>
                </c:pt>
                <c:pt idx="425">
                  <c:v>-0.5</c:v>
                </c:pt>
                <c:pt idx="426">
                  <c:v>-0.5</c:v>
                </c:pt>
                <c:pt idx="427">
                  <c:v>-0.5</c:v>
                </c:pt>
                <c:pt idx="428">
                  <c:v>-0.5</c:v>
                </c:pt>
                <c:pt idx="429">
                  <c:v>-0.5</c:v>
                </c:pt>
                <c:pt idx="430">
                  <c:v>-0.5</c:v>
                </c:pt>
                <c:pt idx="431">
                  <c:v>-0.5</c:v>
                </c:pt>
                <c:pt idx="432">
                  <c:v>-0.5</c:v>
                </c:pt>
                <c:pt idx="433">
                  <c:v>-0.5</c:v>
                </c:pt>
                <c:pt idx="434">
                  <c:v>-0.5</c:v>
                </c:pt>
                <c:pt idx="435">
                  <c:v>-0.5</c:v>
                </c:pt>
                <c:pt idx="436">
                  <c:v>-0.5</c:v>
                </c:pt>
                <c:pt idx="437">
                  <c:v>-0.5</c:v>
                </c:pt>
                <c:pt idx="438">
                  <c:v>-0.5</c:v>
                </c:pt>
                <c:pt idx="439">
                  <c:v>-0.5</c:v>
                </c:pt>
                <c:pt idx="440">
                  <c:v>-0.5</c:v>
                </c:pt>
                <c:pt idx="441">
                  <c:v>-0.5</c:v>
                </c:pt>
                <c:pt idx="442">
                  <c:v>-0.5</c:v>
                </c:pt>
                <c:pt idx="443">
                  <c:v>-0.5</c:v>
                </c:pt>
                <c:pt idx="444">
                  <c:v>-0.5</c:v>
                </c:pt>
                <c:pt idx="445">
                  <c:v>-0.5</c:v>
                </c:pt>
                <c:pt idx="446">
                  <c:v>-0.5</c:v>
                </c:pt>
                <c:pt idx="447">
                  <c:v>-0.5</c:v>
                </c:pt>
                <c:pt idx="448">
                  <c:v>-0.5</c:v>
                </c:pt>
                <c:pt idx="449">
                  <c:v>-0.5</c:v>
                </c:pt>
                <c:pt idx="450">
                  <c:v>-0.5</c:v>
                </c:pt>
                <c:pt idx="451">
                  <c:v>-0.5</c:v>
                </c:pt>
                <c:pt idx="452">
                  <c:v>-0.5</c:v>
                </c:pt>
                <c:pt idx="453">
                  <c:v>-0.5</c:v>
                </c:pt>
                <c:pt idx="454">
                  <c:v>-0.5</c:v>
                </c:pt>
                <c:pt idx="455">
                  <c:v>-0.5</c:v>
                </c:pt>
                <c:pt idx="456">
                  <c:v>-0.5</c:v>
                </c:pt>
                <c:pt idx="457">
                  <c:v>-0.5</c:v>
                </c:pt>
                <c:pt idx="458">
                  <c:v>-0.5</c:v>
                </c:pt>
                <c:pt idx="459">
                  <c:v>-0.5</c:v>
                </c:pt>
                <c:pt idx="460">
                  <c:v>-0.5</c:v>
                </c:pt>
                <c:pt idx="461">
                  <c:v>-0.5</c:v>
                </c:pt>
                <c:pt idx="462">
                  <c:v>-0.5</c:v>
                </c:pt>
                <c:pt idx="463">
                  <c:v>-0.5</c:v>
                </c:pt>
                <c:pt idx="464">
                  <c:v>-0.5</c:v>
                </c:pt>
                <c:pt idx="465">
                  <c:v>-0.5</c:v>
                </c:pt>
                <c:pt idx="466">
                  <c:v>-0.5</c:v>
                </c:pt>
                <c:pt idx="467">
                  <c:v>-0.5</c:v>
                </c:pt>
                <c:pt idx="468">
                  <c:v>-0.5</c:v>
                </c:pt>
                <c:pt idx="469">
                  <c:v>-0.5</c:v>
                </c:pt>
                <c:pt idx="470">
                  <c:v>-0.5</c:v>
                </c:pt>
                <c:pt idx="471">
                  <c:v>-0.5</c:v>
                </c:pt>
                <c:pt idx="472">
                  <c:v>-0.5</c:v>
                </c:pt>
                <c:pt idx="473">
                  <c:v>-0.5</c:v>
                </c:pt>
                <c:pt idx="474">
                  <c:v>-0.5</c:v>
                </c:pt>
                <c:pt idx="475">
                  <c:v>-0.5</c:v>
                </c:pt>
                <c:pt idx="476">
                  <c:v>-0.5</c:v>
                </c:pt>
                <c:pt idx="477">
                  <c:v>-0.5</c:v>
                </c:pt>
                <c:pt idx="478">
                  <c:v>-0.5</c:v>
                </c:pt>
                <c:pt idx="479">
                  <c:v>-0.5</c:v>
                </c:pt>
                <c:pt idx="480">
                  <c:v>-0.5</c:v>
                </c:pt>
                <c:pt idx="481">
                  <c:v>-0.5</c:v>
                </c:pt>
                <c:pt idx="482">
                  <c:v>-0.5</c:v>
                </c:pt>
                <c:pt idx="483">
                  <c:v>-0.5</c:v>
                </c:pt>
                <c:pt idx="484">
                  <c:v>-0.5</c:v>
                </c:pt>
                <c:pt idx="485">
                  <c:v>-0.5</c:v>
                </c:pt>
                <c:pt idx="486">
                  <c:v>-0.5</c:v>
                </c:pt>
                <c:pt idx="487">
                  <c:v>-0.5</c:v>
                </c:pt>
                <c:pt idx="488">
                  <c:v>-0.5</c:v>
                </c:pt>
                <c:pt idx="489">
                  <c:v>-0.5</c:v>
                </c:pt>
                <c:pt idx="490">
                  <c:v>-0.5</c:v>
                </c:pt>
                <c:pt idx="491">
                  <c:v>-0.5</c:v>
                </c:pt>
                <c:pt idx="492">
                  <c:v>-0.5</c:v>
                </c:pt>
                <c:pt idx="493">
                  <c:v>-0.5</c:v>
                </c:pt>
                <c:pt idx="494">
                  <c:v>-0.5</c:v>
                </c:pt>
                <c:pt idx="495">
                  <c:v>-0.5</c:v>
                </c:pt>
                <c:pt idx="496">
                  <c:v>-0.5</c:v>
                </c:pt>
                <c:pt idx="497">
                  <c:v>-0.5</c:v>
                </c:pt>
                <c:pt idx="498">
                  <c:v>-0.5</c:v>
                </c:pt>
                <c:pt idx="499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93-4240-8F2E-337A63C4D4D2}"/>
            </c:ext>
          </c:extLst>
        </c:ser>
        <c:ser>
          <c:idx val="3"/>
          <c:order val="3"/>
          <c:tx>
            <c:v>Chord line</c:v>
          </c:tx>
          <c:spPr>
            <a:ln w="31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Data2!$B$1:$B$500</c:f>
              <c:numCache>
                <c:formatCode>0.000000</c:formatCode>
                <c:ptCount val="500"/>
                <c:pt idx="0">
                  <c:v>0</c:v>
                </c:pt>
                <c:pt idx="1">
                  <c:v>4.9545966939179564E-6</c:v>
                </c:pt>
                <c:pt idx="2">
                  <c:v>1.9818337679722298E-5</c:v>
                </c:pt>
                <c:pt idx="3">
                  <c:v>4.4591075669564439E-5</c:v>
                </c:pt>
                <c:pt idx="4">
                  <c:v>7.9272565185806165E-5</c:v>
                </c:pt>
                <c:pt idx="5">
                  <c:v>1.2386246256268496E-4</c:v>
                </c:pt>
                <c:pt idx="6">
                  <c:v>1.7836032595031082E-4</c:v>
                </c:pt>
                <c:pt idx="7">
                  <c:v>2.4276561531888508E-4</c:v>
                </c:pt>
                <c:pt idx="8">
                  <c:v>3.1707769246391848E-4</c:v>
                </c:pt>
                <c:pt idx="9">
                  <c:v>4.0129582101267047E-4</c:v>
                </c:pt>
                <c:pt idx="10">
                  <c:v>4.9541916643136563E-4</c:v>
                </c:pt>
                <c:pt idx="11">
                  <c:v>5.9944679603363138E-4</c:v>
                </c:pt>
                <c:pt idx="12">
                  <c:v>7.133776789896018E-4</c:v>
                </c:pt>
                <c:pt idx="13">
                  <c:v>8.3721068633602069E-4</c:v>
                </c:pt>
                <c:pt idx="14">
                  <c:v>9.7094459098767683E-4</c:v>
                </c:pt>
                <c:pt idx="15">
                  <c:v>1.1145780677496164E-3</c:v>
                </c:pt>
                <c:pt idx="16">
                  <c:v>1.2681096933296887E-3</c:v>
                </c:pt>
                <c:pt idx="17">
                  <c:v>1.4315379463535338E-3</c:v>
                </c:pt>
                <c:pt idx="18">
                  <c:v>1.6048612073787938E-3</c:v>
                </c:pt>
                <c:pt idx="19">
                  <c:v>1.7880777589119878E-3</c:v>
                </c:pt>
                <c:pt idx="20">
                  <c:v>1.9811857854247217E-3</c:v>
                </c:pt>
                <c:pt idx="21">
                  <c:v>2.1841833733722282E-3</c:v>
                </c:pt>
                <c:pt idx="22">
                  <c:v>2.3970685112121304E-3</c:v>
                </c:pt>
                <c:pt idx="23">
                  <c:v>2.619839089424536E-3</c:v>
                </c:pt>
                <c:pt idx="24">
                  <c:v>2.8524929005325772E-3</c:v>
                </c:pt>
                <c:pt idx="25">
                  <c:v>3.0950276391248366E-3</c:v>
                </c:pt>
                <c:pt idx="26">
                  <c:v>3.3474409018774409E-3</c:v>
                </c:pt>
                <c:pt idx="27">
                  <c:v>3.609730187578708E-3</c:v>
                </c:pt>
                <c:pt idx="28">
                  <c:v>3.8818928971533495E-3</c:v>
                </c:pt>
                <c:pt idx="29">
                  <c:v>4.1639263336883392E-3</c:v>
                </c:pt>
                <c:pt idx="30">
                  <c:v>4.4558277024601134E-3</c:v>
                </c:pt>
                <c:pt idx="31">
                  <c:v>4.7575941109612163E-3</c:v>
                </c:pt>
                <c:pt idx="32">
                  <c:v>5.0692225689300541E-3</c:v>
                </c:pt>
                <c:pt idx="33">
                  <c:v>5.3907099883800935E-3</c:v>
                </c:pt>
                <c:pt idx="34">
                  <c:v>5.7220531836302824E-3</c:v>
                </c:pt>
                <c:pt idx="35">
                  <c:v>6.0632488713366905E-3</c:v>
                </c:pt>
                <c:pt idx="36">
                  <c:v>6.4142936705253728E-3</c:v>
                </c:pt>
                <c:pt idx="37">
                  <c:v>6.7751841026255644E-3</c:v>
                </c:pt>
                <c:pt idx="38">
                  <c:v>7.1459165915040979E-3</c:v>
                </c:pt>
                <c:pt idx="39">
                  <c:v>7.5264874635010415E-3</c:v>
                </c:pt>
                <c:pt idx="40">
                  <c:v>7.9168929474660032E-3</c:v>
                </c:pt>
                <c:pt idx="41">
                  <c:v>8.3171291747956566E-3</c:v>
                </c:pt>
                <c:pt idx="42">
                  <c:v>8.727192179471821E-3</c:v>
                </c:pt>
                <c:pt idx="43">
                  <c:v>9.1470778981007639E-3</c:v>
                </c:pt>
                <c:pt idx="44">
                  <c:v>9.5767821699537237E-3</c:v>
                </c:pt>
                <c:pt idx="45">
                  <c:v>1.0016300737007988E-2</c:v>
                </c:pt>
                <c:pt idx="46">
                  <c:v>1.0465629243989194E-2</c:v>
                </c:pt>
                <c:pt idx="47">
                  <c:v>1.092476323841407E-2</c:v>
                </c:pt>
                <c:pt idx="48">
                  <c:v>1.1393698170635291E-2</c:v>
                </c:pt>
                <c:pt idx="49">
                  <c:v>1.1872429393885775E-2</c:v>
                </c:pt>
                <c:pt idx="50">
                  <c:v>1.2360952164325312E-2</c:v>
                </c:pt>
                <c:pt idx="51">
                  <c:v>1.2859261641087194E-2</c:v>
                </c:pt>
                <c:pt idx="52">
                  <c:v>1.3367352886326511E-2</c:v>
                </c:pt>
                <c:pt idx="53">
                  <c:v>1.3885220865268999E-2</c:v>
                </c:pt>
                <c:pt idx="54">
                  <c:v>1.4412860446260445E-2</c:v>
                </c:pt>
                <c:pt idx="55">
                  <c:v>1.4950266400818424E-2</c:v>
                </c:pt>
                <c:pt idx="56">
                  <c:v>1.5497433403683258E-2</c:v>
                </c:pt>
                <c:pt idx="57">
                  <c:v>1.605435603287142E-2</c:v>
                </c:pt>
                <c:pt idx="58">
                  <c:v>1.6621028769728818E-2</c:v>
                </c:pt>
                <c:pt idx="59">
                  <c:v>1.719744599898565E-2</c:v>
                </c:pt>
                <c:pt idx="60">
                  <c:v>1.7783602008812238E-2</c:v>
                </c:pt>
                <c:pt idx="61">
                  <c:v>1.8379490990875214E-2</c:v>
                </c:pt>
                <c:pt idx="62">
                  <c:v>1.8985107040395466E-2</c:v>
                </c:pt>
                <c:pt idx="63">
                  <c:v>1.9600444156206542E-2</c:v>
                </c:pt>
                <c:pt idx="64">
                  <c:v>2.0225496240813712E-2</c:v>
                </c:pt>
                <c:pt idx="65">
                  <c:v>2.0860257100455248E-2</c:v>
                </c:pt>
                <c:pt idx="66">
                  <c:v>2.1504720445162939E-2</c:v>
                </c:pt>
                <c:pt idx="67">
                  <c:v>2.2158879888824812E-2</c:v>
                </c:pt>
                <c:pt idx="68">
                  <c:v>2.2822728949248527E-2</c:v>
                </c:pt>
                <c:pt idx="69">
                  <c:v>2.349626104822522E-2</c:v>
                </c:pt>
                <c:pt idx="70">
                  <c:v>2.4179469511595331E-2</c:v>
                </c:pt>
                <c:pt idx="71">
                  <c:v>2.487234756931378E-2</c:v>
                </c:pt>
                <c:pt idx="72">
                  <c:v>2.5574888355518133E-2</c:v>
                </c:pt>
                <c:pt idx="73">
                  <c:v>2.6287084908595659E-2</c:v>
                </c:pt>
                <c:pt idx="74">
                  <c:v>2.7008930171253165E-2</c:v>
                </c:pt>
                <c:pt idx="75">
                  <c:v>2.7740416990586381E-2</c:v>
                </c:pt>
                <c:pt idx="76">
                  <c:v>2.8481538118150684E-2</c:v>
                </c:pt>
                <c:pt idx="77">
                  <c:v>2.923228621003382E-2</c:v>
                </c:pt>
                <c:pt idx="78">
                  <c:v>2.9992653826927507E-2</c:v>
                </c:pt>
                <c:pt idx="79">
                  <c:v>3.0762633434202158E-2</c:v>
                </c:pt>
                <c:pt idx="80">
                  <c:v>3.1542217401980821E-2</c:v>
                </c:pt>
                <c:pt idx="81">
                  <c:v>3.2331398005215228E-2</c:v>
                </c:pt>
                <c:pt idx="82">
                  <c:v>3.313016742376218E-2</c:v>
                </c:pt>
                <c:pt idx="83">
                  <c:v>3.3938517742461038E-2</c:v>
                </c:pt>
                <c:pt idx="84">
                  <c:v>3.475644095121222E-2</c:v>
                </c:pt>
                <c:pt idx="85">
                  <c:v>3.5583928945056353E-2</c:v>
                </c:pt>
                <c:pt idx="86">
                  <c:v>3.6420973524254996E-2</c:v>
                </c:pt>
                <c:pt idx="87">
                  <c:v>3.7267566394371454E-2</c:v>
                </c:pt>
                <c:pt idx="88">
                  <c:v>3.8123699166353275E-2</c:v>
                </c:pt>
                <c:pt idx="89">
                  <c:v>3.8989363356615403E-2</c:v>
                </c:pt>
                <c:pt idx="90">
                  <c:v>3.9864550387123776E-2</c:v>
                </c:pt>
                <c:pt idx="91">
                  <c:v>4.0749251585480817E-2</c:v>
                </c:pt>
                <c:pt idx="92">
                  <c:v>4.1643458185011473E-2</c:v>
                </c:pt>
                <c:pt idx="93">
                  <c:v>4.2547161324849481E-2</c:v>
                </c:pt>
                <c:pt idx="94">
                  <c:v>4.346035205002563E-2</c:v>
                </c:pt>
                <c:pt idx="95">
                  <c:v>4.4383021311556581E-2</c:v>
                </c:pt>
                <c:pt idx="96">
                  <c:v>4.5315159966534124E-2</c:v>
                </c:pt>
                <c:pt idx="97">
                  <c:v>4.625675877821589E-2</c:v>
                </c:pt>
                <c:pt idx="98">
                  <c:v>4.7207808416117381E-2</c:v>
                </c:pt>
                <c:pt idx="99">
                  <c:v>4.8168299456103791E-2</c:v>
                </c:pt>
                <c:pt idx="100">
                  <c:v>4.9138222380483598E-2</c:v>
                </c:pt>
                <c:pt idx="101">
                  <c:v>5.0117567578102928E-2</c:v>
                </c:pt>
                <c:pt idx="102">
                  <c:v>5.1106325344440817E-2</c:v>
                </c:pt>
                <c:pt idx="103">
                  <c:v>5.2104485881705465E-2</c:v>
                </c:pt>
                <c:pt idx="104">
                  <c:v>5.3112039298931046E-2</c:v>
                </c:pt>
                <c:pt idx="105">
                  <c:v>5.4128975612075858E-2</c:v>
                </c:pt>
                <c:pt idx="106">
                  <c:v>5.5155284744121347E-2</c:v>
                </c:pt>
                <c:pt idx="107">
                  <c:v>5.6190956525171698E-2</c:v>
                </c:pt>
                <c:pt idx="108">
                  <c:v>5.7235980692555199E-2</c:v>
                </c:pt>
                <c:pt idx="109">
                  <c:v>5.8290346890925049E-2</c:v>
                </c:pt>
                <c:pt idx="110">
                  <c:v>5.9354044672362938E-2</c:v>
                </c:pt>
                <c:pt idx="111">
                  <c:v>6.0427063496481526E-2</c:v>
                </c:pt>
                <c:pt idx="112">
                  <c:v>6.1509392730530021E-2</c:v>
                </c:pt>
                <c:pt idx="113">
                  <c:v>6.2601021649498656E-2</c:v>
                </c:pt>
                <c:pt idx="114">
                  <c:v>6.3701939436225374E-2</c:v>
                </c:pt>
                <c:pt idx="115">
                  <c:v>6.4812135181502861E-2</c:v>
                </c:pt>
                <c:pt idx="116">
                  <c:v>6.5931597884186899E-2</c:v>
                </c:pt>
                <c:pt idx="117">
                  <c:v>6.7060316451305058E-2</c:v>
                </c:pt>
                <c:pt idx="118">
                  <c:v>6.8198279698166608E-2</c:v>
                </c:pt>
                <c:pt idx="119">
                  <c:v>6.9345476348473767E-2</c:v>
                </c:pt>
                <c:pt idx="120">
                  <c:v>7.050189503443316E-2</c:v>
                </c:pt>
                <c:pt idx="121">
                  <c:v>7.1667524296868401E-2</c:v>
                </c:pt>
                <c:pt idx="122">
                  <c:v>7.2842352585333559E-2</c:v>
                </c:pt>
                <c:pt idx="123">
                  <c:v>7.4026368258227948E-2</c:v>
                </c:pt>
                <c:pt idx="124">
                  <c:v>7.5219559582911377E-2</c:v>
                </c:pt>
                <c:pt idx="125">
                  <c:v>7.6421914735820273E-2</c:v>
                </c:pt>
                <c:pt idx="126">
                  <c:v>7.7633421802584812E-2</c:v>
                </c:pt>
                <c:pt idx="127">
                  <c:v>7.8854068778147268E-2</c:v>
                </c:pt>
                <c:pt idx="128">
                  <c:v>8.0083843566880586E-2</c:v>
                </c:pt>
                <c:pt idx="129">
                  <c:v>8.1322733982708617E-2</c:v>
                </c:pt>
                <c:pt idx="130">
                  <c:v>8.2570727749226691E-2</c:v>
                </c:pt>
                <c:pt idx="131">
                  <c:v>8.3827812499823295E-2</c:v>
                </c:pt>
                <c:pt idx="132">
                  <c:v>8.5093975777802311E-2</c:v>
                </c:pt>
                <c:pt idx="133">
                  <c:v>8.6369205036507135E-2</c:v>
                </c:pt>
                <c:pt idx="134">
                  <c:v>8.7653487639444361E-2</c:v>
                </c:pt>
                <c:pt idx="135">
                  <c:v>8.8946810860409342E-2</c:v>
                </c:pt>
                <c:pt idx="136">
                  <c:v>9.0249161883612206E-2</c:v>
                </c:pt>
                <c:pt idx="137">
                  <c:v>9.1560527803804637E-2</c:v>
                </c:pt>
                <c:pt idx="138">
                  <c:v>9.2880895626408333E-2</c:v>
                </c:pt>
                <c:pt idx="139">
                  <c:v>9.4210252267643013E-2</c:v>
                </c:pt>
                <c:pt idx="140">
                  <c:v>9.5548584554656757E-2</c:v>
                </c:pt>
                <c:pt idx="141">
                  <c:v>9.6895879225656123E-2</c:v>
                </c:pt>
                <c:pt idx="142">
                  <c:v>9.8252122930037711E-2</c:v>
                </c:pt>
                <c:pt idx="143">
                  <c:v>9.9617302228520166E-2</c:v>
                </c:pt>
                <c:pt idx="144">
                  <c:v>0.10099140359327796</c:v>
                </c:pt>
                <c:pt idx="145">
                  <c:v>0.10237441340807496</c:v>
                </c:pt>
                <c:pt idx="146">
                  <c:v>0.1037663179683993</c:v>
                </c:pt>
                <c:pt idx="147">
                  <c:v>0.10516710348159974</c:v>
                </c:pt>
                <c:pt idx="148">
                  <c:v>0.10657675606702155</c:v>
                </c:pt>
                <c:pt idx="149">
                  <c:v>0.10799526175614471</c:v>
                </c:pt>
                <c:pt idx="150">
                  <c:v>0.10942260649272206</c:v>
                </c:pt>
                <c:pt idx="151">
                  <c:v>0.11085877613291861</c:v>
                </c:pt>
                <c:pt idx="152">
                  <c:v>0.11230375644545154</c:v>
                </c:pt>
                <c:pt idx="153">
                  <c:v>0.11375753311173153</c:v>
                </c:pt>
                <c:pt idx="154">
                  <c:v>0.11522009172600445</c:v>
                </c:pt>
                <c:pt idx="155">
                  <c:v>0.11669141779549419</c:v>
                </c:pt>
                <c:pt idx="156">
                  <c:v>0.11817149674054617</c:v>
                </c:pt>
                <c:pt idx="157">
                  <c:v>0.11966031389477194</c:v>
                </c:pt>
                <c:pt idx="158">
                  <c:v>0.12115785450519423</c:v>
                </c:pt>
                <c:pt idx="159">
                  <c:v>0.12266410373239378</c:v>
                </c:pt>
                <c:pt idx="160">
                  <c:v>0.12417904665065549</c:v>
                </c:pt>
                <c:pt idx="161">
                  <c:v>0.12570266824811704</c:v>
                </c:pt>
                <c:pt idx="162">
                  <c:v>0.1272349534269176</c:v>
                </c:pt>
                <c:pt idx="163">
                  <c:v>0.12877588700334663</c:v>
                </c:pt>
                <c:pt idx="164">
                  <c:v>0.13032545370799575</c:v>
                </c:pt>
                <c:pt idx="165">
                  <c:v>0.13188363818590843</c:v>
                </c:pt>
                <c:pt idx="166">
                  <c:v>0.13345042499673354</c:v>
                </c:pt>
                <c:pt idx="167">
                  <c:v>0.13502579861487751</c:v>
                </c:pt>
                <c:pt idx="168">
                  <c:v>0.13660974342965859</c:v>
                </c:pt>
                <c:pt idx="169">
                  <c:v>0.13820224374546131</c:v>
                </c:pt>
                <c:pt idx="170">
                  <c:v>0.13980328378189188</c:v>
                </c:pt>
                <c:pt idx="171">
                  <c:v>0.14141284767393503</c:v>
                </c:pt>
                <c:pt idx="172">
                  <c:v>0.143030919472111</c:v>
                </c:pt>
                <c:pt idx="173">
                  <c:v>0.14465748314263338</c:v>
                </c:pt>
                <c:pt idx="174">
                  <c:v>0.14629252256756808</c:v>
                </c:pt>
                <c:pt idx="175">
                  <c:v>0.14793602154499341</c:v>
                </c:pt>
                <c:pt idx="176">
                  <c:v>0.14958796378916006</c:v>
                </c:pt>
                <c:pt idx="177">
                  <c:v>0.15124833293065298</c:v>
                </c:pt>
                <c:pt idx="178">
                  <c:v>0.15291711251655316</c:v>
                </c:pt>
                <c:pt idx="179">
                  <c:v>0.15459428601060099</c:v>
                </c:pt>
                <c:pt idx="180">
                  <c:v>0.15627983679335988</c:v>
                </c:pt>
                <c:pt idx="181">
                  <c:v>0.15797374816238119</c:v>
                </c:pt>
                <c:pt idx="182">
                  <c:v>0.15967600333236964</c:v>
                </c:pt>
                <c:pt idx="183">
                  <c:v>0.16138658543534967</c:v>
                </c:pt>
                <c:pt idx="184">
                  <c:v>0.16310547752083215</c:v>
                </c:pt>
                <c:pt idx="185">
                  <c:v>0.16483266255598328</c:v>
                </c:pt>
                <c:pt idx="186">
                  <c:v>0.1665681234257923</c:v>
                </c:pt>
                <c:pt idx="187">
                  <c:v>0.16831184293324197</c:v>
                </c:pt>
                <c:pt idx="188">
                  <c:v>0.17006380379947839</c:v>
                </c:pt>
                <c:pt idx="189">
                  <c:v>0.17182398866398252</c:v>
                </c:pt>
                <c:pt idx="190">
                  <c:v>0.1735923800847422</c:v>
                </c:pt>
                <c:pt idx="191">
                  <c:v>0.17536896053842488</c:v>
                </c:pt>
                <c:pt idx="192">
                  <c:v>0.17715371242055111</c:v>
                </c:pt>
                <c:pt idx="193">
                  <c:v>0.17894661804566958</c:v>
                </c:pt>
                <c:pt idx="194">
                  <c:v>0.18074765964753159</c:v>
                </c:pt>
                <c:pt idx="195">
                  <c:v>0.1825568193792676</c:v>
                </c:pt>
                <c:pt idx="196">
                  <c:v>0.18437407931356398</c:v>
                </c:pt>
                <c:pt idx="197">
                  <c:v>0.18619942144284063</c:v>
                </c:pt>
                <c:pt idx="198">
                  <c:v>0.18803282767942942</c:v>
                </c:pt>
                <c:pt idx="199">
                  <c:v>0.18987427985575323</c:v>
                </c:pt>
                <c:pt idx="200">
                  <c:v>0.19172375972450661</c:v>
                </c:pt>
                <c:pt idx="201">
                  <c:v>0.19358124895883555</c:v>
                </c:pt>
                <c:pt idx="202">
                  <c:v>0.19544672915252015</c:v>
                </c:pt>
                <c:pt idx="203">
                  <c:v>0.19732018182015654</c:v>
                </c:pt>
                <c:pt idx="204">
                  <c:v>0.1992015883973397</c:v>
                </c:pt>
                <c:pt idx="205">
                  <c:v>0.20109093024084834</c:v>
                </c:pt>
                <c:pt idx="206">
                  <c:v>0.20298818862882839</c:v>
                </c:pt>
                <c:pt idx="207">
                  <c:v>0.20489334476097976</c:v>
                </c:pt>
                <c:pt idx="208">
                  <c:v>0.20680637975874194</c:v>
                </c:pt>
                <c:pt idx="209">
                  <c:v>0.20872727466548102</c:v>
                </c:pt>
                <c:pt idx="210">
                  <c:v>0.21065601044667814</c:v>
                </c:pt>
                <c:pt idx="211">
                  <c:v>0.21259256799011716</c:v>
                </c:pt>
                <c:pt idx="212">
                  <c:v>0.21453692810607505</c:v>
                </c:pt>
                <c:pt idx="213">
                  <c:v>0.2164890715275114</c:v>
                </c:pt>
                <c:pt idx="214">
                  <c:v>0.21844897891025949</c:v>
                </c:pt>
                <c:pt idx="215">
                  <c:v>0.22041663083321805</c:v>
                </c:pt>
                <c:pt idx="216">
                  <c:v>0.22239200779854373</c:v>
                </c:pt>
                <c:pt idx="217">
                  <c:v>0.22437509023184399</c:v>
                </c:pt>
                <c:pt idx="218">
                  <c:v>0.22636585848237156</c:v>
                </c:pt>
                <c:pt idx="219">
                  <c:v>0.22836429282321902</c:v>
                </c:pt>
                <c:pt idx="220">
                  <c:v>0.2303703734515139</c:v>
                </c:pt>
                <c:pt idx="221">
                  <c:v>0.23238408048861525</c:v>
                </c:pt>
                <c:pt idx="222">
                  <c:v>0.23440539398031057</c:v>
                </c:pt>
                <c:pt idx="223">
                  <c:v>0.23643429389701376</c:v>
                </c:pt>
                <c:pt idx="224">
                  <c:v>0.23847076013396296</c:v>
                </c:pt>
                <c:pt idx="225">
                  <c:v>0.24051477251142062</c:v>
                </c:pt>
                <c:pt idx="226">
                  <c:v>0.24256631077487267</c:v>
                </c:pt>
                <c:pt idx="227">
                  <c:v>0.24462535459522983</c:v>
                </c:pt>
                <c:pt idx="228">
                  <c:v>0.24669188356902849</c:v>
                </c:pt>
                <c:pt idx="229">
                  <c:v>0.24876587721863352</c:v>
                </c:pt>
                <c:pt idx="230">
                  <c:v>0.25084731499244084</c:v>
                </c:pt>
                <c:pt idx="231">
                  <c:v>0.25293617626508091</c:v>
                </c:pt>
                <c:pt idx="232">
                  <c:v>0.25503244033762351</c:v>
                </c:pt>
                <c:pt idx="233">
                  <c:v>0.25713608643778241</c:v>
                </c:pt>
                <c:pt idx="234">
                  <c:v>0.25924709372012167</c:v>
                </c:pt>
                <c:pt idx="235">
                  <c:v>0.26136544126626193</c:v>
                </c:pt>
                <c:pt idx="236">
                  <c:v>0.26349110808508769</c:v>
                </c:pt>
                <c:pt idx="237">
                  <c:v>0.26562407311295533</c:v>
                </c:pt>
                <c:pt idx="238">
                  <c:v>0.26776431521390176</c:v>
                </c:pt>
                <c:pt idx="239">
                  <c:v>0.26991181317985435</c:v>
                </c:pt>
                <c:pt idx="240">
                  <c:v>0.27206654573084033</c:v>
                </c:pt>
                <c:pt idx="241">
                  <c:v>0.27422849151519824</c:v>
                </c:pt>
                <c:pt idx="242">
                  <c:v>0.27639762910978904</c:v>
                </c:pt>
                <c:pt idx="243">
                  <c:v>0.27857393702020894</c:v>
                </c:pt>
                <c:pt idx="244">
                  <c:v>0.28075739368100194</c:v>
                </c:pt>
                <c:pt idx="245">
                  <c:v>0.28294797745587386</c:v>
                </c:pt>
                <c:pt idx="246">
                  <c:v>0.28514566663790619</c:v>
                </c:pt>
                <c:pt idx="247">
                  <c:v>0.28735043944977212</c:v>
                </c:pt>
                <c:pt idx="248">
                  <c:v>0.28956227404395118</c:v>
                </c:pt>
                <c:pt idx="249">
                  <c:v>0.2917811485029469</c:v>
                </c:pt>
                <c:pt idx="250">
                  <c:v>0.29400704083950302</c:v>
                </c:pt>
                <c:pt idx="251">
                  <c:v>0.29623992899682194</c:v>
                </c:pt>
                <c:pt idx="252">
                  <c:v>0.29847979084878318</c:v>
                </c:pt>
                <c:pt idx="253">
                  <c:v>0.30072660420016228</c:v>
                </c:pt>
                <c:pt idx="254">
                  <c:v>0.30298034678685137</c:v>
                </c:pt>
                <c:pt idx="255">
                  <c:v>0.30524099627607926</c:v>
                </c:pt>
                <c:pt idx="256">
                  <c:v>0.30750853026663305</c:v>
                </c:pt>
                <c:pt idx="257">
                  <c:v>0.30978292628908</c:v>
                </c:pt>
                <c:pt idx="258">
                  <c:v>0.31206416180598984</c:v>
                </c:pt>
                <c:pt idx="259">
                  <c:v>0.31435221421215875</c:v>
                </c:pt>
                <c:pt idx="260">
                  <c:v>0.31664706083483307</c:v>
                </c:pt>
                <c:pt idx="261">
                  <c:v>0.31894867893393375</c:v>
                </c:pt>
                <c:pt idx="262">
                  <c:v>0.3212570457022822</c:v>
                </c:pt>
                <c:pt idx="263">
                  <c:v>0.32357213826582509</c:v>
                </c:pt>
                <c:pt idx="264">
                  <c:v>0.32589393368386299</c:v>
                </c:pt>
                <c:pt idx="265">
                  <c:v>0.3282224089492759</c:v>
                </c:pt>
                <c:pt idx="266">
                  <c:v>0.33055754098875223</c:v>
                </c:pt>
                <c:pt idx="267">
                  <c:v>0.33289930666301693</c:v>
                </c:pt>
                <c:pt idx="268">
                  <c:v>0.33524768276706118</c:v>
                </c:pt>
                <c:pt idx="269">
                  <c:v>0.33760264603037182</c:v>
                </c:pt>
                <c:pt idx="270">
                  <c:v>0.33996417311716254</c:v>
                </c:pt>
                <c:pt idx="271">
                  <c:v>0.34233224062660483</c:v>
                </c:pt>
                <c:pt idx="272">
                  <c:v>0.34470682509305983</c:v>
                </c:pt>
                <c:pt idx="273">
                  <c:v>0.34708790298631065</c:v>
                </c:pt>
                <c:pt idx="274">
                  <c:v>0.34947545071179609</c:v>
                </c:pt>
                <c:pt idx="275">
                  <c:v>0.35186944461084391</c:v>
                </c:pt>
                <c:pt idx="276">
                  <c:v>0.35426986096090574</c:v>
                </c:pt>
                <c:pt idx="277">
                  <c:v>0.35667667597579156</c:v>
                </c:pt>
                <c:pt idx="278">
                  <c:v>0.35908986580590629</c:v>
                </c:pt>
                <c:pt idx="279">
                  <c:v>0.36150940653848485</c:v>
                </c:pt>
                <c:pt idx="280">
                  <c:v>0.36393527419783034</c:v>
                </c:pt>
                <c:pt idx="281">
                  <c:v>0.36636744474555105</c:v>
                </c:pt>
                <c:pt idx="282">
                  <c:v>0.36880589408079867</c:v>
                </c:pt>
                <c:pt idx="283">
                  <c:v>0.3712505980405072</c:v>
                </c:pt>
                <c:pt idx="284">
                  <c:v>0.37370153239963222</c:v>
                </c:pt>
                <c:pt idx="285">
                  <c:v>0.37615867287139115</c:v>
                </c:pt>
                <c:pt idx="286">
                  <c:v>0.37862199510750394</c:v>
                </c:pt>
                <c:pt idx="287">
                  <c:v>0.38109147469843418</c:v>
                </c:pt>
                <c:pt idx="288">
                  <c:v>0.38356708717363108</c:v>
                </c:pt>
                <c:pt idx="289">
                  <c:v>0.38604880800177188</c:v>
                </c:pt>
                <c:pt idx="290">
                  <c:v>0.3885366125910048</c:v>
                </c:pt>
                <c:pt idx="291">
                  <c:v>0.39103047628919319</c:v>
                </c:pt>
                <c:pt idx="292">
                  <c:v>0.39353037438415939</c:v>
                </c:pt>
                <c:pt idx="293">
                  <c:v>0.3960362821039296</c:v>
                </c:pt>
                <c:pt idx="294">
                  <c:v>0.39854817461698</c:v>
                </c:pt>
                <c:pt idx="295">
                  <c:v>0.4010660270324814</c:v>
                </c:pt>
                <c:pt idx="296">
                  <c:v>0.40358981440054742</c:v>
                </c:pt>
                <c:pt idx="297">
                  <c:v>0.40611951171248117</c:v>
                </c:pt>
                <c:pt idx="298">
                  <c:v>0.4086550939010225</c:v>
                </c:pt>
                <c:pt idx="299">
                  <c:v>0.41119653584059757</c:v>
                </c:pt>
                <c:pt idx="300">
                  <c:v>0.41374381234756619</c:v>
                </c:pt>
                <c:pt idx="301">
                  <c:v>0.41629689818047322</c:v>
                </c:pt>
                <c:pt idx="302">
                  <c:v>0.41885576804029723</c:v>
                </c:pt>
                <c:pt idx="303">
                  <c:v>0.42142039657070196</c:v>
                </c:pt>
                <c:pt idx="304">
                  <c:v>0.42399075835828748</c:v>
                </c:pt>
                <c:pt idx="305">
                  <c:v>0.42656682793284162</c:v>
                </c:pt>
                <c:pt idx="306">
                  <c:v>0.42914857976759269</c:v>
                </c:pt>
                <c:pt idx="307">
                  <c:v>0.43173598827946269</c:v>
                </c:pt>
                <c:pt idx="308">
                  <c:v>0.43432902782932004</c:v>
                </c:pt>
                <c:pt idx="309">
                  <c:v>0.43692767272223476</c:v>
                </c:pt>
                <c:pt idx="310">
                  <c:v>0.43953189720773167</c:v>
                </c:pt>
                <c:pt idx="311">
                  <c:v>0.4421416754800469</c:v>
                </c:pt>
                <c:pt idx="312">
                  <c:v>0.44475698167838285</c:v>
                </c:pt>
                <c:pt idx="313">
                  <c:v>0.44737778988716459</c:v>
                </c:pt>
                <c:pt idx="314">
                  <c:v>0.45000407413629695</c:v>
                </c:pt>
                <c:pt idx="315">
                  <c:v>0.45263580840142115</c:v>
                </c:pt>
                <c:pt idx="316">
                  <c:v>0.45527296660417349</c:v>
                </c:pt>
                <c:pt idx="317">
                  <c:v>0.45791552261244328</c:v>
                </c:pt>
                <c:pt idx="318">
                  <c:v>0.46056345024063217</c:v>
                </c:pt>
                <c:pt idx="319">
                  <c:v>0.46321672324991292</c:v>
                </c:pt>
                <c:pt idx="320">
                  <c:v>0.46587531534849058</c:v>
                </c:pt>
                <c:pt idx="321">
                  <c:v>0.46853920019186157</c:v>
                </c:pt>
                <c:pt idx="322">
                  <c:v>0.47120835138307604</c:v>
                </c:pt>
                <c:pt idx="323">
                  <c:v>0.47388274247299855</c:v>
                </c:pt>
                <c:pt idx="324">
                  <c:v>0.47656234696057043</c:v>
                </c:pt>
                <c:pt idx="325">
                  <c:v>0.47924713829307297</c:v>
                </c:pt>
                <c:pt idx="326">
                  <c:v>0.48193708986638928</c:v>
                </c:pt>
                <c:pt idx="327">
                  <c:v>0.48463217502526945</c:v>
                </c:pt>
                <c:pt idx="328">
                  <c:v>0.48733236706359295</c:v>
                </c:pt>
                <c:pt idx="329">
                  <c:v>0.49003763922463506</c:v>
                </c:pt>
                <c:pt idx="330">
                  <c:v>0.49274796470133042</c:v>
                </c:pt>
                <c:pt idx="331">
                  <c:v>0.4954633166365402</c:v>
                </c:pt>
                <c:pt idx="332">
                  <c:v>0.4981836681233166</c:v>
                </c:pt>
                <c:pt idx="333">
                  <c:v>0.50090899220517071</c:v>
                </c:pt>
                <c:pt idx="334">
                  <c:v>0.50363926187633923</c:v>
                </c:pt>
                <c:pt idx="335">
                  <c:v>0.50637445008205195</c:v>
                </c:pt>
                <c:pt idx="336">
                  <c:v>0.50911452971880011</c:v>
                </c:pt>
                <c:pt idx="337">
                  <c:v>0.51185947363460449</c:v>
                </c:pt>
                <c:pt idx="338">
                  <c:v>0.51460925462928531</c:v>
                </c:pt>
                <c:pt idx="339">
                  <c:v>0.51736384545473046</c:v>
                </c:pt>
                <c:pt idx="340">
                  <c:v>0.52012321881516699</c:v>
                </c:pt>
                <c:pt idx="341">
                  <c:v>0.52288734736743059</c:v>
                </c:pt>
                <c:pt idx="342">
                  <c:v>0.52565620372123711</c:v>
                </c:pt>
                <c:pt idx="343">
                  <c:v>0.52842976043945322</c:v>
                </c:pt>
                <c:pt idx="344">
                  <c:v>0.53120799003836905</c:v>
                </c:pt>
                <c:pt idx="345">
                  <c:v>0.53399086498797033</c:v>
                </c:pt>
                <c:pt idx="346">
                  <c:v>0.53677835771221083</c:v>
                </c:pt>
                <c:pt idx="347">
                  <c:v>0.53957044058928638</c:v>
                </c:pt>
                <c:pt idx="348">
                  <c:v>0.54236708595190763</c:v>
                </c:pt>
                <c:pt idx="349">
                  <c:v>0.54516826608757496</c:v>
                </c:pt>
                <c:pt idx="350">
                  <c:v>0.54797395323885223</c:v>
                </c:pt>
                <c:pt idx="351">
                  <c:v>0.55078411960364337</c:v>
                </c:pt>
                <c:pt idx="352">
                  <c:v>0.55359873733546627</c:v>
                </c:pt>
                <c:pt idx="353">
                  <c:v>0.55641777854372954</c:v>
                </c:pt>
                <c:pt idx="354">
                  <c:v>0.55924121529400872</c:v>
                </c:pt>
                <c:pt idx="355">
                  <c:v>0.56206901960832267</c:v>
                </c:pt>
                <c:pt idx="356">
                  <c:v>0.56490116346541219</c:v>
                </c:pt>
                <c:pt idx="357">
                  <c:v>0.56773761880101548</c:v>
                </c:pt>
                <c:pt idx="358">
                  <c:v>0.57057835750814878</c:v>
                </c:pt>
                <c:pt idx="359">
                  <c:v>0.5734233514373821</c:v>
                </c:pt>
                <c:pt idx="360">
                  <c:v>0.57627257239712093</c:v>
                </c:pt>
                <c:pt idx="361">
                  <c:v>0.5791259921538835</c:v>
                </c:pt>
                <c:pt idx="362">
                  <c:v>0.58198358243258186</c:v>
                </c:pt>
                <c:pt idx="363">
                  <c:v>0.58484531491680136</c:v>
                </c:pt>
                <c:pt idx="364">
                  <c:v>0.58771116124908085</c:v>
                </c:pt>
                <c:pt idx="365">
                  <c:v>0.59058109303119544</c:v>
                </c:pt>
                <c:pt idx="366">
                  <c:v>0.59345508182443574</c:v>
                </c:pt>
                <c:pt idx="367">
                  <c:v>0.59633309914989119</c:v>
                </c:pt>
                <c:pt idx="368">
                  <c:v>0.59921511648873138</c:v>
                </c:pt>
                <c:pt idx="369">
                  <c:v>0.6021011052824895</c:v>
                </c:pt>
                <c:pt idx="370">
                  <c:v>0.60499103693334377</c:v>
                </c:pt>
                <c:pt idx="371">
                  <c:v>0.60788488280440323</c:v>
                </c:pt>
                <c:pt idx="372">
                  <c:v>0.61078261421998925</c:v>
                </c:pt>
                <c:pt idx="373">
                  <c:v>0.61368420246592092</c:v>
                </c:pt>
                <c:pt idx="374">
                  <c:v>0.61658961878979923</c:v>
                </c:pt>
                <c:pt idx="375">
                  <c:v>0.61949883440129161</c:v>
                </c:pt>
                <c:pt idx="376">
                  <c:v>0.6224118204724185</c:v>
                </c:pt>
                <c:pt idx="377">
                  <c:v>0.625328548137837</c:v>
                </c:pt>
                <c:pt idx="378">
                  <c:v>0.62824898849512922</c:v>
                </c:pt>
                <c:pt idx="379">
                  <c:v>0.63117311260508657</c:v>
                </c:pt>
                <c:pt idx="380">
                  <c:v>0.63410089149199766</c:v>
                </c:pt>
                <c:pt idx="381">
                  <c:v>0.63703229614393531</c:v>
                </c:pt>
                <c:pt idx="382">
                  <c:v>0.63996729751304415</c:v>
                </c:pt>
                <c:pt idx="383">
                  <c:v>0.64290586651582782</c:v>
                </c:pt>
                <c:pt idx="384">
                  <c:v>0.64584797403343797</c:v>
                </c:pt>
                <c:pt idx="385">
                  <c:v>0.64879359091196209</c:v>
                </c:pt>
                <c:pt idx="386">
                  <c:v>0.65174268796271284</c:v>
                </c:pt>
                <c:pt idx="387">
                  <c:v>0.65469523596251733</c:v>
                </c:pt>
                <c:pt idx="388">
                  <c:v>0.65765120565400648</c:v>
                </c:pt>
                <c:pt idx="389">
                  <c:v>0.6606105677459051</c:v>
                </c:pt>
                <c:pt idx="390">
                  <c:v>0.66357329291332134</c:v>
                </c:pt>
                <c:pt idx="391">
                  <c:v>0.66653935179803925</c:v>
                </c:pt>
                <c:pt idx="392">
                  <c:v>0.66950871500880726</c:v>
                </c:pt>
                <c:pt idx="393">
                  <c:v>0.67248135312163138</c:v>
                </c:pt>
                <c:pt idx="394">
                  <c:v>0.6754572366800653</c:v>
                </c:pt>
                <c:pt idx="395">
                  <c:v>0.67843633619550392</c:v>
                </c:pt>
                <c:pt idx="396">
                  <c:v>0.68141862214747362</c:v>
                </c:pt>
                <c:pt idx="397">
                  <c:v>0.68440406498392603</c:v>
                </c:pt>
                <c:pt idx="398">
                  <c:v>0.68739263512153115</c:v>
                </c:pt>
                <c:pt idx="399">
                  <c:v>0.6903843029459692</c:v>
                </c:pt>
                <c:pt idx="400">
                  <c:v>0.69337903881222562</c:v>
                </c:pt>
                <c:pt idx="401">
                  <c:v>0.69637681304488286</c:v>
                </c:pt>
                <c:pt idx="402">
                  <c:v>0.69937759593841675</c:v>
                </c:pt>
                <c:pt idx="403">
                  <c:v>0.70238135775748911</c:v>
                </c:pt>
                <c:pt idx="404">
                  <c:v>0.70538806873724358</c:v>
                </c:pt>
                <c:pt idx="405">
                  <c:v>0.70839769908359895</c:v>
                </c:pt>
                <c:pt idx="406">
                  <c:v>0.71141021897354673</c:v>
                </c:pt>
                <c:pt idx="407">
                  <c:v>0.71442559855544452</c:v>
                </c:pt>
                <c:pt idx="408">
                  <c:v>0.71744380794931262</c:v>
                </c:pt>
                <c:pt idx="409">
                  <c:v>0.72046481724713085</c:v>
                </c:pt>
                <c:pt idx="410">
                  <c:v>0.72348859651313369</c:v>
                </c:pt>
                <c:pt idx="411">
                  <c:v>0.72651511578410766</c:v>
                </c:pt>
                <c:pt idx="412">
                  <c:v>0.72954434506968779</c:v>
                </c:pt>
                <c:pt idx="413">
                  <c:v>0.73257625435265572</c:v>
                </c:pt>
                <c:pt idx="414">
                  <c:v>0.73561081358923541</c:v>
                </c:pt>
                <c:pt idx="415">
                  <c:v>0.7386479927093933</c:v>
                </c:pt>
                <c:pt idx="416">
                  <c:v>0.74168776161713368</c:v>
                </c:pt>
                <c:pt idx="417">
                  <c:v>0.7447300901907985</c:v>
                </c:pt>
                <c:pt idx="418">
                  <c:v>0.74777494828336577</c:v>
                </c:pt>
                <c:pt idx="419">
                  <c:v>0.75082230572274766</c:v>
                </c:pt>
                <c:pt idx="420">
                  <c:v>0.75387213231209049</c:v>
                </c:pt>
                <c:pt idx="421">
                  <c:v>0.75692439783007204</c:v>
                </c:pt>
                <c:pt idx="422">
                  <c:v>0.75997907203120352</c:v>
                </c:pt>
                <c:pt idx="423">
                  <c:v>0.76303612464612713</c:v>
                </c:pt>
                <c:pt idx="424">
                  <c:v>0.76609552538191783</c:v>
                </c:pt>
                <c:pt idx="425">
                  <c:v>0.76915724392238149</c:v>
                </c:pt>
                <c:pt idx="426">
                  <c:v>0.77222124992835761</c:v>
                </c:pt>
                <c:pt idx="427">
                  <c:v>0.77528751303801791</c:v>
                </c:pt>
                <c:pt idx="428">
                  <c:v>0.77835600286716788</c:v>
                </c:pt>
                <c:pt idx="429">
                  <c:v>0.78142668900954892</c:v>
                </c:pt>
                <c:pt idx="430">
                  <c:v>0.78449954103713782</c:v>
                </c:pt>
                <c:pt idx="431">
                  <c:v>0.78757452850045018</c:v>
                </c:pt>
                <c:pt idx="432">
                  <c:v>0.79065162092883967</c:v>
                </c:pt>
                <c:pt idx="433">
                  <c:v>0.79373078783080309</c:v>
                </c:pt>
                <c:pt idx="434">
                  <c:v>0.79681199869427966</c:v>
                </c:pt>
                <c:pt idx="435">
                  <c:v>0.79989522298695537</c:v>
                </c:pt>
                <c:pt idx="436">
                  <c:v>0.80298043015656417</c:v>
                </c:pt>
                <c:pt idx="437">
                  <c:v>0.80606758963119207</c:v>
                </c:pt>
                <c:pt idx="438">
                  <c:v>0.80915667081957843</c:v>
                </c:pt>
                <c:pt idx="439">
                  <c:v>0.81224764311142017</c:v>
                </c:pt>
                <c:pt idx="440">
                  <c:v>0.81534047587767555</c:v>
                </c:pt>
                <c:pt idx="441">
                  <c:v>0.81843513847086635</c:v>
                </c:pt>
                <c:pt idx="442">
                  <c:v>0.82153160022538252</c:v>
                </c:pt>
                <c:pt idx="443">
                  <c:v>0.82462983045778548</c:v>
                </c:pt>
                <c:pt idx="444">
                  <c:v>0.82772979846711325</c:v>
                </c:pt>
                <c:pt idx="445">
                  <c:v>0.8308314735351825</c:v>
                </c:pt>
                <c:pt idx="446">
                  <c:v>0.83393482492689608</c:v>
                </c:pt>
                <c:pt idx="447">
                  <c:v>0.83703982189054416</c:v>
                </c:pt>
                <c:pt idx="448">
                  <c:v>0.8401464336581117</c:v>
                </c:pt>
                <c:pt idx="449">
                  <c:v>0.84325462944558205</c:v>
                </c:pt>
                <c:pt idx="450">
                  <c:v>0.84636437845324164</c:v>
                </c:pt>
                <c:pt idx="451">
                  <c:v>0.84947564986598656</c:v>
                </c:pt>
                <c:pt idx="452">
                  <c:v>0.85258841285362663</c:v>
                </c:pt>
                <c:pt idx="453">
                  <c:v>0.85570263657119128</c:v>
                </c:pt>
                <c:pt idx="454">
                  <c:v>0.85881829015923528</c:v>
                </c:pt>
                <c:pt idx="455">
                  <c:v>0.86193534274414518</c:v>
                </c:pt>
                <c:pt idx="456">
                  <c:v>0.86505376343844365</c:v>
                </c:pt>
                <c:pt idx="457">
                  <c:v>0.86817352134109738</c:v>
                </c:pt>
                <c:pt idx="458">
                  <c:v>0.87129458553782158</c:v>
                </c:pt>
                <c:pt idx="459">
                  <c:v>0.87441692510138791</c:v>
                </c:pt>
                <c:pt idx="460">
                  <c:v>0.87754050909192971</c:v>
                </c:pt>
                <c:pt idx="461">
                  <c:v>0.88066530655724884</c:v>
                </c:pt>
                <c:pt idx="462">
                  <c:v>0.88379128653312367</c:v>
                </c:pt>
                <c:pt idx="463">
                  <c:v>0.88691841804361304</c:v>
                </c:pt>
                <c:pt idx="464">
                  <c:v>0.89004667010136695</c:v>
                </c:pt>
                <c:pt idx="465">
                  <c:v>0.89317601170793026</c:v>
                </c:pt>
                <c:pt idx="466">
                  <c:v>0.89630641185405224</c:v>
                </c:pt>
                <c:pt idx="467">
                  <c:v>0.8994378395199919</c:v>
                </c:pt>
                <c:pt idx="468">
                  <c:v>0.9025702636758276</c:v>
                </c:pt>
                <c:pt idx="469">
                  <c:v>0.90570365328176206</c:v>
                </c:pt>
                <c:pt idx="470">
                  <c:v>0.90883797728843208</c:v>
                </c:pt>
                <c:pt idx="471">
                  <c:v>0.91197320463721476</c:v>
                </c:pt>
                <c:pt idx="472">
                  <c:v>0.91510930426053605</c:v>
                </c:pt>
                <c:pt idx="473">
                  <c:v>0.91824624508217823</c:v>
                </c:pt>
                <c:pt idx="474">
                  <c:v>0.92138399601758791</c:v>
                </c:pt>
                <c:pt idx="475">
                  <c:v>0.92452252597418461</c:v>
                </c:pt>
                <c:pt idx="476">
                  <c:v>0.92766180385166763</c:v>
                </c:pt>
                <c:pt idx="477">
                  <c:v>0.93080179854232581</c:v>
                </c:pt>
                <c:pt idx="478">
                  <c:v>0.93394247893134419</c:v>
                </c:pt>
                <c:pt idx="479">
                  <c:v>0.9370838138971137</c:v>
                </c:pt>
                <c:pt idx="480">
                  <c:v>0.94022577231153837</c:v>
                </c:pt>
                <c:pt idx="481">
                  <c:v>0.94336832304034501</c:v>
                </c:pt>
                <c:pt idx="482">
                  <c:v>0.94651143494339052</c:v>
                </c:pt>
                <c:pt idx="483">
                  <c:v>0.9496550768749713</c:v>
                </c:pt>
                <c:pt idx="484">
                  <c:v>0.95279921768413134</c:v>
                </c:pt>
                <c:pt idx="485">
                  <c:v>0.9559438262149712</c:v>
                </c:pt>
                <c:pt idx="486">
                  <c:v>0.95908887130695719</c:v>
                </c:pt>
                <c:pt idx="487">
                  <c:v>0.96223432179522894</c:v>
                </c:pt>
                <c:pt idx="488">
                  <c:v>0.96538014651090975</c:v>
                </c:pt>
                <c:pt idx="489">
                  <c:v>0.96852631428141356</c:v>
                </c:pt>
                <c:pt idx="490">
                  <c:v>0.9716727939307559</c:v>
                </c:pt>
                <c:pt idx="491">
                  <c:v>0.97481955427986144</c:v>
                </c:pt>
                <c:pt idx="492">
                  <c:v>0.977966564146873</c:v>
                </c:pt>
                <c:pt idx="493">
                  <c:v>0.98111379234746177</c:v>
                </c:pt>
                <c:pt idx="494">
                  <c:v>0.98426120769513414</c:v>
                </c:pt>
                <c:pt idx="495">
                  <c:v>0.98740877900154345</c:v>
                </c:pt>
                <c:pt idx="496">
                  <c:v>0.99055647507679634</c:v>
                </c:pt>
                <c:pt idx="497">
                  <c:v>0.99370426472976414</c:v>
                </c:pt>
                <c:pt idx="498">
                  <c:v>0.99685211676839014</c:v>
                </c:pt>
                <c:pt idx="499">
                  <c:v>0.99999999999999989</c:v>
                </c:pt>
              </c:numCache>
            </c:numRef>
          </c:xVal>
          <c:yVal>
            <c:numRef>
              <c:f>Data2!$S$1:$S$500</c:f>
              <c:numCache>
                <c:formatCode>General</c:formatCode>
                <c:ptCount val="5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0B-4FA6-AB39-77FC436D5962}"/>
            </c:ext>
          </c:extLst>
        </c:ser>
        <c:ser>
          <c:idx val="4"/>
          <c:order val="4"/>
          <c:tx>
            <c:v>Leading-edge Radius</c:v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Data2!$W$1:$W$50</c:f>
              <c:numCache>
                <c:formatCode>0.000</c:formatCode>
                <c:ptCount val="50"/>
                <c:pt idx="0">
                  <c:v>3.0959150997382542E-2</c:v>
                </c:pt>
                <c:pt idx="1">
                  <c:v>3.0828883723057015E-2</c:v>
                </c:pt>
                <c:pt idx="2">
                  <c:v>3.0440220885123437E-2</c:v>
                </c:pt>
                <c:pt idx="3">
                  <c:v>2.9799544316635503E-2</c:v>
                </c:pt>
                <c:pt idx="4">
                  <c:v>2.8917373909135333E-2</c:v>
                </c:pt>
                <c:pt idx="5">
                  <c:v>2.7808194876325156E-2</c:v>
                </c:pt>
                <c:pt idx="6">
                  <c:v>2.6490219907258809E-2</c:v>
                </c:pt>
                <c:pt idx="7">
                  <c:v>2.4985090114490981E-2</c:v>
                </c:pt>
                <c:pt idx="8">
                  <c:v>2.3317519687607351E-2</c:v>
                </c:pt>
                <c:pt idx="9">
                  <c:v>2.1514890086914883E-2</c:v>
                </c:pt>
                <c:pt idx="10">
                  <c:v>1.9606800440620558E-2</c:v>
                </c:pt>
                <c:pt idx="11">
                  <c:v>1.7624581527964547E-2</c:v>
                </c:pt>
                <c:pt idx="12">
                  <c:v>1.5600781328691259E-2</c:v>
                </c:pt>
                <c:pt idx="13">
                  <c:v>1.3568630586121785E-2</c:v>
                </c:pt>
                <c:pt idx="14">
                  <c:v>1.1561497159267277E-2</c:v>
                </c:pt>
                <c:pt idx="15">
                  <c:v>9.6123381235064861E-3</c:v>
                </c:pt>
                <c:pt idx="16">
                  <c:v>7.753158616319194E-3</c:v>
                </c:pt>
                <c:pt idx="17">
                  <c:v>6.0144863138136264E-3</c:v>
                </c:pt>
                <c:pt idx="18">
                  <c:v>4.4248701671287353E-3</c:v>
                </c:pt>
                <c:pt idx="19">
                  <c:v>3.0104116294457739E-3</c:v>
                </c:pt>
                <c:pt idx="20">
                  <c:v>1.7943360708486792E-3</c:v>
                </c:pt>
                <c:pt idx="21">
                  <c:v>7.9661141838939281E-4</c:v>
                </c:pt>
                <c:pt idx="22">
                  <c:v>3.3620283277709829E-5</c:v>
                </c:pt>
                <c:pt idx="23">
                  <c:v>-4.8210904114186556E-4</c:v>
                </c:pt>
                <c:pt idx="24">
                  <c:v>-7.4210829362047006E-4</c:v>
                </c:pt>
                <c:pt idx="25">
                  <c:v>-7.4210829362047353E-4</c:v>
                </c:pt>
                <c:pt idx="26">
                  <c:v>-4.821090411418744E-4</c:v>
                </c:pt>
                <c:pt idx="27">
                  <c:v>3.3620283277697496E-5</c:v>
                </c:pt>
                <c:pt idx="28">
                  <c:v>7.9661141838937525E-4</c:v>
                </c:pt>
                <c:pt idx="29">
                  <c:v>1.794336070848658E-3</c:v>
                </c:pt>
                <c:pt idx="30">
                  <c:v>3.0104116294457474E-3</c:v>
                </c:pt>
                <c:pt idx="31">
                  <c:v>4.4248701671287067E-3</c:v>
                </c:pt>
                <c:pt idx="32">
                  <c:v>6.0144863138136004E-3</c:v>
                </c:pt>
                <c:pt idx="33">
                  <c:v>7.7531586163191715E-3</c:v>
                </c:pt>
                <c:pt idx="34">
                  <c:v>9.612338123506467E-3</c:v>
                </c:pt>
                <c:pt idx="35">
                  <c:v>1.1561497159267263E-2</c:v>
                </c:pt>
                <c:pt idx="36">
                  <c:v>1.3568630586121778E-2</c:v>
                </c:pt>
                <c:pt idx="37">
                  <c:v>1.5600781328691259E-2</c:v>
                </c:pt>
                <c:pt idx="38">
                  <c:v>1.7624581527964554E-2</c:v>
                </c:pt>
                <c:pt idx="39">
                  <c:v>1.9606800440620572E-2</c:v>
                </c:pt>
                <c:pt idx="40">
                  <c:v>2.1514890086914904E-2</c:v>
                </c:pt>
                <c:pt idx="41">
                  <c:v>2.3317519687607376E-2</c:v>
                </c:pt>
                <c:pt idx="42">
                  <c:v>2.4985090114491008E-2</c:v>
                </c:pt>
                <c:pt idx="43">
                  <c:v>2.649021990725884E-2</c:v>
                </c:pt>
                <c:pt idx="44">
                  <c:v>2.7808194876325184E-2</c:v>
                </c:pt>
                <c:pt idx="45">
                  <c:v>2.891737390913536E-2</c:v>
                </c:pt>
                <c:pt idx="46">
                  <c:v>2.9799544316635528E-2</c:v>
                </c:pt>
                <c:pt idx="47">
                  <c:v>3.0440220885123454E-2</c:v>
                </c:pt>
                <c:pt idx="48">
                  <c:v>3.0828883723057025E-2</c:v>
                </c:pt>
                <c:pt idx="49">
                  <c:v>3.0959150997382542E-2</c:v>
                </c:pt>
              </c:numCache>
            </c:numRef>
          </c:xVal>
          <c:yVal>
            <c:numRef>
              <c:f>Data2!$X$1:$X$50</c:f>
              <c:numCache>
                <c:formatCode>0.000</c:formatCode>
                <c:ptCount val="50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0B-4FA6-AB39-77FC436D5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267407"/>
        <c:axId val="1288265007"/>
      </c:scatterChart>
      <c:valAx>
        <c:axId val="1288267407"/>
        <c:scaling>
          <c:orientation val="minMax"/>
          <c:max val="1.1000000000000001"/>
          <c:min val="-0.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1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All dimensions are nomalized by the chord length c</a:t>
                </a:r>
              </a:p>
            </c:rich>
          </c:tx>
          <c:layout>
            <c:manualLayout>
              <c:xMode val="edge"/>
              <c:yMode val="edge"/>
              <c:x val="0.74880151716690158"/>
              <c:y val="0.934289616524986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one"/>
        <c:spPr>
          <a:noFill/>
          <a:ln w="3175" cap="flat" cmpd="sng" algn="ctr">
            <a:solidFill>
              <a:schemeClr val="bg2">
                <a:lumMod val="50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288265007"/>
        <c:crosses val="autoZero"/>
        <c:crossBetween val="midCat"/>
        <c:majorUnit val="0.1"/>
        <c:minorUnit val="5.000000000000001E-2"/>
      </c:valAx>
      <c:valAx>
        <c:axId val="1288265007"/>
        <c:scaling>
          <c:orientation val="minMax"/>
          <c:max val="0.2"/>
          <c:min val="-0.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0"/>
        <c:majorTickMark val="out"/>
        <c:minorTickMark val="none"/>
        <c:tickLblPos val="none"/>
        <c:spPr>
          <a:noFill/>
          <a:ln w="3175" cap="flat" cmpd="sng" algn="ctr">
            <a:solidFill>
              <a:schemeClr val="bg2">
                <a:lumMod val="50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+mn-cs"/>
              </a:defRPr>
            </a:pPr>
            <a:endParaRPr lang="en-US"/>
          </a:p>
        </c:txPr>
        <c:crossAx val="1288267407"/>
        <c:crosses val="autoZero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300">
                <a:solidFill>
                  <a:schemeClr val="tx1">
                    <a:lumMod val="75000"/>
                    <a:lumOff val="2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NACA 4-Digit</a:t>
            </a:r>
            <a:r>
              <a:rPr lang="en-GB" sz="1300" baseline="0">
                <a:solidFill>
                  <a:schemeClr val="tx1">
                    <a:lumMod val="75000"/>
                    <a:lumOff val="2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Series Modified  </a:t>
            </a:r>
          </a:p>
        </c:rich>
      </c:tx>
      <c:layout>
        <c:manualLayout>
          <c:xMode val="edge"/>
          <c:yMode val="edge"/>
          <c:x val="0.38495809807835218"/>
          <c:y val="1.03471601415951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583138783160589E-2"/>
          <c:y val="0.11349384852976234"/>
          <c:w val="0.93562140485916201"/>
          <c:h val="0.80712304542559854"/>
        </c:manualLayout>
      </c:layout>
      <c:scatterChart>
        <c:scatterStyle val="smoothMarker"/>
        <c:varyColors val="0"/>
        <c:ser>
          <c:idx val="0"/>
          <c:order val="0"/>
          <c:tx>
            <c:v>Mean Camber Line</c:v>
          </c:tx>
          <c:spPr>
            <a:ln w="317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Data3!$B$1:$B$500</c:f>
              <c:numCache>
                <c:formatCode>0.000000</c:formatCode>
                <c:ptCount val="500"/>
                <c:pt idx="0">
                  <c:v>0</c:v>
                </c:pt>
                <c:pt idx="1">
                  <c:v>4.9545966939179564E-6</c:v>
                </c:pt>
                <c:pt idx="2">
                  <c:v>1.9818337679722298E-5</c:v>
                </c:pt>
                <c:pt idx="3">
                  <c:v>4.4591075669564439E-5</c:v>
                </c:pt>
                <c:pt idx="4">
                  <c:v>7.9272565185806165E-5</c:v>
                </c:pt>
                <c:pt idx="5">
                  <c:v>1.2386246256268496E-4</c:v>
                </c:pt>
                <c:pt idx="6">
                  <c:v>1.7836032595031082E-4</c:v>
                </c:pt>
                <c:pt idx="7">
                  <c:v>2.4276561531888508E-4</c:v>
                </c:pt>
                <c:pt idx="8">
                  <c:v>3.1707769246391848E-4</c:v>
                </c:pt>
                <c:pt idx="9">
                  <c:v>4.0129582101267047E-4</c:v>
                </c:pt>
                <c:pt idx="10">
                  <c:v>4.9541916643136563E-4</c:v>
                </c:pt>
                <c:pt idx="11">
                  <c:v>5.9944679603363138E-4</c:v>
                </c:pt>
                <c:pt idx="12">
                  <c:v>7.133776789896018E-4</c:v>
                </c:pt>
                <c:pt idx="13">
                  <c:v>8.3721068633602069E-4</c:v>
                </c:pt>
                <c:pt idx="14">
                  <c:v>9.7094459098767683E-4</c:v>
                </c:pt>
                <c:pt idx="15">
                  <c:v>1.1145780677496164E-3</c:v>
                </c:pt>
                <c:pt idx="16">
                  <c:v>1.2681096933296887E-3</c:v>
                </c:pt>
                <c:pt idx="17">
                  <c:v>1.4315379463535338E-3</c:v>
                </c:pt>
                <c:pt idx="18">
                  <c:v>1.6048612073787938E-3</c:v>
                </c:pt>
                <c:pt idx="19">
                  <c:v>1.7880777589119878E-3</c:v>
                </c:pt>
                <c:pt idx="20">
                  <c:v>1.9811857854247217E-3</c:v>
                </c:pt>
                <c:pt idx="21">
                  <c:v>2.1841833733722282E-3</c:v>
                </c:pt>
                <c:pt idx="22">
                  <c:v>2.3970685112121304E-3</c:v>
                </c:pt>
                <c:pt idx="23">
                  <c:v>2.619839089424536E-3</c:v>
                </c:pt>
                <c:pt idx="24">
                  <c:v>2.8524929005325772E-3</c:v>
                </c:pt>
                <c:pt idx="25">
                  <c:v>3.0950276391248366E-3</c:v>
                </c:pt>
                <c:pt idx="26">
                  <c:v>3.3474409018774409E-3</c:v>
                </c:pt>
                <c:pt idx="27">
                  <c:v>3.609730187578708E-3</c:v>
                </c:pt>
                <c:pt idx="28">
                  <c:v>3.8818928971533495E-3</c:v>
                </c:pt>
                <c:pt idx="29">
                  <c:v>4.1639263336883392E-3</c:v>
                </c:pt>
                <c:pt idx="30">
                  <c:v>4.4558277024601134E-3</c:v>
                </c:pt>
                <c:pt idx="31">
                  <c:v>4.7575941109612163E-3</c:v>
                </c:pt>
                <c:pt idx="32">
                  <c:v>5.0692225689300541E-3</c:v>
                </c:pt>
                <c:pt idx="33">
                  <c:v>5.3907099883800935E-3</c:v>
                </c:pt>
                <c:pt idx="34">
                  <c:v>5.7220531836302824E-3</c:v>
                </c:pt>
                <c:pt idx="35">
                  <c:v>6.0632488713366905E-3</c:v>
                </c:pt>
                <c:pt idx="36">
                  <c:v>6.4142936705253728E-3</c:v>
                </c:pt>
                <c:pt idx="37">
                  <c:v>6.7751841026255644E-3</c:v>
                </c:pt>
                <c:pt idx="38">
                  <c:v>7.1459165915040979E-3</c:v>
                </c:pt>
                <c:pt idx="39">
                  <c:v>7.5264874635010415E-3</c:v>
                </c:pt>
                <c:pt idx="40">
                  <c:v>7.9168929474660032E-3</c:v>
                </c:pt>
                <c:pt idx="41">
                  <c:v>8.3171291747956566E-3</c:v>
                </c:pt>
                <c:pt idx="42">
                  <c:v>8.727192179471821E-3</c:v>
                </c:pt>
                <c:pt idx="43">
                  <c:v>9.1470778981007639E-3</c:v>
                </c:pt>
                <c:pt idx="44">
                  <c:v>9.5767821699537237E-3</c:v>
                </c:pt>
                <c:pt idx="45">
                  <c:v>1.0016300737007988E-2</c:v>
                </c:pt>
                <c:pt idx="46">
                  <c:v>1.0465629243989194E-2</c:v>
                </c:pt>
                <c:pt idx="47">
                  <c:v>1.092476323841407E-2</c:v>
                </c:pt>
                <c:pt idx="48">
                  <c:v>1.1393698170635291E-2</c:v>
                </c:pt>
                <c:pt idx="49">
                  <c:v>1.1872429393885775E-2</c:v>
                </c:pt>
                <c:pt idx="50">
                  <c:v>1.2360952164325312E-2</c:v>
                </c:pt>
                <c:pt idx="51">
                  <c:v>1.2859261641087194E-2</c:v>
                </c:pt>
                <c:pt idx="52">
                  <c:v>1.3367352886326511E-2</c:v>
                </c:pt>
                <c:pt idx="53">
                  <c:v>1.3885220865268999E-2</c:v>
                </c:pt>
                <c:pt idx="54">
                  <c:v>1.4412860446260445E-2</c:v>
                </c:pt>
                <c:pt idx="55">
                  <c:v>1.4950266400818424E-2</c:v>
                </c:pt>
                <c:pt idx="56">
                  <c:v>1.5497433403683258E-2</c:v>
                </c:pt>
                <c:pt idx="57">
                  <c:v>1.605435603287142E-2</c:v>
                </c:pt>
                <c:pt idx="58">
                  <c:v>1.6621028769728818E-2</c:v>
                </c:pt>
                <c:pt idx="59">
                  <c:v>1.719744599898565E-2</c:v>
                </c:pt>
                <c:pt idx="60">
                  <c:v>1.7783602008812238E-2</c:v>
                </c:pt>
                <c:pt idx="61">
                  <c:v>1.8379490990875214E-2</c:v>
                </c:pt>
                <c:pt idx="62">
                  <c:v>1.8985107040395466E-2</c:v>
                </c:pt>
                <c:pt idx="63">
                  <c:v>1.9600444156206542E-2</c:v>
                </c:pt>
                <c:pt idx="64">
                  <c:v>2.0225496240813712E-2</c:v>
                </c:pt>
                <c:pt idx="65">
                  <c:v>2.0860257100455248E-2</c:v>
                </c:pt>
                <c:pt idx="66">
                  <c:v>2.1504720445162939E-2</c:v>
                </c:pt>
                <c:pt idx="67">
                  <c:v>2.2158879888824812E-2</c:v>
                </c:pt>
                <c:pt idx="68">
                  <c:v>2.2822728949248527E-2</c:v>
                </c:pt>
                <c:pt idx="69">
                  <c:v>2.349626104822522E-2</c:v>
                </c:pt>
                <c:pt idx="70">
                  <c:v>2.4179469511595331E-2</c:v>
                </c:pt>
                <c:pt idx="71">
                  <c:v>2.487234756931378E-2</c:v>
                </c:pt>
                <c:pt idx="72">
                  <c:v>2.5574888355518133E-2</c:v>
                </c:pt>
                <c:pt idx="73">
                  <c:v>2.6287084908595659E-2</c:v>
                </c:pt>
                <c:pt idx="74">
                  <c:v>2.7008930171253165E-2</c:v>
                </c:pt>
                <c:pt idx="75">
                  <c:v>2.7740416990586381E-2</c:v>
                </c:pt>
                <c:pt idx="76">
                  <c:v>2.8481538118150684E-2</c:v>
                </c:pt>
                <c:pt idx="77">
                  <c:v>2.923228621003382E-2</c:v>
                </c:pt>
                <c:pt idx="78">
                  <c:v>2.9992653826927507E-2</c:v>
                </c:pt>
                <c:pt idx="79">
                  <c:v>3.0762633434202158E-2</c:v>
                </c:pt>
                <c:pt idx="80">
                  <c:v>3.1542217401980821E-2</c:v>
                </c:pt>
                <c:pt idx="81">
                  <c:v>3.2331398005215228E-2</c:v>
                </c:pt>
                <c:pt idx="82">
                  <c:v>3.313016742376218E-2</c:v>
                </c:pt>
                <c:pt idx="83">
                  <c:v>3.3938517742461038E-2</c:v>
                </c:pt>
                <c:pt idx="84">
                  <c:v>3.475644095121222E-2</c:v>
                </c:pt>
                <c:pt idx="85">
                  <c:v>3.5583928945056353E-2</c:v>
                </c:pt>
                <c:pt idx="86">
                  <c:v>3.6420973524254996E-2</c:v>
                </c:pt>
                <c:pt idx="87">
                  <c:v>3.7267566394371454E-2</c:v>
                </c:pt>
                <c:pt idx="88">
                  <c:v>3.8123699166353275E-2</c:v>
                </c:pt>
                <c:pt idx="89">
                  <c:v>3.8989363356615403E-2</c:v>
                </c:pt>
                <c:pt idx="90">
                  <c:v>3.9864550387123776E-2</c:v>
                </c:pt>
                <c:pt idx="91">
                  <c:v>4.0749251585480817E-2</c:v>
                </c:pt>
                <c:pt idx="92">
                  <c:v>4.1643458185011473E-2</c:v>
                </c:pt>
                <c:pt idx="93">
                  <c:v>4.2547161324849481E-2</c:v>
                </c:pt>
                <c:pt idx="94">
                  <c:v>4.346035205002563E-2</c:v>
                </c:pt>
                <c:pt idx="95">
                  <c:v>4.4383021311556581E-2</c:v>
                </c:pt>
                <c:pt idx="96">
                  <c:v>4.5315159966534124E-2</c:v>
                </c:pt>
                <c:pt idx="97">
                  <c:v>4.625675877821589E-2</c:v>
                </c:pt>
                <c:pt idx="98">
                  <c:v>4.7207808416117381E-2</c:v>
                </c:pt>
                <c:pt idx="99">
                  <c:v>4.8168299456103791E-2</c:v>
                </c:pt>
                <c:pt idx="100">
                  <c:v>4.9138222380483598E-2</c:v>
                </c:pt>
                <c:pt idx="101">
                  <c:v>5.0117567578102928E-2</c:v>
                </c:pt>
                <c:pt idx="102">
                  <c:v>5.1106325344440817E-2</c:v>
                </c:pt>
                <c:pt idx="103">
                  <c:v>5.2104485881705465E-2</c:v>
                </c:pt>
                <c:pt idx="104">
                  <c:v>5.3112039298931046E-2</c:v>
                </c:pt>
                <c:pt idx="105">
                  <c:v>5.4128975612075858E-2</c:v>
                </c:pt>
                <c:pt idx="106">
                  <c:v>5.5155284744121347E-2</c:v>
                </c:pt>
                <c:pt idx="107">
                  <c:v>5.6190956525171698E-2</c:v>
                </c:pt>
                <c:pt idx="108">
                  <c:v>5.7235980692555199E-2</c:v>
                </c:pt>
                <c:pt idx="109">
                  <c:v>5.8290346890925049E-2</c:v>
                </c:pt>
                <c:pt idx="110">
                  <c:v>5.9354044672362938E-2</c:v>
                </c:pt>
                <c:pt idx="111">
                  <c:v>6.0427063496481526E-2</c:v>
                </c:pt>
                <c:pt idx="112">
                  <c:v>6.1509392730530021E-2</c:v>
                </c:pt>
                <c:pt idx="113">
                  <c:v>6.2601021649498656E-2</c:v>
                </c:pt>
                <c:pt idx="114">
                  <c:v>6.3701939436225374E-2</c:v>
                </c:pt>
                <c:pt idx="115">
                  <c:v>6.4812135181502861E-2</c:v>
                </c:pt>
                <c:pt idx="116">
                  <c:v>6.5931597884186899E-2</c:v>
                </c:pt>
                <c:pt idx="117">
                  <c:v>6.7060316451305058E-2</c:v>
                </c:pt>
                <c:pt idx="118">
                  <c:v>6.8198279698166608E-2</c:v>
                </c:pt>
                <c:pt idx="119">
                  <c:v>6.9345476348473767E-2</c:v>
                </c:pt>
                <c:pt idx="120">
                  <c:v>7.050189503443316E-2</c:v>
                </c:pt>
                <c:pt idx="121">
                  <c:v>7.1667524296868401E-2</c:v>
                </c:pt>
                <c:pt idx="122">
                  <c:v>7.2842352585333559E-2</c:v>
                </c:pt>
                <c:pt idx="123">
                  <c:v>7.4026368258227948E-2</c:v>
                </c:pt>
                <c:pt idx="124">
                  <c:v>7.5219559582911377E-2</c:v>
                </c:pt>
                <c:pt idx="125">
                  <c:v>7.6421914735820273E-2</c:v>
                </c:pt>
                <c:pt idx="126">
                  <c:v>7.7633421802584812E-2</c:v>
                </c:pt>
                <c:pt idx="127">
                  <c:v>7.8854068778147268E-2</c:v>
                </c:pt>
                <c:pt idx="128">
                  <c:v>8.0083843566880586E-2</c:v>
                </c:pt>
                <c:pt idx="129">
                  <c:v>8.1322733982708617E-2</c:v>
                </c:pt>
                <c:pt idx="130">
                  <c:v>8.2570727749226691E-2</c:v>
                </c:pt>
                <c:pt idx="131">
                  <c:v>8.3827812499823295E-2</c:v>
                </c:pt>
                <c:pt idx="132">
                  <c:v>8.5093975777802311E-2</c:v>
                </c:pt>
                <c:pt idx="133">
                  <c:v>8.6369205036507135E-2</c:v>
                </c:pt>
                <c:pt idx="134">
                  <c:v>8.7653487639444361E-2</c:v>
                </c:pt>
                <c:pt idx="135">
                  <c:v>8.8946810860409342E-2</c:v>
                </c:pt>
                <c:pt idx="136">
                  <c:v>9.0249161883612206E-2</c:v>
                </c:pt>
                <c:pt idx="137">
                  <c:v>9.1560527803804637E-2</c:v>
                </c:pt>
                <c:pt idx="138">
                  <c:v>9.2880895626408333E-2</c:v>
                </c:pt>
                <c:pt idx="139">
                  <c:v>9.4210252267643013E-2</c:v>
                </c:pt>
                <c:pt idx="140">
                  <c:v>9.5548584554656757E-2</c:v>
                </c:pt>
                <c:pt idx="141">
                  <c:v>9.6895879225656123E-2</c:v>
                </c:pt>
                <c:pt idx="142">
                  <c:v>9.8252122930037711E-2</c:v>
                </c:pt>
                <c:pt idx="143">
                  <c:v>9.9617302228520166E-2</c:v>
                </c:pt>
                <c:pt idx="144">
                  <c:v>0.10099140359327796</c:v>
                </c:pt>
                <c:pt idx="145">
                  <c:v>0.10237441340807496</c:v>
                </c:pt>
                <c:pt idx="146">
                  <c:v>0.1037663179683993</c:v>
                </c:pt>
                <c:pt idx="147">
                  <c:v>0.10516710348159974</c:v>
                </c:pt>
                <c:pt idx="148">
                  <c:v>0.10657675606702155</c:v>
                </c:pt>
                <c:pt idx="149">
                  <c:v>0.10799526175614471</c:v>
                </c:pt>
                <c:pt idx="150">
                  <c:v>0.10942260649272206</c:v>
                </c:pt>
                <c:pt idx="151">
                  <c:v>0.11085877613291861</c:v>
                </c:pt>
                <c:pt idx="152">
                  <c:v>0.11230375644545154</c:v>
                </c:pt>
                <c:pt idx="153">
                  <c:v>0.11375753311173153</c:v>
                </c:pt>
                <c:pt idx="154">
                  <c:v>0.11522009172600445</c:v>
                </c:pt>
                <c:pt idx="155">
                  <c:v>0.11669141779549419</c:v>
                </c:pt>
                <c:pt idx="156">
                  <c:v>0.11817149674054617</c:v>
                </c:pt>
                <c:pt idx="157">
                  <c:v>0.11966031389477194</c:v>
                </c:pt>
                <c:pt idx="158">
                  <c:v>0.12115785450519423</c:v>
                </c:pt>
                <c:pt idx="159">
                  <c:v>0.12266410373239378</c:v>
                </c:pt>
                <c:pt idx="160">
                  <c:v>0.12417904665065549</c:v>
                </c:pt>
                <c:pt idx="161">
                  <c:v>0.12570266824811704</c:v>
                </c:pt>
                <c:pt idx="162">
                  <c:v>0.1272349534269176</c:v>
                </c:pt>
                <c:pt idx="163">
                  <c:v>0.12877588700334663</c:v>
                </c:pt>
                <c:pt idx="164">
                  <c:v>0.13032545370799575</c:v>
                </c:pt>
                <c:pt idx="165">
                  <c:v>0.13188363818590843</c:v>
                </c:pt>
                <c:pt idx="166">
                  <c:v>0.13345042499673354</c:v>
                </c:pt>
                <c:pt idx="167">
                  <c:v>0.13502579861487751</c:v>
                </c:pt>
                <c:pt idx="168">
                  <c:v>0.13660974342965859</c:v>
                </c:pt>
                <c:pt idx="169">
                  <c:v>0.13820224374546131</c:v>
                </c:pt>
                <c:pt idx="170">
                  <c:v>0.13980328378189188</c:v>
                </c:pt>
                <c:pt idx="171">
                  <c:v>0.14141284767393503</c:v>
                </c:pt>
                <c:pt idx="172">
                  <c:v>0.143030919472111</c:v>
                </c:pt>
                <c:pt idx="173">
                  <c:v>0.14465748314263338</c:v>
                </c:pt>
                <c:pt idx="174">
                  <c:v>0.14629252256756808</c:v>
                </c:pt>
                <c:pt idx="175">
                  <c:v>0.14793602154499341</c:v>
                </c:pt>
                <c:pt idx="176">
                  <c:v>0.14958796378916006</c:v>
                </c:pt>
                <c:pt idx="177">
                  <c:v>0.15124833293065298</c:v>
                </c:pt>
                <c:pt idx="178">
                  <c:v>0.15291711251655316</c:v>
                </c:pt>
                <c:pt idx="179">
                  <c:v>0.15459428601060099</c:v>
                </c:pt>
                <c:pt idx="180">
                  <c:v>0.15627983679335988</c:v>
                </c:pt>
                <c:pt idx="181">
                  <c:v>0.15797374816238119</c:v>
                </c:pt>
                <c:pt idx="182">
                  <c:v>0.15967600333236964</c:v>
                </c:pt>
                <c:pt idx="183">
                  <c:v>0.16138658543534967</c:v>
                </c:pt>
                <c:pt idx="184">
                  <c:v>0.16310547752083215</c:v>
                </c:pt>
                <c:pt idx="185">
                  <c:v>0.16483266255598328</c:v>
                </c:pt>
                <c:pt idx="186">
                  <c:v>0.1665681234257923</c:v>
                </c:pt>
                <c:pt idx="187">
                  <c:v>0.16831184293324197</c:v>
                </c:pt>
                <c:pt idx="188">
                  <c:v>0.17006380379947839</c:v>
                </c:pt>
                <c:pt idx="189">
                  <c:v>0.17182398866398252</c:v>
                </c:pt>
                <c:pt idx="190">
                  <c:v>0.1735923800847422</c:v>
                </c:pt>
                <c:pt idx="191">
                  <c:v>0.17536896053842488</c:v>
                </c:pt>
                <c:pt idx="192">
                  <c:v>0.17715371242055111</c:v>
                </c:pt>
                <c:pt idx="193">
                  <c:v>0.17894661804566958</c:v>
                </c:pt>
                <c:pt idx="194">
                  <c:v>0.18074765964753159</c:v>
                </c:pt>
                <c:pt idx="195">
                  <c:v>0.1825568193792676</c:v>
                </c:pt>
                <c:pt idx="196">
                  <c:v>0.18437407931356398</c:v>
                </c:pt>
                <c:pt idx="197">
                  <c:v>0.18619942144284063</c:v>
                </c:pt>
                <c:pt idx="198">
                  <c:v>0.18803282767942942</c:v>
                </c:pt>
                <c:pt idx="199">
                  <c:v>0.18987427985575323</c:v>
                </c:pt>
                <c:pt idx="200">
                  <c:v>0.19172375972450661</c:v>
                </c:pt>
                <c:pt idx="201">
                  <c:v>0.19358124895883555</c:v>
                </c:pt>
                <c:pt idx="202">
                  <c:v>0.19544672915252015</c:v>
                </c:pt>
                <c:pt idx="203">
                  <c:v>0.19732018182015654</c:v>
                </c:pt>
                <c:pt idx="204">
                  <c:v>0.1992015883973397</c:v>
                </c:pt>
                <c:pt idx="205">
                  <c:v>0.20109093024084834</c:v>
                </c:pt>
                <c:pt idx="206">
                  <c:v>0.20298818862882839</c:v>
                </c:pt>
                <c:pt idx="207">
                  <c:v>0.20489334476097976</c:v>
                </c:pt>
                <c:pt idx="208">
                  <c:v>0.20680637975874194</c:v>
                </c:pt>
                <c:pt idx="209">
                  <c:v>0.20872727466548102</c:v>
                </c:pt>
                <c:pt idx="210">
                  <c:v>0.21065601044667814</c:v>
                </c:pt>
                <c:pt idx="211">
                  <c:v>0.21259256799011716</c:v>
                </c:pt>
                <c:pt idx="212">
                  <c:v>0.21453692810607505</c:v>
                </c:pt>
                <c:pt idx="213">
                  <c:v>0.2164890715275114</c:v>
                </c:pt>
                <c:pt idx="214">
                  <c:v>0.21844897891025949</c:v>
                </c:pt>
                <c:pt idx="215">
                  <c:v>0.22041663083321805</c:v>
                </c:pt>
                <c:pt idx="216">
                  <c:v>0.22239200779854373</c:v>
                </c:pt>
                <c:pt idx="217">
                  <c:v>0.22437509023184399</c:v>
                </c:pt>
                <c:pt idx="218">
                  <c:v>0.22636585848237156</c:v>
                </c:pt>
                <c:pt idx="219">
                  <c:v>0.22836429282321902</c:v>
                </c:pt>
                <c:pt idx="220">
                  <c:v>0.2303703734515139</c:v>
                </c:pt>
                <c:pt idx="221">
                  <c:v>0.23238408048861525</c:v>
                </c:pt>
                <c:pt idx="222">
                  <c:v>0.23440539398031057</c:v>
                </c:pt>
                <c:pt idx="223">
                  <c:v>0.23643429389701376</c:v>
                </c:pt>
                <c:pt idx="224">
                  <c:v>0.23847076013396296</c:v>
                </c:pt>
                <c:pt idx="225">
                  <c:v>0.24051477251142062</c:v>
                </c:pt>
                <c:pt idx="226">
                  <c:v>0.24256631077487267</c:v>
                </c:pt>
                <c:pt idx="227">
                  <c:v>0.24462535459522983</c:v>
                </c:pt>
                <c:pt idx="228">
                  <c:v>0.24669188356902849</c:v>
                </c:pt>
                <c:pt idx="229">
                  <c:v>0.24876587721863352</c:v>
                </c:pt>
                <c:pt idx="230">
                  <c:v>0.25084731499244084</c:v>
                </c:pt>
                <c:pt idx="231">
                  <c:v>0.25293617626508091</c:v>
                </c:pt>
                <c:pt idx="232">
                  <c:v>0.25503244033762351</c:v>
                </c:pt>
                <c:pt idx="233">
                  <c:v>0.25713608643778241</c:v>
                </c:pt>
                <c:pt idx="234">
                  <c:v>0.25924709372012167</c:v>
                </c:pt>
                <c:pt idx="235">
                  <c:v>0.26136544126626193</c:v>
                </c:pt>
                <c:pt idx="236">
                  <c:v>0.26349110808508769</c:v>
                </c:pt>
                <c:pt idx="237">
                  <c:v>0.26562407311295533</c:v>
                </c:pt>
                <c:pt idx="238">
                  <c:v>0.26776431521390176</c:v>
                </c:pt>
                <c:pt idx="239">
                  <c:v>0.26991181317985435</c:v>
                </c:pt>
                <c:pt idx="240">
                  <c:v>0.27206654573084033</c:v>
                </c:pt>
                <c:pt idx="241">
                  <c:v>0.27422849151519824</c:v>
                </c:pt>
                <c:pt idx="242">
                  <c:v>0.27639762910978904</c:v>
                </c:pt>
                <c:pt idx="243">
                  <c:v>0.27857393702020894</c:v>
                </c:pt>
                <c:pt idx="244">
                  <c:v>0.28075739368100194</c:v>
                </c:pt>
                <c:pt idx="245">
                  <c:v>0.28294797745587386</c:v>
                </c:pt>
                <c:pt idx="246">
                  <c:v>0.28514566663790619</c:v>
                </c:pt>
                <c:pt idx="247">
                  <c:v>0.28735043944977212</c:v>
                </c:pt>
                <c:pt idx="248">
                  <c:v>0.28956227404395118</c:v>
                </c:pt>
                <c:pt idx="249">
                  <c:v>0.2917811485029469</c:v>
                </c:pt>
                <c:pt idx="250">
                  <c:v>0.29400704083950302</c:v>
                </c:pt>
                <c:pt idx="251">
                  <c:v>0.29623992899682194</c:v>
                </c:pt>
                <c:pt idx="252">
                  <c:v>0.29847979084878318</c:v>
                </c:pt>
                <c:pt idx="253">
                  <c:v>0.30072660420016228</c:v>
                </c:pt>
                <c:pt idx="254">
                  <c:v>0.30298034678685137</c:v>
                </c:pt>
                <c:pt idx="255">
                  <c:v>0.30524099627607926</c:v>
                </c:pt>
                <c:pt idx="256">
                  <c:v>0.30750853026663305</c:v>
                </c:pt>
                <c:pt idx="257">
                  <c:v>0.30978292628908</c:v>
                </c:pt>
                <c:pt idx="258">
                  <c:v>0.31206416180598984</c:v>
                </c:pt>
                <c:pt idx="259">
                  <c:v>0.31435221421215875</c:v>
                </c:pt>
                <c:pt idx="260">
                  <c:v>0.31664706083483307</c:v>
                </c:pt>
                <c:pt idx="261">
                  <c:v>0.31894867893393375</c:v>
                </c:pt>
                <c:pt idx="262">
                  <c:v>0.3212570457022822</c:v>
                </c:pt>
                <c:pt idx="263">
                  <c:v>0.32357213826582509</c:v>
                </c:pt>
                <c:pt idx="264">
                  <c:v>0.32589393368386299</c:v>
                </c:pt>
                <c:pt idx="265">
                  <c:v>0.3282224089492759</c:v>
                </c:pt>
                <c:pt idx="266">
                  <c:v>0.33055754098875223</c:v>
                </c:pt>
                <c:pt idx="267">
                  <c:v>0.33289930666301693</c:v>
                </c:pt>
                <c:pt idx="268">
                  <c:v>0.33524768276706118</c:v>
                </c:pt>
                <c:pt idx="269">
                  <c:v>0.33760264603037182</c:v>
                </c:pt>
                <c:pt idx="270">
                  <c:v>0.33996417311716254</c:v>
                </c:pt>
                <c:pt idx="271">
                  <c:v>0.34233224062660483</c:v>
                </c:pt>
                <c:pt idx="272">
                  <c:v>0.34470682509305983</c:v>
                </c:pt>
                <c:pt idx="273">
                  <c:v>0.34708790298631065</c:v>
                </c:pt>
                <c:pt idx="274">
                  <c:v>0.34947545071179609</c:v>
                </c:pt>
                <c:pt idx="275">
                  <c:v>0.35186944461084391</c:v>
                </c:pt>
                <c:pt idx="276">
                  <c:v>0.35426986096090574</c:v>
                </c:pt>
                <c:pt idx="277">
                  <c:v>0.35667667597579156</c:v>
                </c:pt>
                <c:pt idx="278">
                  <c:v>0.35908986580590629</c:v>
                </c:pt>
                <c:pt idx="279">
                  <c:v>0.36150940653848485</c:v>
                </c:pt>
                <c:pt idx="280">
                  <c:v>0.36393527419783034</c:v>
                </c:pt>
                <c:pt idx="281">
                  <c:v>0.36636744474555105</c:v>
                </c:pt>
                <c:pt idx="282">
                  <c:v>0.36880589408079867</c:v>
                </c:pt>
                <c:pt idx="283">
                  <c:v>0.3712505980405072</c:v>
                </c:pt>
                <c:pt idx="284">
                  <c:v>0.37370153239963222</c:v>
                </c:pt>
                <c:pt idx="285">
                  <c:v>0.37615867287139115</c:v>
                </c:pt>
                <c:pt idx="286">
                  <c:v>0.37862199510750394</c:v>
                </c:pt>
                <c:pt idx="287">
                  <c:v>0.38109147469843418</c:v>
                </c:pt>
                <c:pt idx="288">
                  <c:v>0.38356708717363108</c:v>
                </c:pt>
                <c:pt idx="289">
                  <c:v>0.38604880800177188</c:v>
                </c:pt>
                <c:pt idx="290">
                  <c:v>0.3885366125910048</c:v>
                </c:pt>
                <c:pt idx="291">
                  <c:v>0.39103047628919319</c:v>
                </c:pt>
                <c:pt idx="292">
                  <c:v>0.39353037438415939</c:v>
                </c:pt>
                <c:pt idx="293">
                  <c:v>0.3960362821039296</c:v>
                </c:pt>
                <c:pt idx="294">
                  <c:v>0.39854817461698</c:v>
                </c:pt>
                <c:pt idx="295">
                  <c:v>0.4010660270324814</c:v>
                </c:pt>
                <c:pt idx="296">
                  <c:v>0.40358981440054742</c:v>
                </c:pt>
                <c:pt idx="297">
                  <c:v>0.40611951171248117</c:v>
                </c:pt>
                <c:pt idx="298">
                  <c:v>0.4086550939010225</c:v>
                </c:pt>
                <c:pt idx="299">
                  <c:v>0.41119653584059757</c:v>
                </c:pt>
                <c:pt idx="300">
                  <c:v>0.41374381234756619</c:v>
                </c:pt>
                <c:pt idx="301">
                  <c:v>0.41629689818047322</c:v>
                </c:pt>
                <c:pt idx="302">
                  <c:v>0.41885576804029723</c:v>
                </c:pt>
                <c:pt idx="303">
                  <c:v>0.42142039657070196</c:v>
                </c:pt>
                <c:pt idx="304">
                  <c:v>0.42399075835828748</c:v>
                </c:pt>
                <c:pt idx="305">
                  <c:v>0.42656682793284162</c:v>
                </c:pt>
                <c:pt idx="306">
                  <c:v>0.42914857976759269</c:v>
                </c:pt>
                <c:pt idx="307">
                  <c:v>0.43173598827946269</c:v>
                </c:pt>
                <c:pt idx="308">
                  <c:v>0.43432902782932004</c:v>
                </c:pt>
                <c:pt idx="309">
                  <c:v>0.43692767272223476</c:v>
                </c:pt>
                <c:pt idx="310">
                  <c:v>0.43953189720773167</c:v>
                </c:pt>
                <c:pt idx="311">
                  <c:v>0.4421416754800469</c:v>
                </c:pt>
                <c:pt idx="312">
                  <c:v>0.44475698167838285</c:v>
                </c:pt>
                <c:pt idx="313">
                  <c:v>0.44737778988716459</c:v>
                </c:pt>
                <c:pt idx="314">
                  <c:v>0.45000407413629695</c:v>
                </c:pt>
                <c:pt idx="315">
                  <c:v>0.45263580840142115</c:v>
                </c:pt>
                <c:pt idx="316">
                  <c:v>0.45527296660417349</c:v>
                </c:pt>
                <c:pt idx="317">
                  <c:v>0.45791552261244328</c:v>
                </c:pt>
                <c:pt idx="318">
                  <c:v>0.46056345024063217</c:v>
                </c:pt>
                <c:pt idx="319">
                  <c:v>0.46321672324991292</c:v>
                </c:pt>
                <c:pt idx="320">
                  <c:v>0.46587531534849058</c:v>
                </c:pt>
                <c:pt idx="321">
                  <c:v>0.46853920019186157</c:v>
                </c:pt>
                <c:pt idx="322">
                  <c:v>0.47120835138307604</c:v>
                </c:pt>
                <c:pt idx="323">
                  <c:v>0.47388274247299855</c:v>
                </c:pt>
                <c:pt idx="324">
                  <c:v>0.47656234696057043</c:v>
                </c:pt>
                <c:pt idx="325">
                  <c:v>0.47924713829307297</c:v>
                </c:pt>
                <c:pt idx="326">
                  <c:v>0.48193708986638928</c:v>
                </c:pt>
                <c:pt idx="327">
                  <c:v>0.48463217502526945</c:v>
                </c:pt>
                <c:pt idx="328">
                  <c:v>0.48733236706359295</c:v>
                </c:pt>
                <c:pt idx="329">
                  <c:v>0.49003763922463506</c:v>
                </c:pt>
                <c:pt idx="330">
                  <c:v>0.49274796470133042</c:v>
                </c:pt>
                <c:pt idx="331">
                  <c:v>0.4954633166365402</c:v>
                </c:pt>
                <c:pt idx="332">
                  <c:v>0.4981836681233166</c:v>
                </c:pt>
                <c:pt idx="333">
                  <c:v>0.50090899220517071</c:v>
                </c:pt>
                <c:pt idx="334">
                  <c:v>0.50363926187633923</c:v>
                </c:pt>
                <c:pt idx="335">
                  <c:v>0.50637445008205195</c:v>
                </c:pt>
                <c:pt idx="336">
                  <c:v>0.50911452971880011</c:v>
                </c:pt>
                <c:pt idx="337">
                  <c:v>0.51185947363460449</c:v>
                </c:pt>
                <c:pt idx="338">
                  <c:v>0.51460925462928531</c:v>
                </c:pt>
                <c:pt idx="339">
                  <c:v>0.51736384545473046</c:v>
                </c:pt>
                <c:pt idx="340">
                  <c:v>0.52012321881516699</c:v>
                </c:pt>
                <c:pt idx="341">
                  <c:v>0.52288734736743059</c:v>
                </c:pt>
                <c:pt idx="342">
                  <c:v>0.52565620372123711</c:v>
                </c:pt>
                <c:pt idx="343">
                  <c:v>0.52842976043945322</c:v>
                </c:pt>
                <c:pt idx="344">
                  <c:v>0.53120799003836905</c:v>
                </c:pt>
                <c:pt idx="345">
                  <c:v>0.53399086498797033</c:v>
                </c:pt>
                <c:pt idx="346">
                  <c:v>0.53677835771221083</c:v>
                </c:pt>
                <c:pt idx="347">
                  <c:v>0.53957044058928638</c:v>
                </c:pt>
                <c:pt idx="348">
                  <c:v>0.54236708595190763</c:v>
                </c:pt>
                <c:pt idx="349">
                  <c:v>0.54516826608757496</c:v>
                </c:pt>
                <c:pt idx="350">
                  <c:v>0.54797395323885223</c:v>
                </c:pt>
                <c:pt idx="351">
                  <c:v>0.55078411960364337</c:v>
                </c:pt>
                <c:pt idx="352">
                  <c:v>0.55359873733546627</c:v>
                </c:pt>
                <c:pt idx="353">
                  <c:v>0.55641777854372954</c:v>
                </c:pt>
                <c:pt idx="354">
                  <c:v>0.55924121529400872</c:v>
                </c:pt>
                <c:pt idx="355">
                  <c:v>0.56206901960832267</c:v>
                </c:pt>
                <c:pt idx="356">
                  <c:v>0.56490116346541219</c:v>
                </c:pt>
                <c:pt idx="357">
                  <c:v>0.56773761880101548</c:v>
                </c:pt>
                <c:pt idx="358">
                  <c:v>0.57057835750814878</c:v>
                </c:pt>
                <c:pt idx="359">
                  <c:v>0.5734233514373821</c:v>
                </c:pt>
                <c:pt idx="360">
                  <c:v>0.57627257239712093</c:v>
                </c:pt>
                <c:pt idx="361">
                  <c:v>0.5791259921538835</c:v>
                </c:pt>
                <c:pt idx="362">
                  <c:v>0.58198358243258186</c:v>
                </c:pt>
                <c:pt idx="363">
                  <c:v>0.58484531491680136</c:v>
                </c:pt>
                <c:pt idx="364">
                  <c:v>0.58771116124908085</c:v>
                </c:pt>
                <c:pt idx="365">
                  <c:v>0.59058109303119544</c:v>
                </c:pt>
                <c:pt idx="366">
                  <c:v>0.59345508182443574</c:v>
                </c:pt>
                <c:pt idx="367">
                  <c:v>0.59633309914989119</c:v>
                </c:pt>
                <c:pt idx="368">
                  <c:v>0.59921511648873138</c:v>
                </c:pt>
                <c:pt idx="369">
                  <c:v>0.6021011052824895</c:v>
                </c:pt>
                <c:pt idx="370">
                  <c:v>0.60499103693334377</c:v>
                </c:pt>
                <c:pt idx="371">
                  <c:v>0.60788488280440323</c:v>
                </c:pt>
                <c:pt idx="372">
                  <c:v>0.61078261421998925</c:v>
                </c:pt>
                <c:pt idx="373">
                  <c:v>0.61368420246592092</c:v>
                </c:pt>
                <c:pt idx="374">
                  <c:v>0.61658961878979923</c:v>
                </c:pt>
                <c:pt idx="375">
                  <c:v>0.61949883440129161</c:v>
                </c:pt>
                <c:pt idx="376">
                  <c:v>0.6224118204724185</c:v>
                </c:pt>
                <c:pt idx="377">
                  <c:v>0.625328548137837</c:v>
                </c:pt>
                <c:pt idx="378">
                  <c:v>0.62824898849512922</c:v>
                </c:pt>
                <c:pt idx="379">
                  <c:v>0.63117311260508657</c:v>
                </c:pt>
                <c:pt idx="380">
                  <c:v>0.63410089149199766</c:v>
                </c:pt>
                <c:pt idx="381">
                  <c:v>0.63703229614393531</c:v>
                </c:pt>
                <c:pt idx="382">
                  <c:v>0.63996729751304415</c:v>
                </c:pt>
                <c:pt idx="383">
                  <c:v>0.64290586651582782</c:v>
                </c:pt>
                <c:pt idx="384">
                  <c:v>0.64584797403343797</c:v>
                </c:pt>
                <c:pt idx="385">
                  <c:v>0.64879359091196209</c:v>
                </c:pt>
                <c:pt idx="386">
                  <c:v>0.65174268796271284</c:v>
                </c:pt>
                <c:pt idx="387">
                  <c:v>0.65469523596251733</c:v>
                </c:pt>
                <c:pt idx="388">
                  <c:v>0.65765120565400648</c:v>
                </c:pt>
                <c:pt idx="389">
                  <c:v>0.6606105677459051</c:v>
                </c:pt>
                <c:pt idx="390">
                  <c:v>0.66357329291332134</c:v>
                </c:pt>
                <c:pt idx="391">
                  <c:v>0.66653935179803925</c:v>
                </c:pt>
                <c:pt idx="392">
                  <c:v>0.66950871500880726</c:v>
                </c:pt>
                <c:pt idx="393">
                  <c:v>0.67248135312163138</c:v>
                </c:pt>
                <c:pt idx="394">
                  <c:v>0.6754572366800653</c:v>
                </c:pt>
                <c:pt idx="395">
                  <c:v>0.67843633619550392</c:v>
                </c:pt>
                <c:pt idx="396">
                  <c:v>0.68141862214747362</c:v>
                </c:pt>
                <c:pt idx="397">
                  <c:v>0.68440406498392603</c:v>
                </c:pt>
                <c:pt idx="398">
                  <c:v>0.68739263512153115</c:v>
                </c:pt>
                <c:pt idx="399">
                  <c:v>0.6903843029459692</c:v>
                </c:pt>
                <c:pt idx="400">
                  <c:v>0.69337903881222562</c:v>
                </c:pt>
                <c:pt idx="401">
                  <c:v>0.69637681304488286</c:v>
                </c:pt>
                <c:pt idx="402">
                  <c:v>0.69937759593841675</c:v>
                </c:pt>
                <c:pt idx="403">
                  <c:v>0.70238135775748911</c:v>
                </c:pt>
                <c:pt idx="404">
                  <c:v>0.70538806873724358</c:v>
                </c:pt>
                <c:pt idx="405">
                  <c:v>0.70839769908359895</c:v>
                </c:pt>
                <c:pt idx="406">
                  <c:v>0.71141021897354673</c:v>
                </c:pt>
                <c:pt idx="407">
                  <c:v>0.71442559855544452</c:v>
                </c:pt>
                <c:pt idx="408">
                  <c:v>0.71744380794931262</c:v>
                </c:pt>
                <c:pt idx="409">
                  <c:v>0.72046481724713085</c:v>
                </c:pt>
                <c:pt idx="410">
                  <c:v>0.72348859651313369</c:v>
                </c:pt>
                <c:pt idx="411">
                  <c:v>0.72651511578410766</c:v>
                </c:pt>
                <c:pt idx="412">
                  <c:v>0.72954434506968779</c:v>
                </c:pt>
                <c:pt idx="413">
                  <c:v>0.73257625435265572</c:v>
                </c:pt>
                <c:pt idx="414">
                  <c:v>0.73561081358923541</c:v>
                </c:pt>
                <c:pt idx="415">
                  <c:v>0.7386479927093933</c:v>
                </c:pt>
                <c:pt idx="416">
                  <c:v>0.74168776161713368</c:v>
                </c:pt>
                <c:pt idx="417">
                  <c:v>0.7447300901907985</c:v>
                </c:pt>
                <c:pt idx="418">
                  <c:v>0.74777494828336577</c:v>
                </c:pt>
                <c:pt idx="419">
                  <c:v>0.75082230572274766</c:v>
                </c:pt>
                <c:pt idx="420">
                  <c:v>0.75387213231209049</c:v>
                </c:pt>
                <c:pt idx="421">
                  <c:v>0.75692439783007204</c:v>
                </c:pt>
                <c:pt idx="422">
                  <c:v>0.75997907203120352</c:v>
                </c:pt>
                <c:pt idx="423">
                  <c:v>0.76303612464612713</c:v>
                </c:pt>
                <c:pt idx="424">
                  <c:v>0.76609552538191783</c:v>
                </c:pt>
                <c:pt idx="425">
                  <c:v>0.76915724392238149</c:v>
                </c:pt>
                <c:pt idx="426">
                  <c:v>0.77222124992835761</c:v>
                </c:pt>
                <c:pt idx="427">
                  <c:v>0.77528751303801791</c:v>
                </c:pt>
                <c:pt idx="428">
                  <c:v>0.77835600286716788</c:v>
                </c:pt>
                <c:pt idx="429">
                  <c:v>0.78142668900954892</c:v>
                </c:pt>
                <c:pt idx="430">
                  <c:v>0.78449954103713782</c:v>
                </c:pt>
                <c:pt idx="431">
                  <c:v>0.78757452850045018</c:v>
                </c:pt>
                <c:pt idx="432">
                  <c:v>0.79065162092883967</c:v>
                </c:pt>
                <c:pt idx="433">
                  <c:v>0.79373078783080309</c:v>
                </c:pt>
                <c:pt idx="434">
                  <c:v>0.79681199869427966</c:v>
                </c:pt>
                <c:pt idx="435">
                  <c:v>0.79989522298695537</c:v>
                </c:pt>
                <c:pt idx="436">
                  <c:v>0.80298043015656417</c:v>
                </c:pt>
                <c:pt idx="437">
                  <c:v>0.80606758963119207</c:v>
                </c:pt>
                <c:pt idx="438">
                  <c:v>0.80915667081957843</c:v>
                </c:pt>
                <c:pt idx="439">
                  <c:v>0.81224764311142017</c:v>
                </c:pt>
                <c:pt idx="440">
                  <c:v>0.81534047587767555</c:v>
                </c:pt>
                <c:pt idx="441">
                  <c:v>0.81843513847086635</c:v>
                </c:pt>
                <c:pt idx="442">
                  <c:v>0.82153160022538252</c:v>
                </c:pt>
                <c:pt idx="443">
                  <c:v>0.82462983045778548</c:v>
                </c:pt>
                <c:pt idx="444">
                  <c:v>0.82772979846711325</c:v>
                </c:pt>
                <c:pt idx="445">
                  <c:v>0.8308314735351825</c:v>
                </c:pt>
                <c:pt idx="446">
                  <c:v>0.83393482492689608</c:v>
                </c:pt>
                <c:pt idx="447">
                  <c:v>0.83703982189054416</c:v>
                </c:pt>
                <c:pt idx="448">
                  <c:v>0.8401464336581117</c:v>
                </c:pt>
                <c:pt idx="449">
                  <c:v>0.84325462944558205</c:v>
                </c:pt>
                <c:pt idx="450">
                  <c:v>0.84636437845324164</c:v>
                </c:pt>
                <c:pt idx="451">
                  <c:v>0.84947564986598656</c:v>
                </c:pt>
                <c:pt idx="452">
                  <c:v>0.85258841285362663</c:v>
                </c:pt>
                <c:pt idx="453">
                  <c:v>0.85570263657119128</c:v>
                </c:pt>
                <c:pt idx="454">
                  <c:v>0.85881829015923528</c:v>
                </c:pt>
                <c:pt idx="455">
                  <c:v>0.86193534274414518</c:v>
                </c:pt>
                <c:pt idx="456">
                  <c:v>0.86505376343844365</c:v>
                </c:pt>
                <c:pt idx="457">
                  <c:v>0.86817352134109738</c:v>
                </c:pt>
                <c:pt idx="458">
                  <c:v>0.87129458553782158</c:v>
                </c:pt>
                <c:pt idx="459">
                  <c:v>0.87441692510138791</c:v>
                </c:pt>
                <c:pt idx="460">
                  <c:v>0.87754050909192971</c:v>
                </c:pt>
                <c:pt idx="461">
                  <c:v>0.88066530655724884</c:v>
                </c:pt>
                <c:pt idx="462">
                  <c:v>0.88379128653312367</c:v>
                </c:pt>
                <c:pt idx="463">
                  <c:v>0.88691841804361304</c:v>
                </c:pt>
                <c:pt idx="464">
                  <c:v>0.89004667010136695</c:v>
                </c:pt>
                <c:pt idx="465">
                  <c:v>0.89317601170793026</c:v>
                </c:pt>
                <c:pt idx="466">
                  <c:v>0.89630641185405224</c:v>
                </c:pt>
                <c:pt idx="467">
                  <c:v>0.8994378395199919</c:v>
                </c:pt>
                <c:pt idx="468">
                  <c:v>0.9025702636758276</c:v>
                </c:pt>
                <c:pt idx="469">
                  <c:v>0.90570365328176206</c:v>
                </c:pt>
                <c:pt idx="470">
                  <c:v>0.90883797728843208</c:v>
                </c:pt>
                <c:pt idx="471">
                  <c:v>0.91197320463721476</c:v>
                </c:pt>
                <c:pt idx="472">
                  <c:v>0.91510930426053605</c:v>
                </c:pt>
                <c:pt idx="473">
                  <c:v>0.91824624508217823</c:v>
                </c:pt>
                <c:pt idx="474">
                  <c:v>0.92138399601758791</c:v>
                </c:pt>
                <c:pt idx="475">
                  <c:v>0.92452252597418461</c:v>
                </c:pt>
                <c:pt idx="476">
                  <c:v>0.92766180385166763</c:v>
                </c:pt>
                <c:pt idx="477">
                  <c:v>0.93080179854232581</c:v>
                </c:pt>
                <c:pt idx="478">
                  <c:v>0.93394247893134419</c:v>
                </c:pt>
                <c:pt idx="479">
                  <c:v>0.9370838138971137</c:v>
                </c:pt>
                <c:pt idx="480">
                  <c:v>0.94022577231153837</c:v>
                </c:pt>
                <c:pt idx="481">
                  <c:v>0.94336832304034501</c:v>
                </c:pt>
                <c:pt idx="482">
                  <c:v>0.94651143494339052</c:v>
                </c:pt>
                <c:pt idx="483">
                  <c:v>0.9496550768749713</c:v>
                </c:pt>
                <c:pt idx="484">
                  <c:v>0.95279921768413134</c:v>
                </c:pt>
                <c:pt idx="485">
                  <c:v>0.9559438262149712</c:v>
                </c:pt>
                <c:pt idx="486">
                  <c:v>0.95908887130695719</c:v>
                </c:pt>
                <c:pt idx="487">
                  <c:v>0.96223432179522894</c:v>
                </c:pt>
                <c:pt idx="488">
                  <c:v>0.96538014651090975</c:v>
                </c:pt>
                <c:pt idx="489">
                  <c:v>0.96852631428141356</c:v>
                </c:pt>
                <c:pt idx="490">
                  <c:v>0.9716727939307559</c:v>
                </c:pt>
                <c:pt idx="491">
                  <c:v>0.97481955427986144</c:v>
                </c:pt>
                <c:pt idx="492">
                  <c:v>0.977966564146873</c:v>
                </c:pt>
                <c:pt idx="493">
                  <c:v>0.98111379234746177</c:v>
                </c:pt>
                <c:pt idx="494">
                  <c:v>0.98426120769513414</c:v>
                </c:pt>
                <c:pt idx="495">
                  <c:v>0.98740877900154345</c:v>
                </c:pt>
                <c:pt idx="496">
                  <c:v>0.99055647507679634</c:v>
                </c:pt>
                <c:pt idx="497">
                  <c:v>0.99370426472976414</c:v>
                </c:pt>
                <c:pt idx="498">
                  <c:v>0.99685211676839014</c:v>
                </c:pt>
                <c:pt idx="499">
                  <c:v>0.99999999999999989</c:v>
                </c:pt>
              </c:numCache>
            </c:numRef>
          </c:xVal>
          <c:yVal>
            <c:numRef>
              <c:f>Data3!$Y$1:$Y$500</c:f>
              <c:numCache>
                <c:formatCode>0.00000</c:formatCode>
                <c:ptCount val="500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3">
                  <c:v>-0.5</c:v>
                </c:pt>
                <c:pt idx="54">
                  <c:v>-0.5</c:v>
                </c:pt>
                <c:pt idx="55">
                  <c:v>-0.5</c:v>
                </c:pt>
                <c:pt idx="56">
                  <c:v>-0.5</c:v>
                </c:pt>
                <c:pt idx="57">
                  <c:v>-0.5</c:v>
                </c:pt>
                <c:pt idx="58">
                  <c:v>-0.5</c:v>
                </c:pt>
                <c:pt idx="59">
                  <c:v>-0.5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-0.5</c:v>
                </c:pt>
                <c:pt idx="66">
                  <c:v>-0.5</c:v>
                </c:pt>
                <c:pt idx="67">
                  <c:v>-0.5</c:v>
                </c:pt>
                <c:pt idx="68">
                  <c:v>-0.5</c:v>
                </c:pt>
                <c:pt idx="69">
                  <c:v>-0.5</c:v>
                </c:pt>
                <c:pt idx="70">
                  <c:v>-0.5</c:v>
                </c:pt>
                <c:pt idx="71">
                  <c:v>-0.5</c:v>
                </c:pt>
                <c:pt idx="72">
                  <c:v>-0.5</c:v>
                </c:pt>
                <c:pt idx="73">
                  <c:v>-0.5</c:v>
                </c:pt>
                <c:pt idx="74">
                  <c:v>-0.5</c:v>
                </c:pt>
                <c:pt idx="75">
                  <c:v>-0.5</c:v>
                </c:pt>
                <c:pt idx="76">
                  <c:v>-0.5</c:v>
                </c:pt>
                <c:pt idx="77">
                  <c:v>-0.5</c:v>
                </c:pt>
                <c:pt idx="78">
                  <c:v>-0.5</c:v>
                </c:pt>
                <c:pt idx="79">
                  <c:v>-0.5</c:v>
                </c:pt>
                <c:pt idx="80">
                  <c:v>-0.5</c:v>
                </c:pt>
                <c:pt idx="81">
                  <c:v>-0.5</c:v>
                </c:pt>
                <c:pt idx="82">
                  <c:v>-0.5</c:v>
                </c:pt>
                <c:pt idx="83">
                  <c:v>-0.5</c:v>
                </c:pt>
                <c:pt idx="84">
                  <c:v>-0.5</c:v>
                </c:pt>
                <c:pt idx="85">
                  <c:v>-0.5</c:v>
                </c:pt>
                <c:pt idx="86">
                  <c:v>-0.5</c:v>
                </c:pt>
                <c:pt idx="87">
                  <c:v>-0.5</c:v>
                </c:pt>
                <c:pt idx="88">
                  <c:v>-0.5</c:v>
                </c:pt>
                <c:pt idx="89">
                  <c:v>-0.5</c:v>
                </c:pt>
                <c:pt idx="90">
                  <c:v>-0.5</c:v>
                </c:pt>
                <c:pt idx="91">
                  <c:v>-0.5</c:v>
                </c:pt>
                <c:pt idx="92">
                  <c:v>-0.5</c:v>
                </c:pt>
                <c:pt idx="93">
                  <c:v>-0.5</c:v>
                </c:pt>
                <c:pt idx="94">
                  <c:v>-0.5</c:v>
                </c:pt>
                <c:pt idx="95">
                  <c:v>-0.5</c:v>
                </c:pt>
                <c:pt idx="96">
                  <c:v>-0.5</c:v>
                </c:pt>
                <c:pt idx="97">
                  <c:v>-0.5</c:v>
                </c:pt>
                <c:pt idx="98">
                  <c:v>-0.5</c:v>
                </c:pt>
                <c:pt idx="99">
                  <c:v>-0.5</c:v>
                </c:pt>
                <c:pt idx="100">
                  <c:v>-0.5</c:v>
                </c:pt>
                <c:pt idx="101">
                  <c:v>-0.5</c:v>
                </c:pt>
                <c:pt idx="102">
                  <c:v>-0.5</c:v>
                </c:pt>
                <c:pt idx="103">
                  <c:v>-0.5</c:v>
                </c:pt>
                <c:pt idx="104">
                  <c:v>-0.5</c:v>
                </c:pt>
                <c:pt idx="105">
                  <c:v>-0.5</c:v>
                </c:pt>
                <c:pt idx="106">
                  <c:v>-0.5</c:v>
                </c:pt>
                <c:pt idx="107">
                  <c:v>-0.5</c:v>
                </c:pt>
                <c:pt idx="108">
                  <c:v>-0.5</c:v>
                </c:pt>
                <c:pt idx="109">
                  <c:v>-0.5</c:v>
                </c:pt>
                <c:pt idx="110">
                  <c:v>-0.5</c:v>
                </c:pt>
                <c:pt idx="111">
                  <c:v>-0.5</c:v>
                </c:pt>
                <c:pt idx="112">
                  <c:v>-0.5</c:v>
                </c:pt>
                <c:pt idx="113">
                  <c:v>-0.5</c:v>
                </c:pt>
                <c:pt idx="114">
                  <c:v>-0.5</c:v>
                </c:pt>
                <c:pt idx="115">
                  <c:v>-0.5</c:v>
                </c:pt>
                <c:pt idx="116">
                  <c:v>-0.5</c:v>
                </c:pt>
                <c:pt idx="117">
                  <c:v>-0.5</c:v>
                </c:pt>
                <c:pt idx="118">
                  <c:v>-0.5</c:v>
                </c:pt>
                <c:pt idx="119">
                  <c:v>-0.5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-0.5</c:v>
                </c:pt>
                <c:pt idx="129">
                  <c:v>-0.5</c:v>
                </c:pt>
                <c:pt idx="130">
                  <c:v>-0.5</c:v>
                </c:pt>
                <c:pt idx="131">
                  <c:v>-0.5</c:v>
                </c:pt>
                <c:pt idx="132">
                  <c:v>-0.5</c:v>
                </c:pt>
                <c:pt idx="133">
                  <c:v>-0.5</c:v>
                </c:pt>
                <c:pt idx="134">
                  <c:v>-0.5</c:v>
                </c:pt>
                <c:pt idx="135">
                  <c:v>-0.5</c:v>
                </c:pt>
                <c:pt idx="136">
                  <c:v>-0.5</c:v>
                </c:pt>
                <c:pt idx="137">
                  <c:v>-0.5</c:v>
                </c:pt>
                <c:pt idx="138">
                  <c:v>-0.5</c:v>
                </c:pt>
                <c:pt idx="139">
                  <c:v>-0.5</c:v>
                </c:pt>
                <c:pt idx="140">
                  <c:v>-0.5</c:v>
                </c:pt>
                <c:pt idx="141">
                  <c:v>-0.5</c:v>
                </c:pt>
                <c:pt idx="142">
                  <c:v>-0.5</c:v>
                </c:pt>
                <c:pt idx="143">
                  <c:v>-0.5</c:v>
                </c:pt>
                <c:pt idx="144">
                  <c:v>-0.5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-0.5</c:v>
                </c:pt>
                <c:pt idx="149">
                  <c:v>-0.5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  <c:pt idx="171">
                  <c:v>-0.5</c:v>
                </c:pt>
                <c:pt idx="172">
                  <c:v>-0.5</c:v>
                </c:pt>
                <c:pt idx="173">
                  <c:v>-0.5</c:v>
                </c:pt>
                <c:pt idx="174">
                  <c:v>-0.5</c:v>
                </c:pt>
                <c:pt idx="175">
                  <c:v>-0.5</c:v>
                </c:pt>
                <c:pt idx="176">
                  <c:v>-0.5</c:v>
                </c:pt>
                <c:pt idx="177">
                  <c:v>-0.5</c:v>
                </c:pt>
                <c:pt idx="178">
                  <c:v>-0.5</c:v>
                </c:pt>
                <c:pt idx="179">
                  <c:v>-0.5</c:v>
                </c:pt>
                <c:pt idx="180">
                  <c:v>-0.5</c:v>
                </c:pt>
                <c:pt idx="181">
                  <c:v>-0.5</c:v>
                </c:pt>
                <c:pt idx="182">
                  <c:v>-0.5</c:v>
                </c:pt>
                <c:pt idx="183">
                  <c:v>-0.5</c:v>
                </c:pt>
                <c:pt idx="184">
                  <c:v>-0.5</c:v>
                </c:pt>
                <c:pt idx="185">
                  <c:v>-0.5</c:v>
                </c:pt>
                <c:pt idx="186">
                  <c:v>-0.5</c:v>
                </c:pt>
                <c:pt idx="187">
                  <c:v>-0.5</c:v>
                </c:pt>
                <c:pt idx="188">
                  <c:v>-0.5</c:v>
                </c:pt>
                <c:pt idx="189">
                  <c:v>-0.5</c:v>
                </c:pt>
                <c:pt idx="190">
                  <c:v>-0.5</c:v>
                </c:pt>
                <c:pt idx="191">
                  <c:v>-0.5</c:v>
                </c:pt>
                <c:pt idx="192">
                  <c:v>-0.5</c:v>
                </c:pt>
                <c:pt idx="193">
                  <c:v>-0.5</c:v>
                </c:pt>
                <c:pt idx="194">
                  <c:v>-0.5</c:v>
                </c:pt>
                <c:pt idx="195">
                  <c:v>-0.5</c:v>
                </c:pt>
                <c:pt idx="196">
                  <c:v>-0.5</c:v>
                </c:pt>
                <c:pt idx="197">
                  <c:v>-0.5</c:v>
                </c:pt>
                <c:pt idx="198">
                  <c:v>-0.5</c:v>
                </c:pt>
                <c:pt idx="199">
                  <c:v>-0.5</c:v>
                </c:pt>
                <c:pt idx="200">
                  <c:v>-0.5</c:v>
                </c:pt>
                <c:pt idx="201">
                  <c:v>-0.5</c:v>
                </c:pt>
                <c:pt idx="202">
                  <c:v>-0.5</c:v>
                </c:pt>
                <c:pt idx="203">
                  <c:v>-0.5</c:v>
                </c:pt>
                <c:pt idx="204">
                  <c:v>-0.5</c:v>
                </c:pt>
                <c:pt idx="205">
                  <c:v>-0.5</c:v>
                </c:pt>
                <c:pt idx="206">
                  <c:v>-0.5</c:v>
                </c:pt>
                <c:pt idx="207">
                  <c:v>-0.5</c:v>
                </c:pt>
                <c:pt idx="208">
                  <c:v>-0.5</c:v>
                </c:pt>
                <c:pt idx="209">
                  <c:v>-0.5</c:v>
                </c:pt>
                <c:pt idx="210">
                  <c:v>-0.5</c:v>
                </c:pt>
                <c:pt idx="211">
                  <c:v>-0.5</c:v>
                </c:pt>
                <c:pt idx="212">
                  <c:v>-0.5</c:v>
                </c:pt>
                <c:pt idx="213">
                  <c:v>-0.5</c:v>
                </c:pt>
                <c:pt idx="214">
                  <c:v>-0.5</c:v>
                </c:pt>
                <c:pt idx="215">
                  <c:v>-0.5</c:v>
                </c:pt>
                <c:pt idx="216">
                  <c:v>-0.5</c:v>
                </c:pt>
                <c:pt idx="217">
                  <c:v>-0.5</c:v>
                </c:pt>
                <c:pt idx="218">
                  <c:v>-0.5</c:v>
                </c:pt>
                <c:pt idx="219">
                  <c:v>-0.5</c:v>
                </c:pt>
                <c:pt idx="220">
                  <c:v>-0.5</c:v>
                </c:pt>
                <c:pt idx="221">
                  <c:v>-0.5</c:v>
                </c:pt>
                <c:pt idx="222">
                  <c:v>-0.5</c:v>
                </c:pt>
                <c:pt idx="223">
                  <c:v>-0.5</c:v>
                </c:pt>
                <c:pt idx="224">
                  <c:v>-0.5</c:v>
                </c:pt>
                <c:pt idx="225">
                  <c:v>-0.5</c:v>
                </c:pt>
                <c:pt idx="226">
                  <c:v>-0.5</c:v>
                </c:pt>
                <c:pt idx="227">
                  <c:v>-0.5</c:v>
                </c:pt>
                <c:pt idx="228">
                  <c:v>-0.5</c:v>
                </c:pt>
                <c:pt idx="229">
                  <c:v>-0.5</c:v>
                </c:pt>
                <c:pt idx="230">
                  <c:v>-0.5</c:v>
                </c:pt>
                <c:pt idx="231">
                  <c:v>-0.5</c:v>
                </c:pt>
                <c:pt idx="232">
                  <c:v>-0.5</c:v>
                </c:pt>
                <c:pt idx="233">
                  <c:v>-0.5</c:v>
                </c:pt>
                <c:pt idx="234">
                  <c:v>-0.5</c:v>
                </c:pt>
                <c:pt idx="235">
                  <c:v>-0.5</c:v>
                </c:pt>
                <c:pt idx="236">
                  <c:v>-0.5</c:v>
                </c:pt>
                <c:pt idx="237">
                  <c:v>-0.5</c:v>
                </c:pt>
                <c:pt idx="238">
                  <c:v>-0.5</c:v>
                </c:pt>
                <c:pt idx="239">
                  <c:v>-0.5</c:v>
                </c:pt>
                <c:pt idx="240">
                  <c:v>-0.5</c:v>
                </c:pt>
                <c:pt idx="241">
                  <c:v>-0.5</c:v>
                </c:pt>
                <c:pt idx="242">
                  <c:v>-0.5</c:v>
                </c:pt>
                <c:pt idx="243">
                  <c:v>-0.5</c:v>
                </c:pt>
                <c:pt idx="244">
                  <c:v>-0.5</c:v>
                </c:pt>
                <c:pt idx="245">
                  <c:v>-0.5</c:v>
                </c:pt>
                <c:pt idx="246">
                  <c:v>-0.5</c:v>
                </c:pt>
                <c:pt idx="247">
                  <c:v>-0.5</c:v>
                </c:pt>
                <c:pt idx="248">
                  <c:v>-0.5</c:v>
                </c:pt>
                <c:pt idx="249">
                  <c:v>-0.5</c:v>
                </c:pt>
                <c:pt idx="250">
                  <c:v>-0.5</c:v>
                </c:pt>
                <c:pt idx="251">
                  <c:v>-0.5</c:v>
                </c:pt>
                <c:pt idx="252">
                  <c:v>-0.5</c:v>
                </c:pt>
                <c:pt idx="253">
                  <c:v>-0.5</c:v>
                </c:pt>
                <c:pt idx="254">
                  <c:v>-0.5</c:v>
                </c:pt>
                <c:pt idx="255">
                  <c:v>-0.5</c:v>
                </c:pt>
                <c:pt idx="256">
                  <c:v>-0.5</c:v>
                </c:pt>
                <c:pt idx="257">
                  <c:v>-0.5</c:v>
                </c:pt>
                <c:pt idx="258">
                  <c:v>-0.5</c:v>
                </c:pt>
                <c:pt idx="259">
                  <c:v>-0.5</c:v>
                </c:pt>
                <c:pt idx="260">
                  <c:v>-0.5</c:v>
                </c:pt>
                <c:pt idx="261">
                  <c:v>-0.5</c:v>
                </c:pt>
                <c:pt idx="262">
                  <c:v>-0.5</c:v>
                </c:pt>
                <c:pt idx="263">
                  <c:v>-0.5</c:v>
                </c:pt>
                <c:pt idx="264">
                  <c:v>-0.5</c:v>
                </c:pt>
                <c:pt idx="265">
                  <c:v>-0.5</c:v>
                </c:pt>
                <c:pt idx="266">
                  <c:v>-0.5</c:v>
                </c:pt>
                <c:pt idx="267">
                  <c:v>-0.5</c:v>
                </c:pt>
                <c:pt idx="268">
                  <c:v>-0.5</c:v>
                </c:pt>
                <c:pt idx="269">
                  <c:v>-0.5</c:v>
                </c:pt>
                <c:pt idx="270">
                  <c:v>-0.5</c:v>
                </c:pt>
                <c:pt idx="271">
                  <c:v>-0.5</c:v>
                </c:pt>
                <c:pt idx="272">
                  <c:v>-0.5</c:v>
                </c:pt>
                <c:pt idx="273">
                  <c:v>-0.5</c:v>
                </c:pt>
                <c:pt idx="274">
                  <c:v>-0.5</c:v>
                </c:pt>
                <c:pt idx="275">
                  <c:v>-0.5</c:v>
                </c:pt>
                <c:pt idx="276">
                  <c:v>-0.5</c:v>
                </c:pt>
                <c:pt idx="277">
                  <c:v>-0.5</c:v>
                </c:pt>
                <c:pt idx="278">
                  <c:v>-0.5</c:v>
                </c:pt>
                <c:pt idx="279">
                  <c:v>-0.5</c:v>
                </c:pt>
                <c:pt idx="280">
                  <c:v>-0.5</c:v>
                </c:pt>
                <c:pt idx="281">
                  <c:v>-0.5</c:v>
                </c:pt>
                <c:pt idx="282">
                  <c:v>-0.5</c:v>
                </c:pt>
                <c:pt idx="283">
                  <c:v>-0.5</c:v>
                </c:pt>
                <c:pt idx="284">
                  <c:v>-0.5</c:v>
                </c:pt>
                <c:pt idx="285">
                  <c:v>-0.5</c:v>
                </c:pt>
                <c:pt idx="286">
                  <c:v>-0.5</c:v>
                </c:pt>
                <c:pt idx="287">
                  <c:v>-0.5</c:v>
                </c:pt>
                <c:pt idx="288">
                  <c:v>-0.5</c:v>
                </c:pt>
                <c:pt idx="289">
                  <c:v>-0.5</c:v>
                </c:pt>
                <c:pt idx="290">
                  <c:v>-0.5</c:v>
                </c:pt>
                <c:pt idx="291">
                  <c:v>-0.5</c:v>
                </c:pt>
                <c:pt idx="292">
                  <c:v>-0.5</c:v>
                </c:pt>
                <c:pt idx="293">
                  <c:v>-0.5</c:v>
                </c:pt>
                <c:pt idx="294">
                  <c:v>-0.5</c:v>
                </c:pt>
                <c:pt idx="295">
                  <c:v>-0.5</c:v>
                </c:pt>
                <c:pt idx="296">
                  <c:v>-0.5</c:v>
                </c:pt>
                <c:pt idx="297">
                  <c:v>-0.5</c:v>
                </c:pt>
                <c:pt idx="298">
                  <c:v>-0.5</c:v>
                </c:pt>
                <c:pt idx="299">
                  <c:v>-0.5</c:v>
                </c:pt>
                <c:pt idx="300">
                  <c:v>-0.5</c:v>
                </c:pt>
                <c:pt idx="301">
                  <c:v>-0.5</c:v>
                </c:pt>
                <c:pt idx="302">
                  <c:v>-0.5</c:v>
                </c:pt>
                <c:pt idx="303">
                  <c:v>-0.5</c:v>
                </c:pt>
                <c:pt idx="304">
                  <c:v>-0.5</c:v>
                </c:pt>
                <c:pt idx="305">
                  <c:v>-0.5</c:v>
                </c:pt>
                <c:pt idx="306">
                  <c:v>-0.5</c:v>
                </c:pt>
                <c:pt idx="307">
                  <c:v>-0.5</c:v>
                </c:pt>
                <c:pt idx="308">
                  <c:v>-0.5</c:v>
                </c:pt>
                <c:pt idx="309">
                  <c:v>-0.5</c:v>
                </c:pt>
                <c:pt idx="310">
                  <c:v>-0.5</c:v>
                </c:pt>
                <c:pt idx="311">
                  <c:v>-0.5</c:v>
                </c:pt>
                <c:pt idx="312">
                  <c:v>-0.5</c:v>
                </c:pt>
                <c:pt idx="313">
                  <c:v>-0.5</c:v>
                </c:pt>
                <c:pt idx="314">
                  <c:v>-0.5</c:v>
                </c:pt>
                <c:pt idx="315">
                  <c:v>-0.5</c:v>
                </c:pt>
                <c:pt idx="316">
                  <c:v>-0.5</c:v>
                </c:pt>
                <c:pt idx="317">
                  <c:v>-0.5</c:v>
                </c:pt>
                <c:pt idx="318">
                  <c:v>-0.5</c:v>
                </c:pt>
                <c:pt idx="319">
                  <c:v>-0.5</c:v>
                </c:pt>
                <c:pt idx="320">
                  <c:v>-0.5</c:v>
                </c:pt>
                <c:pt idx="321">
                  <c:v>-0.5</c:v>
                </c:pt>
                <c:pt idx="322">
                  <c:v>-0.5</c:v>
                </c:pt>
                <c:pt idx="323">
                  <c:v>-0.5</c:v>
                </c:pt>
                <c:pt idx="324">
                  <c:v>-0.5</c:v>
                </c:pt>
                <c:pt idx="325">
                  <c:v>-0.5</c:v>
                </c:pt>
                <c:pt idx="326">
                  <c:v>-0.5</c:v>
                </c:pt>
                <c:pt idx="327">
                  <c:v>-0.5</c:v>
                </c:pt>
                <c:pt idx="328">
                  <c:v>-0.5</c:v>
                </c:pt>
                <c:pt idx="329">
                  <c:v>-0.5</c:v>
                </c:pt>
                <c:pt idx="330">
                  <c:v>-0.5</c:v>
                </c:pt>
                <c:pt idx="331">
                  <c:v>-0.5</c:v>
                </c:pt>
                <c:pt idx="332">
                  <c:v>-0.5</c:v>
                </c:pt>
                <c:pt idx="333">
                  <c:v>-0.5</c:v>
                </c:pt>
                <c:pt idx="334">
                  <c:v>-0.5</c:v>
                </c:pt>
                <c:pt idx="335">
                  <c:v>-0.5</c:v>
                </c:pt>
                <c:pt idx="336">
                  <c:v>-0.5</c:v>
                </c:pt>
                <c:pt idx="337">
                  <c:v>-0.5</c:v>
                </c:pt>
                <c:pt idx="338">
                  <c:v>-0.5</c:v>
                </c:pt>
                <c:pt idx="339">
                  <c:v>-0.5</c:v>
                </c:pt>
                <c:pt idx="340">
                  <c:v>-0.5</c:v>
                </c:pt>
                <c:pt idx="341">
                  <c:v>-0.5</c:v>
                </c:pt>
                <c:pt idx="342">
                  <c:v>-0.5</c:v>
                </c:pt>
                <c:pt idx="343">
                  <c:v>-0.5</c:v>
                </c:pt>
                <c:pt idx="344">
                  <c:v>-0.5</c:v>
                </c:pt>
                <c:pt idx="345">
                  <c:v>-0.5</c:v>
                </c:pt>
                <c:pt idx="346">
                  <c:v>-0.5</c:v>
                </c:pt>
                <c:pt idx="347">
                  <c:v>-0.5</c:v>
                </c:pt>
                <c:pt idx="348">
                  <c:v>-0.5</c:v>
                </c:pt>
                <c:pt idx="349">
                  <c:v>-0.5</c:v>
                </c:pt>
                <c:pt idx="350">
                  <c:v>-0.5</c:v>
                </c:pt>
                <c:pt idx="351">
                  <c:v>-0.5</c:v>
                </c:pt>
                <c:pt idx="352">
                  <c:v>-0.5</c:v>
                </c:pt>
                <c:pt idx="353">
                  <c:v>-0.5</c:v>
                </c:pt>
                <c:pt idx="354">
                  <c:v>-0.5</c:v>
                </c:pt>
                <c:pt idx="355">
                  <c:v>-0.5</c:v>
                </c:pt>
                <c:pt idx="356">
                  <c:v>-0.5</c:v>
                </c:pt>
                <c:pt idx="357">
                  <c:v>-0.5</c:v>
                </c:pt>
                <c:pt idx="358">
                  <c:v>-0.5</c:v>
                </c:pt>
                <c:pt idx="359">
                  <c:v>-0.5</c:v>
                </c:pt>
                <c:pt idx="360">
                  <c:v>-0.5</c:v>
                </c:pt>
                <c:pt idx="361">
                  <c:v>-0.5</c:v>
                </c:pt>
                <c:pt idx="362">
                  <c:v>-0.5</c:v>
                </c:pt>
                <c:pt idx="363">
                  <c:v>-0.5</c:v>
                </c:pt>
                <c:pt idx="364">
                  <c:v>-0.5</c:v>
                </c:pt>
                <c:pt idx="365">
                  <c:v>-0.5</c:v>
                </c:pt>
                <c:pt idx="366">
                  <c:v>-0.5</c:v>
                </c:pt>
                <c:pt idx="367">
                  <c:v>-0.5</c:v>
                </c:pt>
                <c:pt idx="368">
                  <c:v>-0.5</c:v>
                </c:pt>
                <c:pt idx="369">
                  <c:v>-0.5</c:v>
                </c:pt>
                <c:pt idx="370">
                  <c:v>-0.5</c:v>
                </c:pt>
                <c:pt idx="371">
                  <c:v>-0.5</c:v>
                </c:pt>
                <c:pt idx="372">
                  <c:v>-0.5</c:v>
                </c:pt>
                <c:pt idx="373">
                  <c:v>-0.5</c:v>
                </c:pt>
                <c:pt idx="374">
                  <c:v>-0.5</c:v>
                </c:pt>
                <c:pt idx="375">
                  <c:v>-0.5</c:v>
                </c:pt>
                <c:pt idx="376">
                  <c:v>-0.5</c:v>
                </c:pt>
                <c:pt idx="377">
                  <c:v>-0.5</c:v>
                </c:pt>
                <c:pt idx="378">
                  <c:v>-0.5</c:v>
                </c:pt>
                <c:pt idx="379">
                  <c:v>-0.5</c:v>
                </c:pt>
                <c:pt idx="380">
                  <c:v>-0.5</c:v>
                </c:pt>
                <c:pt idx="381">
                  <c:v>-0.5</c:v>
                </c:pt>
                <c:pt idx="382">
                  <c:v>-0.5</c:v>
                </c:pt>
                <c:pt idx="383">
                  <c:v>-0.5</c:v>
                </c:pt>
                <c:pt idx="384">
                  <c:v>-0.5</c:v>
                </c:pt>
                <c:pt idx="385">
                  <c:v>-0.5</c:v>
                </c:pt>
                <c:pt idx="386">
                  <c:v>-0.5</c:v>
                </c:pt>
                <c:pt idx="387">
                  <c:v>-0.5</c:v>
                </c:pt>
                <c:pt idx="388">
                  <c:v>-0.5</c:v>
                </c:pt>
                <c:pt idx="389">
                  <c:v>-0.5</c:v>
                </c:pt>
                <c:pt idx="390">
                  <c:v>-0.5</c:v>
                </c:pt>
                <c:pt idx="391">
                  <c:v>-0.5</c:v>
                </c:pt>
                <c:pt idx="392">
                  <c:v>-0.5</c:v>
                </c:pt>
                <c:pt idx="393">
                  <c:v>-0.5</c:v>
                </c:pt>
                <c:pt idx="394">
                  <c:v>-0.5</c:v>
                </c:pt>
                <c:pt idx="395">
                  <c:v>-0.5</c:v>
                </c:pt>
                <c:pt idx="396">
                  <c:v>-0.5</c:v>
                </c:pt>
                <c:pt idx="397">
                  <c:v>-0.5</c:v>
                </c:pt>
                <c:pt idx="398">
                  <c:v>-0.5</c:v>
                </c:pt>
                <c:pt idx="399">
                  <c:v>-0.5</c:v>
                </c:pt>
                <c:pt idx="400">
                  <c:v>-0.5</c:v>
                </c:pt>
                <c:pt idx="401">
                  <c:v>-0.5</c:v>
                </c:pt>
                <c:pt idx="402">
                  <c:v>-0.5</c:v>
                </c:pt>
                <c:pt idx="403">
                  <c:v>-0.5</c:v>
                </c:pt>
                <c:pt idx="404">
                  <c:v>-0.5</c:v>
                </c:pt>
                <c:pt idx="405">
                  <c:v>-0.5</c:v>
                </c:pt>
                <c:pt idx="406">
                  <c:v>-0.5</c:v>
                </c:pt>
                <c:pt idx="407">
                  <c:v>-0.5</c:v>
                </c:pt>
                <c:pt idx="408">
                  <c:v>-0.5</c:v>
                </c:pt>
                <c:pt idx="409">
                  <c:v>-0.5</c:v>
                </c:pt>
                <c:pt idx="410">
                  <c:v>-0.5</c:v>
                </c:pt>
                <c:pt idx="411">
                  <c:v>-0.5</c:v>
                </c:pt>
                <c:pt idx="412">
                  <c:v>-0.5</c:v>
                </c:pt>
                <c:pt idx="413">
                  <c:v>-0.5</c:v>
                </c:pt>
                <c:pt idx="414">
                  <c:v>-0.5</c:v>
                </c:pt>
                <c:pt idx="415">
                  <c:v>-0.5</c:v>
                </c:pt>
                <c:pt idx="416">
                  <c:v>-0.5</c:v>
                </c:pt>
                <c:pt idx="417">
                  <c:v>-0.5</c:v>
                </c:pt>
                <c:pt idx="418">
                  <c:v>-0.5</c:v>
                </c:pt>
                <c:pt idx="419">
                  <c:v>-0.5</c:v>
                </c:pt>
                <c:pt idx="420">
                  <c:v>-0.5</c:v>
                </c:pt>
                <c:pt idx="421">
                  <c:v>-0.5</c:v>
                </c:pt>
                <c:pt idx="422">
                  <c:v>-0.5</c:v>
                </c:pt>
                <c:pt idx="423">
                  <c:v>-0.5</c:v>
                </c:pt>
                <c:pt idx="424">
                  <c:v>-0.5</c:v>
                </c:pt>
                <c:pt idx="425">
                  <c:v>-0.5</c:v>
                </c:pt>
                <c:pt idx="426">
                  <c:v>-0.5</c:v>
                </c:pt>
                <c:pt idx="427">
                  <c:v>-0.5</c:v>
                </c:pt>
                <c:pt idx="428">
                  <c:v>-0.5</c:v>
                </c:pt>
                <c:pt idx="429">
                  <c:v>-0.5</c:v>
                </c:pt>
                <c:pt idx="430">
                  <c:v>-0.5</c:v>
                </c:pt>
                <c:pt idx="431">
                  <c:v>-0.5</c:v>
                </c:pt>
                <c:pt idx="432">
                  <c:v>-0.5</c:v>
                </c:pt>
                <c:pt idx="433">
                  <c:v>-0.5</c:v>
                </c:pt>
                <c:pt idx="434">
                  <c:v>-0.5</c:v>
                </c:pt>
                <c:pt idx="435">
                  <c:v>-0.5</c:v>
                </c:pt>
                <c:pt idx="436">
                  <c:v>-0.5</c:v>
                </c:pt>
                <c:pt idx="437">
                  <c:v>-0.5</c:v>
                </c:pt>
                <c:pt idx="438">
                  <c:v>-0.5</c:v>
                </c:pt>
                <c:pt idx="439">
                  <c:v>-0.5</c:v>
                </c:pt>
                <c:pt idx="440">
                  <c:v>-0.5</c:v>
                </c:pt>
                <c:pt idx="441">
                  <c:v>-0.5</c:v>
                </c:pt>
                <c:pt idx="442">
                  <c:v>-0.5</c:v>
                </c:pt>
                <c:pt idx="443">
                  <c:v>-0.5</c:v>
                </c:pt>
                <c:pt idx="444">
                  <c:v>-0.5</c:v>
                </c:pt>
                <c:pt idx="445">
                  <c:v>-0.5</c:v>
                </c:pt>
                <c:pt idx="446">
                  <c:v>-0.5</c:v>
                </c:pt>
                <c:pt idx="447">
                  <c:v>-0.5</c:v>
                </c:pt>
                <c:pt idx="448">
                  <c:v>-0.5</c:v>
                </c:pt>
                <c:pt idx="449">
                  <c:v>-0.5</c:v>
                </c:pt>
                <c:pt idx="450">
                  <c:v>-0.5</c:v>
                </c:pt>
                <c:pt idx="451">
                  <c:v>-0.5</c:v>
                </c:pt>
                <c:pt idx="452">
                  <c:v>-0.5</c:v>
                </c:pt>
                <c:pt idx="453">
                  <c:v>-0.5</c:v>
                </c:pt>
                <c:pt idx="454">
                  <c:v>-0.5</c:v>
                </c:pt>
                <c:pt idx="455">
                  <c:v>-0.5</c:v>
                </c:pt>
                <c:pt idx="456">
                  <c:v>-0.5</c:v>
                </c:pt>
                <c:pt idx="457">
                  <c:v>-0.5</c:v>
                </c:pt>
                <c:pt idx="458">
                  <c:v>-0.5</c:v>
                </c:pt>
                <c:pt idx="459">
                  <c:v>-0.5</c:v>
                </c:pt>
                <c:pt idx="460">
                  <c:v>-0.5</c:v>
                </c:pt>
                <c:pt idx="461">
                  <c:v>-0.5</c:v>
                </c:pt>
                <c:pt idx="462">
                  <c:v>-0.5</c:v>
                </c:pt>
                <c:pt idx="463">
                  <c:v>-0.5</c:v>
                </c:pt>
                <c:pt idx="464">
                  <c:v>-0.5</c:v>
                </c:pt>
                <c:pt idx="465">
                  <c:v>-0.5</c:v>
                </c:pt>
                <c:pt idx="466">
                  <c:v>-0.5</c:v>
                </c:pt>
                <c:pt idx="467">
                  <c:v>-0.5</c:v>
                </c:pt>
                <c:pt idx="468">
                  <c:v>-0.5</c:v>
                </c:pt>
                <c:pt idx="469">
                  <c:v>-0.5</c:v>
                </c:pt>
                <c:pt idx="470">
                  <c:v>-0.5</c:v>
                </c:pt>
                <c:pt idx="471">
                  <c:v>-0.5</c:v>
                </c:pt>
                <c:pt idx="472">
                  <c:v>-0.5</c:v>
                </c:pt>
                <c:pt idx="473">
                  <c:v>-0.5</c:v>
                </c:pt>
                <c:pt idx="474">
                  <c:v>-0.5</c:v>
                </c:pt>
                <c:pt idx="475">
                  <c:v>-0.5</c:v>
                </c:pt>
                <c:pt idx="476">
                  <c:v>-0.5</c:v>
                </c:pt>
                <c:pt idx="477">
                  <c:v>-0.5</c:v>
                </c:pt>
                <c:pt idx="478">
                  <c:v>-0.5</c:v>
                </c:pt>
                <c:pt idx="479">
                  <c:v>-0.5</c:v>
                </c:pt>
                <c:pt idx="480">
                  <c:v>-0.5</c:v>
                </c:pt>
                <c:pt idx="481">
                  <c:v>-0.5</c:v>
                </c:pt>
                <c:pt idx="482">
                  <c:v>-0.5</c:v>
                </c:pt>
                <c:pt idx="483">
                  <c:v>-0.5</c:v>
                </c:pt>
                <c:pt idx="484">
                  <c:v>-0.5</c:v>
                </c:pt>
                <c:pt idx="485">
                  <c:v>-0.5</c:v>
                </c:pt>
                <c:pt idx="486">
                  <c:v>-0.5</c:v>
                </c:pt>
                <c:pt idx="487">
                  <c:v>-0.5</c:v>
                </c:pt>
                <c:pt idx="488">
                  <c:v>-0.5</c:v>
                </c:pt>
                <c:pt idx="489">
                  <c:v>-0.5</c:v>
                </c:pt>
                <c:pt idx="490">
                  <c:v>-0.5</c:v>
                </c:pt>
                <c:pt idx="491">
                  <c:v>-0.5</c:v>
                </c:pt>
                <c:pt idx="492">
                  <c:v>-0.5</c:v>
                </c:pt>
                <c:pt idx="493">
                  <c:v>-0.5</c:v>
                </c:pt>
                <c:pt idx="494">
                  <c:v>-0.5</c:v>
                </c:pt>
                <c:pt idx="495">
                  <c:v>-0.5</c:v>
                </c:pt>
                <c:pt idx="496">
                  <c:v>-0.5</c:v>
                </c:pt>
                <c:pt idx="497">
                  <c:v>-0.5</c:v>
                </c:pt>
                <c:pt idx="498">
                  <c:v>-0.5</c:v>
                </c:pt>
                <c:pt idx="499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8C-44EC-91AE-89C4210D34B8}"/>
            </c:ext>
          </c:extLst>
        </c:ser>
        <c:ser>
          <c:idx val="1"/>
          <c:order val="1"/>
          <c:tx>
            <c:v>Upper Camber</c:v>
          </c:tx>
          <c:spPr>
            <a:ln w="127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Data3!$G$1:$G$501</c:f>
              <c:numCache>
                <c:formatCode>0.00000</c:formatCode>
                <c:ptCount val="501"/>
                <c:pt idx="0">
                  <c:v>0</c:v>
                </c:pt>
                <c:pt idx="1">
                  <c:v>4.9545966939179564E-6</c:v>
                </c:pt>
                <c:pt idx="2">
                  <c:v>1.9818337679722298E-5</c:v>
                </c:pt>
                <c:pt idx="3">
                  <c:v>4.4591075669564439E-5</c:v>
                </c:pt>
                <c:pt idx="4">
                  <c:v>7.9272565185806165E-5</c:v>
                </c:pt>
                <c:pt idx="5">
                  <c:v>1.2386246256268496E-4</c:v>
                </c:pt>
                <c:pt idx="6">
                  <c:v>1.7836032595031082E-4</c:v>
                </c:pt>
                <c:pt idx="7">
                  <c:v>2.4276561531888508E-4</c:v>
                </c:pt>
                <c:pt idx="8">
                  <c:v>3.1707769246391848E-4</c:v>
                </c:pt>
                <c:pt idx="9">
                  <c:v>4.0129582101267047E-4</c:v>
                </c:pt>
                <c:pt idx="10">
                  <c:v>4.9541916643136563E-4</c:v>
                </c:pt>
                <c:pt idx="11">
                  <c:v>5.9944679603363138E-4</c:v>
                </c:pt>
                <c:pt idx="12">
                  <c:v>7.133776789896018E-4</c:v>
                </c:pt>
                <c:pt idx="13">
                  <c:v>8.3721068633602069E-4</c:v>
                </c:pt>
                <c:pt idx="14">
                  <c:v>9.7094459098767683E-4</c:v>
                </c:pt>
                <c:pt idx="15">
                  <c:v>1.1145780677496164E-3</c:v>
                </c:pt>
                <c:pt idx="16">
                  <c:v>1.2681096933296887E-3</c:v>
                </c:pt>
                <c:pt idx="17">
                  <c:v>1.4315379463535338E-3</c:v>
                </c:pt>
                <c:pt idx="18">
                  <c:v>1.6048612073787938E-3</c:v>
                </c:pt>
                <c:pt idx="19">
                  <c:v>1.7880777589119878E-3</c:v>
                </c:pt>
                <c:pt idx="20">
                  <c:v>1.9811857854247217E-3</c:v>
                </c:pt>
                <c:pt idx="21">
                  <c:v>2.1841833733722282E-3</c:v>
                </c:pt>
                <c:pt idx="22">
                  <c:v>2.3970685112121304E-3</c:v>
                </c:pt>
                <c:pt idx="23">
                  <c:v>2.619839089424536E-3</c:v>
                </c:pt>
                <c:pt idx="24">
                  <c:v>2.8524929005325772E-3</c:v>
                </c:pt>
                <c:pt idx="25">
                  <c:v>3.0950276391248366E-3</c:v>
                </c:pt>
                <c:pt idx="26">
                  <c:v>3.3474409018774409E-3</c:v>
                </c:pt>
                <c:pt idx="27">
                  <c:v>3.609730187578708E-3</c:v>
                </c:pt>
                <c:pt idx="28">
                  <c:v>3.8818928971533495E-3</c:v>
                </c:pt>
                <c:pt idx="29">
                  <c:v>4.1639263336883392E-3</c:v>
                </c:pt>
                <c:pt idx="30">
                  <c:v>4.4558277024601134E-3</c:v>
                </c:pt>
                <c:pt idx="31">
                  <c:v>4.7575941109612163E-3</c:v>
                </c:pt>
                <c:pt idx="32">
                  <c:v>5.0692225689300541E-3</c:v>
                </c:pt>
                <c:pt idx="33">
                  <c:v>5.3907099883800935E-3</c:v>
                </c:pt>
                <c:pt idx="34">
                  <c:v>5.7220531836302824E-3</c:v>
                </c:pt>
                <c:pt idx="35">
                  <c:v>6.0632488713366905E-3</c:v>
                </c:pt>
                <c:pt idx="36">
                  <c:v>6.4142936705253728E-3</c:v>
                </c:pt>
                <c:pt idx="37">
                  <c:v>6.7751841026255644E-3</c:v>
                </c:pt>
                <c:pt idx="38">
                  <c:v>7.1459165915040979E-3</c:v>
                </c:pt>
                <c:pt idx="39">
                  <c:v>7.5264874635010415E-3</c:v>
                </c:pt>
                <c:pt idx="40">
                  <c:v>7.9168929474660032E-3</c:v>
                </c:pt>
                <c:pt idx="41">
                  <c:v>8.3171291747956566E-3</c:v>
                </c:pt>
                <c:pt idx="42">
                  <c:v>8.727192179471821E-3</c:v>
                </c:pt>
                <c:pt idx="43">
                  <c:v>9.1470778981007639E-3</c:v>
                </c:pt>
                <c:pt idx="44">
                  <c:v>9.5767821699537237E-3</c:v>
                </c:pt>
                <c:pt idx="45">
                  <c:v>1.0016300737007988E-2</c:v>
                </c:pt>
                <c:pt idx="46">
                  <c:v>1.0465629243989194E-2</c:v>
                </c:pt>
                <c:pt idx="47">
                  <c:v>1.092476323841407E-2</c:v>
                </c:pt>
                <c:pt idx="48">
                  <c:v>1.1393698170635291E-2</c:v>
                </c:pt>
                <c:pt idx="49">
                  <c:v>1.1872429393885775E-2</c:v>
                </c:pt>
                <c:pt idx="50">
                  <c:v>1.2360952164325312E-2</c:v>
                </c:pt>
                <c:pt idx="51">
                  <c:v>1.2859261641087194E-2</c:v>
                </c:pt>
                <c:pt idx="52">
                  <c:v>1.3367352886326511E-2</c:v>
                </c:pt>
                <c:pt idx="53">
                  <c:v>1.3885220865268999E-2</c:v>
                </c:pt>
                <c:pt idx="54">
                  <c:v>1.4412860446260445E-2</c:v>
                </c:pt>
                <c:pt idx="55">
                  <c:v>1.4950266400818424E-2</c:v>
                </c:pt>
                <c:pt idx="56">
                  <c:v>1.5497433403683258E-2</c:v>
                </c:pt>
                <c:pt idx="57">
                  <c:v>1.605435603287142E-2</c:v>
                </c:pt>
                <c:pt idx="58">
                  <c:v>1.6621028769728818E-2</c:v>
                </c:pt>
                <c:pt idx="59">
                  <c:v>1.719744599898565E-2</c:v>
                </c:pt>
                <c:pt idx="60">
                  <c:v>1.7783602008812238E-2</c:v>
                </c:pt>
                <c:pt idx="61">
                  <c:v>1.8379490990875214E-2</c:v>
                </c:pt>
                <c:pt idx="62">
                  <c:v>1.8985107040395466E-2</c:v>
                </c:pt>
                <c:pt idx="63">
                  <c:v>1.9600444156206542E-2</c:v>
                </c:pt>
                <c:pt idx="64">
                  <c:v>2.0225496240813712E-2</c:v>
                </c:pt>
                <c:pt idx="65">
                  <c:v>2.0860257100455248E-2</c:v>
                </c:pt>
                <c:pt idx="66">
                  <c:v>2.1504720445162939E-2</c:v>
                </c:pt>
                <c:pt idx="67">
                  <c:v>2.2158879888824812E-2</c:v>
                </c:pt>
                <c:pt idx="68">
                  <c:v>2.2822728949248527E-2</c:v>
                </c:pt>
                <c:pt idx="69">
                  <c:v>2.349626104822522E-2</c:v>
                </c:pt>
                <c:pt idx="70">
                  <c:v>2.4179469511595331E-2</c:v>
                </c:pt>
                <c:pt idx="71">
                  <c:v>2.487234756931378E-2</c:v>
                </c:pt>
                <c:pt idx="72">
                  <c:v>2.5574888355518133E-2</c:v>
                </c:pt>
                <c:pt idx="73">
                  <c:v>2.6287084908595659E-2</c:v>
                </c:pt>
                <c:pt idx="74">
                  <c:v>2.7008930171253165E-2</c:v>
                </c:pt>
                <c:pt idx="75">
                  <c:v>2.7740416990586381E-2</c:v>
                </c:pt>
                <c:pt idx="76">
                  <c:v>2.8481538118150684E-2</c:v>
                </c:pt>
                <c:pt idx="77">
                  <c:v>2.923228621003382E-2</c:v>
                </c:pt>
                <c:pt idx="78">
                  <c:v>2.9992653826927507E-2</c:v>
                </c:pt>
                <c:pt idx="79">
                  <c:v>3.0762633434202158E-2</c:v>
                </c:pt>
                <c:pt idx="80">
                  <c:v>3.1542217401980821E-2</c:v>
                </c:pt>
                <c:pt idx="81">
                  <c:v>3.2331398005215228E-2</c:v>
                </c:pt>
                <c:pt idx="82">
                  <c:v>3.313016742376218E-2</c:v>
                </c:pt>
                <c:pt idx="83">
                  <c:v>3.3938517742461038E-2</c:v>
                </c:pt>
                <c:pt idx="84">
                  <c:v>3.475644095121222E-2</c:v>
                </c:pt>
                <c:pt idx="85">
                  <c:v>3.5583928945056353E-2</c:v>
                </c:pt>
                <c:pt idx="86">
                  <c:v>3.6420973524254996E-2</c:v>
                </c:pt>
                <c:pt idx="87">
                  <c:v>3.7267566394371454E-2</c:v>
                </c:pt>
                <c:pt idx="88">
                  <c:v>3.8123699166353275E-2</c:v>
                </c:pt>
                <c:pt idx="89">
                  <c:v>3.8989363356615403E-2</c:v>
                </c:pt>
                <c:pt idx="90">
                  <c:v>3.9864550387123776E-2</c:v>
                </c:pt>
                <c:pt idx="91">
                  <c:v>4.0749251585480817E-2</c:v>
                </c:pt>
                <c:pt idx="92">
                  <c:v>4.1643458185011473E-2</c:v>
                </c:pt>
                <c:pt idx="93">
                  <c:v>4.2547161324849481E-2</c:v>
                </c:pt>
                <c:pt idx="94">
                  <c:v>4.346035205002563E-2</c:v>
                </c:pt>
                <c:pt idx="95">
                  <c:v>4.4383021311556581E-2</c:v>
                </c:pt>
                <c:pt idx="96">
                  <c:v>4.5315159966534124E-2</c:v>
                </c:pt>
                <c:pt idx="97">
                  <c:v>4.625675877821589E-2</c:v>
                </c:pt>
                <c:pt idx="98">
                  <c:v>4.7207808416117381E-2</c:v>
                </c:pt>
                <c:pt idx="99">
                  <c:v>4.8168299456103791E-2</c:v>
                </c:pt>
                <c:pt idx="100">
                  <c:v>4.9138222380483598E-2</c:v>
                </c:pt>
                <c:pt idx="101">
                  <c:v>5.0117567578102928E-2</c:v>
                </c:pt>
                <c:pt idx="102">
                  <c:v>5.1106325344440817E-2</c:v>
                </c:pt>
                <c:pt idx="103">
                  <c:v>5.2104485881705465E-2</c:v>
                </c:pt>
                <c:pt idx="104">
                  <c:v>5.3112039298931046E-2</c:v>
                </c:pt>
                <c:pt idx="105">
                  <c:v>5.4128975612075858E-2</c:v>
                </c:pt>
                <c:pt idx="106">
                  <c:v>5.5155284744121347E-2</c:v>
                </c:pt>
                <c:pt idx="107">
                  <c:v>5.6190956525171698E-2</c:v>
                </c:pt>
                <c:pt idx="108">
                  <c:v>5.7235980692555199E-2</c:v>
                </c:pt>
                <c:pt idx="109">
                  <c:v>5.8290346890925049E-2</c:v>
                </c:pt>
                <c:pt idx="110">
                  <c:v>5.9354044672362938E-2</c:v>
                </c:pt>
                <c:pt idx="111">
                  <c:v>6.0427063496481526E-2</c:v>
                </c:pt>
                <c:pt idx="112">
                  <c:v>6.1509392730530021E-2</c:v>
                </c:pt>
                <c:pt idx="113">
                  <c:v>6.2601021649498656E-2</c:v>
                </c:pt>
                <c:pt idx="114">
                  <c:v>6.3701939436225374E-2</c:v>
                </c:pt>
                <c:pt idx="115">
                  <c:v>6.4812135181502861E-2</c:v>
                </c:pt>
                <c:pt idx="116">
                  <c:v>6.5931597884186899E-2</c:v>
                </c:pt>
                <c:pt idx="117">
                  <c:v>6.7060316451305058E-2</c:v>
                </c:pt>
                <c:pt idx="118">
                  <c:v>6.8198279698166608E-2</c:v>
                </c:pt>
                <c:pt idx="119">
                  <c:v>6.9345476348473767E-2</c:v>
                </c:pt>
                <c:pt idx="120">
                  <c:v>7.050189503443316E-2</c:v>
                </c:pt>
                <c:pt idx="121">
                  <c:v>7.1667524296868401E-2</c:v>
                </c:pt>
                <c:pt idx="122">
                  <c:v>7.2842352585333559E-2</c:v>
                </c:pt>
                <c:pt idx="123">
                  <c:v>7.4026368258227948E-2</c:v>
                </c:pt>
                <c:pt idx="124">
                  <c:v>7.5219559582911377E-2</c:v>
                </c:pt>
                <c:pt idx="125">
                  <c:v>7.6421914735820273E-2</c:v>
                </c:pt>
                <c:pt idx="126">
                  <c:v>7.7633421802584812E-2</c:v>
                </c:pt>
                <c:pt idx="127">
                  <c:v>7.8854068778147268E-2</c:v>
                </c:pt>
                <c:pt idx="128">
                  <c:v>8.0083843566880586E-2</c:v>
                </c:pt>
                <c:pt idx="129">
                  <c:v>8.1322733982708617E-2</c:v>
                </c:pt>
                <c:pt idx="130">
                  <c:v>8.2570727749226691E-2</c:v>
                </c:pt>
                <c:pt idx="131">
                  <c:v>8.3827812499823295E-2</c:v>
                </c:pt>
                <c:pt idx="132">
                  <c:v>8.5093975777802311E-2</c:v>
                </c:pt>
                <c:pt idx="133">
                  <c:v>8.6369205036507135E-2</c:v>
                </c:pt>
                <c:pt idx="134">
                  <c:v>8.7653487639444361E-2</c:v>
                </c:pt>
                <c:pt idx="135">
                  <c:v>8.8946810860409342E-2</c:v>
                </c:pt>
                <c:pt idx="136">
                  <c:v>9.0249161883612206E-2</c:v>
                </c:pt>
                <c:pt idx="137">
                  <c:v>9.1560527803804637E-2</c:v>
                </c:pt>
                <c:pt idx="138">
                  <c:v>9.2880895626408333E-2</c:v>
                </c:pt>
                <c:pt idx="139">
                  <c:v>9.4210252267643013E-2</c:v>
                </c:pt>
                <c:pt idx="140">
                  <c:v>9.5548584554656757E-2</c:v>
                </c:pt>
                <c:pt idx="141">
                  <c:v>9.6895879225656123E-2</c:v>
                </c:pt>
                <c:pt idx="142">
                  <c:v>9.8252122930037711E-2</c:v>
                </c:pt>
                <c:pt idx="143">
                  <c:v>9.9617302228520166E-2</c:v>
                </c:pt>
                <c:pt idx="144">
                  <c:v>0.10099140359327796</c:v>
                </c:pt>
                <c:pt idx="145">
                  <c:v>0.10237441340807496</c:v>
                </c:pt>
                <c:pt idx="146">
                  <c:v>0.1037663179683993</c:v>
                </c:pt>
                <c:pt idx="147">
                  <c:v>0.10516710348159974</c:v>
                </c:pt>
                <c:pt idx="148">
                  <c:v>0.10657675606702155</c:v>
                </c:pt>
                <c:pt idx="149">
                  <c:v>0.10799526175614471</c:v>
                </c:pt>
                <c:pt idx="150">
                  <c:v>0.10942260649272206</c:v>
                </c:pt>
                <c:pt idx="151">
                  <c:v>0.11085877613291861</c:v>
                </c:pt>
                <c:pt idx="152">
                  <c:v>0.11230375644545154</c:v>
                </c:pt>
                <c:pt idx="153">
                  <c:v>0.11375753311173153</c:v>
                </c:pt>
                <c:pt idx="154">
                  <c:v>0.11522009172600445</c:v>
                </c:pt>
                <c:pt idx="155">
                  <c:v>0.11669141779549419</c:v>
                </c:pt>
                <c:pt idx="156">
                  <c:v>0.11817149674054617</c:v>
                </c:pt>
                <c:pt idx="157">
                  <c:v>0.11966031389477194</c:v>
                </c:pt>
                <c:pt idx="158">
                  <c:v>0.12115785450519423</c:v>
                </c:pt>
                <c:pt idx="159">
                  <c:v>0.12266410373239378</c:v>
                </c:pt>
                <c:pt idx="160">
                  <c:v>0.12417904665065549</c:v>
                </c:pt>
                <c:pt idx="161">
                  <c:v>0.12570266824811704</c:v>
                </c:pt>
                <c:pt idx="162">
                  <c:v>0.1272349534269176</c:v>
                </c:pt>
                <c:pt idx="163">
                  <c:v>0.12877588700334663</c:v>
                </c:pt>
                <c:pt idx="164">
                  <c:v>0.13032545370799575</c:v>
                </c:pt>
                <c:pt idx="165">
                  <c:v>0.13188363818590843</c:v>
                </c:pt>
                <c:pt idx="166">
                  <c:v>0.13345042499673354</c:v>
                </c:pt>
                <c:pt idx="167">
                  <c:v>0.13502579861487751</c:v>
                </c:pt>
                <c:pt idx="168">
                  <c:v>0.13660974342965859</c:v>
                </c:pt>
                <c:pt idx="169">
                  <c:v>0.13820224374546131</c:v>
                </c:pt>
                <c:pt idx="170">
                  <c:v>0.13980328378189188</c:v>
                </c:pt>
                <c:pt idx="171">
                  <c:v>0.14141284767393503</c:v>
                </c:pt>
                <c:pt idx="172">
                  <c:v>0.143030919472111</c:v>
                </c:pt>
                <c:pt idx="173">
                  <c:v>0.14465748314263338</c:v>
                </c:pt>
                <c:pt idx="174">
                  <c:v>0.14629252256756808</c:v>
                </c:pt>
                <c:pt idx="175">
                  <c:v>0.14793602154499341</c:v>
                </c:pt>
                <c:pt idx="176">
                  <c:v>0.14958796378916006</c:v>
                </c:pt>
                <c:pt idx="177">
                  <c:v>0.15124833293065298</c:v>
                </c:pt>
                <c:pt idx="178">
                  <c:v>0.15291711251655316</c:v>
                </c:pt>
                <c:pt idx="179">
                  <c:v>0.15459428601060099</c:v>
                </c:pt>
                <c:pt idx="180">
                  <c:v>0.15627983679335988</c:v>
                </c:pt>
                <c:pt idx="181">
                  <c:v>0.15797374816238119</c:v>
                </c:pt>
                <c:pt idx="182">
                  <c:v>0.15967600333236964</c:v>
                </c:pt>
                <c:pt idx="183">
                  <c:v>0.16138658543534967</c:v>
                </c:pt>
                <c:pt idx="184">
                  <c:v>0.16310547752083215</c:v>
                </c:pt>
                <c:pt idx="185">
                  <c:v>0.16483266255598328</c:v>
                </c:pt>
                <c:pt idx="186">
                  <c:v>0.1665681234257923</c:v>
                </c:pt>
                <c:pt idx="187">
                  <c:v>0.16831184293324197</c:v>
                </c:pt>
                <c:pt idx="188">
                  <c:v>0.17006380379947839</c:v>
                </c:pt>
                <c:pt idx="189">
                  <c:v>0.17182398866398252</c:v>
                </c:pt>
                <c:pt idx="190">
                  <c:v>0.1735923800847422</c:v>
                </c:pt>
                <c:pt idx="191">
                  <c:v>0.17536896053842488</c:v>
                </c:pt>
                <c:pt idx="192">
                  <c:v>0.17715371242055111</c:v>
                </c:pt>
                <c:pt idx="193">
                  <c:v>0.17894661804566958</c:v>
                </c:pt>
                <c:pt idx="194">
                  <c:v>0.18074765964753159</c:v>
                </c:pt>
                <c:pt idx="195">
                  <c:v>0.1825568193792676</c:v>
                </c:pt>
                <c:pt idx="196">
                  <c:v>0.18437407931356398</c:v>
                </c:pt>
                <c:pt idx="197">
                  <c:v>0.18619942144284063</c:v>
                </c:pt>
                <c:pt idx="198">
                  <c:v>0.18803282767942942</c:v>
                </c:pt>
                <c:pt idx="199">
                  <c:v>0.18987427985575323</c:v>
                </c:pt>
                <c:pt idx="200">
                  <c:v>0.19172375972450661</c:v>
                </c:pt>
                <c:pt idx="201">
                  <c:v>0.19358124895883555</c:v>
                </c:pt>
                <c:pt idx="202">
                  <c:v>0.19544672915252015</c:v>
                </c:pt>
                <c:pt idx="203">
                  <c:v>0.19732018182015654</c:v>
                </c:pt>
                <c:pt idx="204">
                  <c:v>0.1992015883973397</c:v>
                </c:pt>
                <c:pt idx="205">
                  <c:v>0.20109093024084834</c:v>
                </c:pt>
                <c:pt idx="206">
                  <c:v>0.20298818862882839</c:v>
                </c:pt>
                <c:pt idx="207">
                  <c:v>0.20489334476097976</c:v>
                </c:pt>
                <c:pt idx="208">
                  <c:v>0.20680637975874194</c:v>
                </c:pt>
                <c:pt idx="209">
                  <c:v>0.20872727466548102</c:v>
                </c:pt>
                <c:pt idx="210">
                  <c:v>0.21065601044667814</c:v>
                </c:pt>
                <c:pt idx="211">
                  <c:v>0.21259256799011716</c:v>
                </c:pt>
                <c:pt idx="212">
                  <c:v>0.21453692810607505</c:v>
                </c:pt>
                <c:pt idx="213">
                  <c:v>0.2164890715275114</c:v>
                </c:pt>
                <c:pt idx="214">
                  <c:v>0.21844897891025949</c:v>
                </c:pt>
                <c:pt idx="215">
                  <c:v>0.22041663083321805</c:v>
                </c:pt>
                <c:pt idx="216">
                  <c:v>0.22239200779854373</c:v>
                </c:pt>
                <c:pt idx="217">
                  <c:v>0.22437509023184399</c:v>
                </c:pt>
                <c:pt idx="218">
                  <c:v>0.22636585848237156</c:v>
                </c:pt>
                <c:pt idx="219">
                  <c:v>0.22836429282321902</c:v>
                </c:pt>
                <c:pt idx="220">
                  <c:v>0.2303703734515139</c:v>
                </c:pt>
                <c:pt idx="221">
                  <c:v>0.23238408048861525</c:v>
                </c:pt>
                <c:pt idx="222">
                  <c:v>0.23440539398031057</c:v>
                </c:pt>
                <c:pt idx="223">
                  <c:v>0.23643429389701376</c:v>
                </c:pt>
                <c:pt idx="224">
                  <c:v>0.23847076013396296</c:v>
                </c:pt>
                <c:pt idx="225">
                  <c:v>0.24051477251142062</c:v>
                </c:pt>
                <c:pt idx="226">
                  <c:v>0.24256631077487267</c:v>
                </c:pt>
                <c:pt idx="227">
                  <c:v>0.24462535459522983</c:v>
                </c:pt>
                <c:pt idx="228">
                  <c:v>0.24669188356902849</c:v>
                </c:pt>
                <c:pt idx="229">
                  <c:v>0.24876587721863352</c:v>
                </c:pt>
                <c:pt idx="230">
                  <c:v>0.25084731499244084</c:v>
                </c:pt>
                <c:pt idx="231">
                  <c:v>0.25293617626508091</c:v>
                </c:pt>
                <c:pt idx="232">
                  <c:v>0.25503244033762351</c:v>
                </c:pt>
                <c:pt idx="233">
                  <c:v>0.25713608643778241</c:v>
                </c:pt>
                <c:pt idx="234">
                  <c:v>0.25924709372012167</c:v>
                </c:pt>
                <c:pt idx="235">
                  <c:v>0.26136544126626193</c:v>
                </c:pt>
                <c:pt idx="236">
                  <c:v>0.26349110808508769</c:v>
                </c:pt>
                <c:pt idx="237">
                  <c:v>0.26562407311295533</c:v>
                </c:pt>
                <c:pt idx="238">
                  <c:v>0.26776431521390176</c:v>
                </c:pt>
                <c:pt idx="239">
                  <c:v>0.26991181317985435</c:v>
                </c:pt>
                <c:pt idx="240">
                  <c:v>0.27206654573084033</c:v>
                </c:pt>
                <c:pt idx="241">
                  <c:v>0.27422849151519824</c:v>
                </c:pt>
                <c:pt idx="242">
                  <c:v>0.27639762910978904</c:v>
                </c:pt>
                <c:pt idx="243">
                  <c:v>0.27857393702020894</c:v>
                </c:pt>
                <c:pt idx="244">
                  <c:v>0.28075739368100194</c:v>
                </c:pt>
                <c:pt idx="245">
                  <c:v>0.28294797745587386</c:v>
                </c:pt>
                <c:pt idx="246">
                  <c:v>0.28514566663790619</c:v>
                </c:pt>
                <c:pt idx="247">
                  <c:v>0.28735043944977212</c:v>
                </c:pt>
                <c:pt idx="248">
                  <c:v>0.28956227404395118</c:v>
                </c:pt>
                <c:pt idx="249">
                  <c:v>0.2917811485029469</c:v>
                </c:pt>
                <c:pt idx="250">
                  <c:v>0.29400704083950302</c:v>
                </c:pt>
                <c:pt idx="251">
                  <c:v>0.29623992899682194</c:v>
                </c:pt>
                <c:pt idx="252">
                  <c:v>0.29847979084878318</c:v>
                </c:pt>
                <c:pt idx="253">
                  <c:v>0.30072660420016228</c:v>
                </c:pt>
                <c:pt idx="254">
                  <c:v>0.30298034678685137</c:v>
                </c:pt>
                <c:pt idx="255">
                  <c:v>0.30524099627607926</c:v>
                </c:pt>
                <c:pt idx="256">
                  <c:v>0.30750853026663305</c:v>
                </c:pt>
                <c:pt idx="257">
                  <c:v>0.30978292628908</c:v>
                </c:pt>
                <c:pt idx="258">
                  <c:v>0.31206416180598984</c:v>
                </c:pt>
                <c:pt idx="259">
                  <c:v>0.31435221421215875</c:v>
                </c:pt>
                <c:pt idx="260">
                  <c:v>0.31664706083483307</c:v>
                </c:pt>
                <c:pt idx="261">
                  <c:v>0.31894867893393375</c:v>
                </c:pt>
                <c:pt idx="262">
                  <c:v>0.3212570457022822</c:v>
                </c:pt>
                <c:pt idx="263">
                  <c:v>0.32357213826582509</c:v>
                </c:pt>
                <c:pt idx="264">
                  <c:v>0.32589393368386299</c:v>
                </c:pt>
                <c:pt idx="265">
                  <c:v>0.3282224089492759</c:v>
                </c:pt>
                <c:pt idx="266">
                  <c:v>0.33055754098875223</c:v>
                </c:pt>
                <c:pt idx="267">
                  <c:v>0.33289930666301693</c:v>
                </c:pt>
                <c:pt idx="268">
                  <c:v>0.33524768276706118</c:v>
                </c:pt>
                <c:pt idx="269">
                  <c:v>0.33760264603037182</c:v>
                </c:pt>
                <c:pt idx="270">
                  <c:v>0.33996417311716254</c:v>
                </c:pt>
                <c:pt idx="271">
                  <c:v>0.34233224062660483</c:v>
                </c:pt>
                <c:pt idx="272">
                  <c:v>0.34470682509305983</c:v>
                </c:pt>
                <c:pt idx="273">
                  <c:v>0.34708790298631065</c:v>
                </c:pt>
                <c:pt idx="274">
                  <c:v>0.34947545071179609</c:v>
                </c:pt>
                <c:pt idx="275">
                  <c:v>0.35186944461084391</c:v>
                </c:pt>
                <c:pt idx="276">
                  <c:v>0.35426986096090574</c:v>
                </c:pt>
                <c:pt idx="277">
                  <c:v>0.35667667597579156</c:v>
                </c:pt>
                <c:pt idx="278">
                  <c:v>0.35908986580590629</c:v>
                </c:pt>
                <c:pt idx="279">
                  <c:v>0.36150940653848485</c:v>
                </c:pt>
                <c:pt idx="280">
                  <c:v>0.36393527419783034</c:v>
                </c:pt>
                <c:pt idx="281">
                  <c:v>0.36636744474555105</c:v>
                </c:pt>
                <c:pt idx="282">
                  <c:v>0.36880589408079867</c:v>
                </c:pt>
                <c:pt idx="283">
                  <c:v>0.3712505980405072</c:v>
                </c:pt>
                <c:pt idx="284">
                  <c:v>0.37370153239963222</c:v>
                </c:pt>
                <c:pt idx="285">
                  <c:v>0.37615867287139115</c:v>
                </c:pt>
                <c:pt idx="286">
                  <c:v>0.37862199510750394</c:v>
                </c:pt>
                <c:pt idx="287">
                  <c:v>0.38109147469843418</c:v>
                </c:pt>
                <c:pt idx="288">
                  <c:v>0.38356708717363108</c:v>
                </c:pt>
                <c:pt idx="289">
                  <c:v>0.38604880800177188</c:v>
                </c:pt>
                <c:pt idx="290">
                  <c:v>0.3885366125910048</c:v>
                </c:pt>
                <c:pt idx="291">
                  <c:v>0.39103047628919319</c:v>
                </c:pt>
                <c:pt idx="292">
                  <c:v>0.39353037438415939</c:v>
                </c:pt>
                <c:pt idx="293">
                  <c:v>0.3960362821039296</c:v>
                </c:pt>
                <c:pt idx="294">
                  <c:v>0.39854817461698</c:v>
                </c:pt>
                <c:pt idx="295">
                  <c:v>0.4010660270324814</c:v>
                </c:pt>
                <c:pt idx="296">
                  <c:v>0.40358981440054742</c:v>
                </c:pt>
                <c:pt idx="297">
                  <c:v>0.40611951171248117</c:v>
                </c:pt>
                <c:pt idx="298">
                  <c:v>0.4086550939010225</c:v>
                </c:pt>
                <c:pt idx="299">
                  <c:v>0.41119653584059757</c:v>
                </c:pt>
                <c:pt idx="300">
                  <c:v>0.41374381234756619</c:v>
                </c:pt>
                <c:pt idx="301">
                  <c:v>0.41629689818047322</c:v>
                </c:pt>
                <c:pt idx="302">
                  <c:v>0.41885576804029723</c:v>
                </c:pt>
                <c:pt idx="303">
                  <c:v>0.42142039657070196</c:v>
                </c:pt>
                <c:pt idx="304">
                  <c:v>0.42399075835828748</c:v>
                </c:pt>
                <c:pt idx="305">
                  <c:v>0.42656682793284162</c:v>
                </c:pt>
                <c:pt idx="306">
                  <c:v>0.42914857976759269</c:v>
                </c:pt>
                <c:pt idx="307">
                  <c:v>0.43173598827946269</c:v>
                </c:pt>
                <c:pt idx="308">
                  <c:v>0.43432902782932004</c:v>
                </c:pt>
                <c:pt idx="309">
                  <c:v>0.43692767272223476</c:v>
                </c:pt>
                <c:pt idx="310">
                  <c:v>0.43953189720773167</c:v>
                </c:pt>
                <c:pt idx="311">
                  <c:v>0.4421416754800469</c:v>
                </c:pt>
                <c:pt idx="312">
                  <c:v>0.44475698167838285</c:v>
                </c:pt>
                <c:pt idx="313">
                  <c:v>0.44737778988716459</c:v>
                </c:pt>
                <c:pt idx="314">
                  <c:v>0.45000407413629695</c:v>
                </c:pt>
                <c:pt idx="315">
                  <c:v>0.45263580840142115</c:v>
                </c:pt>
                <c:pt idx="316">
                  <c:v>0.45527296660417349</c:v>
                </c:pt>
                <c:pt idx="317">
                  <c:v>0.45791552261244328</c:v>
                </c:pt>
                <c:pt idx="318">
                  <c:v>0.46056345024063217</c:v>
                </c:pt>
                <c:pt idx="319">
                  <c:v>0.46321672324991292</c:v>
                </c:pt>
                <c:pt idx="320">
                  <c:v>0.46587531534849058</c:v>
                </c:pt>
                <c:pt idx="321">
                  <c:v>0.46853920019186157</c:v>
                </c:pt>
                <c:pt idx="322">
                  <c:v>0.47120835138307604</c:v>
                </c:pt>
                <c:pt idx="323">
                  <c:v>0.47388274247299855</c:v>
                </c:pt>
                <c:pt idx="324">
                  <c:v>0.47656234696057043</c:v>
                </c:pt>
                <c:pt idx="325">
                  <c:v>0.47924713829307297</c:v>
                </c:pt>
                <c:pt idx="326">
                  <c:v>0.48193708986638928</c:v>
                </c:pt>
                <c:pt idx="327">
                  <c:v>0.48463217502526945</c:v>
                </c:pt>
                <c:pt idx="328">
                  <c:v>0.48733236706359295</c:v>
                </c:pt>
                <c:pt idx="329">
                  <c:v>0.49003763922463506</c:v>
                </c:pt>
                <c:pt idx="330">
                  <c:v>0.49274796470133042</c:v>
                </c:pt>
                <c:pt idx="331">
                  <c:v>0.4954633166365402</c:v>
                </c:pt>
                <c:pt idx="332">
                  <c:v>0.4981836681233166</c:v>
                </c:pt>
                <c:pt idx="333">
                  <c:v>0.50090899220517071</c:v>
                </c:pt>
                <c:pt idx="334">
                  <c:v>0.50363926187633923</c:v>
                </c:pt>
                <c:pt idx="335">
                  <c:v>0.50637445008205195</c:v>
                </c:pt>
                <c:pt idx="336">
                  <c:v>0.50911452971880011</c:v>
                </c:pt>
                <c:pt idx="337">
                  <c:v>0.51185947363460449</c:v>
                </c:pt>
                <c:pt idx="338">
                  <c:v>0.51460925462928531</c:v>
                </c:pt>
                <c:pt idx="339">
                  <c:v>0.51736384545473046</c:v>
                </c:pt>
                <c:pt idx="340">
                  <c:v>0.52012321881516699</c:v>
                </c:pt>
                <c:pt idx="341">
                  <c:v>0.52288734736743059</c:v>
                </c:pt>
                <c:pt idx="342">
                  <c:v>0.52565620372123711</c:v>
                </c:pt>
                <c:pt idx="343">
                  <c:v>0.52842976043945322</c:v>
                </c:pt>
                <c:pt idx="344">
                  <c:v>0.53120799003836905</c:v>
                </c:pt>
                <c:pt idx="345">
                  <c:v>0.53399086498797033</c:v>
                </c:pt>
                <c:pt idx="346">
                  <c:v>0.53677835771221083</c:v>
                </c:pt>
                <c:pt idx="347">
                  <c:v>0.53957044058928638</c:v>
                </c:pt>
                <c:pt idx="348">
                  <c:v>0.54236708595190763</c:v>
                </c:pt>
                <c:pt idx="349">
                  <c:v>0.54516826608757496</c:v>
                </c:pt>
                <c:pt idx="350">
                  <c:v>0.54797395323885223</c:v>
                </c:pt>
                <c:pt idx="351">
                  <c:v>0.55078411960364337</c:v>
                </c:pt>
                <c:pt idx="352">
                  <c:v>0.55359873733546627</c:v>
                </c:pt>
                <c:pt idx="353">
                  <c:v>0.55641777854372954</c:v>
                </c:pt>
                <c:pt idx="354">
                  <c:v>0.55924121529400872</c:v>
                </c:pt>
                <c:pt idx="355">
                  <c:v>0.56206901960832267</c:v>
                </c:pt>
                <c:pt idx="356">
                  <c:v>0.56490116346541219</c:v>
                </c:pt>
                <c:pt idx="357">
                  <c:v>0.56773761880101548</c:v>
                </c:pt>
                <c:pt idx="358">
                  <c:v>0.57057835750814878</c:v>
                </c:pt>
                <c:pt idx="359">
                  <c:v>0.5734233514373821</c:v>
                </c:pt>
                <c:pt idx="360">
                  <c:v>0.57627257239712093</c:v>
                </c:pt>
                <c:pt idx="361">
                  <c:v>0.5791259921538835</c:v>
                </c:pt>
                <c:pt idx="362">
                  <c:v>0.58198358243258186</c:v>
                </c:pt>
                <c:pt idx="363">
                  <c:v>0.58484531491680136</c:v>
                </c:pt>
                <c:pt idx="364">
                  <c:v>0.58771116124908085</c:v>
                </c:pt>
                <c:pt idx="365">
                  <c:v>0.59058109303119544</c:v>
                </c:pt>
                <c:pt idx="366">
                  <c:v>0.59345508182443574</c:v>
                </c:pt>
                <c:pt idx="367">
                  <c:v>0.59633309914989119</c:v>
                </c:pt>
                <c:pt idx="368">
                  <c:v>0.59921511648873138</c:v>
                </c:pt>
                <c:pt idx="369">
                  <c:v>0.6021011052824895</c:v>
                </c:pt>
                <c:pt idx="370">
                  <c:v>0.60499103693334377</c:v>
                </c:pt>
                <c:pt idx="371">
                  <c:v>0.60788488280440323</c:v>
                </c:pt>
                <c:pt idx="372">
                  <c:v>0.61078261421998925</c:v>
                </c:pt>
                <c:pt idx="373">
                  <c:v>0.61368420246592092</c:v>
                </c:pt>
                <c:pt idx="374">
                  <c:v>0.61658961878979923</c:v>
                </c:pt>
                <c:pt idx="375">
                  <c:v>0.61949883440129161</c:v>
                </c:pt>
                <c:pt idx="376">
                  <c:v>0.6224118204724185</c:v>
                </c:pt>
                <c:pt idx="377">
                  <c:v>0.625328548137837</c:v>
                </c:pt>
                <c:pt idx="378">
                  <c:v>0.62824898849512922</c:v>
                </c:pt>
                <c:pt idx="379">
                  <c:v>0.63117311260508657</c:v>
                </c:pt>
                <c:pt idx="380">
                  <c:v>0.63410089149199766</c:v>
                </c:pt>
                <c:pt idx="381">
                  <c:v>0.63703229614393531</c:v>
                </c:pt>
                <c:pt idx="382">
                  <c:v>0.63996729751304415</c:v>
                </c:pt>
                <c:pt idx="383">
                  <c:v>0.64290586651582782</c:v>
                </c:pt>
                <c:pt idx="384">
                  <c:v>0.64584797403343797</c:v>
                </c:pt>
                <c:pt idx="385">
                  <c:v>0.64879359091196209</c:v>
                </c:pt>
                <c:pt idx="386">
                  <c:v>0.65174268796271284</c:v>
                </c:pt>
                <c:pt idx="387">
                  <c:v>0.65469523596251733</c:v>
                </c:pt>
                <c:pt idx="388">
                  <c:v>0.65765120565400648</c:v>
                </c:pt>
                <c:pt idx="389">
                  <c:v>0.6606105677459051</c:v>
                </c:pt>
                <c:pt idx="390">
                  <c:v>0.66357329291332134</c:v>
                </c:pt>
                <c:pt idx="391">
                  <c:v>0.66653935179803925</c:v>
                </c:pt>
                <c:pt idx="392">
                  <c:v>0.66950871500880726</c:v>
                </c:pt>
                <c:pt idx="393">
                  <c:v>0.67248135312163138</c:v>
                </c:pt>
                <c:pt idx="394">
                  <c:v>0.6754572366800653</c:v>
                </c:pt>
                <c:pt idx="395">
                  <c:v>0.67843633619550392</c:v>
                </c:pt>
                <c:pt idx="396">
                  <c:v>0.68141862214747362</c:v>
                </c:pt>
                <c:pt idx="397">
                  <c:v>0.68440406498392603</c:v>
                </c:pt>
                <c:pt idx="398">
                  <c:v>0.68739263512153115</c:v>
                </c:pt>
                <c:pt idx="399">
                  <c:v>0.6903843029459692</c:v>
                </c:pt>
                <c:pt idx="400">
                  <c:v>0.69337903881222562</c:v>
                </c:pt>
                <c:pt idx="401">
                  <c:v>0.69637681304488286</c:v>
                </c:pt>
                <c:pt idx="402">
                  <c:v>0.69937759593841675</c:v>
                </c:pt>
                <c:pt idx="403">
                  <c:v>0.70238135775748911</c:v>
                </c:pt>
                <c:pt idx="404">
                  <c:v>0.70538806873724358</c:v>
                </c:pt>
                <c:pt idx="405">
                  <c:v>0.70839769908359895</c:v>
                </c:pt>
                <c:pt idx="406">
                  <c:v>0.71141021897354673</c:v>
                </c:pt>
                <c:pt idx="407">
                  <c:v>0.71442559855544452</c:v>
                </c:pt>
                <c:pt idx="408">
                  <c:v>0.71744380794931262</c:v>
                </c:pt>
                <c:pt idx="409">
                  <c:v>0.72046481724713085</c:v>
                </c:pt>
                <c:pt idx="410">
                  <c:v>0.72348859651313369</c:v>
                </c:pt>
                <c:pt idx="411">
                  <c:v>0.72651511578410766</c:v>
                </c:pt>
                <c:pt idx="412">
                  <c:v>0.72954434506968779</c:v>
                </c:pt>
                <c:pt idx="413">
                  <c:v>0.73257625435265572</c:v>
                </c:pt>
                <c:pt idx="414">
                  <c:v>0.73561081358923541</c:v>
                </c:pt>
                <c:pt idx="415">
                  <c:v>0.7386479927093933</c:v>
                </c:pt>
                <c:pt idx="416">
                  <c:v>0.74168776161713368</c:v>
                </c:pt>
                <c:pt idx="417">
                  <c:v>0.7447300901907985</c:v>
                </c:pt>
                <c:pt idx="418">
                  <c:v>0.74777494828336577</c:v>
                </c:pt>
                <c:pt idx="419">
                  <c:v>0.75082230572274766</c:v>
                </c:pt>
                <c:pt idx="420">
                  <c:v>0.75387213231209049</c:v>
                </c:pt>
                <c:pt idx="421">
                  <c:v>0.75692439783007204</c:v>
                </c:pt>
                <c:pt idx="422">
                  <c:v>0.75997907203120352</c:v>
                </c:pt>
                <c:pt idx="423">
                  <c:v>0.76303612464612713</c:v>
                </c:pt>
                <c:pt idx="424">
                  <c:v>0.76609552538191783</c:v>
                </c:pt>
                <c:pt idx="425">
                  <c:v>0.76915724392238149</c:v>
                </c:pt>
                <c:pt idx="426">
                  <c:v>0.77222124992835761</c:v>
                </c:pt>
                <c:pt idx="427">
                  <c:v>0.77528751303801791</c:v>
                </c:pt>
                <c:pt idx="428">
                  <c:v>0.77835600286716788</c:v>
                </c:pt>
                <c:pt idx="429">
                  <c:v>0.78142668900954892</c:v>
                </c:pt>
                <c:pt idx="430">
                  <c:v>0.78449954103713782</c:v>
                </c:pt>
                <c:pt idx="431">
                  <c:v>0.78757452850045018</c:v>
                </c:pt>
                <c:pt idx="432">
                  <c:v>0.79065162092883967</c:v>
                </c:pt>
                <c:pt idx="433">
                  <c:v>0.79373078783080309</c:v>
                </c:pt>
                <c:pt idx="434">
                  <c:v>0.79681199869427966</c:v>
                </c:pt>
                <c:pt idx="435">
                  <c:v>0.79989522298695537</c:v>
                </c:pt>
                <c:pt idx="436">
                  <c:v>0.80298043015656417</c:v>
                </c:pt>
                <c:pt idx="437">
                  <c:v>0.80606758963119207</c:v>
                </c:pt>
                <c:pt idx="438">
                  <c:v>0.80915667081957843</c:v>
                </c:pt>
                <c:pt idx="439">
                  <c:v>0.81224764311142017</c:v>
                </c:pt>
                <c:pt idx="440">
                  <c:v>0.81534047587767555</c:v>
                </c:pt>
                <c:pt idx="441">
                  <c:v>0.81843513847086635</c:v>
                </c:pt>
                <c:pt idx="442">
                  <c:v>0.82153160022538252</c:v>
                </c:pt>
                <c:pt idx="443">
                  <c:v>0.82462983045778548</c:v>
                </c:pt>
                <c:pt idx="444">
                  <c:v>0.82772979846711325</c:v>
                </c:pt>
                <c:pt idx="445">
                  <c:v>0.8308314735351825</c:v>
                </c:pt>
                <c:pt idx="446">
                  <c:v>0.83393482492689608</c:v>
                </c:pt>
                <c:pt idx="447">
                  <c:v>0.83703982189054416</c:v>
                </c:pt>
                <c:pt idx="448">
                  <c:v>0.8401464336581117</c:v>
                </c:pt>
                <c:pt idx="449">
                  <c:v>0.84325462944558205</c:v>
                </c:pt>
                <c:pt idx="450">
                  <c:v>0.84636437845324164</c:v>
                </c:pt>
                <c:pt idx="451">
                  <c:v>0.84947564986598656</c:v>
                </c:pt>
                <c:pt idx="452">
                  <c:v>0.85258841285362663</c:v>
                </c:pt>
                <c:pt idx="453">
                  <c:v>0.85570263657119128</c:v>
                </c:pt>
                <c:pt idx="454">
                  <c:v>0.85881829015923528</c:v>
                </c:pt>
                <c:pt idx="455">
                  <c:v>0.86193534274414518</c:v>
                </c:pt>
                <c:pt idx="456">
                  <c:v>0.86505376343844365</c:v>
                </c:pt>
                <c:pt idx="457">
                  <c:v>0.86817352134109738</c:v>
                </c:pt>
                <c:pt idx="458">
                  <c:v>0.87129458553782158</c:v>
                </c:pt>
                <c:pt idx="459">
                  <c:v>0.87441692510138791</c:v>
                </c:pt>
                <c:pt idx="460">
                  <c:v>0.87754050909192971</c:v>
                </c:pt>
                <c:pt idx="461">
                  <c:v>0.88066530655724884</c:v>
                </c:pt>
                <c:pt idx="462">
                  <c:v>0.88379128653312367</c:v>
                </c:pt>
                <c:pt idx="463">
                  <c:v>0.88691841804361304</c:v>
                </c:pt>
                <c:pt idx="464">
                  <c:v>0.89004667010136695</c:v>
                </c:pt>
                <c:pt idx="465">
                  <c:v>0.89317601170793026</c:v>
                </c:pt>
                <c:pt idx="466">
                  <c:v>0.89630641185405224</c:v>
                </c:pt>
                <c:pt idx="467">
                  <c:v>0.8994378395199919</c:v>
                </c:pt>
                <c:pt idx="468">
                  <c:v>0.9025702636758276</c:v>
                </c:pt>
                <c:pt idx="469">
                  <c:v>0.90570365328176206</c:v>
                </c:pt>
                <c:pt idx="470">
                  <c:v>0.90883797728843208</c:v>
                </c:pt>
                <c:pt idx="471">
                  <c:v>0.91197320463721476</c:v>
                </c:pt>
                <c:pt idx="472">
                  <c:v>0.91510930426053605</c:v>
                </c:pt>
                <c:pt idx="473">
                  <c:v>0.91824624508217823</c:v>
                </c:pt>
                <c:pt idx="474">
                  <c:v>0.92138399601758791</c:v>
                </c:pt>
                <c:pt idx="475">
                  <c:v>0.92452252597418461</c:v>
                </c:pt>
                <c:pt idx="476">
                  <c:v>0.92766180385166763</c:v>
                </c:pt>
                <c:pt idx="477">
                  <c:v>0.93080179854232581</c:v>
                </c:pt>
                <c:pt idx="478">
                  <c:v>0.93394247893134419</c:v>
                </c:pt>
                <c:pt idx="479">
                  <c:v>0.9370838138971137</c:v>
                </c:pt>
                <c:pt idx="480">
                  <c:v>0.94022577231153837</c:v>
                </c:pt>
                <c:pt idx="481">
                  <c:v>0.94336832304034501</c:v>
                </c:pt>
                <c:pt idx="482">
                  <c:v>0.94651143494339052</c:v>
                </c:pt>
                <c:pt idx="483">
                  <c:v>0.9496550768749713</c:v>
                </c:pt>
                <c:pt idx="484">
                  <c:v>0.95279921768413134</c:v>
                </c:pt>
                <c:pt idx="485">
                  <c:v>0.9559438262149712</c:v>
                </c:pt>
                <c:pt idx="486">
                  <c:v>0.95908887130695719</c:v>
                </c:pt>
                <c:pt idx="487">
                  <c:v>0.96223432179522894</c:v>
                </c:pt>
                <c:pt idx="488">
                  <c:v>0.96538014651090975</c:v>
                </c:pt>
                <c:pt idx="489">
                  <c:v>0.96852631428141356</c:v>
                </c:pt>
                <c:pt idx="490">
                  <c:v>0.9716727939307559</c:v>
                </c:pt>
                <c:pt idx="491">
                  <c:v>0.97481955427986144</c:v>
                </c:pt>
                <c:pt idx="492">
                  <c:v>0.977966564146873</c:v>
                </c:pt>
                <c:pt idx="493">
                  <c:v>0.98111379234746177</c:v>
                </c:pt>
                <c:pt idx="494">
                  <c:v>0.98426120769513414</c:v>
                </c:pt>
                <c:pt idx="495">
                  <c:v>0.98740877900154345</c:v>
                </c:pt>
                <c:pt idx="496">
                  <c:v>0.99055647507679634</c:v>
                </c:pt>
                <c:pt idx="497">
                  <c:v>0.99370426472976414</c:v>
                </c:pt>
                <c:pt idx="498">
                  <c:v>0.99685211676839014</c:v>
                </c:pt>
                <c:pt idx="499">
                  <c:v>0.99999999999999989</c:v>
                </c:pt>
                <c:pt idx="500">
                  <c:v>1</c:v>
                </c:pt>
              </c:numCache>
            </c:numRef>
          </c:xVal>
          <c:yVal>
            <c:numRef>
              <c:f>Data3!$H$1:$H$501</c:f>
              <c:numCache>
                <c:formatCode>0.00000</c:formatCode>
                <c:ptCount val="501"/>
                <c:pt idx="0">
                  <c:v>0</c:v>
                </c:pt>
                <c:pt idx="1">
                  <c:v>2.9683994091902485E-4</c:v>
                </c:pt>
                <c:pt idx="2">
                  <c:v>5.9257836439792564E-4</c:v>
                </c:pt>
                <c:pt idx="3">
                  <c:v>8.8721461978929095E-4</c:v>
                </c:pt>
                <c:pt idx="4">
                  <c:v>1.1807481138199089E-3</c:v>
                </c:pt>
                <c:pt idx="5">
                  <c:v>1.4731783105496623E-3</c:v>
                </c:pt>
                <c:pt idx="6">
                  <c:v>1.7645047313348411E-3</c:v>
                </c:pt>
                <c:pt idx="7">
                  <c:v>2.054726954769577E-3</c:v>
                </c:pt>
                <c:pt idx="8">
                  <c:v>2.343844616616156E-3</c:v>
                </c:pt>
                <c:pt idx="9">
                  <c:v>2.6318574097235333E-3</c:v>
                </c:pt>
                <c:pt idx="10">
                  <c:v>2.9187650839319909E-3</c:v>
                </c:pt>
                <c:pt idx="11">
                  <c:v>3.2045674459657354E-3</c:v>
                </c:pt>
                <c:pt idx="12">
                  <c:v>3.4892643593116388E-3</c:v>
                </c:pt>
                <c:pt idx="13">
                  <c:v>3.7728557440854095E-3</c:v>
                </c:pt>
                <c:pt idx="14">
                  <c:v>4.0553415768857454E-3</c:v>
                </c:pt>
                <c:pt idx="15">
                  <c:v>4.3367218906350527E-3</c:v>
                </c:pt>
                <c:pt idx="16">
                  <c:v>4.6169967744062275E-3</c:v>
                </c:pt>
                <c:pt idx="17">
                  <c:v>4.896166373239517E-3</c:v>
                </c:pt>
                <c:pt idx="18">
                  <c:v>5.1742308879433041E-3</c:v>
                </c:pt>
                <c:pt idx="19">
                  <c:v>5.4511905748851758E-3</c:v>
                </c:pt>
                <c:pt idx="20">
                  <c:v>5.7270457457675615E-3</c:v>
                </c:pt>
                <c:pt idx="21">
                  <c:v>6.0017967673928934E-3</c:v>
                </c:pt>
                <c:pt idx="22">
                  <c:v>6.2754440614149146E-3</c:v>
                </c:pt>
                <c:pt idx="23">
                  <c:v>6.5479881040778828E-3</c:v>
                </c:pt>
                <c:pt idx="24">
                  <c:v>6.8194294259425435E-3</c:v>
                </c:pt>
                <c:pt idx="25">
                  <c:v>7.089768611600651E-3</c:v>
                </c:pt>
                <c:pt idx="26">
                  <c:v>7.3590062993754667E-3</c:v>
                </c:pt>
                <c:pt idx="27">
                  <c:v>7.6271431810115255E-3</c:v>
                </c:pt>
                <c:pt idx="28">
                  <c:v>7.8941800013504222E-3</c:v>
                </c:pt>
                <c:pt idx="29">
                  <c:v>8.1601175579949607E-3</c:v>
                </c:pt>
                <c:pt idx="30">
                  <c:v>8.4249567009612343E-3</c:v>
                </c:pt>
                <c:pt idx="31">
                  <c:v>8.6886983323169777E-3</c:v>
                </c:pt>
                <c:pt idx="32">
                  <c:v>8.9513434058096017E-3</c:v>
                </c:pt>
                <c:pt idx="33">
                  <c:v>9.2128929264806061E-3</c:v>
                </c:pt>
                <c:pt idx="34">
                  <c:v>9.4733479502680431E-3</c:v>
                </c:pt>
                <c:pt idx="35">
                  <c:v>9.7327095835970795E-3</c:v>
                </c:pt>
                <c:pt idx="36">
                  <c:v>9.9909789829586322E-3</c:v>
                </c:pt>
                <c:pt idx="37">
                  <c:v>1.0248157354475467E-2</c:v>
                </c:pt>
                <c:pt idx="38">
                  <c:v>1.0504245953456563E-2</c:v>
                </c:pt>
                <c:pt idx="39">
                  <c:v>1.0759246083939654E-2</c:v>
                </c:pt>
                <c:pt idx="40">
                  <c:v>1.1013159098221747E-2</c:v>
                </c:pt>
                <c:pt idx="41">
                  <c:v>1.1265986396377931E-2</c:v>
                </c:pt>
                <c:pt idx="42">
                  <c:v>1.1517729425768213E-2</c:v>
                </c:pt>
                <c:pt idx="43">
                  <c:v>1.176838968053279E-2</c:v>
                </c:pt>
                <c:pt idx="44">
                  <c:v>1.2017968701075844E-2</c:v>
                </c:pt>
                <c:pt idx="45">
                  <c:v>1.2266468073537505E-2</c:v>
                </c:pt>
                <c:pt idx="46">
                  <c:v>1.2513889429254464E-2</c:v>
                </c:pt>
                <c:pt idx="47">
                  <c:v>1.2760234444208832E-2</c:v>
                </c:pt>
                <c:pt idx="48">
                  <c:v>1.3005504838466273E-2</c:v>
                </c:pt>
                <c:pt idx="49">
                  <c:v>1.3249702375601975E-2</c:v>
                </c:pt>
                <c:pt idx="50">
                  <c:v>1.3492828862116137E-2</c:v>
                </c:pt>
                <c:pt idx="51">
                  <c:v>1.3734886146837759E-2</c:v>
                </c:pt>
                <c:pt idx="52">
                  <c:v>1.3975876120317697E-2</c:v>
                </c:pt>
                <c:pt idx="53">
                  <c:v>1.4215800714210509E-2</c:v>
                </c:pt>
                <c:pt idx="54">
                  <c:v>1.4454661900645125E-2</c:v>
                </c:pt>
                <c:pt idx="55">
                  <c:v>1.4692461691585322E-2</c:v>
                </c:pt>
                <c:pt idx="56">
                  <c:v>1.4929202138178598E-2</c:v>
                </c:pt>
                <c:pt idx="57">
                  <c:v>1.5164885330094975E-2</c:v>
                </c:pt>
                <c:pt idx="58">
                  <c:v>1.5399513394854715E-2</c:v>
                </c:pt>
                <c:pt idx="59">
                  <c:v>1.5633088497145762E-2</c:v>
                </c:pt>
                <c:pt idx="60">
                  <c:v>1.5865612838130684E-2</c:v>
                </c:pt>
                <c:pt idx="61">
                  <c:v>1.6097088654743019E-2</c:v>
                </c:pt>
                <c:pt idx="62">
                  <c:v>1.6327518218973602E-2</c:v>
                </c:pt>
                <c:pt idx="63">
                  <c:v>1.6556903837146544E-2</c:v>
                </c:pt>
                <c:pt idx="64">
                  <c:v>1.6785247849184927E-2</c:v>
                </c:pt>
                <c:pt idx="65">
                  <c:v>1.7012552627866946E-2</c:v>
                </c:pt>
                <c:pt idx="66">
                  <c:v>1.7238820578071499E-2</c:v>
                </c:pt>
                <c:pt idx="67">
                  <c:v>1.7464054136014352E-2</c:v>
                </c:pt>
                <c:pt idx="68">
                  <c:v>1.7688255768474482E-2</c:v>
                </c:pt>
                <c:pt idx="69">
                  <c:v>1.7911427972010535E-2</c:v>
                </c:pt>
                <c:pt idx="70">
                  <c:v>1.8133573272168125E-2</c:v>
                </c:pt>
                <c:pt idx="71">
                  <c:v>1.835469422267709E-2</c:v>
                </c:pt>
                <c:pt idx="72">
                  <c:v>1.8574793404640046E-2</c:v>
                </c:pt>
                <c:pt idx="73">
                  <c:v>1.8793873425711038E-2</c:v>
                </c:pt>
                <c:pt idx="74">
                  <c:v>1.9011936919265594E-2</c:v>
                </c:pt>
                <c:pt idx="75">
                  <c:v>1.9228986543561231E-2</c:v>
                </c:pt>
                <c:pt idx="76">
                  <c:v>1.944502498088917E-2</c:v>
                </c:pt>
                <c:pt idx="77">
                  <c:v>1.9660054936717512E-2</c:v>
                </c:pt>
                <c:pt idx="78">
                  <c:v>1.9874079138824961E-2</c:v>
                </c:pt>
                <c:pt idx="79">
                  <c:v>2.0087100336426675E-2</c:v>
                </c:pt>
                <c:pt idx="80">
                  <c:v>2.0299121299290911E-2</c:v>
                </c:pt>
                <c:pt idx="81">
                  <c:v>2.051014481684775E-2</c:v>
                </c:pt>
                <c:pt idx="82">
                  <c:v>2.0720173697289183E-2</c:v>
                </c:pt>
                <c:pt idx="83">
                  <c:v>2.0929210766661089E-2</c:v>
                </c:pt>
                <c:pt idx="84">
                  <c:v>2.1137258867947151E-2</c:v>
                </c:pt>
                <c:pt idx="85">
                  <c:v>2.1344320860144681E-2</c:v>
                </c:pt>
                <c:pt idx="86">
                  <c:v>2.1550399617332773E-2</c:v>
                </c:pt>
                <c:pt idx="87">
                  <c:v>2.1755498027732401E-2</c:v>
                </c:pt>
                <c:pt idx="88">
                  <c:v>2.1959618992759174E-2</c:v>
                </c:pt>
                <c:pt idx="89">
                  <c:v>2.2162765426068442E-2</c:v>
                </c:pt>
                <c:pt idx="90">
                  <c:v>2.2364940252592863E-2</c:v>
                </c:pt>
                <c:pt idx="91">
                  <c:v>2.2566146407572964E-2</c:v>
                </c:pt>
                <c:pt idx="92">
                  <c:v>2.2766386835580386E-2</c:v>
                </c:pt>
                <c:pt idx="93">
                  <c:v>2.2965664489534004E-2</c:v>
                </c:pt>
                <c:pt idx="94">
                  <c:v>2.3163982329709266E-2</c:v>
                </c:pt>
                <c:pt idx="95">
                  <c:v>2.3361343322740768E-2</c:v>
                </c:pt>
                <c:pt idx="96">
                  <c:v>2.355775044061793E-2</c:v>
                </c:pt>
                <c:pt idx="97">
                  <c:v>2.3753206659674342E-2</c:v>
                </c:pt>
                <c:pt idx="98">
                  <c:v>2.3947714959570678E-2</c:v>
                </c:pt>
                <c:pt idx="99">
                  <c:v>2.4141278322271177E-2</c:v>
                </c:pt>
                <c:pt idx="100">
                  <c:v>2.4333899731014023E-2</c:v>
                </c:pt>
                <c:pt idx="101">
                  <c:v>2.4525582169275747E-2</c:v>
                </c:pt>
                <c:pt idx="102">
                  <c:v>2.4716328619729673E-2</c:v>
                </c:pt>
                <c:pt idx="103">
                  <c:v>2.4906142063198591E-2</c:v>
                </c:pt>
                <c:pt idx="104">
                  <c:v>2.5095025477601719E-2</c:v>
                </c:pt>
                <c:pt idx="105">
                  <c:v>2.5282981836896264E-2</c:v>
                </c:pt>
                <c:pt idx="106">
                  <c:v>2.5470014110013546E-2</c:v>
                </c:pt>
                <c:pt idx="107">
                  <c:v>2.5656125259789827E-2</c:v>
                </c:pt>
                <c:pt idx="108">
                  <c:v>2.5841318241892192E-2</c:v>
                </c:pt>
                <c:pt idx="109">
                  <c:v>2.6025596003739142E-2</c:v>
                </c:pt>
                <c:pt idx="110">
                  <c:v>2.6208961483416771E-2</c:v>
                </c:pt>
                <c:pt idx="111">
                  <c:v>2.6391417608589748E-2</c:v>
                </c:pt>
                <c:pt idx="112">
                  <c:v>2.6572967295408235E-2</c:v>
                </c:pt>
                <c:pt idx="113">
                  <c:v>2.6753613447409962E-2</c:v>
                </c:pt>
                <c:pt idx="114">
                  <c:v>2.6933358954418226E-2</c:v>
                </c:pt>
                <c:pt idx="115">
                  <c:v>2.7112206691435676E-2</c:v>
                </c:pt>
                <c:pt idx="116">
                  <c:v>2.7290159517534142E-2</c:v>
                </c:pt>
                <c:pt idx="117">
                  <c:v>2.7467220274740512E-2</c:v>
                </c:pt>
                <c:pt idx="118">
                  <c:v>2.7643391786918877E-2</c:v>
                </c:pt>
                <c:pt idx="119">
                  <c:v>2.7818676858649222E-2</c:v>
                </c:pt>
                <c:pt idx="120">
                  <c:v>2.7993078274102579E-2</c:v>
                </c:pt>
                <c:pt idx="121">
                  <c:v>2.8166598795912757E-2</c:v>
                </c:pt>
                <c:pt idx="122">
                  <c:v>2.8339241164045185E-2</c:v>
                </c:pt>
                <c:pt idx="123">
                  <c:v>2.8511008094662518E-2</c:v>
                </c:pt>
                <c:pt idx="124">
                  <c:v>2.8681902278987498E-2</c:v>
                </c:pt>
                <c:pt idx="125">
                  <c:v>2.8851926382163044E-2</c:v>
                </c:pt>
                <c:pt idx="126">
                  <c:v>2.9021083042109729E-2</c:v>
                </c:pt>
                <c:pt idx="127">
                  <c:v>2.9189374868380965E-2</c:v>
                </c:pt>
                <c:pt idx="128">
                  <c:v>2.9356804441015731E-2</c:v>
                </c:pt>
                <c:pt idx="129">
                  <c:v>2.9523374309389314E-2</c:v>
                </c:pt>
                <c:pt idx="130">
                  <c:v>2.9689086991062E-2</c:v>
                </c:pt>
                <c:pt idx="131">
                  <c:v>2.9853944970625875E-2</c:v>
                </c:pt>
                <c:pt idx="132">
                  <c:v>3.0017950698550056E-2</c:v>
                </c:pt>
                <c:pt idx="133">
                  <c:v>3.018110659002431E-2</c:v>
                </c:pt>
                <c:pt idx="134">
                  <c:v>3.0343415023801282E-2</c:v>
                </c:pt>
                <c:pt idx="135">
                  <c:v>3.0504878341037517E-2</c:v>
                </c:pt>
                <c:pt idx="136">
                  <c:v>3.066549884413337E-2</c:v>
                </c:pt>
                <c:pt idx="137">
                  <c:v>3.0825278795571984E-2</c:v>
                </c:pt>
                <c:pt idx="138">
                  <c:v>3.0984220416757489E-2</c:v>
                </c:pt>
                <c:pt idx="139">
                  <c:v>3.1142325886852538E-2</c:v>
                </c:pt>
                <c:pt idx="140">
                  <c:v>3.129959734161547E-2</c:v>
                </c:pt>
                <c:pt idx="141">
                  <c:v>3.145603687223697E-2</c:v>
                </c:pt>
                <c:pt idx="142">
                  <c:v>3.1611646524176647E-2</c:v>
                </c:pt>
                <c:pt idx="143">
                  <c:v>3.1766428295999613E-2</c:v>
                </c:pt>
                <c:pt idx="144">
                  <c:v>3.1920384138213173E-2</c:v>
                </c:pt>
                <c:pt idx="145">
                  <c:v>3.2073515952103761E-2</c:v>
                </c:pt>
                <c:pt idx="146">
                  <c:v>3.2225825588574286E-2</c:v>
                </c:pt>
                <c:pt idx="147">
                  <c:v>3.2377314846982252E-2</c:v>
                </c:pt>
                <c:pt idx="148">
                  <c:v>3.2527985473978283E-2</c:v>
                </c:pt>
                <c:pt idx="149">
                  <c:v>3.2677839162345935E-2</c:v>
                </c:pt>
                <c:pt idx="150">
                  <c:v>3.2826877549842252E-2</c:v>
                </c:pt>
                <c:pt idx="151">
                  <c:v>3.2975102218039683E-2</c:v>
                </c:pt>
                <c:pt idx="152">
                  <c:v>3.3122514691169322E-2</c:v>
                </c:pt>
                <c:pt idx="153">
                  <c:v>3.3269116434965641E-2</c:v>
                </c:pt>
                <c:pt idx="154">
                  <c:v>3.3414908855512952E-2</c:v>
                </c:pt>
                <c:pt idx="155">
                  <c:v>3.3559893298093599E-2</c:v>
                </c:pt>
                <c:pt idx="156">
                  <c:v>3.3704071046038231E-2</c:v>
                </c:pt>
                <c:pt idx="157">
                  <c:v>3.3847443319578112E-2</c:v>
                </c:pt>
                <c:pt idx="158">
                  <c:v>3.3990011274699812E-2</c:v>
                </c:pt>
                <c:pt idx="159">
                  <c:v>3.4131776002002276E-2</c:v>
                </c:pt>
                <c:pt idx="160">
                  <c:v>3.4272738525556512E-2</c:v>
                </c:pt>
                <c:pt idx="161">
                  <c:v>3.4412899801768003E-2</c:v>
                </c:pt>
                <c:pt idx="162">
                  <c:v>3.4552260718242148E-2</c:v>
                </c:pt>
                <c:pt idx="163">
                  <c:v>3.4690822092652528E-2</c:v>
                </c:pt>
                <c:pt idx="164">
                  <c:v>3.4828584671612692E-2</c:v>
                </c:pt>
                <c:pt idx="165">
                  <c:v>3.4965549129550993E-2</c:v>
                </c:pt>
                <c:pt idx="166">
                  <c:v>3.5101716067589273E-2</c:v>
                </c:pt>
                <c:pt idx="167">
                  <c:v>3.5237086012424958E-2</c:v>
                </c:pt>
                <c:pt idx="168">
                  <c:v>3.5371659415217166E-2</c:v>
                </c:pt>
                <c:pt idx="169">
                  <c:v>3.5505436650476681E-2</c:v>
                </c:pt>
                <c:pt idx="170">
                  <c:v>3.5638418014960163E-2</c:v>
                </c:pt>
                <c:pt idx="171">
                  <c:v>3.5770603726568616E-2</c:v>
                </c:pt>
                <c:pt idx="172">
                  <c:v>3.590199392325031E-2</c:v>
                </c:pt>
                <c:pt idx="173">
                  <c:v>3.6032588661908289E-2</c:v>
                </c:pt>
                <c:pt idx="174">
                  <c:v>3.6162387917312681E-2</c:v>
                </c:pt>
                <c:pt idx="175">
                  <c:v>3.6291391581017886E-2</c:v>
                </c:pt>
                <c:pt idx="176">
                  <c:v>3.6419599460284752E-2</c:v>
                </c:pt>
                <c:pt idx="177">
                  <c:v>3.6547011277008205E-2</c:v>
                </c:pt>
                <c:pt idx="178">
                  <c:v>3.667362666664991E-2</c:v>
                </c:pt>
                <c:pt idx="179">
                  <c:v>3.6799445177176773E-2</c:v>
                </c:pt>
                <c:pt idx="180">
                  <c:v>3.692446626800483E-2</c:v>
                </c:pt>
                <c:pt idx="181">
                  <c:v>3.7048689308949216E-2</c:v>
                </c:pt>
                <c:pt idx="182">
                  <c:v>3.7172113579179905E-2</c:v>
                </c:pt>
                <c:pt idx="183">
                  <c:v>3.7294738266183694E-2</c:v>
                </c:pt>
                <c:pt idx="184">
                  <c:v>3.7416562464732336E-2</c:v>
                </c:pt>
                <c:pt idx="185">
                  <c:v>3.753758517585732E-2</c:v>
                </c:pt>
                <c:pt idx="186">
                  <c:v>3.7657805305830884E-2</c:v>
                </c:pt>
                <c:pt idx="187">
                  <c:v>3.7777221665154126E-2</c:v>
                </c:pt>
                <c:pt idx="188">
                  <c:v>3.789583296755164E-2</c:v>
                </c:pt>
                <c:pt idx="189">
                  <c:v>3.8013637828973448E-2</c:v>
                </c:pt>
                <c:pt idx="190">
                  <c:v>3.8130634766603874E-2</c:v>
                </c:pt>
                <c:pt idx="191">
                  <c:v>3.8246822197877881E-2</c:v>
                </c:pt>
                <c:pt idx="192">
                  <c:v>3.8362198439504752E-2</c:v>
                </c:pt>
                <c:pt idx="193">
                  <c:v>3.8476761706499552E-2</c:v>
                </c:pt>
                <c:pt idx="194">
                  <c:v>3.8590510111222005E-2</c:v>
                </c:pt>
                <c:pt idx="195">
                  <c:v>3.870344166242367E-2</c:v>
                </c:pt>
                <c:pt idx="196">
                  <c:v>3.8815554264302839E-2</c:v>
                </c:pt>
                <c:pt idx="197">
                  <c:v>3.8926845715567759E-2</c:v>
                </c:pt>
                <c:pt idx="198">
                  <c:v>3.9037313708508124E-2</c:v>
                </c:pt>
                <c:pt idx="199">
                  <c:v>3.9146955828075085E-2</c:v>
                </c:pt>
                <c:pt idx="200">
                  <c:v>3.9255769550969849E-2</c:v>
                </c:pt>
                <c:pt idx="201">
                  <c:v>3.9363752244740875E-2</c:v>
                </c:pt>
                <c:pt idx="202">
                  <c:v>3.9470901166890282E-2</c:v>
                </c:pt>
                <c:pt idx="203">
                  <c:v>3.9577213463988958E-2</c:v>
                </c:pt>
                <c:pt idx="204">
                  <c:v>3.9682686170801028E-2</c:v>
                </c:pt>
                <c:pt idx="205">
                  <c:v>3.9787316209417542E-2</c:v>
                </c:pt>
                <c:pt idx="206">
                  <c:v>3.9891100388399575E-2</c:v>
                </c:pt>
                <c:pt idx="207">
                  <c:v>3.9994035401931131E-2</c:v>
                </c:pt>
                <c:pt idx="208">
                  <c:v>4.0096117828981384E-2</c:v>
                </c:pt>
                <c:pt idx="209">
                  <c:v>4.0197344132477095E-2</c:v>
                </c:pt>
                <c:pt idx="210">
                  <c:v>4.0297710658484857E-2</c:v>
                </c:pt>
                <c:pt idx="211">
                  <c:v>4.0397213635403488E-2</c:v>
                </c:pt>
                <c:pt idx="212">
                  <c:v>4.049584917316669E-2</c:v>
                </c:pt>
                <c:pt idx="213">
                  <c:v>4.0593613262456064E-2</c:v>
                </c:pt>
                <c:pt idx="214">
                  <c:v>4.0690501773924685E-2</c:v>
                </c:pt>
                <c:pt idx="215">
                  <c:v>4.078651045743123E-2</c:v>
                </c:pt>
                <c:pt idx="216">
                  <c:v>4.0881634941285001E-2</c:v>
                </c:pt>
                <c:pt idx="217">
                  <c:v>4.0975870731501683E-2</c:v>
                </c:pt>
                <c:pt idx="218">
                  <c:v>4.1069213211070377E-2</c:v>
                </c:pt>
                <c:pt idx="219">
                  <c:v>4.116165763923154E-2</c:v>
                </c:pt>
                <c:pt idx="220">
                  <c:v>4.1253199150766334E-2</c:v>
                </c:pt>
                <c:pt idx="221">
                  <c:v>4.1343832755297363E-2</c:v>
                </c:pt>
                <c:pt idx="222">
                  <c:v>4.1433553336600967E-2</c:v>
                </c:pt>
                <c:pt idx="223">
                  <c:v>4.152235565193111E-2</c:v>
                </c:pt>
                <c:pt idx="224">
                  <c:v>4.1610234331355009E-2</c:v>
                </c:pt>
                <c:pt idx="225">
                  <c:v>4.1697183877100877E-2</c:v>
                </c:pt>
                <c:pt idx="226">
                  <c:v>4.1783198662917367E-2</c:v>
                </c:pt>
                <c:pt idx="227">
                  <c:v>4.1868272933445423E-2</c:v>
                </c:pt>
                <c:pt idx="228">
                  <c:v>4.1952400803602186E-2</c:v>
                </c:pt>
                <c:pt idx="229">
                  <c:v>4.2035576257977429E-2</c:v>
                </c:pt>
                <c:pt idx="230">
                  <c:v>4.2117793150242368E-2</c:v>
                </c:pt>
                <c:pt idx="231">
                  <c:v>4.2199045202571117E-2</c:v>
                </c:pt>
                <c:pt idx="232">
                  <c:v>4.2279326005074822E-2</c:v>
                </c:pt>
                <c:pt idx="233">
                  <c:v>4.2358629015248686E-2</c:v>
                </c:pt>
                <c:pt idx="234">
                  <c:v>4.2436947557431902E-2</c:v>
                </c:pt>
                <c:pt idx="235">
                  <c:v>4.2514274822280519E-2</c:v>
                </c:pt>
                <c:pt idx="236">
                  <c:v>4.2590603866253747E-2</c:v>
                </c:pt>
                <c:pt idx="237">
                  <c:v>4.2665927611113201E-2</c:v>
                </c:pt>
                <c:pt idx="238">
                  <c:v>4.2740238843435717E-2</c:v>
                </c:pt>
                <c:pt idx="239">
                  <c:v>4.2813530214139611E-2</c:v>
                </c:pt>
                <c:pt idx="240">
                  <c:v>4.2885794238024508E-2</c:v>
                </c:pt>
                <c:pt idx="241">
                  <c:v>4.2957023293324771E-2</c:v>
                </c:pt>
                <c:pt idx="242">
                  <c:v>4.3027209621276923E-2</c:v>
                </c:pt>
                <c:pt idx="243">
                  <c:v>4.3096345325700731E-2</c:v>
                </c:pt>
                <c:pt idx="244">
                  <c:v>4.3164422372594394E-2</c:v>
                </c:pt>
                <c:pt idx="245">
                  <c:v>4.3231432589743837E-2</c:v>
                </c:pt>
                <c:pt idx="246">
                  <c:v>4.3297367666346086E-2</c:v>
                </c:pt>
                <c:pt idx="247">
                  <c:v>4.3362219152647097E-2</c:v>
                </c:pt>
                <c:pt idx="248">
                  <c:v>4.34259784595937E-2</c:v>
                </c:pt>
                <c:pt idx="249">
                  <c:v>4.3488636858500247E-2</c:v>
                </c:pt>
                <c:pt idx="250">
                  <c:v>4.3550185480729732E-2</c:v>
                </c:pt>
                <c:pt idx="251">
                  <c:v>4.3610615317389502E-2</c:v>
                </c:pt>
                <c:pt idx="252">
                  <c:v>4.3669917219041739E-2</c:v>
                </c:pt>
                <c:pt idx="253">
                  <c:v>4.372808189542892E-2</c:v>
                </c:pt>
                <c:pt idx="254">
                  <c:v>4.3785099915213892E-2</c:v>
                </c:pt>
                <c:pt idx="255">
                  <c:v>4.3840961705735176E-2</c:v>
                </c:pt>
                <c:pt idx="256">
                  <c:v>4.3895657552777329E-2</c:v>
                </c:pt>
                <c:pt idx="257">
                  <c:v>4.3949177600356333E-2</c:v>
                </c:pt>
                <c:pt idx="258">
                  <c:v>4.4001511850520376E-2</c:v>
                </c:pt>
                <c:pt idx="259">
                  <c:v>4.4052650163165917E-2</c:v>
                </c:pt>
                <c:pt idx="260">
                  <c:v>4.4102582255869119E-2</c:v>
                </c:pt>
                <c:pt idx="261">
                  <c:v>4.415129770373271E-2</c:v>
                </c:pt>
                <c:pt idx="262">
                  <c:v>4.4198785939248635E-2</c:v>
                </c:pt>
                <c:pt idx="263">
                  <c:v>4.4245036252175969E-2</c:v>
                </c:pt>
                <c:pt idx="264">
                  <c:v>4.4290037789434966E-2</c:v>
                </c:pt>
                <c:pt idx="265">
                  <c:v>4.4333779555016467E-2</c:v>
                </c:pt>
                <c:pt idx="266">
                  <c:v>4.437625040990735E-2</c:v>
                </c:pt>
                <c:pt idx="267">
                  <c:v>4.4417439072032036E-2</c:v>
                </c:pt>
                <c:pt idx="268">
                  <c:v>4.4457334116209599E-2</c:v>
                </c:pt>
                <c:pt idx="269">
                  <c:v>4.449592397412732E-2</c:v>
                </c:pt>
                <c:pt idx="270">
                  <c:v>4.4533196934330006E-2</c:v>
                </c:pt>
                <c:pt idx="271">
                  <c:v>4.4569141142225745E-2</c:v>
                </c:pt>
                <c:pt idx="272">
                  <c:v>4.4603744600107721E-2</c:v>
                </c:pt>
                <c:pt idx="273">
                  <c:v>4.4636995167192377E-2</c:v>
                </c:pt>
                <c:pt idx="274">
                  <c:v>4.4668880559673961E-2</c:v>
                </c:pt>
                <c:pt idx="275">
                  <c:v>4.4699388350795344E-2</c:v>
                </c:pt>
                <c:pt idx="276">
                  <c:v>4.4728505970935528E-2</c:v>
                </c:pt>
                <c:pt idx="277">
                  <c:v>4.4756220707713366E-2</c:v>
                </c:pt>
                <c:pt idx="278">
                  <c:v>4.4782519706108144E-2</c:v>
                </c:pt>
                <c:pt idx="279">
                  <c:v>4.4807389968596491E-2</c:v>
                </c:pt>
                <c:pt idx="280">
                  <c:v>4.483081835530623E-2</c:v>
                </c:pt>
                <c:pt idx="281">
                  <c:v>4.4852791584186633E-2</c:v>
                </c:pt>
                <c:pt idx="282">
                  <c:v>4.487329623119575E-2</c:v>
                </c:pt>
                <c:pt idx="283">
                  <c:v>4.4892318730504248E-2</c:v>
                </c:pt>
                <c:pt idx="284">
                  <c:v>4.4909845374716297E-2</c:v>
                </c:pt>
                <c:pt idx="285">
                  <c:v>4.492586231510716E-2</c:v>
                </c:pt>
                <c:pt idx="286">
                  <c:v>4.4940355561877851E-2</c:v>
                </c:pt>
                <c:pt idx="287">
                  <c:v>4.4953310984426703E-2</c:v>
                </c:pt>
                <c:pt idx="288">
                  <c:v>4.4964714311637795E-2</c:v>
                </c:pt>
                <c:pt idx="289">
                  <c:v>4.4974551132186631E-2</c:v>
                </c:pt>
                <c:pt idx="290">
                  <c:v>4.4982806894862642E-2</c:v>
                </c:pt>
                <c:pt idx="291">
                  <c:v>4.4989466908909002E-2</c:v>
                </c:pt>
                <c:pt idx="292">
                  <c:v>4.4994516344379336E-2</c:v>
                </c:pt>
                <c:pt idx="293">
                  <c:v>4.4997940232511767E-2</c:v>
                </c:pt>
                <c:pt idx="294">
                  <c:v>4.4999723466119919E-2</c:v>
                </c:pt>
                <c:pt idx="295">
                  <c:v>4.4999850863377495E-2</c:v>
                </c:pt>
                <c:pt idx="296">
                  <c:v>4.4998309286415863E-2</c:v>
                </c:pt>
                <c:pt idx="297">
                  <c:v>4.4995088236407757E-2</c:v>
                </c:pt>
                <c:pt idx="298">
                  <c:v>4.4990177432361583E-2</c:v>
                </c:pt>
                <c:pt idx="299">
                  <c:v>4.4983566652581505E-2</c:v>
                </c:pt>
                <c:pt idx="300">
                  <c:v>4.4975245735219847E-2</c:v>
                </c:pt>
                <c:pt idx="301">
                  <c:v>4.4965204578826093E-2</c:v>
                </c:pt>
                <c:pt idx="302">
                  <c:v>4.4953433142892324E-2</c:v>
                </c:pt>
                <c:pt idx="303">
                  <c:v>4.4939921448394995E-2</c:v>
                </c:pt>
                <c:pt idx="304">
                  <c:v>4.4924659578333304E-2</c:v>
                </c:pt>
                <c:pt idx="305">
                  <c:v>4.4907637678263765E-2</c:v>
                </c:pt>
                <c:pt idx="306">
                  <c:v>4.4888845956831305E-2</c:v>
                </c:pt>
                <c:pt idx="307">
                  <c:v>4.4868274686296554E-2</c:v>
                </c:pt>
                <c:pt idx="308">
                  <c:v>4.4845914203059556E-2</c:v>
                </c:pt>
                <c:pt idx="309">
                  <c:v>4.4821754908179676E-2</c:v>
                </c:pt>
                <c:pt idx="310">
                  <c:v>4.4795787267891844E-2</c:v>
                </c:pt>
                <c:pt idx="311">
                  <c:v>4.4768001814118989E-2</c:v>
                </c:pt>
                <c:pt idx="312">
                  <c:v>4.4738389144980635E-2</c:v>
                </c:pt>
                <c:pt idx="313">
                  <c:v>4.4706939925297867E-2</c:v>
                </c:pt>
                <c:pt idx="314">
                  <c:v>4.4673644887094174E-2</c:v>
                </c:pt>
                <c:pt idx="315">
                  <c:v>4.4638494830092745E-2</c:v>
                </c:pt>
                <c:pt idx="316">
                  <c:v>4.4601480622209588E-2</c:v>
                </c:pt>
                <c:pt idx="317">
                  <c:v>4.4562593200042966E-2</c:v>
                </c:pt>
                <c:pt idx="318">
                  <c:v>4.4521823569358812E-2</c:v>
                </c:pt>
                <c:pt idx="319">
                  <c:v>4.4479162805572139E-2</c:v>
                </c:pt>
                <c:pt idx="320">
                  <c:v>4.4434602054224573E-2</c:v>
                </c:pt>
                <c:pt idx="321">
                  <c:v>4.4388132531457875E-2</c:v>
                </c:pt>
                <c:pt idx="322">
                  <c:v>4.4339745524483352E-2</c:v>
                </c:pt>
                <c:pt idx="323">
                  <c:v>4.4289432392047322E-2</c:v>
                </c:pt>
                <c:pt idx="324">
                  <c:v>4.4237184564892527E-2</c:v>
                </c:pt>
                <c:pt idx="325">
                  <c:v>4.4182993546215382E-2</c:v>
                </c:pt>
                <c:pt idx="326">
                  <c:v>4.4126850912119174E-2</c:v>
                </c:pt>
                <c:pt idx="327">
                  <c:v>4.4068748312063158E-2</c:v>
                </c:pt>
                <c:pt idx="328">
                  <c:v>4.4008677469307492E-2</c:v>
                </c:pt>
                <c:pt idx="329">
                  <c:v>4.3946630181353953E-2</c:v>
                </c:pt>
                <c:pt idx="330">
                  <c:v>4.3882598320382625E-2</c:v>
                </c:pt>
                <c:pt idx="331">
                  <c:v>4.3816573833684147E-2</c:v>
                </c:pt>
                <c:pt idx="332">
                  <c:v>4.3748548744088039E-2</c:v>
                </c:pt>
                <c:pt idx="333">
                  <c:v>4.3678515150386531E-2</c:v>
                </c:pt>
                <c:pt idx="334">
                  <c:v>4.3606465227754278E-2</c:v>
                </c:pt>
                <c:pt idx="335">
                  <c:v>4.3532391228163748E-2</c:v>
                </c:pt>
                <c:pt idx="336">
                  <c:v>4.3456285480796393E-2</c:v>
                </c:pt>
                <c:pt idx="337">
                  <c:v>4.3378140392449402E-2</c:v>
                </c:pt>
                <c:pt idx="338">
                  <c:v>4.3297948447938203E-2</c:v>
                </c:pt>
                <c:pt idx="339">
                  <c:v>4.321570221049463E-2</c:v>
                </c:pt>
                <c:pt idx="340">
                  <c:v>4.3131394322160656E-2</c:v>
                </c:pt>
                <c:pt idx="341">
                  <c:v>4.3045017504177892E-2</c:v>
                </c:pt>
                <c:pt idx="342">
                  <c:v>4.295656455737254E-2</c:v>
                </c:pt>
                <c:pt idx="343">
                  <c:v>4.2866028362536043E-2</c:v>
                </c:pt>
                <c:pt idx="344">
                  <c:v>4.2773401880801282E-2</c:v>
                </c:pt>
                <c:pt idx="345">
                  <c:v>4.2678678154014341E-2</c:v>
                </c:pt>
                <c:pt idx="346">
                  <c:v>4.2581850305101823E-2</c:v>
                </c:pt>
                <c:pt idx="347">
                  <c:v>4.2482911538433719E-2</c:v>
                </c:pt>
                <c:pt idx="348">
                  <c:v>4.2381855140181758E-2</c:v>
                </c:pt>
                <c:pt idx="349">
                  <c:v>4.2278674478673353E-2</c:v>
                </c:pt>
                <c:pt idx="350">
                  <c:v>4.217336300474088E-2</c:v>
                </c:pt>
                <c:pt idx="351">
                  <c:v>4.2065914252066669E-2</c:v>
                </c:pt>
                <c:pt idx="352">
                  <c:v>4.1956321837523229E-2</c:v>
                </c:pt>
                <c:pt idx="353">
                  <c:v>4.1844579461509102E-2</c:v>
                </c:pt>
                <c:pt idx="354">
                  <c:v>4.1730680908280103E-2</c:v>
                </c:pt>
                <c:pt idx="355">
                  <c:v>4.1614620046275974E-2</c:v>
                </c:pt>
                <c:pt idx="356">
                  <c:v>4.1496390828442455E-2</c:v>
                </c:pt>
                <c:pt idx="357">
                  <c:v>4.1375987292548877E-2</c:v>
                </c:pt>
                <c:pt idx="358">
                  <c:v>4.1253403561500944E-2</c:v>
                </c:pt>
                <c:pt idx="359">
                  <c:v>4.1128633843649169E-2</c:v>
                </c:pt>
                <c:pt idx="360">
                  <c:v>4.1001672433092405E-2</c:v>
                </c:pt>
                <c:pt idx="361">
                  <c:v>4.0872513709977056E-2</c:v>
                </c:pt>
                <c:pt idx="362">
                  <c:v>4.0741152140791263E-2</c:v>
                </c:pt>
                <c:pt idx="363">
                  <c:v>4.0607582278654894E-2</c:v>
                </c:pt>
                <c:pt idx="364">
                  <c:v>4.0471798763604516E-2</c:v>
                </c:pt>
                <c:pt idx="365">
                  <c:v>4.0333796322873788E-2</c:v>
                </c:pt>
                <c:pt idx="366">
                  <c:v>4.0193569771169321E-2</c:v>
                </c:pt>
                <c:pt idx="367">
                  <c:v>4.005111401094167E-2</c:v>
                </c:pt>
                <c:pt idx="368">
                  <c:v>3.9906424032651738E-2</c:v>
                </c:pt>
                <c:pt idx="369">
                  <c:v>3.9759494915032452E-2</c:v>
                </c:pt>
                <c:pt idx="370">
                  <c:v>3.9610321825345768E-2</c:v>
                </c:pt>
                <c:pt idx="371">
                  <c:v>3.9458900019634861E-2</c:v>
                </c:pt>
                <c:pt idx="372">
                  <c:v>3.9305224842971727E-2</c:v>
                </c:pt>
                <c:pt idx="373">
                  <c:v>3.9149291729699942E-2</c:v>
                </c:pt>
                <c:pt idx="374">
                  <c:v>3.899109620367279E-2</c:v>
                </c:pt>
                <c:pt idx="375">
                  <c:v>3.8830633878486599E-2</c:v>
                </c:pt>
                <c:pt idx="376">
                  <c:v>3.8667900457709292E-2</c:v>
                </c:pt>
                <c:pt idx="377">
                  <c:v>3.8502891735104308E-2</c:v>
                </c:pt>
                <c:pt idx="378">
                  <c:v>3.8335603594849638E-2</c:v>
                </c:pt>
                <c:pt idx="379">
                  <c:v>3.8166032011752213E-2</c:v>
                </c:pt>
                <c:pt idx="380">
                  <c:v>3.7994173051457449E-2</c:v>
                </c:pt>
                <c:pt idx="381">
                  <c:v>3.7820022870654078E-2</c:v>
                </c:pt>
                <c:pt idx="382">
                  <c:v>3.7643577717274168E-2</c:v>
                </c:pt>
                <c:pt idx="383">
                  <c:v>3.7464833930688432E-2</c:v>
                </c:pt>
                <c:pt idx="384">
                  <c:v>3.7283787941896691E-2</c:v>
                </c:pt>
                <c:pt idx="385">
                  <c:v>3.7100436273713608E-2</c:v>
                </c:pt>
                <c:pt idx="386">
                  <c:v>3.6914775540949622E-2</c:v>
                </c:pt>
                <c:pt idx="387">
                  <c:v>3.6726802450587112E-2</c:v>
                </c:pt>
                <c:pt idx="388">
                  <c:v>3.6536513801951706E-2</c:v>
                </c:pt>
                <c:pt idx="389">
                  <c:v>3.6343906486878991E-2</c:v>
                </c:pt>
                <c:pt idx="390">
                  <c:v>3.6148977489876229E-2</c:v>
                </c:pt>
                <c:pt idx="391">
                  <c:v>3.595172388827933E-2</c:v>
                </c:pt>
                <c:pt idx="392">
                  <c:v>3.5752142852405168E-2</c:v>
                </c:pt>
                <c:pt idx="393">
                  <c:v>3.5550231645698968E-2</c:v>
                </c:pt>
                <c:pt idx="394">
                  <c:v>3.5345987624876986E-2</c:v>
                </c:pt>
                <c:pt idx="395">
                  <c:v>3.5139408240064243E-2</c:v>
                </c:pt>
                <c:pt idx="396">
                  <c:v>3.4930491034927832E-2</c:v>
                </c:pt>
                <c:pt idx="397">
                  <c:v>3.4719233646804987E-2</c:v>
                </c:pt>
                <c:pt idx="398">
                  <c:v>3.450563380682669E-2</c:v>
                </c:pt>
                <c:pt idx="399">
                  <c:v>3.4289689340036365E-2</c:v>
                </c:pt>
                <c:pt idx="400">
                  <c:v>3.4071398165503808E-2</c:v>
                </c:pt>
                <c:pt idx="401">
                  <c:v>3.3850758296434393E-2</c:v>
                </c:pt>
                <c:pt idx="402">
                  <c:v>3.3627767840273375E-2</c:v>
                </c:pt>
                <c:pt idx="403">
                  <c:v>3.3402424998805545E-2</c:v>
                </c:pt>
                <c:pt idx="404">
                  <c:v>3.3174728068250038E-2</c:v>
                </c:pt>
                <c:pt idx="405">
                  <c:v>3.2944675439350479E-2</c:v>
                </c:pt>
                <c:pt idx="406">
                  <c:v>3.2712265597460169E-2</c:v>
                </c:pt>
                <c:pt idx="407">
                  <c:v>3.2477497122622691E-2</c:v>
                </c:pt>
                <c:pt idx="408">
                  <c:v>3.224036868964774E-2</c:v>
                </c:pt>
                <c:pt idx="409">
                  <c:v>3.2000879068182039E-2</c:v>
                </c:pt>
                <c:pt idx="410">
                  <c:v>3.1759027122775736E-2</c:v>
                </c:pt>
                <c:pt idx="411">
                  <c:v>3.1514811812943938E-2</c:v>
                </c:pt>
                <c:pt idx="412">
                  <c:v>3.1268232193223444E-2</c:v>
                </c:pt>
                <c:pt idx="413">
                  <c:v>3.1019287413224905E-2</c:v>
                </c:pt>
                <c:pt idx="414">
                  <c:v>3.0767976717680154E-2</c:v>
                </c:pt>
                <c:pt idx="415">
                  <c:v>3.0514299446484781E-2</c:v>
                </c:pt>
                <c:pt idx="416">
                  <c:v>3.0258255034736167E-2</c:v>
                </c:pt>
                <c:pt idx="417">
                  <c:v>2.999984301276664E-2</c:v>
                </c:pt>
                <c:pt idx="418">
                  <c:v>2.9739063006171948E-2</c:v>
                </c:pt>
                <c:pt idx="419">
                  <c:v>2.9475914735835159E-2</c:v>
                </c:pt>
                <c:pt idx="420">
                  <c:v>2.921039801794573E-2</c:v>
                </c:pt>
                <c:pt idx="421">
                  <c:v>2.8942512764014126E-2</c:v>
                </c:pt>
                <c:pt idx="422">
                  <c:v>2.8672258980881379E-2</c:v>
                </c:pt>
                <c:pt idx="423">
                  <c:v>2.8399636770724448E-2</c:v>
                </c:pt>
                <c:pt idx="424">
                  <c:v>2.8124646331056539E-2</c:v>
                </c:pt>
                <c:pt idx="425">
                  <c:v>2.7847287954723091E-2</c:v>
                </c:pt>
                <c:pt idx="426">
                  <c:v>2.7567562029892828E-2</c:v>
                </c:pt>
                <c:pt idx="427">
                  <c:v>2.7285469040044509E-2</c:v>
                </c:pt>
                <c:pt idx="428">
                  <c:v>2.7001009563948845E-2</c:v>
                </c:pt>
                <c:pt idx="429">
                  <c:v>2.6714184275645769E-2</c:v>
                </c:pt>
                <c:pt idx="430">
                  <c:v>2.6424993944417385E-2</c:v>
                </c:pt>
                <c:pt idx="431">
                  <c:v>2.6133439434755972E-2</c:v>
                </c:pt>
                <c:pt idx="432">
                  <c:v>2.5839521706327848E-2</c:v>
                </c:pt>
                <c:pt idx="433">
                  <c:v>2.5543241813932138E-2</c:v>
                </c:pt>
                <c:pt idx="434">
                  <c:v>2.5244600907455544E-2</c:v>
                </c:pt>
                <c:pt idx="435">
                  <c:v>2.4943600231822127E-2</c:v>
                </c:pt>
                <c:pt idx="436">
                  <c:v>2.4640241126938887E-2</c:v>
                </c:pt>
                <c:pt idx="437">
                  <c:v>2.4334525027636542E-2</c:v>
                </c:pt>
                <c:pt idx="438">
                  <c:v>2.4026453463606171E-2</c:v>
                </c:pt>
                <c:pt idx="439">
                  <c:v>2.3716028059330957E-2</c:v>
                </c:pt>
                <c:pt idx="440">
                  <c:v>2.3403250534013684E-2</c:v>
                </c:pt>
                <c:pt idx="441">
                  <c:v>2.3088122701499819E-2</c:v>
                </c:pt>
                <c:pt idx="442">
                  <c:v>2.2770646470195968E-2</c:v>
                </c:pt>
                <c:pt idx="443">
                  <c:v>2.2450823842984052E-2</c:v>
                </c:pt>
                <c:pt idx="444">
                  <c:v>2.2128656917130878E-2</c:v>
                </c:pt>
                <c:pt idx="445">
                  <c:v>2.1804147884193624E-2</c:v>
                </c:pt>
                <c:pt idx="446">
                  <c:v>2.1477299029920408E-2</c:v>
                </c:pt>
                <c:pt idx="447">
                  <c:v>2.1148112734147136E-2</c:v>
                </c:pt>
                <c:pt idx="448">
                  <c:v>2.0816591470689344E-2</c:v>
                </c:pt>
                <c:pt idx="449">
                  <c:v>2.0482737807230127E-2</c:v>
                </c:pt>
                <c:pt idx="450">
                  <c:v>2.0146554405203604E-2</c:v>
                </c:pt>
                <c:pt idx="451">
                  <c:v>1.9808044019673916E-2</c:v>
                </c:pt>
                <c:pt idx="452">
                  <c:v>1.9467209499210159E-2</c:v>
                </c:pt>
                <c:pt idx="453">
                  <c:v>1.9124053785756906E-2</c:v>
                </c:pt>
                <c:pt idx="454">
                  <c:v>1.877857991450043E-2</c:v>
                </c:pt>
                <c:pt idx="455">
                  <c:v>1.8430791013730644E-2</c:v>
                </c:pt>
                <c:pt idx="456">
                  <c:v>1.8080690304699051E-2</c:v>
                </c:pt>
                <c:pt idx="457">
                  <c:v>1.7728281101472055E-2</c:v>
                </c:pt>
                <c:pt idx="458">
                  <c:v>1.7373566810780505E-2</c:v>
                </c:pt>
                <c:pt idx="459">
                  <c:v>1.7016550931864653E-2</c:v>
                </c:pt>
                <c:pt idx="460">
                  <c:v>1.6657237056315277E-2</c:v>
                </c:pt>
                <c:pt idx="461">
                  <c:v>1.6295628867910444E-2</c:v>
                </c:pt>
                <c:pt idx="462">
                  <c:v>1.5931730142448069E-2</c:v>
                </c:pt>
                <c:pt idx="463">
                  <c:v>1.5565544747574813E-2</c:v>
                </c:pt>
                <c:pt idx="464">
                  <c:v>1.5197076642610108E-2</c:v>
                </c:pt>
                <c:pt idx="465">
                  <c:v>1.482632987836693E-2</c:v>
                </c:pt>
                <c:pt idx="466">
                  <c:v>1.4453308596967836E-2</c:v>
                </c:pt>
                <c:pt idx="467">
                  <c:v>1.4078017031657491E-2</c:v>
                </c:pt>
                <c:pt idx="468">
                  <c:v>1.3700459506610649E-2</c:v>
                </c:pt>
                <c:pt idx="469">
                  <c:v>1.3320640436736692E-2</c:v>
                </c:pt>
                <c:pt idx="470">
                  <c:v>1.2938564327479644E-2</c:v>
                </c:pt>
                <c:pt idx="471">
                  <c:v>1.2554235774614637E-2</c:v>
                </c:pt>
                <c:pt idx="472">
                  <c:v>1.2167659464040182E-2</c:v>
                </c:pt>
                <c:pt idx="473">
                  <c:v>1.1778840171566612E-2</c:v>
                </c:pt>
                <c:pt idx="474">
                  <c:v>1.1387782762700631E-2</c:v>
                </c:pt>
                <c:pt idx="475">
                  <c:v>1.0994492192425849E-2</c:v>
                </c:pt>
                <c:pt idx="476">
                  <c:v>1.0598973504979728E-2</c:v>
                </c:pt>
                <c:pt idx="477">
                  <c:v>1.0201231833626298E-2</c:v>
                </c:pt>
                <c:pt idx="478">
                  <c:v>9.8012724004254616E-3</c:v>
                </c:pt>
                <c:pt idx="479">
                  <c:v>9.3991005159981267E-3</c:v>
                </c:pt>
                <c:pt idx="480">
                  <c:v>8.9947215792878822E-3</c:v>
                </c:pt>
                <c:pt idx="481">
                  <c:v>8.5881410773185965E-3</c:v>
                </c:pt>
                <c:pt idx="482">
                  <c:v>8.1793645849486049E-3</c:v>
                </c:pt>
                <c:pt idx="483">
                  <c:v>7.7683977646209081E-3</c:v>
                </c:pt>
                <c:pt idx="484">
                  <c:v>7.3552463661098692E-3</c:v>
                </c:pt>
                <c:pt idx="485">
                  <c:v>6.9399162262641133E-3</c:v>
                </c:pt>
                <c:pt idx="486">
                  <c:v>6.5224132687457708E-3</c:v>
                </c:pt>
                <c:pt idx="487">
                  <c:v>6.1027435037663124E-3</c:v>
                </c:pt>
                <c:pt idx="488">
                  <c:v>5.6809130278184143E-3</c:v>
                </c:pt>
                <c:pt idx="489">
                  <c:v>5.2569280234047019E-3</c:v>
                </c:pt>
                <c:pt idx="490">
                  <c:v>4.8307947587624021E-3</c:v>
                </c:pt>
                <c:pt idx="491">
                  <c:v>4.4025195875849353E-3</c:v>
                </c:pt>
                <c:pt idx="492">
                  <c:v>3.9721089487397953E-3</c:v>
                </c:pt>
                <c:pt idx="493">
                  <c:v>3.5395693659827782E-3</c:v>
                </c:pt>
                <c:pt idx="494">
                  <c:v>3.1049074476692212E-3</c:v>
                </c:pt>
                <c:pt idx="495">
                  <c:v>2.6681298864611337E-3</c:v>
                </c:pt>
                <c:pt idx="496">
                  <c:v>2.2292434590316383E-3</c:v>
                </c:pt>
                <c:pt idx="497">
                  <c:v>1.7882550257653541E-3</c:v>
                </c:pt>
                <c:pt idx="498">
                  <c:v>1.3451715304559613E-3</c:v>
                </c:pt>
                <c:pt idx="499">
                  <c:v>9.000000000000157E-4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8C-44EC-91AE-89C4210D34B8}"/>
            </c:ext>
          </c:extLst>
        </c:ser>
        <c:ser>
          <c:idx val="2"/>
          <c:order val="2"/>
          <c:tx>
            <c:v>Lower Camber</c:v>
          </c:tx>
          <c:spPr>
            <a:ln w="127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Data3!$I$1:$I$501</c:f>
              <c:numCache>
                <c:formatCode>0.00000</c:formatCode>
                <c:ptCount val="501"/>
                <c:pt idx="0">
                  <c:v>0</c:v>
                </c:pt>
                <c:pt idx="1">
                  <c:v>4.9545966939179564E-6</c:v>
                </c:pt>
                <c:pt idx="2">
                  <c:v>1.9818337679722298E-5</c:v>
                </c:pt>
                <c:pt idx="3">
                  <c:v>4.4591075669564439E-5</c:v>
                </c:pt>
                <c:pt idx="4">
                  <c:v>7.9272565185806165E-5</c:v>
                </c:pt>
                <c:pt idx="5">
                  <c:v>1.2386246256268496E-4</c:v>
                </c:pt>
                <c:pt idx="6">
                  <c:v>1.7836032595031082E-4</c:v>
                </c:pt>
                <c:pt idx="7">
                  <c:v>2.4276561531888508E-4</c:v>
                </c:pt>
                <c:pt idx="8">
                  <c:v>3.1707769246391848E-4</c:v>
                </c:pt>
                <c:pt idx="9">
                  <c:v>4.0129582101267047E-4</c:v>
                </c:pt>
                <c:pt idx="10">
                  <c:v>4.9541916643136563E-4</c:v>
                </c:pt>
                <c:pt idx="11">
                  <c:v>5.9944679603363138E-4</c:v>
                </c:pt>
                <c:pt idx="12">
                  <c:v>7.133776789896018E-4</c:v>
                </c:pt>
                <c:pt idx="13">
                  <c:v>8.3721068633602069E-4</c:v>
                </c:pt>
                <c:pt idx="14">
                  <c:v>9.7094459098767683E-4</c:v>
                </c:pt>
                <c:pt idx="15">
                  <c:v>1.1145780677496164E-3</c:v>
                </c:pt>
                <c:pt idx="16">
                  <c:v>1.2681096933296887E-3</c:v>
                </c:pt>
                <c:pt idx="17">
                  <c:v>1.4315379463535338E-3</c:v>
                </c:pt>
                <c:pt idx="18">
                  <c:v>1.6048612073787938E-3</c:v>
                </c:pt>
                <c:pt idx="19">
                  <c:v>1.7880777589119878E-3</c:v>
                </c:pt>
                <c:pt idx="20">
                  <c:v>1.9811857854247217E-3</c:v>
                </c:pt>
                <c:pt idx="21">
                  <c:v>2.1841833733722282E-3</c:v>
                </c:pt>
                <c:pt idx="22">
                  <c:v>2.3970685112121304E-3</c:v>
                </c:pt>
                <c:pt idx="23">
                  <c:v>2.619839089424536E-3</c:v>
                </c:pt>
                <c:pt idx="24">
                  <c:v>2.8524929005325772E-3</c:v>
                </c:pt>
                <c:pt idx="25">
                  <c:v>3.0950276391248366E-3</c:v>
                </c:pt>
                <c:pt idx="26">
                  <c:v>3.3474409018774409E-3</c:v>
                </c:pt>
                <c:pt idx="27">
                  <c:v>3.609730187578708E-3</c:v>
                </c:pt>
                <c:pt idx="28">
                  <c:v>3.8818928971533495E-3</c:v>
                </c:pt>
                <c:pt idx="29">
                  <c:v>4.1639263336883392E-3</c:v>
                </c:pt>
                <c:pt idx="30">
                  <c:v>4.4558277024601134E-3</c:v>
                </c:pt>
                <c:pt idx="31">
                  <c:v>4.7575941109612163E-3</c:v>
                </c:pt>
                <c:pt idx="32">
                  <c:v>5.0692225689300541E-3</c:v>
                </c:pt>
                <c:pt idx="33">
                  <c:v>5.3907099883800935E-3</c:v>
                </c:pt>
                <c:pt idx="34">
                  <c:v>5.7220531836302824E-3</c:v>
                </c:pt>
                <c:pt idx="35">
                  <c:v>6.0632488713366905E-3</c:v>
                </c:pt>
                <c:pt idx="36">
                  <c:v>6.4142936705253728E-3</c:v>
                </c:pt>
                <c:pt idx="37">
                  <c:v>6.7751841026255644E-3</c:v>
                </c:pt>
                <c:pt idx="38">
                  <c:v>7.1459165915040979E-3</c:v>
                </c:pt>
                <c:pt idx="39">
                  <c:v>7.5264874635010415E-3</c:v>
                </c:pt>
                <c:pt idx="40">
                  <c:v>7.9168929474660032E-3</c:v>
                </c:pt>
                <c:pt idx="41">
                  <c:v>8.3171291747956566E-3</c:v>
                </c:pt>
                <c:pt idx="42">
                  <c:v>8.727192179471821E-3</c:v>
                </c:pt>
                <c:pt idx="43">
                  <c:v>9.1470778981007639E-3</c:v>
                </c:pt>
                <c:pt idx="44">
                  <c:v>9.5767821699537237E-3</c:v>
                </c:pt>
                <c:pt idx="45">
                  <c:v>1.0016300737007988E-2</c:v>
                </c:pt>
                <c:pt idx="46">
                  <c:v>1.0465629243989194E-2</c:v>
                </c:pt>
                <c:pt idx="47">
                  <c:v>1.092476323841407E-2</c:v>
                </c:pt>
                <c:pt idx="48">
                  <c:v>1.1393698170635291E-2</c:v>
                </c:pt>
                <c:pt idx="49">
                  <c:v>1.1872429393885775E-2</c:v>
                </c:pt>
                <c:pt idx="50">
                  <c:v>1.2360952164325312E-2</c:v>
                </c:pt>
                <c:pt idx="51">
                  <c:v>1.2859261641087194E-2</c:v>
                </c:pt>
                <c:pt idx="52">
                  <c:v>1.3367352886326511E-2</c:v>
                </c:pt>
                <c:pt idx="53">
                  <c:v>1.3885220865268999E-2</c:v>
                </c:pt>
                <c:pt idx="54">
                  <c:v>1.4412860446260445E-2</c:v>
                </c:pt>
                <c:pt idx="55">
                  <c:v>1.4950266400818424E-2</c:v>
                </c:pt>
                <c:pt idx="56">
                  <c:v>1.5497433403683258E-2</c:v>
                </c:pt>
                <c:pt idx="57">
                  <c:v>1.605435603287142E-2</c:v>
                </c:pt>
                <c:pt idx="58">
                  <c:v>1.6621028769728818E-2</c:v>
                </c:pt>
                <c:pt idx="59">
                  <c:v>1.719744599898565E-2</c:v>
                </c:pt>
                <c:pt idx="60">
                  <c:v>1.7783602008812238E-2</c:v>
                </c:pt>
                <c:pt idx="61">
                  <c:v>1.8379490990875214E-2</c:v>
                </c:pt>
                <c:pt idx="62">
                  <c:v>1.8985107040395466E-2</c:v>
                </c:pt>
                <c:pt idx="63">
                  <c:v>1.9600444156206542E-2</c:v>
                </c:pt>
                <c:pt idx="64">
                  <c:v>2.0225496240813712E-2</c:v>
                </c:pt>
                <c:pt idx="65">
                  <c:v>2.0860257100455248E-2</c:v>
                </c:pt>
                <c:pt idx="66">
                  <c:v>2.1504720445162939E-2</c:v>
                </c:pt>
                <c:pt idx="67">
                  <c:v>2.2158879888824812E-2</c:v>
                </c:pt>
                <c:pt idx="68">
                  <c:v>2.2822728949248527E-2</c:v>
                </c:pt>
                <c:pt idx="69">
                  <c:v>2.349626104822522E-2</c:v>
                </c:pt>
                <c:pt idx="70">
                  <c:v>2.4179469511595331E-2</c:v>
                </c:pt>
                <c:pt idx="71">
                  <c:v>2.487234756931378E-2</c:v>
                </c:pt>
                <c:pt idx="72">
                  <c:v>2.5574888355518133E-2</c:v>
                </c:pt>
                <c:pt idx="73">
                  <c:v>2.6287084908595659E-2</c:v>
                </c:pt>
                <c:pt idx="74">
                  <c:v>2.7008930171253165E-2</c:v>
                </c:pt>
                <c:pt idx="75">
                  <c:v>2.7740416990586381E-2</c:v>
                </c:pt>
                <c:pt idx="76">
                  <c:v>2.8481538118150684E-2</c:v>
                </c:pt>
                <c:pt idx="77">
                  <c:v>2.923228621003382E-2</c:v>
                </c:pt>
                <c:pt idx="78">
                  <c:v>2.9992653826927507E-2</c:v>
                </c:pt>
                <c:pt idx="79">
                  <c:v>3.0762633434202158E-2</c:v>
                </c:pt>
                <c:pt idx="80">
                  <c:v>3.1542217401980821E-2</c:v>
                </c:pt>
                <c:pt idx="81">
                  <c:v>3.2331398005215228E-2</c:v>
                </c:pt>
                <c:pt idx="82">
                  <c:v>3.313016742376218E-2</c:v>
                </c:pt>
                <c:pt idx="83">
                  <c:v>3.3938517742461038E-2</c:v>
                </c:pt>
                <c:pt idx="84">
                  <c:v>3.475644095121222E-2</c:v>
                </c:pt>
                <c:pt idx="85">
                  <c:v>3.5583928945056353E-2</c:v>
                </c:pt>
                <c:pt idx="86">
                  <c:v>3.6420973524254996E-2</c:v>
                </c:pt>
                <c:pt idx="87">
                  <c:v>3.7267566394371454E-2</c:v>
                </c:pt>
                <c:pt idx="88">
                  <c:v>3.8123699166353275E-2</c:v>
                </c:pt>
                <c:pt idx="89">
                  <c:v>3.8989363356615403E-2</c:v>
                </c:pt>
                <c:pt idx="90">
                  <c:v>3.9864550387123776E-2</c:v>
                </c:pt>
                <c:pt idx="91">
                  <c:v>4.0749251585480817E-2</c:v>
                </c:pt>
                <c:pt idx="92">
                  <c:v>4.1643458185011473E-2</c:v>
                </c:pt>
                <c:pt idx="93">
                  <c:v>4.2547161324849481E-2</c:v>
                </c:pt>
                <c:pt idx="94">
                  <c:v>4.346035205002563E-2</c:v>
                </c:pt>
                <c:pt idx="95">
                  <c:v>4.4383021311556581E-2</c:v>
                </c:pt>
                <c:pt idx="96">
                  <c:v>4.5315159966534124E-2</c:v>
                </c:pt>
                <c:pt idx="97">
                  <c:v>4.625675877821589E-2</c:v>
                </c:pt>
                <c:pt idx="98">
                  <c:v>4.7207808416117381E-2</c:v>
                </c:pt>
                <c:pt idx="99">
                  <c:v>4.8168299456103791E-2</c:v>
                </c:pt>
                <c:pt idx="100">
                  <c:v>4.9138222380483598E-2</c:v>
                </c:pt>
                <c:pt idx="101">
                  <c:v>5.0117567578102928E-2</c:v>
                </c:pt>
                <c:pt idx="102">
                  <c:v>5.1106325344440817E-2</c:v>
                </c:pt>
                <c:pt idx="103">
                  <c:v>5.2104485881705465E-2</c:v>
                </c:pt>
                <c:pt idx="104">
                  <c:v>5.3112039298931046E-2</c:v>
                </c:pt>
                <c:pt idx="105">
                  <c:v>5.4128975612075858E-2</c:v>
                </c:pt>
                <c:pt idx="106">
                  <c:v>5.5155284744121347E-2</c:v>
                </c:pt>
                <c:pt idx="107">
                  <c:v>5.6190956525171698E-2</c:v>
                </c:pt>
                <c:pt idx="108">
                  <c:v>5.7235980692555199E-2</c:v>
                </c:pt>
                <c:pt idx="109">
                  <c:v>5.8290346890925049E-2</c:v>
                </c:pt>
                <c:pt idx="110">
                  <c:v>5.9354044672362938E-2</c:v>
                </c:pt>
                <c:pt idx="111">
                  <c:v>6.0427063496481526E-2</c:v>
                </c:pt>
                <c:pt idx="112">
                  <c:v>6.1509392730530021E-2</c:v>
                </c:pt>
                <c:pt idx="113">
                  <c:v>6.2601021649498656E-2</c:v>
                </c:pt>
                <c:pt idx="114">
                  <c:v>6.3701939436225374E-2</c:v>
                </c:pt>
                <c:pt idx="115">
                  <c:v>6.4812135181502861E-2</c:v>
                </c:pt>
                <c:pt idx="116">
                  <c:v>6.5931597884186899E-2</c:v>
                </c:pt>
                <c:pt idx="117">
                  <c:v>6.7060316451305058E-2</c:v>
                </c:pt>
                <c:pt idx="118">
                  <c:v>6.8198279698166608E-2</c:v>
                </c:pt>
                <c:pt idx="119">
                  <c:v>6.9345476348473767E-2</c:v>
                </c:pt>
                <c:pt idx="120">
                  <c:v>7.050189503443316E-2</c:v>
                </c:pt>
                <c:pt idx="121">
                  <c:v>7.1667524296868401E-2</c:v>
                </c:pt>
                <c:pt idx="122">
                  <c:v>7.2842352585333559E-2</c:v>
                </c:pt>
                <c:pt idx="123">
                  <c:v>7.4026368258227948E-2</c:v>
                </c:pt>
                <c:pt idx="124">
                  <c:v>7.5219559582911377E-2</c:v>
                </c:pt>
                <c:pt idx="125">
                  <c:v>7.6421914735820273E-2</c:v>
                </c:pt>
                <c:pt idx="126">
                  <c:v>7.7633421802584812E-2</c:v>
                </c:pt>
                <c:pt idx="127">
                  <c:v>7.8854068778147268E-2</c:v>
                </c:pt>
                <c:pt idx="128">
                  <c:v>8.0083843566880586E-2</c:v>
                </c:pt>
                <c:pt idx="129">
                  <c:v>8.1322733982708617E-2</c:v>
                </c:pt>
                <c:pt idx="130">
                  <c:v>8.2570727749226691E-2</c:v>
                </c:pt>
                <c:pt idx="131">
                  <c:v>8.3827812499823295E-2</c:v>
                </c:pt>
                <c:pt idx="132">
                  <c:v>8.5093975777802311E-2</c:v>
                </c:pt>
                <c:pt idx="133">
                  <c:v>8.6369205036507135E-2</c:v>
                </c:pt>
                <c:pt idx="134">
                  <c:v>8.7653487639444361E-2</c:v>
                </c:pt>
                <c:pt idx="135">
                  <c:v>8.8946810860409342E-2</c:v>
                </c:pt>
                <c:pt idx="136">
                  <c:v>9.0249161883612206E-2</c:v>
                </c:pt>
                <c:pt idx="137">
                  <c:v>9.1560527803804637E-2</c:v>
                </c:pt>
                <c:pt idx="138">
                  <c:v>9.2880895626408333E-2</c:v>
                </c:pt>
                <c:pt idx="139">
                  <c:v>9.4210252267643013E-2</c:v>
                </c:pt>
                <c:pt idx="140">
                  <c:v>9.5548584554656757E-2</c:v>
                </c:pt>
                <c:pt idx="141">
                  <c:v>9.6895879225656123E-2</c:v>
                </c:pt>
                <c:pt idx="142">
                  <c:v>9.8252122930037711E-2</c:v>
                </c:pt>
                <c:pt idx="143">
                  <c:v>9.9617302228520166E-2</c:v>
                </c:pt>
                <c:pt idx="144">
                  <c:v>0.10099140359327796</c:v>
                </c:pt>
                <c:pt idx="145">
                  <c:v>0.10237441340807496</c:v>
                </c:pt>
                <c:pt idx="146">
                  <c:v>0.1037663179683993</c:v>
                </c:pt>
                <c:pt idx="147">
                  <c:v>0.10516710348159974</c:v>
                </c:pt>
                <c:pt idx="148">
                  <c:v>0.10657675606702155</c:v>
                </c:pt>
                <c:pt idx="149">
                  <c:v>0.10799526175614471</c:v>
                </c:pt>
                <c:pt idx="150">
                  <c:v>0.10942260649272206</c:v>
                </c:pt>
                <c:pt idx="151">
                  <c:v>0.11085877613291861</c:v>
                </c:pt>
                <c:pt idx="152">
                  <c:v>0.11230375644545154</c:v>
                </c:pt>
                <c:pt idx="153">
                  <c:v>0.11375753311173153</c:v>
                </c:pt>
                <c:pt idx="154">
                  <c:v>0.11522009172600445</c:v>
                </c:pt>
                <c:pt idx="155">
                  <c:v>0.11669141779549419</c:v>
                </c:pt>
                <c:pt idx="156">
                  <c:v>0.11817149674054617</c:v>
                </c:pt>
                <c:pt idx="157">
                  <c:v>0.11966031389477194</c:v>
                </c:pt>
                <c:pt idx="158">
                  <c:v>0.12115785450519423</c:v>
                </c:pt>
                <c:pt idx="159">
                  <c:v>0.12266410373239378</c:v>
                </c:pt>
                <c:pt idx="160">
                  <c:v>0.12417904665065549</c:v>
                </c:pt>
                <c:pt idx="161">
                  <c:v>0.12570266824811704</c:v>
                </c:pt>
                <c:pt idx="162">
                  <c:v>0.1272349534269176</c:v>
                </c:pt>
                <c:pt idx="163">
                  <c:v>0.12877588700334663</c:v>
                </c:pt>
                <c:pt idx="164">
                  <c:v>0.13032545370799575</c:v>
                </c:pt>
                <c:pt idx="165">
                  <c:v>0.13188363818590843</c:v>
                </c:pt>
                <c:pt idx="166">
                  <c:v>0.13345042499673354</c:v>
                </c:pt>
                <c:pt idx="167">
                  <c:v>0.13502579861487751</c:v>
                </c:pt>
                <c:pt idx="168">
                  <c:v>0.13660974342965859</c:v>
                </c:pt>
                <c:pt idx="169">
                  <c:v>0.13820224374546131</c:v>
                </c:pt>
                <c:pt idx="170">
                  <c:v>0.13980328378189188</c:v>
                </c:pt>
                <c:pt idx="171">
                  <c:v>0.14141284767393503</c:v>
                </c:pt>
                <c:pt idx="172">
                  <c:v>0.143030919472111</c:v>
                </c:pt>
                <c:pt idx="173">
                  <c:v>0.14465748314263338</c:v>
                </c:pt>
                <c:pt idx="174">
                  <c:v>0.14629252256756808</c:v>
                </c:pt>
                <c:pt idx="175">
                  <c:v>0.14793602154499341</c:v>
                </c:pt>
                <c:pt idx="176">
                  <c:v>0.14958796378916006</c:v>
                </c:pt>
                <c:pt idx="177">
                  <c:v>0.15124833293065298</c:v>
                </c:pt>
                <c:pt idx="178">
                  <c:v>0.15291711251655316</c:v>
                </c:pt>
                <c:pt idx="179">
                  <c:v>0.15459428601060099</c:v>
                </c:pt>
                <c:pt idx="180">
                  <c:v>0.15627983679335988</c:v>
                </c:pt>
                <c:pt idx="181">
                  <c:v>0.15797374816238119</c:v>
                </c:pt>
                <c:pt idx="182">
                  <c:v>0.15967600333236964</c:v>
                </c:pt>
                <c:pt idx="183">
                  <c:v>0.16138658543534967</c:v>
                </c:pt>
                <c:pt idx="184">
                  <c:v>0.16310547752083215</c:v>
                </c:pt>
                <c:pt idx="185">
                  <c:v>0.16483266255598328</c:v>
                </c:pt>
                <c:pt idx="186">
                  <c:v>0.1665681234257923</c:v>
                </c:pt>
                <c:pt idx="187">
                  <c:v>0.16831184293324197</c:v>
                </c:pt>
                <c:pt idx="188">
                  <c:v>0.17006380379947839</c:v>
                </c:pt>
                <c:pt idx="189">
                  <c:v>0.17182398866398252</c:v>
                </c:pt>
                <c:pt idx="190">
                  <c:v>0.1735923800847422</c:v>
                </c:pt>
                <c:pt idx="191">
                  <c:v>0.17536896053842488</c:v>
                </c:pt>
                <c:pt idx="192">
                  <c:v>0.17715371242055111</c:v>
                </c:pt>
                <c:pt idx="193">
                  <c:v>0.17894661804566958</c:v>
                </c:pt>
                <c:pt idx="194">
                  <c:v>0.18074765964753159</c:v>
                </c:pt>
                <c:pt idx="195">
                  <c:v>0.1825568193792676</c:v>
                </c:pt>
                <c:pt idx="196">
                  <c:v>0.18437407931356398</c:v>
                </c:pt>
                <c:pt idx="197">
                  <c:v>0.18619942144284063</c:v>
                </c:pt>
                <c:pt idx="198">
                  <c:v>0.18803282767942942</c:v>
                </c:pt>
                <c:pt idx="199">
                  <c:v>0.18987427985575323</c:v>
                </c:pt>
                <c:pt idx="200">
                  <c:v>0.19172375972450661</c:v>
                </c:pt>
                <c:pt idx="201">
                  <c:v>0.19358124895883555</c:v>
                </c:pt>
                <c:pt idx="202">
                  <c:v>0.19544672915252015</c:v>
                </c:pt>
                <c:pt idx="203">
                  <c:v>0.19732018182015654</c:v>
                </c:pt>
                <c:pt idx="204">
                  <c:v>0.1992015883973397</c:v>
                </c:pt>
                <c:pt idx="205">
                  <c:v>0.20109093024084834</c:v>
                </c:pt>
                <c:pt idx="206">
                  <c:v>0.20298818862882839</c:v>
                </c:pt>
                <c:pt idx="207">
                  <c:v>0.20489334476097976</c:v>
                </c:pt>
                <c:pt idx="208">
                  <c:v>0.20680637975874194</c:v>
                </c:pt>
                <c:pt idx="209">
                  <c:v>0.20872727466548102</c:v>
                </c:pt>
                <c:pt idx="210">
                  <c:v>0.21065601044667814</c:v>
                </c:pt>
                <c:pt idx="211">
                  <c:v>0.21259256799011716</c:v>
                </c:pt>
                <c:pt idx="212">
                  <c:v>0.21453692810607505</c:v>
                </c:pt>
                <c:pt idx="213">
                  <c:v>0.2164890715275114</c:v>
                </c:pt>
                <c:pt idx="214">
                  <c:v>0.21844897891025949</c:v>
                </c:pt>
                <c:pt idx="215">
                  <c:v>0.22041663083321805</c:v>
                </c:pt>
                <c:pt idx="216">
                  <c:v>0.22239200779854373</c:v>
                </c:pt>
                <c:pt idx="217">
                  <c:v>0.22437509023184399</c:v>
                </c:pt>
                <c:pt idx="218">
                  <c:v>0.22636585848237156</c:v>
                </c:pt>
                <c:pt idx="219">
                  <c:v>0.22836429282321902</c:v>
                </c:pt>
                <c:pt idx="220">
                  <c:v>0.2303703734515139</c:v>
                </c:pt>
                <c:pt idx="221">
                  <c:v>0.23238408048861525</c:v>
                </c:pt>
                <c:pt idx="222">
                  <c:v>0.23440539398031057</c:v>
                </c:pt>
                <c:pt idx="223">
                  <c:v>0.23643429389701376</c:v>
                </c:pt>
                <c:pt idx="224">
                  <c:v>0.23847076013396296</c:v>
                </c:pt>
                <c:pt idx="225">
                  <c:v>0.24051477251142062</c:v>
                </c:pt>
                <c:pt idx="226">
                  <c:v>0.24256631077487267</c:v>
                </c:pt>
                <c:pt idx="227">
                  <c:v>0.24462535459522983</c:v>
                </c:pt>
                <c:pt idx="228">
                  <c:v>0.24669188356902849</c:v>
                </c:pt>
                <c:pt idx="229">
                  <c:v>0.24876587721863352</c:v>
                </c:pt>
                <c:pt idx="230">
                  <c:v>0.25084731499244084</c:v>
                </c:pt>
                <c:pt idx="231">
                  <c:v>0.25293617626508091</c:v>
                </c:pt>
                <c:pt idx="232">
                  <c:v>0.25503244033762351</c:v>
                </c:pt>
                <c:pt idx="233">
                  <c:v>0.25713608643778241</c:v>
                </c:pt>
                <c:pt idx="234">
                  <c:v>0.25924709372012167</c:v>
                </c:pt>
                <c:pt idx="235">
                  <c:v>0.26136544126626193</c:v>
                </c:pt>
                <c:pt idx="236">
                  <c:v>0.26349110808508769</c:v>
                </c:pt>
                <c:pt idx="237">
                  <c:v>0.26562407311295533</c:v>
                </c:pt>
                <c:pt idx="238">
                  <c:v>0.26776431521390176</c:v>
                </c:pt>
                <c:pt idx="239">
                  <c:v>0.26991181317985435</c:v>
                </c:pt>
                <c:pt idx="240">
                  <c:v>0.27206654573084033</c:v>
                </c:pt>
                <c:pt idx="241">
                  <c:v>0.27422849151519824</c:v>
                </c:pt>
                <c:pt idx="242">
                  <c:v>0.27639762910978904</c:v>
                </c:pt>
                <c:pt idx="243">
                  <c:v>0.27857393702020894</c:v>
                </c:pt>
                <c:pt idx="244">
                  <c:v>0.28075739368100194</c:v>
                </c:pt>
                <c:pt idx="245">
                  <c:v>0.28294797745587386</c:v>
                </c:pt>
                <c:pt idx="246">
                  <c:v>0.28514566663790619</c:v>
                </c:pt>
                <c:pt idx="247">
                  <c:v>0.28735043944977212</c:v>
                </c:pt>
                <c:pt idx="248">
                  <c:v>0.28956227404395118</c:v>
                </c:pt>
                <c:pt idx="249">
                  <c:v>0.2917811485029469</c:v>
                </c:pt>
                <c:pt idx="250">
                  <c:v>0.29400704083950302</c:v>
                </c:pt>
                <c:pt idx="251">
                  <c:v>0.29623992899682194</c:v>
                </c:pt>
                <c:pt idx="252">
                  <c:v>0.29847979084878318</c:v>
                </c:pt>
                <c:pt idx="253">
                  <c:v>0.30072660420016228</c:v>
                </c:pt>
                <c:pt idx="254">
                  <c:v>0.30298034678685137</c:v>
                </c:pt>
                <c:pt idx="255">
                  <c:v>0.30524099627607926</c:v>
                </c:pt>
                <c:pt idx="256">
                  <c:v>0.30750853026663305</c:v>
                </c:pt>
                <c:pt idx="257">
                  <c:v>0.30978292628908</c:v>
                </c:pt>
                <c:pt idx="258">
                  <c:v>0.31206416180598984</c:v>
                </c:pt>
                <c:pt idx="259">
                  <c:v>0.31435221421215875</c:v>
                </c:pt>
                <c:pt idx="260">
                  <c:v>0.31664706083483307</c:v>
                </c:pt>
                <c:pt idx="261">
                  <c:v>0.31894867893393375</c:v>
                </c:pt>
                <c:pt idx="262">
                  <c:v>0.3212570457022822</c:v>
                </c:pt>
                <c:pt idx="263">
                  <c:v>0.32357213826582509</c:v>
                </c:pt>
                <c:pt idx="264">
                  <c:v>0.32589393368386299</c:v>
                </c:pt>
                <c:pt idx="265">
                  <c:v>0.3282224089492759</c:v>
                </c:pt>
                <c:pt idx="266">
                  <c:v>0.33055754098875223</c:v>
                </c:pt>
                <c:pt idx="267">
                  <c:v>0.33289930666301693</c:v>
                </c:pt>
                <c:pt idx="268">
                  <c:v>0.33524768276706118</c:v>
                </c:pt>
                <c:pt idx="269">
                  <c:v>0.33760264603037182</c:v>
                </c:pt>
                <c:pt idx="270">
                  <c:v>0.33996417311716254</c:v>
                </c:pt>
                <c:pt idx="271">
                  <c:v>0.34233224062660483</c:v>
                </c:pt>
                <c:pt idx="272">
                  <c:v>0.34470682509305983</c:v>
                </c:pt>
                <c:pt idx="273">
                  <c:v>0.34708790298631065</c:v>
                </c:pt>
                <c:pt idx="274">
                  <c:v>0.34947545071179609</c:v>
                </c:pt>
                <c:pt idx="275">
                  <c:v>0.35186944461084391</c:v>
                </c:pt>
                <c:pt idx="276">
                  <c:v>0.35426986096090574</c:v>
                </c:pt>
                <c:pt idx="277">
                  <c:v>0.35667667597579156</c:v>
                </c:pt>
                <c:pt idx="278">
                  <c:v>0.35908986580590629</c:v>
                </c:pt>
                <c:pt idx="279">
                  <c:v>0.36150940653848485</c:v>
                </c:pt>
                <c:pt idx="280">
                  <c:v>0.36393527419783034</c:v>
                </c:pt>
                <c:pt idx="281">
                  <c:v>0.36636744474555105</c:v>
                </c:pt>
                <c:pt idx="282">
                  <c:v>0.36880589408079867</c:v>
                </c:pt>
                <c:pt idx="283">
                  <c:v>0.3712505980405072</c:v>
                </c:pt>
                <c:pt idx="284">
                  <c:v>0.37370153239963222</c:v>
                </c:pt>
                <c:pt idx="285">
                  <c:v>0.37615867287139115</c:v>
                </c:pt>
                <c:pt idx="286">
                  <c:v>0.37862199510750394</c:v>
                </c:pt>
                <c:pt idx="287">
                  <c:v>0.38109147469843418</c:v>
                </c:pt>
                <c:pt idx="288">
                  <c:v>0.38356708717363108</c:v>
                </c:pt>
                <c:pt idx="289">
                  <c:v>0.38604880800177188</c:v>
                </c:pt>
                <c:pt idx="290">
                  <c:v>0.3885366125910048</c:v>
                </c:pt>
                <c:pt idx="291">
                  <c:v>0.39103047628919319</c:v>
                </c:pt>
                <c:pt idx="292">
                  <c:v>0.39353037438415939</c:v>
                </c:pt>
                <c:pt idx="293">
                  <c:v>0.3960362821039296</c:v>
                </c:pt>
                <c:pt idx="294">
                  <c:v>0.39854817461698</c:v>
                </c:pt>
                <c:pt idx="295">
                  <c:v>0.4010660270324814</c:v>
                </c:pt>
                <c:pt idx="296">
                  <c:v>0.40358981440054742</c:v>
                </c:pt>
                <c:pt idx="297">
                  <c:v>0.40611951171248117</c:v>
                </c:pt>
                <c:pt idx="298">
                  <c:v>0.4086550939010225</c:v>
                </c:pt>
                <c:pt idx="299">
                  <c:v>0.41119653584059757</c:v>
                </c:pt>
                <c:pt idx="300">
                  <c:v>0.41374381234756619</c:v>
                </c:pt>
                <c:pt idx="301">
                  <c:v>0.41629689818047322</c:v>
                </c:pt>
                <c:pt idx="302">
                  <c:v>0.41885576804029723</c:v>
                </c:pt>
                <c:pt idx="303">
                  <c:v>0.42142039657070196</c:v>
                </c:pt>
                <c:pt idx="304">
                  <c:v>0.42399075835828748</c:v>
                </c:pt>
                <c:pt idx="305">
                  <c:v>0.42656682793284162</c:v>
                </c:pt>
                <c:pt idx="306">
                  <c:v>0.42914857976759269</c:v>
                </c:pt>
                <c:pt idx="307">
                  <c:v>0.43173598827946269</c:v>
                </c:pt>
                <c:pt idx="308">
                  <c:v>0.43432902782932004</c:v>
                </c:pt>
                <c:pt idx="309">
                  <c:v>0.43692767272223476</c:v>
                </c:pt>
                <c:pt idx="310">
                  <c:v>0.43953189720773167</c:v>
                </c:pt>
                <c:pt idx="311">
                  <c:v>0.4421416754800469</c:v>
                </c:pt>
                <c:pt idx="312">
                  <c:v>0.44475698167838285</c:v>
                </c:pt>
                <c:pt idx="313">
                  <c:v>0.44737778988716459</c:v>
                </c:pt>
                <c:pt idx="314">
                  <c:v>0.45000407413629695</c:v>
                </c:pt>
                <c:pt idx="315">
                  <c:v>0.45263580840142115</c:v>
                </c:pt>
                <c:pt idx="316">
                  <c:v>0.45527296660417349</c:v>
                </c:pt>
                <c:pt idx="317">
                  <c:v>0.45791552261244328</c:v>
                </c:pt>
                <c:pt idx="318">
                  <c:v>0.46056345024063217</c:v>
                </c:pt>
                <c:pt idx="319">
                  <c:v>0.46321672324991292</c:v>
                </c:pt>
                <c:pt idx="320">
                  <c:v>0.46587531534849058</c:v>
                </c:pt>
                <c:pt idx="321">
                  <c:v>0.46853920019186157</c:v>
                </c:pt>
                <c:pt idx="322">
                  <c:v>0.47120835138307604</c:v>
                </c:pt>
                <c:pt idx="323">
                  <c:v>0.47388274247299855</c:v>
                </c:pt>
                <c:pt idx="324">
                  <c:v>0.47656234696057043</c:v>
                </c:pt>
                <c:pt idx="325">
                  <c:v>0.47924713829307297</c:v>
                </c:pt>
                <c:pt idx="326">
                  <c:v>0.48193708986638928</c:v>
                </c:pt>
                <c:pt idx="327">
                  <c:v>0.48463217502526945</c:v>
                </c:pt>
                <c:pt idx="328">
                  <c:v>0.48733236706359295</c:v>
                </c:pt>
                <c:pt idx="329">
                  <c:v>0.49003763922463506</c:v>
                </c:pt>
                <c:pt idx="330">
                  <c:v>0.49274796470133042</c:v>
                </c:pt>
                <c:pt idx="331">
                  <c:v>0.4954633166365402</c:v>
                </c:pt>
                <c:pt idx="332">
                  <c:v>0.4981836681233166</c:v>
                </c:pt>
                <c:pt idx="333">
                  <c:v>0.50090899220517071</c:v>
                </c:pt>
                <c:pt idx="334">
                  <c:v>0.50363926187633923</c:v>
                </c:pt>
                <c:pt idx="335">
                  <c:v>0.50637445008205195</c:v>
                </c:pt>
                <c:pt idx="336">
                  <c:v>0.50911452971880011</c:v>
                </c:pt>
                <c:pt idx="337">
                  <c:v>0.51185947363460449</c:v>
                </c:pt>
                <c:pt idx="338">
                  <c:v>0.51460925462928531</c:v>
                </c:pt>
                <c:pt idx="339">
                  <c:v>0.51736384545473046</c:v>
                </c:pt>
                <c:pt idx="340">
                  <c:v>0.52012321881516699</c:v>
                </c:pt>
                <c:pt idx="341">
                  <c:v>0.52288734736743059</c:v>
                </c:pt>
                <c:pt idx="342">
                  <c:v>0.52565620372123711</c:v>
                </c:pt>
                <c:pt idx="343">
                  <c:v>0.52842976043945322</c:v>
                </c:pt>
                <c:pt idx="344">
                  <c:v>0.53120799003836905</c:v>
                </c:pt>
                <c:pt idx="345">
                  <c:v>0.53399086498797033</c:v>
                </c:pt>
                <c:pt idx="346">
                  <c:v>0.53677835771221083</c:v>
                </c:pt>
                <c:pt idx="347">
                  <c:v>0.53957044058928638</c:v>
                </c:pt>
                <c:pt idx="348">
                  <c:v>0.54236708595190763</c:v>
                </c:pt>
                <c:pt idx="349">
                  <c:v>0.54516826608757496</c:v>
                </c:pt>
                <c:pt idx="350">
                  <c:v>0.54797395323885223</c:v>
                </c:pt>
                <c:pt idx="351">
                  <c:v>0.55078411960364337</c:v>
                </c:pt>
                <c:pt idx="352">
                  <c:v>0.55359873733546627</c:v>
                </c:pt>
                <c:pt idx="353">
                  <c:v>0.55641777854372954</c:v>
                </c:pt>
                <c:pt idx="354">
                  <c:v>0.55924121529400872</c:v>
                </c:pt>
                <c:pt idx="355">
                  <c:v>0.56206901960832267</c:v>
                </c:pt>
                <c:pt idx="356">
                  <c:v>0.56490116346541219</c:v>
                </c:pt>
                <c:pt idx="357">
                  <c:v>0.56773761880101548</c:v>
                </c:pt>
                <c:pt idx="358">
                  <c:v>0.57057835750814878</c:v>
                </c:pt>
                <c:pt idx="359">
                  <c:v>0.5734233514373821</c:v>
                </c:pt>
                <c:pt idx="360">
                  <c:v>0.57627257239712093</c:v>
                </c:pt>
                <c:pt idx="361">
                  <c:v>0.5791259921538835</c:v>
                </c:pt>
                <c:pt idx="362">
                  <c:v>0.58198358243258186</c:v>
                </c:pt>
                <c:pt idx="363">
                  <c:v>0.58484531491680136</c:v>
                </c:pt>
                <c:pt idx="364">
                  <c:v>0.58771116124908085</c:v>
                </c:pt>
                <c:pt idx="365">
                  <c:v>0.59058109303119544</c:v>
                </c:pt>
                <c:pt idx="366">
                  <c:v>0.59345508182443574</c:v>
                </c:pt>
                <c:pt idx="367">
                  <c:v>0.59633309914989119</c:v>
                </c:pt>
                <c:pt idx="368">
                  <c:v>0.59921511648873138</c:v>
                </c:pt>
                <c:pt idx="369">
                  <c:v>0.6021011052824895</c:v>
                </c:pt>
                <c:pt idx="370">
                  <c:v>0.60499103693334377</c:v>
                </c:pt>
                <c:pt idx="371">
                  <c:v>0.60788488280440323</c:v>
                </c:pt>
                <c:pt idx="372">
                  <c:v>0.61078261421998925</c:v>
                </c:pt>
                <c:pt idx="373">
                  <c:v>0.61368420246592092</c:v>
                </c:pt>
                <c:pt idx="374">
                  <c:v>0.61658961878979923</c:v>
                </c:pt>
                <c:pt idx="375">
                  <c:v>0.61949883440129161</c:v>
                </c:pt>
                <c:pt idx="376">
                  <c:v>0.6224118204724185</c:v>
                </c:pt>
                <c:pt idx="377">
                  <c:v>0.625328548137837</c:v>
                </c:pt>
                <c:pt idx="378">
                  <c:v>0.62824898849512922</c:v>
                </c:pt>
                <c:pt idx="379">
                  <c:v>0.63117311260508657</c:v>
                </c:pt>
                <c:pt idx="380">
                  <c:v>0.63410089149199766</c:v>
                </c:pt>
                <c:pt idx="381">
                  <c:v>0.63703229614393531</c:v>
                </c:pt>
                <c:pt idx="382">
                  <c:v>0.63996729751304415</c:v>
                </c:pt>
                <c:pt idx="383">
                  <c:v>0.64290586651582782</c:v>
                </c:pt>
                <c:pt idx="384">
                  <c:v>0.64584797403343797</c:v>
                </c:pt>
                <c:pt idx="385">
                  <c:v>0.64879359091196209</c:v>
                </c:pt>
                <c:pt idx="386">
                  <c:v>0.65174268796271284</c:v>
                </c:pt>
                <c:pt idx="387">
                  <c:v>0.65469523596251733</c:v>
                </c:pt>
                <c:pt idx="388">
                  <c:v>0.65765120565400648</c:v>
                </c:pt>
                <c:pt idx="389">
                  <c:v>0.6606105677459051</c:v>
                </c:pt>
                <c:pt idx="390">
                  <c:v>0.66357329291332134</c:v>
                </c:pt>
                <c:pt idx="391">
                  <c:v>0.66653935179803925</c:v>
                </c:pt>
                <c:pt idx="392">
                  <c:v>0.66950871500880726</c:v>
                </c:pt>
                <c:pt idx="393">
                  <c:v>0.67248135312163138</c:v>
                </c:pt>
                <c:pt idx="394">
                  <c:v>0.6754572366800653</c:v>
                </c:pt>
                <c:pt idx="395">
                  <c:v>0.67843633619550392</c:v>
                </c:pt>
                <c:pt idx="396">
                  <c:v>0.68141862214747362</c:v>
                </c:pt>
                <c:pt idx="397">
                  <c:v>0.68440406498392603</c:v>
                </c:pt>
                <c:pt idx="398">
                  <c:v>0.68739263512153115</c:v>
                </c:pt>
                <c:pt idx="399">
                  <c:v>0.6903843029459692</c:v>
                </c:pt>
                <c:pt idx="400">
                  <c:v>0.69337903881222562</c:v>
                </c:pt>
                <c:pt idx="401">
                  <c:v>0.69637681304488286</c:v>
                </c:pt>
                <c:pt idx="402">
                  <c:v>0.69937759593841675</c:v>
                </c:pt>
                <c:pt idx="403">
                  <c:v>0.70238135775748911</c:v>
                </c:pt>
                <c:pt idx="404">
                  <c:v>0.70538806873724358</c:v>
                </c:pt>
                <c:pt idx="405">
                  <c:v>0.70839769908359895</c:v>
                </c:pt>
                <c:pt idx="406">
                  <c:v>0.71141021897354673</c:v>
                </c:pt>
                <c:pt idx="407">
                  <c:v>0.71442559855544452</c:v>
                </c:pt>
                <c:pt idx="408">
                  <c:v>0.71744380794931262</c:v>
                </c:pt>
                <c:pt idx="409">
                  <c:v>0.72046481724713085</c:v>
                </c:pt>
                <c:pt idx="410">
                  <c:v>0.72348859651313369</c:v>
                </c:pt>
                <c:pt idx="411">
                  <c:v>0.72651511578410766</c:v>
                </c:pt>
                <c:pt idx="412">
                  <c:v>0.72954434506968779</c:v>
                </c:pt>
                <c:pt idx="413">
                  <c:v>0.73257625435265572</c:v>
                </c:pt>
                <c:pt idx="414">
                  <c:v>0.73561081358923541</c:v>
                </c:pt>
                <c:pt idx="415">
                  <c:v>0.7386479927093933</c:v>
                </c:pt>
                <c:pt idx="416">
                  <c:v>0.74168776161713368</c:v>
                </c:pt>
                <c:pt idx="417">
                  <c:v>0.7447300901907985</c:v>
                </c:pt>
                <c:pt idx="418">
                  <c:v>0.74777494828336577</c:v>
                </c:pt>
                <c:pt idx="419">
                  <c:v>0.75082230572274766</c:v>
                </c:pt>
                <c:pt idx="420">
                  <c:v>0.75387213231209049</c:v>
                </c:pt>
                <c:pt idx="421">
                  <c:v>0.75692439783007204</c:v>
                </c:pt>
                <c:pt idx="422">
                  <c:v>0.75997907203120352</c:v>
                </c:pt>
                <c:pt idx="423">
                  <c:v>0.76303612464612713</c:v>
                </c:pt>
                <c:pt idx="424">
                  <c:v>0.76609552538191783</c:v>
                </c:pt>
                <c:pt idx="425">
                  <c:v>0.76915724392238149</c:v>
                </c:pt>
                <c:pt idx="426">
                  <c:v>0.77222124992835761</c:v>
                </c:pt>
                <c:pt idx="427">
                  <c:v>0.77528751303801791</c:v>
                </c:pt>
                <c:pt idx="428">
                  <c:v>0.77835600286716788</c:v>
                </c:pt>
                <c:pt idx="429">
                  <c:v>0.78142668900954892</c:v>
                </c:pt>
                <c:pt idx="430">
                  <c:v>0.78449954103713782</c:v>
                </c:pt>
                <c:pt idx="431">
                  <c:v>0.78757452850045018</c:v>
                </c:pt>
                <c:pt idx="432">
                  <c:v>0.79065162092883967</c:v>
                </c:pt>
                <c:pt idx="433">
                  <c:v>0.79373078783080309</c:v>
                </c:pt>
                <c:pt idx="434">
                  <c:v>0.79681199869427966</c:v>
                </c:pt>
                <c:pt idx="435">
                  <c:v>0.79989522298695537</c:v>
                </c:pt>
                <c:pt idx="436">
                  <c:v>0.80298043015656417</c:v>
                </c:pt>
                <c:pt idx="437">
                  <c:v>0.80606758963119207</c:v>
                </c:pt>
                <c:pt idx="438">
                  <c:v>0.80915667081957843</c:v>
                </c:pt>
                <c:pt idx="439">
                  <c:v>0.81224764311142017</c:v>
                </c:pt>
                <c:pt idx="440">
                  <c:v>0.81534047587767555</c:v>
                </c:pt>
                <c:pt idx="441">
                  <c:v>0.81843513847086635</c:v>
                </c:pt>
                <c:pt idx="442">
                  <c:v>0.82153160022538252</c:v>
                </c:pt>
                <c:pt idx="443">
                  <c:v>0.82462983045778548</c:v>
                </c:pt>
                <c:pt idx="444">
                  <c:v>0.82772979846711325</c:v>
                </c:pt>
                <c:pt idx="445">
                  <c:v>0.8308314735351825</c:v>
                </c:pt>
                <c:pt idx="446">
                  <c:v>0.83393482492689608</c:v>
                </c:pt>
                <c:pt idx="447">
                  <c:v>0.83703982189054416</c:v>
                </c:pt>
                <c:pt idx="448">
                  <c:v>0.8401464336581117</c:v>
                </c:pt>
                <c:pt idx="449">
                  <c:v>0.84325462944558205</c:v>
                </c:pt>
                <c:pt idx="450">
                  <c:v>0.84636437845324164</c:v>
                </c:pt>
                <c:pt idx="451">
                  <c:v>0.84947564986598656</c:v>
                </c:pt>
                <c:pt idx="452">
                  <c:v>0.85258841285362663</c:v>
                </c:pt>
                <c:pt idx="453">
                  <c:v>0.85570263657119128</c:v>
                </c:pt>
                <c:pt idx="454">
                  <c:v>0.85881829015923528</c:v>
                </c:pt>
                <c:pt idx="455">
                  <c:v>0.86193534274414518</c:v>
                </c:pt>
                <c:pt idx="456">
                  <c:v>0.86505376343844365</c:v>
                </c:pt>
                <c:pt idx="457">
                  <c:v>0.86817352134109738</c:v>
                </c:pt>
                <c:pt idx="458">
                  <c:v>0.87129458553782158</c:v>
                </c:pt>
                <c:pt idx="459">
                  <c:v>0.87441692510138791</c:v>
                </c:pt>
                <c:pt idx="460">
                  <c:v>0.87754050909192971</c:v>
                </c:pt>
                <c:pt idx="461">
                  <c:v>0.88066530655724884</c:v>
                </c:pt>
                <c:pt idx="462">
                  <c:v>0.88379128653312367</c:v>
                </c:pt>
                <c:pt idx="463">
                  <c:v>0.88691841804361304</c:v>
                </c:pt>
                <c:pt idx="464">
                  <c:v>0.89004667010136695</c:v>
                </c:pt>
                <c:pt idx="465">
                  <c:v>0.89317601170793026</c:v>
                </c:pt>
                <c:pt idx="466">
                  <c:v>0.89630641185405224</c:v>
                </c:pt>
                <c:pt idx="467">
                  <c:v>0.8994378395199919</c:v>
                </c:pt>
                <c:pt idx="468">
                  <c:v>0.9025702636758276</c:v>
                </c:pt>
                <c:pt idx="469">
                  <c:v>0.90570365328176206</c:v>
                </c:pt>
                <c:pt idx="470">
                  <c:v>0.90883797728843208</c:v>
                </c:pt>
                <c:pt idx="471">
                  <c:v>0.91197320463721476</c:v>
                </c:pt>
                <c:pt idx="472">
                  <c:v>0.91510930426053605</c:v>
                </c:pt>
                <c:pt idx="473">
                  <c:v>0.91824624508217823</c:v>
                </c:pt>
                <c:pt idx="474">
                  <c:v>0.92138399601758791</c:v>
                </c:pt>
                <c:pt idx="475">
                  <c:v>0.92452252597418461</c:v>
                </c:pt>
                <c:pt idx="476">
                  <c:v>0.92766180385166763</c:v>
                </c:pt>
                <c:pt idx="477">
                  <c:v>0.93080179854232581</c:v>
                </c:pt>
                <c:pt idx="478">
                  <c:v>0.93394247893134419</c:v>
                </c:pt>
                <c:pt idx="479">
                  <c:v>0.9370838138971137</c:v>
                </c:pt>
                <c:pt idx="480">
                  <c:v>0.94022577231153837</c:v>
                </c:pt>
                <c:pt idx="481">
                  <c:v>0.94336832304034501</c:v>
                </c:pt>
                <c:pt idx="482">
                  <c:v>0.94651143494339052</c:v>
                </c:pt>
                <c:pt idx="483">
                  <c:v>0.9496550768749713</c:v>
                </c:pt>
                <c:pt idx="484">
                  <c:v>0.95279921768413134</c:v>
                </c:pt>
                <c:pt idx="485">
                  <c:v>0.9559438262149712</c:v>
                </c:pt>
                <c:pt idx="486">
                  <c:v>0.95908887130695719</c:v>
                </c:pt>
                <c:pt idx="487">
                  <c:v>0.96223432179522894</c:v>
                </c:pt>
                <c:pt idx="488">
                  <c:v>0.96538014651090975</c:v>
                </c:pt>
                <c:pt idx="489">
                  <c:v>0.96852631428141356</c:v>
                </c:pt>
                <c:pt idx="490">
                  <c:v>0.9716727939307559</c:v>
                </c:pt>
                <c:pt idx="491">
                  <c:v>0.97481955427986144</c:v>
                </c:pt>
                <c:pt idx="492">
                  <c:v>0.977966564146873</c:v>
                </c:pt>
                <c:pt idx="493">
                  <c:v>0.98111379234746177</c:v>
                </c:pt>
                <c:pt idx="494">
                  <c:v>0.98426120769513414</c:v>
                </c:pt>
                <c:pt idx="495">
                  <c:v>0.98740877900154345</c:v>
                </c:pt>
                <c:pt idx="496">
                  <c:v>0.99055647507679634</c:v>
                </c:pt>
                <c:pt idx="497">
                  <c:v>0.99370426472976414</c:v>
                </c:pt>
                <c:pt idx="498">
                  <c:v>0.99685211676839014</c:v>
                </c:pt>
                <c:pt idx="499">
                  <c:v>0.99999999999999989</c:v>
                </c:pt>
                <c:pt idx="500">
                  <c:v>1</c:v>
                </c:pt>
              </c:numCache>
            </c:numRef>
          </c:xVal>
          <c:yVal>
            <c:numRef>
              <c:f>Data3!$J$1:$J$501</c:f>
              <c:numCache>
                <c:formatCode>0.00000</c:formatCode>
                <c:ptCount val="501"/>
                <c:pt idx="0">
                  <c:v>0</c:v>
                </c:pt>
                <c:pt idx="1">
                  <c:v>-2.9683994091902485E-4</c:v>
                </c:pt>
                <c:pt idx="2">
                  <c:v>-5.9257836439792564E-4</c:v>
                </c:pt>
                <c:pt idx="3">
                  <c:v>-8.8721461978929095E-4</c:v>
                </c:pt>
                <c:pt idx="4">
                  <c:v>-1.1807481138199089E-3</c:v>
                </c:pt>
                <c:pt idx="5">
                  <c:v>-1.4731783105496623E-3</c:v>
                </c:pt>
                <c:pt idx="6">
                  <c:v>-1.7645047313348411E-3</c:v>
                </c:pt>
                <c:pt idx="7">
                  <c:v>-2.054726954769577E-3</c:v>
                </c:pt>
                <c:pt idx="8">
                  <c:v>-2.343844616616156E-3</c:v>
                </c:pt>
                <c:pt idx="9">
                  <c:v>-2.6318574097235333E-3</c:v>
                </c:pt>
                <c:pt idx="10">
                  <c:v>-2.9187650839319909E-3</c:v>
                </c:pt>
                <c:pt idx="11">
                  <c:v>-3.2045674459657354E-3</c:v>
                </c:pt>
                <c:pt idx="12">
                  <c:v>-3.4892643593116388E-3</c:v>
                </c:pt>
                <c:pt idx="13">
                  <c:v>-3.7728557440854095E-3</c:v>
                </c:pt>
                <c:pt idx="14">
                  <c:v>-4.0553415768857454E-3</c:v>
                </c:pt>
                <c:pt idx="15">
                  <c:v>-4.3367218906350527E-3</c:v>
                </c:pt>
                <c:pt idx="16">
                  <c:v>-4.6169967744062275E-3</c:v>
                </c:pt>
                <c:pt idx="17">
                  <c:v>-4.896166373239517E-3</c:v>
                </c:pt>
                <c:pt idx="18">
                  <c:v>-5.1742308879433041E-3</c:v>
                </c:pt>
                <c:pt idx="19">
                  <c:v>-5.4511905748851758E-3</c:v>
                </c:pt>
                <c:pt idx="20">
                  <c:v>-5.7270457457675615E-3</c:v>
                </c:pt>
                <c:pt idx="21">
                  <c:v>-6.0017967673928934E-3</c:v>
                </c:pt>
                <c:pt idx="22">
                  <c:v>-6.2754440614149146E-3</c:v>
                </c:pt>
                <c:pt idx="23">
                  <c:v>-6.5479881040778828E-3</c:v>
                </c:pt>
                <c:pt idx="24">
                  <c:v>-6.8194294259425435E-3</c:v>
                </c:pt>
                <c:pt idx="25">
                  <c:v>-7.089768611600651E-3</c:v>
                </c:pt>
                <c:pt idx="26">
                  <c:v>-7.3590062993754667E-3</c:v>
                </c:pt>
                <c:pt idx="27">
                  <c:v>-7.6271431810115255E-3</c:v>
                </c:pt>
                <c:pt idx="28">
                  <c:v>-7.8941800013504222E-3</c:v>
                </c:pt>
                <c:pt idx="29">
                  <c:v>-8.1601175579949607E-3</c:v>
                </c:pt>
                <c:pt idx="30">
                  <c:v>-8.4249567009612343E-3</c:v>
                </c:pt>
                <c:pt idx="31">
                  <c:v>-8.6886983323169777E-3</c:v>
                </c:pt>
                <c:pt idx="32">
                  <c:v>-8.9513434058096017E-3</c:v>
                </c:pt>
                <c:pt idx="33">
                  <c:v>-9.2128929264806061E-3</c:v>
                </c:pt>
                <c:pt idx="34">
                  <c:v>-9.4733479502680431E-3</c:v>
                </c:pt>
                <c:pt idx="35">
                  <c:v>-9.7327095835970795E-3</c:v>
                </c:pt>
                <c:pt idx="36">
                  <c:v>-9.9909789829586322E-3</c:v>
                </c:pt>
                <c:pt idx="37">
                  <c:v>-1.0248157354475467E-2</c:v>
                </c:pt>
                <c:pt idx="38">
                  <c:v>-1.0504245953456563E-2</c:v>
                </c:pt>
                <c:pt idx="39">
                  <c:v>-1.0759246083939654E-2</c:v>
                </c:pt>
                <c:pt idx="40">
                  <c:v>-1.1013159098221747E-2</c:v>
                </c:pt>
                <c:pt idx="41">
                  <c:v>-1.1265986396377931E-2</c:v>
                </c:pt>
                <c:pt idx="42">
                  <c:v>-1.1517729425768213E-2</c:v>
                </c:pt>
                <c:pt idx="43">
                  <c:v>-1.176838968053279E-2</c:v>
                </c:pt>
                <c:pt idx="44">
                  <c:v>-1.2017968701075844E-2</c:v>
                </c:pt>
                <c:pt idx="45">
                  <c:v>-1.2266468073537505E-2</c:v>
                </c:pt>
                <c:pt idx="46">
                  <c:v>-1.2513889429254464E-2</c:v>
                </c:pt>
                <c:pt idx="47">
                  <c:v>-1.2760234444208832E-2</c:v>
                </c:pt>
                <c:pt idx="48">
                  <c:v>-1.3005504838466273E-2</c:v>
                </c:pt>
                <c:pt idx="49">
                  <c:v>-1.3249702375601975E-2</c:v>
                </c:pt>
                <c:pt idx="50">
                  <c:v>-1.3492828862116137E-2</c:v>
                </c:pt>
                <c:pt idx="51">
                  <c:v>-1.3734886146837759E-2</c:v>
                </c:pt>
                <c:pt idx="52">
                  <c:v>-1.3975876120317697E-2</c:v>
                </c:pt>
                <c:pt idx="53">
                  <c:v>-1.4215800714210509E-2</c:v>
                </c:pt>
                <c:pt idx="54">
                  <c:v>-1.4454661900645125E-2</c:v>
                </c:pt>
                <c:pt idx="55">
                  <c:v>-1.4692461691585322E-2</c:v>
                </c:pt>
                <c:pt idx="56">
                  <c:v>-1.4929202138178598E-2</c:v>
                </c:pt>
                <c:pt idx="57">
                  <c:v>-1.5164885330094975E-2</c:v>
                </c:pt>
                <c:pt idx="58">
                  <c:v>-1.5399513394854715E-2</c:v>
                </c:pt>
                <c:pt idx="59">
                  <c:v>-1.5633088497145762E-2</c:v>
                </c:pt>
                <c:pt idx="60">
                  <c:v>-1.5865612838130684E-2</c:v>
                </c:pt>
                <c:pt idx="61">
                  <c:v>-1.6097088654743019E-2</c:v>
                </c:pt>
                <c:pt idx="62">
                  <c:v>-1.6327518218973602E-2</c:v>
                </c:pt>
                <c:pt idx="63">
                  <c:v>-1.6556903837146544E-2</c:v>
                </c:pt>
                <c:pt idx="64">
                  <c:v>-1.6785247849184927E-2</c:v>
                </c:pt>
                <c:pt idx="65">
                  <c:v>-1.7012552627866946E-2</c:v>
                </c:pt>
                <c:pt idx="66">
                  <c:v>-1.7238820578071499E-2</c:v>
                </c:pt>
                <c:pt idx="67">
                  <c:v>-1.7464054136014352E-2</c:v>
                </c:pt>
                <c:pt idx="68">
                  <c:v>-1.7688255768474482E-2</c:v>
                </c:pt>
                <c:pt idx="69">
                  <c:v>-1.7911427972010535E-2</c:v>
                </c:pt>
                <c:pt idx="70">
                  <c:v>-1.8133573272168125E-2</c:v>
                </c:pt>
                <c:pt idx="71">
                  <c:v>-1.835469422267709E-2</c:v>
                </c:pt>
                <c:pt idx="72">
                  <c:v>-1.8574793404640046E-2</c:v>
                </c:pt>
                <c:pt idx="73">
                  <c:v>-1.8793873425711038E-2</c:v>
                </c:pt>
                <c:pt idx="74">
                  <c:v>-1.9011936919265594E-2</c:v>
                </c:pt>
                <c:pt idx="75">
                  <c:v>-1.9228986543561231E-2</c:v>
                </c:pt>
                <c:pt idx="76">
                  <c:v>-1.944502498088917E-2</c:v>
                </c:pt>
                <c:pt idx="77">
                  <c:v>-1.9660054936717512E-2</c:v>
                </c:pt>
                <c:pt idx="78">
                  <c:v>-1.9874079138824961E-2</c:v>
                </c:pt>
                <c:pt idx="79">
                  <c:v>-2.0087100336426675E-2</c:v>
                </c:pt>
                <c:pt idx="80">
                  <c:v>-2.0299121299290911E-2</c:v>
                </c:pt>
                <c:pt idx="81">
                  <c:v>-2.051014481684775E-2</c:v>
                </c:pt>
                <c:pt idx="82">
                  <c:v>-2.0720173697289183E-2</c:v>
                </c:pt>
                <c:pt idx="83">
                  <c:v>-2.0929210766661089E-2</c:v>
                </c:pt>
                <c:pt idx="84">
                  <c:v>-2.1137258867947151E-2</c:v>
                </c:pt>
                <c:pt idx="85">
                  <c:v>-2.1344320860144681E-2</c:v>
                </c:pt>
                <c:pt idx="86">
                  <c:v>-2.1550399617332773E-2</c:v>
                </c:pt>
                <c:pt idx="87">
                  <c:v>-2.1755498027732401E-2</c:v>
                </c:pt>
                <c:pt idx="88">
                  <c:v>-2.1959618992759174E-2</c:v>
                </c:pt>
                <c:pt idx="89">
                  <c:v>-2.2162765426068442E-2</c:v>
                </c:pt>
                <c:pt idx="90">
                  <c:v>-2.2364940252592863E-2</c:v>
                </c:pt>
                <c:pt idx="91">
                  <c:v>-2.2566146407572964E-2</c:v>
                </c:pt>
                <c:pt idx="92">
                  <c:v>-2.2766386835580386E-2</c:v>
                </c:pt>
                <c:pt idx="93">
                  <c:v>-2.2965664489534004E-2</c:v>
                </c:pt>
                <c:pt idx="94">
                  <c:v>-2.3163982329709266E-2</c:v>
                </c:pt>
                <c:pt idx="95">
                  <c:v>-2.3361343322740768E-2</c:v>
                </c:pt>
                <c:pt idx="96">
                  <c:v>-2.355775044061793E-2</c:v>
                </c:pt>
                <c:pt idx="97">
                  <c:v>-2.3753206659674342E-2</c:v>
                </c:pt>
                <c:pt idx="98">
                  <c:v>-2.3947714959570678E-2</c:v>
                </c:pt>
                <c:pt idx="99">
                  <c:v>-2.4141278322271177E-2</c:v>
                </c:pt>
                <c:pt idx="100">
                  <c:v>-2.4333899731014023E-2</c:v>
                </c:pt>
                <c:pt idx="101">
                  <c:v>-2.4525582169275747E-2</c:v>
                </c:pt>
                <c:pt idx="102">
                  <c:v>-2.4716328619729673E-2</c:v>
                </c:pt>
                <c:pt idx="103">
                  <c:v>-2.4906142063198591E-2</c:v>
                </c:pt>
                <c:pt idx="104">
                  <c:v>-2.5095025477601719E-2</c:v>
                </c:pt>
                <c:pt idx="105">
                  <c:v>-2.5282981836896264E-2</c:v>
                </c:pt>
                <c:pt idx="106">
                  <c:v>-2.5470014110013546E-2</c:v>
                </c:pt>
                <c:pt idx="107">
                  <c:v>-2.5656125259789827E-2</c:v>
                </c:pt>
                <c:pt idx="108">
                  <c:v>-2.5841318241892192E-2</c:v>
                </c:pt>
                <c:pt idx="109">
                  <c:v>-2.6025596003739142E-2</c:v>
                </c:pt>
                <c:pt idx="110">
                  <c:v>-2.6208961483416771E-2</c:v>
                </c:pt>
                <c:pt idx="111">
                  <c:v>-2.6391417608589748E-2</c:v>
                </c:pt>
                <c:pt idx="112">
                  <c:v>-2.6572967295408235E-2</c:v>
                </c:pt>
                <c:pt idx="113">
                  <c:v>-2.6753613447409962E-2</c:v>
                </c:pt>
                <c:pt idx="114">
                  <c:v>-2.6933358954418226E-2</c:v>
                </c:pt>
                <c:pt idx="115">
                  <c:v>-2.7112206691435676E-2</c:v>
                </c:pt>
                <c:pt idx="116">
                  <c:v>-2.7290159517534142E-2</c:v>
                </c:pt>
                <c:pt idx="117">
                  <c:v>-2.7467220274740512E-2</c:v>
                </c:pt>
                <c:pt idx="118">
                  <c:v>-2.7643391786918877E-2</c:v>
                </c:pt>
                <c:pt idx="119">
                  <c:v>-2.7818676858649222E-2</c:v>
                </c:pt>
                <c:pt idx="120">
                  <c:v>-2.7993078274102579E-2</c:v>
                </c:pt>
                <c:pt idx="121">
                  <c:v>-2.8166598795912757E-2</c:v>
                </c:pt>
                <c:pt idx="122">
                  <c:v>-2.8339241164045185E-2</c:v>
                </c:pt>
                <c:pt idx="123">
                  <c:v>-2.8511008094662518E-2</c:v>
                </c:pt>
                <c:pt idx="124">
                  <c:v>-2.8681902278987498E-2</c:v>
                </c:pt>
                <c:pt idx="125">
                  <c:v>-2.8851926382163044E-2</c:v>
                </c:pt>
                <c:pt idx="126">
                  <c:v>-2.9021083042109729E-2</c:v>
                </c:pt>
                <c:pt idx="127">
                  <c:v>-2.9189374868380965E-2</c:v>
                </c:pt>
                <c:pt idx="128">
                  <c:v>-2.9356804441015731E-2</c:v>
                </c:pt>
                <c:pt idx="129">
                  <c:v>-2.9523374309389314E-2</c:v>
                </c:pt>
                <c:pt idx="130">
                  <c:v>-2.9689086991062E-2</c:v>
                </c:pt>
                <c:pt idx="131">
                  <c:v>-2.9853944970625875E-2</c:v>
                </c:pt>
                <c:pt idx="132">
                  <c:v>-3.0017950698550056E-2</c:v>
                </c:pt>
                <c:pt idx="133">
                  <c:v>-3.018110659002431E-2</c:v>
                </c:pt>
                <c:pt idx="134">
                  <c:v>-3.0343415023801282E-2</c:v>
                </c:pt>
                <c:pt idx="135">
                  <c:v>-3.0504878341037517E-2</c:v>
                </c:pt>
                <c:pt idx="136">
                  <c:v>-3.066549884413337E-2</c:v>
                </c:pt>
                <c:pt idx="137">
                  <c:v>-3.0825278795571984E-2</c:v>
                </c:pt>
                <c:pt idx="138">
                  <c:v>-3.0984220416757489E-2</c:v>
                </c:pt>
                <c:pt idx="139">
                  <c:v>-3.1142325886852538E-2</c:v>
                </c:pt>
                <c:pt idx="140">
                  <c:v>-3.129959734161547E-2</c:v>
                </c:pt>
                <c:pt idx="141">
                  <c:v>-3.145603687223697E-2</c:v>
                </c:pt>
                <c:pt idx="142">
                  <c:v>-3.1611646524176647E-2</c:v>
                </c:pt>
                <c:pt idx="143">
                  <c:v>-3.1766428295999613E-2</c:v>
                </c:pt>
                <c:pt idx="144">
                  <c:v>-3.1920384138213173E-2</c:v>
                </c:pt>
                <c:pt idx="145">
                  <c:v>-3.2073515952103761E-2</c:v>
                </c:pt>
                <c:pt idx="146">
                  <c:v>-3.2225825588574286E-2</c:v>
                </c:pt>
                <c:pt idx="147">
                  <c:v>-3.2377314846982252E-2</c:v>
                </c:pt>
                <c:pt idx="148">
                  <c:v>-3.2527985473978283E-2</c:v>
                </c:pt>
                <c:pt idx="149">
                  <c:v>-3.2677839162345935E-2</c:v>
                </c:pt>
                <c:pt idx="150">
                  <c:v>-3.2826877549842252E-2</c:v>
                </c:pt>
                <c:pt idx="151">
                  <c:v>-3.2975102218039683E-2</c:v>
                </c:pt>
                <c:pt idx="152">
                  <c:v>-3.3122514691169322E-2</c:v>
                </c:pt>
                <c:pt idx="153">
                  <c:v>-3.3269116434965641E-2</c:v>
                </c:pt>
                <c:pt idx="154">
                  <c:v>-3.3414908855512952E-2</c:v>
                </c:pt>
                <c:pt idx="155">
                  <c:v>-3.3559893298093599E-2</c:v>
                </c:pt>
                <c:pt idx="156">
                  <c:v>-3.3704071046038231E-2</c:v>
                </c:pt>
                <c:pt idx="157">
                  <c:v>-3.3847443319578112E-2</c:v>
                </c:pt>
                <c:pt idx="158">
                  <c:v>-3.3990011274699812E-2</c:v>
                </c:pt>
                <c:pt idx="159">
                  <c:v>-3.4131776002002276E-2</c:v>
                </c:pt>
                <c:pt idx="160">
                  <c:v>-3.4272738525556512E-2</c:v>
                </c:pt>
                <c:pt idx="161">
                  <c:v>-3.4412899801768003E-2</c:v>
                </c:pt>
                <c:pt idx="162">
                  <c:v>-3.4552260718242148E-2</c:v>
                </c:pt>
                <c:pt idx="163">
                  <c:v>-3.4690822092652528E-2</c:v>
                </c:pt>
                <c:pt idx="164">
                  <c:v>-3.4828584671612692E-2</c:v>
                </c:pt>
                <c:pt idx="165">
                  <c:v>-3.4965549129550993E-2</c:v>
                </c:pt>
                <c:pt idx="166">
                  <c:v>-3.5101716067589273E-2</c:v>
                </c:pt>
                <c:pt idx="167">
                  <c:v>-3.5237086012424958E-2</c:v>
                </c:pt>
                <c:pt idx="168">
                  <c:v>-3.5371659415217166E-2</c:v>
                </c:pt>
                <c:pt idx="169">
                  <c:v>-3.5505436650476681E-2</c:v>
                </c:pt>
                <c:pt idx="170">
                  <c:v>-3.5638418014960163E-2</c:v>
                </c:pt>
                <c:pt idx="171">
                  <c:v>-3.5770603726568616E-2</c:v>
                </c:pt>
                <c:pt idx="172">
                  <c:v>-3.590199392325031E-2</c:v>
                </c:pt>
                <c:pt idx="173">
                  <c:v>-3.6032588661908289E-2</c:v>
                </c:pt>
                <c:pt idx="174">
                  <c:v>-3.6162387917312681E-2</c:v>
                </c:pt>
                <c:pt idx="175">
                  <c:v>-3.6291391581017886E-2</c:v>
                </c:pt>
                <c:pt idx="176">
                  <c:v>-3.6419599460284752E-2</c:v>
                </c:pt>
                <c:pt idx="177">
                  <c:v>-3.6547011277008205E-2</c:v>
                </c:pt>
                <c:pt idx="178">
                  <c:v>-3.667362666664991E-2</c:v>
                </c:pt>
                <c:pt idx="179">
                  <c:v>-3.6799445177176773E-2</c:v>
                </c:pt>
                <c:pt idx="180">
                  <c:v>-3.692446626800483E-2</c:v>
                </c:pt>
                <c:pt idx="181">
                  <c:v>-3.7048689308949216E-2</c:v>
                </c:pt>
                <c:pt idx="182">
                  <c:v>-3.7172113579179905E-2</c:v>
                </c:pt>
                <c:pt idx="183">
                  <c:v>-3.7294738266183694E-2</c:v>
                </c:pt>
                <c:pt idx="184">
                  <c:v>-3.7416562464732336E-2</c:v>
                </c:pt>
                <c:pt idx="185">
                  <c:v>-3.753758517585732E-2</c:v>
                </c:pt>
                <c:pt idx="186">
                  <c:v>-3.7657805305830884E-2</c:v>
                </c:pt>
                <c:pt idx="187">
                  <c:v>-3.7777221665154126E-2</c:v>
                </c:pt>
                <c:pt idx="188">
                  <c:v>-3.789583296755164E-2</c:v>
                </c:pt>
                <c:pt idx="189">
                  <c:v>-3.8013637828973448E-2</c:v>
                </c:pt>
                <c:pt idx="190">
                  <c:v>-3.8130634766603874E-2</c:v>
                </c:pt>
                <c:pt idx="191">
                  <c:v>-3.8246822197877881E-2</c:v>
                </c:pt>
                <c:pt idx="192">
                  <c:v>-3.8362198439504752E-2</c:v>
                </c:pt>
                <c:pt idx="193">
                  <c:v>-3.8476761706499552E-2</c:v>
                </c:pt>
                <c:pt idx="194">
                  <c:v>-3.8590510111222005E-2</c:v>
                </c:pt>
                <c:pt idx="195">
                  <c:v>-3.870344166242367E-2</c:v>
                </c:pt>
                <c:pt idx="196">
                  <c:v>-3.8815554264302839E-2</c:v>
                </c:pt>
                <c:pt idx="197">
                  <c:v>-3.8926845715567759E-2</c:v>
                </c:pt>
                <c:pt idx="198">
                  <c:v>-3.9037313708508124E-2</c:v>
                </c:pt>
                <c:pt idx="199">
                  <c:v>-3.9146955828075085E-2</c:v>
                </c:pt>
                <c:pt idx="200">
                  <c:v>-3.9255769550969849E-2</c:v>
                </c:pt>
                <c:pt idx="201">
                  <c:v>-3.9363752244740875E-2</c:v>
                </c:pt>
                <c:pt idx="202">
                  <c:v>-3.9470901166890282E-2</c:v>
                </c:pt>
                <c:pt idx="203">
                  <c:v>-3.9577213463988958E-2</c:v>
                </c:pt>
                <c:pt idx="204">
                  <c:v>-3.9682686170801028E-2</c:v>
                </c:pt>
                <c:pt idx="205">
                  <c:v>-3.9787316209417542E-2</c:v>
                </c:pt>
                <c:pt idx="206">
                  <c:v>-3.9891100388399575E-2</c:v>
                </c:pt>
                <c:pt idx="207">
                  <c:v>-3.9994035401931131E-2</c:v>
                </c:pt>
                <c:pt idx="208">
                  <c:v>-4.0096117828981384E-2</c:v>
                </c:pt>
                <c:pt idx="209">
                  <c:v>-4.0197344132477095E-2</c:v>
                </c:pt>
                <c:pt idx="210">
                  <c:v>-4.0297710658484857E-2</c:v>
                </c:pt>
                <c:pt idx="211">
                  <c:v>-4.0397213635403488E-2</c:v>
                </c:pt>
                <c:pt idx="212">
                  <c:v>-4.049584917316669E-2</c:v>
                </c:pt>
                <c:pt idx="213">
                  <c:v>-4.0593613262456064E-2</c:v>
                </c:pt>
                <c:pt idx="214">
                  <c:v>-4.0690501773924685E-2</c:v>
                </c:pt>
                <c:pt idx="215">
                  <c:v>-4.078651045743123E-2</c:v>
                </c:pt>
                <c:pt idx="216">
                  <c:v>-4.0881634941285001E-2</c:v>
                </c:pt>
                <c:pt idx="217">
                  <c:v>-4.0975870731501683E-2</c:v>
                </c:pt>
                <c:pt idx="218">
                  <c:v>-4.1069213211070377E-2</c:v>
                </c:pt>
                <c:pt idx="219">
                  <c:v>-4.116165763923154E-2</c:v>
                </c:pt>
                <c:pt idx="220">
                  <c:v>-4.1253199150766334E-2</c:v>
                </c:pt>
                <c:pt idx="221">
                  <c:v>-4.1343832755297363E-2</c:v>
                </c:pt>
                <c:pt idx="222">
                  <c:v>-4.1433553336600967E-2</c:v>
                </c:pt>
                <c:pt idx="223">
                  <c:v>-4.152235565193111E-2</c:v>
                </c:pt>
                <c:pt idx="224">
                  <c:v>-4.1610234331355009E-2</c:v>
                </c:pt>
                <c:pt idx="225">
                  <c:v>-4.1697183877100877E-2</c:v>
                </c:pt>
                <c:pt idx="226">
                  <c:v>-4.1783198662917367E-2</c:v>
                </c:pt>
                <c:pt idx="227">
                  <c:v>-4.1868272933445423E-2</c:v>
                </c:pt>
                <c:pt idx="228">
                  <c:v>-4.1952400803602186E-2</c:v>
                </c:pt>
                <c:pt idx="229">
                  <c:v>-4.2035576257977429E-2</c:v>
                </c:pt>
                <c:pt idx="230">
                  <c:v>-4.2117793150242368E-2</c:v>
                </c:pt>
                <c:pt idx="231">
                  <c:v>-4.2199045202571117E-2</c:v>
                </c:pt>
                <c:pt idx="232">
                  <c:v>-4.2279326005074822E-2</c:v>
                </c:pt>
                <c:pt idx="233">
                  <c:v>-4.2358629015248686E-2</c:v>
                </c:pt>
                <c:pt idx="234">
                  <c:v>-4.2436947557431902E-2</c:v>
                </c:pt>
                <c:pt idx="235">
                  <c:v>-4.2514274822280519E-2</c:v>
                </c:pt>
                <c:pt idx="236">
                  <c:v>-4.2590603866253747E-2</c:v>
                </c:pt>
                <c:pt idx="237">
                  <c:v>-4.2665927611113201E-2</c:v>
                </c:pt>
                <c:pt idx="238">
                  <c:v>-4.2740238843435717E-2</c:v>
                </c:pt>
                <c:pt idx="239">
                  <c:v>-4.2813530214139611E-2</c:v>
                </c:pt>
                <c:pt idx="240">
                  <c:v>-4.2885794238024508E-2</c:v>
                </c:pt>
                <c:pt idx="241">
                  <c:v>-4.2957023293324771E-2</c:v>
                </c:pt>
                <c:pt idx="242">
                  <c:v>-4.3027209621276923E-2</c:v>
                </c:pt>
                <c:pt idx="243">
                  <c:v>-4.3096345325700731E-2</c:v>
                </c:pt>
                <c:pt idx="244">
                  <c:v>-4.3164422372594394E-2</c:v>
                </c:pt>
                <c:pt idx="245">
                  <c:v>-4.3231432589743837E-2</c:v>
                </c:pt>
                <c:pt idx="246">
                  <c:v>-4.3297367666346086E-2</c:v>
                </c:pt>
                <c:pt idx="247">
                  <c:v>-4.3362219152647097E-2</c:v>
                </c:pt>
                <c:pt idx="248">
                  <c:v>-4.34259784595937E-2</c:v>
                </c:pt>
                <c:pt idx="249">
                  <c:v>-4.3488636858500247E-2</c:v>
                </c:pt>
                <c:pt idx="250">
                  <c:v>-4.3550185480729732E-2</c:v>
                </c:pt>
                <c:pt idx="251">
                  <c:v>-4.3610615317389502E-2</c:v>
                </c:pt>
                <c:pt idx="252">
                  <c:v>-4.3669917219041739E-2</c:v>
                </c:pt>
                <c:pt idx="253">
                  <c:v>-4.372808189542892E-2</c:v>
                </c:pt>
                <c:pt idx="254">
                  <c:v>-4.3785099915213892E-2</c:v>
                </c:pt>
                <c:pt idx="255">
                  <c:v>-4.3840961705735176E-2</c:v>
                </c:pt>
                <c:pt idx="256">
                  <c:v>-4.3895657552777329E-2</c:v>
                </c:pt>
                <c:pt idx="257">
                  <c:v>-4.3949177600356333E-2</c:v>
                </c:pt>
                <c:pt idx="258">
                  <c:v>-4.4001511850520376E-2</c:v>
                </c:pt>
                <c:pt idx="259">
                  <c:v>-4.4052650163165917E-2</c:v>
                </c:pt>
                <c:pt idx="260">
                  <c:v>-4.4102582255869119E-2</c:v>
                </c:pt>
                <c:pt idx="261">
                  <c:v>-4.415129770373271E-2</c:v>
                </c:pt>
                <c:pt idx="262">
                  <c:v>-4.4198785939248635E-2</c:v>
                </c:pt>
                <c:pt idx="263">
                  <c:v>-4.4245036252175969E-2</c:v>
                </c:pt>
                <c:pt idx="264">
                  <c:v>-4.4290037789434966E-2</c:v>
                </c:pt>
                <c:pt idx="265">
                  <c:v>-4.4333779555016467E-2</c:v>
                </c:pt>
                <c:pt idx="266">
                  <c:v>-4.437625040990735E-2</c:v>
                </c:pt>
                <c:pt idx="267">
                  <c:v>-4.4417439072032036E-2</c:v>
                </c:pt>
                <c:pt idx="268">
                  <c:v>-4.4457334116209599E-2</c:v>
                </c:pt>
                <c:pt idx="269">
                  <c:v>-4.449592397412732E-2</c:v>
                </c:pt>
                <c:pt idx="270">
                  <c:v>-4.4533196934330006E-2</c:v>
                </c:pt>
                <c:pt idx="271">
                  <c:v>-4.4569141142225745E-2</c:v>
                </c:pt>
                <c:pt idx="272">
                  <c:v>-4.4603744600107721E-2</c:v>
                </c:pt>
                <c:pt idx="273">
                  <c:v>-4.4636995167192377E-2</c:v>
                </c:pt>
                <c:pt idx="274">
                  <c:v>-4.4668880559673961E-2</c:v>
                </c:pt>
                <c:pt idx="275">
                  <c:v>-4.4699388350795344E-2</c:v>
                </c:pt>
                <c:pt idx="276">
                  <c:v>-4.4728505970935528E-2</c:v>
                </c:pt>
                <c:pt idx="277">
                  <c:v>-4.4756220707713366E-2</c:v>
                </c:pt>
                <c:pt idx="278">
                  <c:v>-4.4782519706108144E-2</c:v>
                </c:pt>
                <c:pt idx="279">
                  <c:v>-4.4807389968596491E-2</c:v>
                </c:pt>
                <c:pt idx="280">
                  <c:v>-4.483081835530623E-2</c:v>
                </c:pt>
                <c:pt idx="281">
                  <c:v>-4.4852791584186633E-2</c:v>
                </c:pt>
                <c:pt idx="282">
                  <c:v>-4.487329623119575E-2</c:v>
                </c:pt>
                <c:pt idx="283">
                  <c:v>-4.4892318730504248E-2</c:v>
                </c:pt>
                <c:pt idx="284">
                  <c:v>-4.4909845374716297E-2</c:v>
                </c:pt>
                <c:pt idx="285">
                  <c:v>-4.492586231510716E-2</c:v>
                </c:pt>
                <c:pt idx="286">
                  <c:v>-4.4940355561877851E-2</c:v>
                </c:pt>
                <c:pt idx="287">
                  <c:v>-4.4953310984426703E-2</c:v>
                </c:pt>
                <c:pt idx="288">
                  <c:v>-4.4964714311637795E-2</c:v>
                </c:pt>
                <c:pt idx="289">
                  <c:v>-4.4974551132186631E-2</c:v>
                </c:pt>
                <c:pt idx="290">
                  <c:v>-4.4982806894862642E-2</c:v>
                </c:pt>
                <c:pt idx="291">
                  <c:v>-4.4989466908909002E-2</c:v>
                </c:pt>
                <c:pt idx="292">
                  <c:v>-4.4994516344379336E-2</c:v>
                </c:pt>
                <c:pt idx="293">
                  <c:v>-4.4997940232511767E-2</c:v>
                </c:pt>
                <c:pt idx="294">
                  <c:v>-4.4999723466119919E-2</c:v>
                </c:pt>
                <c:pt idx="295">
                  <c:v>-4.4999850863377495E-2</c:v>
                </c:pt>
                <c:pt idx="296">
                  <c:v>-4.4998309286415863E-2</c:v>
                </c:pt>
                <c:pt idx="297">
                  <c:v>-4.4995088236407757E-2</c:v>
                </c:pt>
                <c:pt idx="298">
                  <c:v>-4.4990177432361583E-2</c:v>
                </c:pt>
                <c:pt idx="299">
                  <c:v>-4.4983566652581505E-2</c:v>
                </c:pt>
                <c:pt idx="300">
                  <c:v>-4.4975245735219847E-2</c:v>
                </c:pt>
                <c:pt idx="301">
                  <c:v>-4.4965204578826093E-2</c:v>
                </c:pt>
                <c:pt idx="302">
                  <c:v>-4.4953433142892324E-2</c:v>
                </c:pt>
                <c:pt idx="303">
                  <c:v>-4.4939921448394995E-2</c:v>
                </c:pt>
                <c:pt idx="304">
                  <c:v>-4.4924659578333304E-2</c:v>
                </c:pt>
                <c:pt idx="305">
                  <c:v>-4.4907637678263765E-2</c:v>
                </c:pt>
                <c:pt idx="306">
                  <c:v>-4.4888845956831305E-2</c:v>
                </c:pt>
                <c:pt idx="307">
                  <c:v>-4.4868274686296554E-2</c:v>
                </c:pt>
                <c:pt idx="308">
                  <c:v>-4.4845914203059556E-2</c:v>
                </c:pt>
                <c:pt idx="309">
                  <c:v>-4.4821754908179676E-2</c:v>
                </c:pt>
                <c:pt idx="310">
                  <c:v>-4.4795787267891844E-2</c:v>
                </c:pt>
                <c:pt idx="311">
                  <c:v>-4.4768001814118989E-2</c:v>
                </c:pt>
                <c:pt idx="312">
                  <c:v>-4.4738389144980635E-2</c:v>
                </c:pt>
                <c:pt idx="313">
                  <c:v>-4.4706939925297867E-2</c:v>
                </c:pt>
                <c:pt idx="314">
                  <c:v>-4.4673644887094174E-2</c:v>
                </c:pt>
                <c:pt idx="315">
                  <c:v>-4.4638494830092745E-2</c:v>
                </c:pt>
                <c:pt idx="316">
                  <c:v>-4.4601480622209588E-2</c:v>
                </c:pt>
                <c:pt idx="317">
                  <c:v>-4.4562593200042966E-2</c:v>
                </c:pt>
                <c:pt idx="318">
                  <c:v>-4.4521823569358812E-2</c:v>
                </c:pt>
                <c:pt idx="319">
                  <c:v>-4.4479162805572139E-2</c:v>
                </c:pt>
                <c:pt idx="320">
                  <c:v>-4.4434602054224573E-2</c:v>
                </c:pt>
                <c:pt idx="321">
                  <c:v>-4.4388132531457875E-2</c:v>
                </c:pt>
                <c:pt idx="322">
                  <c:v>-4.4339745524483352E-2</c:v>
                </c:pt>
                <c:pt idx="323">
                  <c:v>-4.4289432392047322E-2</c:v>
                </c:pt>
                <c:pt idx="324">
                  <c:v>-4.4237184564892527E-2</c:v>
                </c:pt>
                <c:pt idx="325">
                  <c:v>-4.4182993546215382E-2</c:v>
                </c:pt>
                <c:pt idx="326">
                  <c:v>-4.4126850912119174E-2</c:v>
                </c:pt>
                <c:pt idx="327">
                  <c:v>-4.4068748312063158E-2</c:v>
                </c:pt>
                <c:pt idx="328">
                  <c:v>-4.4008677469307492E-2</c:v>
                </c:pt>
                <c:pt idx="329">
                  <c:v>-4.3946630181353953E-2</c:v>
                </c:pt>
                <c:pt idx="330">
                  <c:v>-4.3882598320382625E-2</c:v>
                </c:pt>
                <c:pt idx="331">
                  <c:v>-4.3816573833684147E-2</c:v>
                </c:pt>
                <c:pt idx="332">
                  <c:v>-4.3748548744088039E-2</c:v>
                </c:pt>
                <c:pt idx="333">
                  <c:v>-4.3678515150386531E-2</c:v>
                </c:pt>
                <c:pt idx="334">
                  <c:v>-4.3606465227754278E-2</c:v>
                </c:pt>
                <c:pt idx="335">
                  <c:v>-4.3532391228163748E-2</c:v>
                </c:pt>
                <c:pt idx="336">
                  <c:v>-4.3456285480796393E-2</c:v>
                </c:pt>
                <c:pt idx="337">
                  <c:v>-4.3378140392449402E-2</c:v>
                </c:pt>
                <c:pt idx="338">
                  <c:v>-4.3297948447938203E-2</c:v>
                </c:pt>
                <c:pt idx="339">
                  <c:v>-4.321570221049463E-2</c:v>
                </c:pt>
                <c:pt idx="340">
                  <c:v>-4.3131394322160656E-2</c:v>
                </c:pt>
                <c:pt idx="341">
                  <c:v>-4.3045017504177892E-2</c:v>
                </c:pt>
                <c:pt idx="342">
                  <c:v>-4.295656455737254E-2</c:v>
                </c:pt>
                <c:pt idx="343">
                  <c:v>-4.2866028362536043E-2</c:v>
                </c:pt>
                <c:pt idx="344">
                  <c:v>-4.2773401880801282E-2</c:v>
                </c:pt>
                <c:pt idx="345">
                  <c:v>-4.2678678154014341E-2</c:v>
                </c:pt>
                <c:pt idx="346">
                  <c:v>-4.2581850305101823E-2</c:v>
                </c:pt>
                <c:pt idx="347">
                  <c:v>-4.2482911538433719E-2</c:v>
                </c:pt>
                <c:pt idx="348">
                  <c:v>-4.2381855140181758E-2</c:v>
                </c:pt>
                <c:pt idx="349">
                  <c:v>-4.2278674478673353E-2</c:v>
                </c:pt>
                <c:pt idx="350">
                  <c:v>-4.217336300474088E-2</c:v>
                </c:pt>
                <c:pt idx="351">
                  <c:v>-4.2065914252066669E-2</c:v>
                </c:pt>
                <c:pt idx="352">
                  <c:v>-4.1956321837523229E-2</c:v>
                </c:pt>
                <c:pt idx="353">
                  <c:v>-4.1844579461509102E-2</c:v>
                </c:pt>
                <c:pt idx="354">
                  <c:v>-4.1730680908280103E-2</c:v>
                </c:pt>
                <c:pt idx="355">
                  <c:v>-4.1614620046275974E-2</c:v>
                </c:pt>
                <c:pt idx="356">
                  <c:v>-4.1496390828442455E-2</c:v>
                </c:pt>
                <c:pt idx="357">
                  <c:v>-4.1375987292548877E-2</c:v>
                </c:pt>
                <c:pt idx="358">
                  <c:v>-4.1253403561500944E-2</c:v>
                </c:pt>
                <c:pt idx="359">
                  <c:v>-4.1128633843649169E-2</c:v>
                </c:pt>
                <c:pt idx="360">
                  <c:v>-4.1001672433092405E-2</c:v>
                </c:pt>
                <c:pt idx="361">
                  <c:v>-4.0872513709977056E-2</c:v>
                </c:pt>
                <c:pt idx="362">
                  <c:v>-4.0741152140791263E-2</c:v>
                </c:pt>
                <c:pt idx="363">
                  <c:v>-4.0607582278654894E-2</c:v>
                </c:pt>
                <c:pt idx="364">
                  <c:v>-4.0471798763604516E-2</c:v>
                </c:pt>
                <c:pt idx="365">
                  <c:v>-4.0333796322873788E-2</c:v>
                </c:pt>
                <c:pt idx="366">
                  <c:v>-4.0193569771169321E-2</c:v>
                </c:pt>
                <c:pt idx="367">
                  <c:v>-4.005111401094167E-2</c:v>
                </c:pt>
                <c:pt idx="368">
                  <c:v>-3.9906424032651738E-2</c:v>
                </c:pt>
                <c:pt idx="369">
                  <c:v>-3.9759494915032452E-2</c:v>
                </c:pt>
                <c:pt idx="370">
                  <c:v>-3.9610321825345768E-2</c:v>
                </c:pt>
                <c:pt idx="371">
                  <c:v>-3.9458900019634861E-2</c:v>
                </c:pt>
                <c:pt idx="372">
                  <c:v>-3.9305224842971727E-2</c:v>
                </c:pt>
                <c:pt idx="373">
                  <c:v>-3.9149291729699942E-2</c:v>
                </c:pt>
                <c:pt idx="374">
                  <c:v>-3.899109620367279E-2</c:v>
                </c:pt>
                <c:pt idx="375">
                  <c:v>-3.8830633878486599E-2</c:v>
                </c:pt>
                <c:pt idx="376">
                  <c:v>-3.8667900457709292E-2</c:v>
                </c:pt>
                <c:pt idx="377">
                  <c:v>-3.8502891735104308E-2</c:v>
                </c:pt>
                <c:pt idx="378">
                  <c:v>-3.8335603594849638E-2</c:v>
                </c:pt>
                <c:pt idx="379">
                  <c:v>-3.8166032011752213E-2</c:v>
                </c:pt>
                <c:pt idx="380">
                  <c:v>-3.7994173051457449E-2</c:v>
                </c:pt>
                <c:pt idx="381">
                  <c:v>-3.7820022870654078E-2</c:v>
                </c:pt>
                <c:pt idx="382">
                  <c:v>-3.7643577717274168E-2</c:v>
                </c:pt>
                <c:pt idx="383">
                  <c:v>-3.7464833930688432E-2</c:v>
                </c:pt>
                <c:pt idx="384">
                  <c:v>-3.7283787941896691E-2</c:v>
                </c:pt>
                <c:pt idx="385">
                  <c:v>-3.7100436273713608E-2</c:v>
                </c:pt>
                <c:pt idx="386">
                  <c:v>-3.6914775540949622E-2</c:v>
                </c:pt>
                <c:pt idx="387">
                  <c:v>-3.6726802450587112E-2</c:v>
                </c:pt>
                <c:pt idx="388">
                  <c:v>-3.6536513801951706E-2</c:v>
                </c:pt>
                <c:pt idx="389">
                  <c:v>-3.6343906486878991E-2</c:v>
                </c:pt>
                <c:pt idx="390">
                  <c:v>-3.6148977489876229E-2</c:v>
                </c:pt>
                <c:pt idx="391">
                  <c:v>-3.595172388827933E-2</c:v>
                </c:pt>
                <c:pt idx="392">
                  <c:v>-3.5752142852405168E-2</c:v>
                </c:pt>
                <c:pt idx="393">
                  <c:v>-3.5550231645698968E-2</c:v>
                </c:pt>
                <c:pt idx="394">
                  <c:v>-3.5345987624876986E-2</c:v>
                </c:pt>
                <c:pt idx="395">
                  <c:v>-3.5139408240064243E-2</c:v>
                </c:pt>
                <c:pt idx="396">
                  <c:v>-3.4930491034927832E-2</c:v>
                </c:pt>
                <c:pt idx="397">
                  <c:v>-3.4719233646804987E-2</c:v>
                </c:pt>
                <c:pt idx="398">
                  <c:v>-3.450563380682669E-2</c:v>
                </c:pt>
                <c:pt idx="399">
                  <c:v>-3.4289689340036365E-2</c:v>
                </c:pt>
                <c:pt idx="400">
                  <c:v>-3.4071398165503808E-2</c:v>
                </c:pt>
                <c:pt idx="401">
                  <c:v>-3.3850758296434393E-2</c:v>
                </c:pt>
                <c:pt idx="402">
                  <c:v>-3.3627767840273375E-2</c:v>
                </c:pt>
                <c:pt idx="403">
                  <c:v>-3.3402424998805545E-2</c:v>
                </c:pt>
                <c:pt idx="404">
                  <c:v>-3.3174728068250038E-2</c:v>
                </c:pt>
                <c:pt idx="405">
                  <c:v>-3.2944675439350479E-2</c:v>
                </c:pt>
                <c:pt idx="406">
                  <c:v>-3.2712265597460169E-2</c:v>
                </c:pt>
                <c:pt idx="407">
                  <c:v>-3.2477497122622691E-2</c:v>
                </c:pt>
                <c:pt idx="408">
                  <c:v>-3.224036868964774E-2</c:v>
                </c:pt>
                <c:pt idx="409">
                  <c:v>-3.2000879068182039E-2</c:v>
                </c:pt>
                <c:pt idx="410">
                  <c:v>-3.1759027122775736E-2</c:v>
                </c:pt>
                <c:pt idx="411">
                  <c:v>-3.1514811812943938E-2</c:v>
                </c:pt>
                <c:pt idx="412">
                  <c:v>-3.1268232193223444E-2</c:v>
                </c:pt>
                <c:pt idx="413">
                  <c:v>-3.1019287413224905E-2</c:v>
                </c:pt>
                <c:pt idx="414">
                  <c:v>-3.0767976717680154E-2</c:v>
                </c:pt>
                <c:pt idx="415">
                  <c:v>-3.0514299446484781E-2</c:v>
                </c:pt>
                <c:pt idx="416">
                  <c:v>-3.0258255034736167E-2</c:v>
                </c:pt>
                <c:pt idx="417">
                  <c:v>-2.999984301276664E-2</c:v>
                </c:pt>
                <c:pt idx="418">
                  <c:v>-2.9739063006171948E-2</c:v>
                </c:pt>
                <c:pt idx="419">
                  <c:v>-2.9475914735835159E-2</c:v>
                </c:pt>
                <c:pt idx="420">
                  <c:v>-2.921039801794573E-2</c:v>
                </c:pt>
                <c:pt idx="421">
                  <c:v>-2.8942512764014126E-2</c:v>
                </c:pt>
                <c:pt idx="422">
                  <c:v>-2.8672258980881379E-2</c:v>
                </c:pt>
                <c:pt idx="423">
                  <c:v>-2.8399636770724448E-2</c:v>
                </c:pt>
                <c:pt idx="424">
                  <c:v>-2.8124646331056539E-2</c:v>
                </c:pt>
                <c:pt idx="425">
                  <c:v>-2.7847287954723091E-2</c:v>
                </c:pt>
                <c:pt idx="426">
                  <c:v>-2.7567562029892828E-2</c:v>
                </c:pt>
                <c:pt idx="427">
                  <c:v>-2.7285469040044509E-2</c:v>
                </c:pt>
                <c:pt idx="428">
                  <c:v>-2.7001009563948845E-2</c:v>
                </c:pt>
                <c:pt idx="429">
                  <c:v>-2.6714184275645769E-2</c:v>
                </c:pt>
                <c:pt idx="430">
                  <c:v>-2.6424993944417385E-2</c:v>
                </c:pt>
                <c:pt idx="431">
                  <c:v>-2.6133439434755972E-2</c:v>
                </c:pt>
                <c:pt idx="432">
                  <c:v>-2.5839521706327848E-2</c:v>
                </c:pt>
                <c:pt idx="433">
                  <c:v>-2.5543241813932138E-2</c:v>
                </c:pt>
                <c:pt idx="434">
                  <c:v>-2.5244600907455544E-2</c:v>
                </c:pt>
                <c:pt idx="435">
                  <c:v>-2.4943600231822127E-2</c:v>
                </c:pt>
                <c:pt idx="436">
                  <c:v>-2.4640241126938887E-2</c:v>
                </c:pt>
                <c:pt idx="437">
                  <c:v>-2.4334525027636542E-2</c:v>
                </c:pt>
                <c:pt idx="438">
                  <c:v>-2.4026453463606171E-2</c:v>
                </c:pt>
                <c:pt idx="439">
                  <c:v>-2.3716028059330957E-2</c:v>
                </c:pt>
                <c:pt idx="440">
                  <c:v>-2.3403250534013684E-2</c:v>
                </c:pt>
                <c:pt idx="441">
                  <c:v>-2.3088122701499819E-2</c:v>
                </c:pt>
                <c:pt idx="442">
                  <c:v>-2.2770646470195968E-2</c:v>
                </c:pt>
                <c:pt idx="443">
                  <c:v>-2.2450823842984052E-2</c:v>
                </c:pt>
                <c:pt idx="444">
                  <c:v>-2.2128656917130878E-2</c:v>
                </c:pt>
                <c:pt idx="445">
                  <c:v>-2.1804147884193624E-2</c:v>
                </c:pt>
                <c:pt idx="446">
                  <c:v>-2.1477299029920408E-2</c:v>
                </c:pt>
                <c:pt idx="447">
                  <c:v>-2.1148112734147136E-2</c:v>
                </c:pt>
                <c:pt idx="448">
                  <c:v>-2.0816591470689344E-2</c:v>
                </c:pt>
                <c:pt idx="449">
                  <c:v>-2.0482737807230127E-2</c:v>
                </c:pt>
                <c:pt idx="450">
                  <c:v>-2.0146554405203604E-2</c:v>
                </c:pt>
                <c:pt idx="451">
                  <c:v>-1.9808044019673916E-2</c:v>
                </c:pt>
                <c:pt idx="452">
                  <c:v>-1.9467209499210159E-2</c:v>
                </c:pt>
                <c:pt idx="453">
                  <c:v>-1.9124053785756906E-2</c:v>
                </c:pt>
                <c:pt idx="454">
                  <c:v>-1.877857991450043E-2</c:v>
                </c:pt>
                <c:pt idx="455">
                  <c:v>-1.8430791013730644E-2</c:v>
                </c:pt>
                <c:pt idx="456">
                  <c:v>-1.8080690304699051E-2</c:v>
                </c:pt>
                <c:pt idx="457">
                  <c:v>-1.7728281101472055E-2</c:v>
                </c:pt>
                <c:pt idx="458">
                  <c:v>-1.7373566810780505E-2</c:v>
                </c:pt>
                <c:pt idx="459">
                  <c:v>-1.7016550931864653E-2</c:v>
                </c:pt>
                <c:pt idx="460">
                  <c:v>-1.6657237056315277E-2</c:v>
                </c:pt>
                <c:pt idx="461">
                  <c:v>-1.6295628867910444E-2</c:v>
                </c:pt>
                <c:pt idx="462">
                  <c:v>-1.5931730142448069E-2</c:v>
                </c:pt>
                <c:pt idx="463">
                  <c:v>-1.5565544747574813E-2</c:v>
                </c:pt>
                <c:pt idx="464">
                  <c:v>-1.5197076642610108E-2</c:v>
                </c:pt>
                <c:pt idx="465">
                  <c:v>-1.482632987836693E-2</c:v>
                </c:pt>
                <c:pt idx="466">
                  <c:v>-1.4453308596967836E-2</c:v>
                </c:pt>
                <c:pt idx="467">
                  <c:v>-1.4078017031657491E-2</c:v>
                </c:pt>
                <c:pt idx="468">
                  <c:v>-1.3700459506610649E-2</c:v>
                </c:pt>
                <c:pt idx="469">
                  <c:v>-1.3320640436736692E-2</c:v>
                </c:pt>
                <c:pt idx="470">
                  <c:v>-1.2938564327479644E-2</c:v>
                </c:pt>
                <c:pt idx="471">
                  <c:v>-1.2554235774614637E-2</c:v>
                </c:pt>
                <c:pt idx="472">
                  <c:v>-1.2167659464040182E-2</c:v>
                </c:pt>
                <c:pt idx="473">
                  <c:v>-1.1778840171566612E-2</c:v>
                </c:pt>
                <c:pt idx="474">
                  <c:v>-1.1387782762700631E-2</c:v>
                </c:pt>
                <c:pt idx="475">
                  <c:v>-1.0994492192425849E-2</c:v>
                </c:pt>
                <c:pt idx="476">
                  <c:v>-1.0598973504979728E-2</c:v>
                </c:pt>
                <c:pt idx="477">
                  <c:v>-1.0201231833626298E-2</c:v>
                </c:pt>
                <c:pt idx="478">
                  <c:v>-9.8012724004254616E-3</c:v>
                </c:pt>
                <c:pt idx="479">
                  <c:v>-9.3991005159981267E-3</c:v>
                </c:pt>
                <c:pt idx="480">
                  <c:v>-8.9947215792878822E-3</c:v>
                </c:pt>
                <c:pt idx="481">
                  <c:v>-8.5881410773185965E-3</c:v>
                </c:pt>
                <c:pt idx="482">
                  <c:v>-8.1793645849486049E-3</c:v>
                </c:pt>
                <c:pt idx="483">
                  <c:v>-7.7683977646209081E-3</c:v>
                </c:pt>
                <c:pt idx="484">
                  <c:v>-7.3552463661098692E-3</c:v>
                </c:pt>
                <c:pt idx="485">
                  <c:v>-6.9399162262641133E-3</c:v>
                </c:pt>
                <c:pt idx="486">
                  <c:v>-6.5224132687457708E-3</c:v>
                </c:pt>
                <c:pt idx="487">
                  <c:v>-6.1027435037663124E-3</c:v>
                </c:pt>
                <c:pt idx="488">
                  <c:v>-5.6809130278184143E-3</c:v>
                </c:pt>
                <c:pt idx="489">
                  <c:v>-5.2569280234047019E-3</c:v>
                </c:pt>
                <c:pt idx="490">
                  <c:v>-4.8307947587624021E-3</c:v>
                </c:pt>
                <c:pt idx="491">
                  <c:v>-4.4025195875849353E-3</c:v>
                </c:pt>
                <c:pt idx="492">
                  <c:v>-3.9721089487397953E-3</c:v>
                </c:pt>
                <c:pt idx="493">
                  <c:v>-3.5395693659827782E-3</c:v>
                </c:pt>
                <c:pt idx="494">
                  <c:v>-3.1049074476692212E-3</c:v>
                </c:pt>
                <c:pt idx="495">
                  <c:v>-2.6681298864611337E-3</c:v>
                </c:pt>
                <c:pt idx="496">
                  <c:v>-2.2292434590316383E-3</c:v>
                </c:pt>
                <c:pt idx="497">
                  <c:v>-1.7882550257653541E-3</c:v>
                </c:pt>
                <c:pt idx="498">
                  <c:v>-1.3451715304559613E-3</c:v>
                </c:pt>
                <c:pt idx="499">
                  <c:v>-9.000000000000157E-4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8C-44EC-91AE-89C4210D34B8}"/>
            </c:ext>
          </c:extLst>
        </c:ser>
        <c:ser>
          <c:idx val="3"/>
          <c:order val="3"/>
          <c:tx>
            <c:v>Leading-edge Radius</c:v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Data3!$AC$1:$AC$50</c:f>
              <c:numCache>
                <c:formatCode>0.000</c:formatCode>
                <c:ptCount val="50"/>
                <c:pt idx="0">
                  <c:v>1.7850296024999993E-2</c:v>
                </c:pt>
                <c:pt idx="1">
                  <c:v>1.7777020683191886E-2</c:v>
                </c:pt>
                <c:pt idx="2">
                  <c:v>1.7558397836854246E-2</c:v>
                </c:pt>
                <c:pt idx="3">
                  <c:v>1.7198017267079785E-2</c:v>
                </c:pt>
                <c:pt idx="4">
                  <c:v>1.6701796412860938E-2</c:v>
                </c:pt>
                <c:pt idx="5">
                  <c:v>1.6077883206905216E-2</c:v>
                </c:pt>
                <c:pt idx="6">
                  <c:v>1.5336522286805394E-2</c:v>
                </c:pt>
                <c:pt idx="7">
                  <c:v>1.4489886778373491E-2</c:v>
                </c:pt>
                <c:pt idx="8">
                  <c:v>1.355187841325145E-2</c:v>
                </c:pt>
                <c:pt idx="9">
                  <c:v>1.2537899262861937E-2</c:v>
                </c:pt>
                <c:pt idx="10">
                  <c:v>1.1464598836821381E-2</c:v>
                </c:pt>
                <c:pt idx="11">
                  <c:v>1.0349600698452373E-2</c:v>
                </c:pt>
                <c:pt idx="12">
                  <c:v>9.2112130863611502E-3</c:v>
                </c:pt>
                <c:pt idx="13">
                  <c:v>8.0681282936658216E-3</c:v>
                </c:pt>
                <c:pt idx="14">
                  <c:v>6.9391157410601603E-3</c:v>
                </c:pt>
                <c:pt idx="15">
                  <c:v>5.8427137834447156E-3</c:v>
                </c:pt>
                <c:pt idx="16">
                  <c:v>4.7969253106518641E-3</c:v>
                </c:pt>
                <c:pt idx="17">
                  <c:v>3.8189221404924829E-3</c:v>
                </c:pt>
                <c:pt idx="18">
                  <c:v>2.9247630579822318E-3</c:v>
                </c:pt>
                <c:pt idx="19">
                  <c:v>2.1291301305355662E-3</c:v>
                </c:pt>
                <c:pt idx="20">
                  <c:v>1.4450876288247007E-3</c:v>
                </c:pt>
                <c:pt idx="21">
                  <c:v>8.8386751181635231E-4</c:v>
                </c:pt>
                <c:pt idx="22">
                  <c:v>4.5468499831603077E-4</c:v>
                </c:pt>
                <c:pt idx="23">
                  <c:v>1.6458725333001972E-4</c:v>
                </c:pt>
                <c:pt idx="24">
                  <c:v>1.8337673810804733E-5</c:v>
                </c:pt>
                <c:pt idx="25">
                  <c:v>1.8337673810802751E-5</c:v>
                </c:pt>
                <c:pt idx="26">
                  <c:v>1.6458725333001476E-4</c:v>
                </c:pt>
                <c:pt idx="27">
                  <c:v>4.5468499831602388E-4</c:v>
                </c:pt>
                <c:pt idx="28">
                  <c:v>8.8386751181634244E-4</c:v>
                </c:pt>
                <c:pt idx="29">
                  <c:v>1.4450876288246888E-3</c:v>
                </c:pt>
                <c:pt idx="30">
                  <c:v>2.1291301305355515E-3</c:v>
                </c:pt>
                <c:pt idx="31">
                  <c:v>2.9247630579822157E-3</c:v>
                </c:pt>
                <c:pt idx="32">
                  <c:v>3.8189221404924681E-3</c:v>
                </c:pt>
                <c:pt idx="33">
                  <c:v>4.7969253106518511E-3</c:v>
                </c:pt>
                <c:pt idx="34">
                  <c:v>5.8427137834447052E-3</c:v>
                </c:pt>
                <c:pt idx="35">
                  <c:v>6.9391157410601525E-3</c:v>
                </c:pt>
                <c:pt idx="36">
                  <c:v>8.0681282936658164E-3</c:v>
                </c:pt>
                <c:pt idx="37">
                  <c:v>9.2112130863611485E-3</c:v>
                </c:pt>
                <c:pt idx="38">
                  <c:v>1.0349600698452378E-2</c:v>
                </c:pt>
                <c:pt idx="39">
                  <c:v>1.1464598836821388E-2</c:v>
                </c:pt>
                <c:pt idx="40">
                  <c:v>1.2537899262861949E-2</c:v>
                </c:pt>
                <c:pt idx="41">
                  <c:v>1.3551878413251464E-2</c:v>
                </c:pt>
                <c:pt idx="42">
                  <c:v>1.4489886778373507E-2</c:v>
                </c:pt>
                <c:pt idx="43">
                  <c:v>1.5336522286805413E-2</c:v>
                </c:pt>
                <c:pt idx="44">
                  <c:v>1.607788320690523E-2</c:v>
                </c:pt>
                <c:pt idx="45">
                  <c:v>1.6701796412860955E-2</c:v>
                </c:pt>
                <c:pt idx="46">
                  <c:v>1.7198017267079799E-2</c:v>
                </c:pt>
                <c:pt idx="47">
                  <c:v>1.7558397836854256E-2</c:v>
                </c:pt>
                <c:pt idx="48">
                  <c:v>1.7777020683191893E-2</c:v>
                </c:pt>
                <c:pt idx="49">
                  <c:v>1.7850296024999993E-2</c:v>
                </c:pt>
              </c:numCache>
            </c:numRef>
          </c:xVal>
          <c:yVal>
            <c:numRef>
              <c:f>Data3!$AD$1:$AD$50</c:f>
              <c:numCache>
                <c:formatCode>0.000</c:formatCode>
                <c:ptCount val="50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64-4846-852F-FDF777AE02D6}"/>
            </c:ext>
          </c:extLst>
        </c:ser>
        <c:ser>
          <c:idx val="4"/>
          <c:order val="4"/>
          <c:tx>
            <c:v>Chord line</c:v>
          </c:tx>
          <c:spPr>
            <a:ln w="63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Data3!$B$1:$B$500</c:f>
              <c:numCache>
                <c:formatCode>0.000000</c:formatCode>
                <c:ptCount val="500"/>
                <c:pt idx="0">
                  <c:v>0</c:v>
                </c:pt>
                <c:pt idx="1">
                  <c:v>4.9545966939179564E-6</c:v>
                </c:pt>
                <c:pt idx="2">
                  <c:v>1.9818337679722298E-5</c:v>
                </c:pt>
                <c:pt idx="3">
                  <c:v>4.4591075669564439E-5</c:v>
                </c:pt>
                <c:pt idx="4">
                  <c:v>7.9272565185806165E-5</c:v>
                </c:pt>
                <c:pt idx="5">
                  <c:v>1.2386246256268496E-4</c:v>
                </c:pt>
                <c:pt idx="6">
                  <c:v>1.7836032595031082E-4</c:v>
                </c:pt>
                <c:pt idx="7">
                  <c:v>2.4276561531888508E-4</c:v>
                </c:pt>
                <c:pt idx="8">
                  <c:v>3.1707769246391848E-4</c:v>
                </c:pt>
                <c:pt idx="9">
                  <c:v>4.0129582101267047E-4</c:v>
                </c:pt>
                <c:pt idx="10">
                  <c:v>4.9541916643136563E-4</c:v>
                </c:pt>
                <c:pt idx="11">
                  <c:v>5.9944679603363138E-4</c:v>
                </c:pt>
                <c:pt idx="12">
                  <c:v>7.133776789896018E-4</c:v>
                </c:pt>
                <c:pt idx="13">
                  <c:v>8.3721068633602069E-4</c:v>
                </c:pt>
                <c:pt idx="14">
                  <c:v>9.7094459098767683E-4</c:v>
                </c:pt>
                <c:pt idx="15">
                  <c:v>1.1145780677496164E-3</c:v>
                </c:pt>
                <c:pt idx="16">
                  <c:v>1.2681096933296887E-3</c:v>
                </c:pt>
                <c:pt idx="17">
                  <c:v>1.4315379463535338E-3</c:v>
                </c:pt>
                <c:pt idx="18">
                  <c:v>1.6048612073787938E-3</c:v>
                </c:pt>
                <c:pt idx="19">
                  <c:v>1.7880777589119878E-3</c:v>
                </c:pt>
                <c:pt idx="20">
                  <c:v>1.9811857854247217E-3</c:v>
                </c:pt>
                <c:pt idx="21">
                  <c:v>2.1841833733722282E-3</c:v>
                </c:pt>
                <c:pt idx="22">
                  <c:v>2.3970685112121304E-3</c:v>
                </c:pt>
                <c:pt idx="23">
                  <c:v>2.619839089424536E-3</c:v>
                </c:pt>
                <c:pt idx="24">
                  <c:v>2.8524929005325772E-3</c:v>
                </c:pt>
                <c:pt idx="25">
                  <c:v>3.0950276391248366E-3</c:v>
                </c:pt>
                <c:pt idx="26">
                  <c:v>3.3474409018774409E-3</c:v>
                </c:pt>
                <c:pt idx="27">
                  <c:v>3.609730187578708E-3</c:v>
                </c:pt>
                <c:pt idx="28">
                  <c:v>3.8818928971533495E-3</c:v>
                </c:pt>
                <c:pt idx="29">
                  <c:v>4.1639263336883392E-3</c:v>
                </c:pt>
                <c:pt idx="30">
                  <c:v>4.4558277024601134E-3</c:v>
                </c:pt>
                <c:pt idx="31">
                  <c:v>4.7575941109612163E-3</c:v>
                </c:pt>
                <c:pt idx="32">
                  <c:v>5.0692225689300541E-3</c:v>
                </c:pt>
                <c:pt idx="33">
                  <c:v>5.3907099883800935E-3</c:v>
                </c:pt>
                <c:pt idx="34">
                  <c:v>5.7220531836302824E-3</c:v>
                </c:pt>
                <c:pt idx="35">
                  <c:v>6.0632488713366905E-3</c:v>
                </c:pt>
                <c:pt idx="36">
                  <c:v>6.4142936705253728E-3</c:v>
                </c:pt>
                <c:pt idx="37">
                  <c:v>6.7751841026255644E-3</c:v>
                </c:pt>
                <c:pt idx="38">
                  <c:v>7.1459165915040979E-3</c:v>
                </c:pt>
                <c:pt idx="39">
                  <c:v>7.5264874635010415E-3</c:v>
                </c:pt>
                <c:pt idx="40">
                  <c:v>7.9168929474660032E-3</c:v>
                </c:pt>
                <c:pt idx="41">
                  <c:v>8.3171291747956566E-3</c:v>
                </c:pt>
                <c:pt idx="42">
                  <c:v>8.727192179471821E-3</c:v>
                </c:pt>
                <c:pt idx="43">
                  <c:v>9.1470778981007639E-3</c:v>
                </c:pt>
                <c:pt idx="44">
                  <c:v>9.5767821699537237E-3</c:v>
                </c:pt>
                <c:pt idx="45">
                  <c:v>1.0016300737007988E-2</c:v>
                </c:pt>
                <c:pt idx="46">
                  <c:v>1.0465629243989194E-2</c:v>
                </c:pt>
                <c:pt idx="47">
                  <c:v>1.092476323841407E-2</c:v>
                </c:pt>
                <c:pt idx="48">
                  <c:v>1.1393698170635291E-2</c:v>
                </c:pt>
                <c:pt idx="49">
                  <c:v>1.1872429393885775E-2</c:v>
                </c:pt>
                <c:pt idx="50">
                  <c:v>1.2360952164325312E-2</c:v>
                </c:pt>
                <c:pt idx="51">
                  <c:v>1.2859261641087194E-2</c:v>
                </c:pt>
                <c:pt idx="52">
                  <c:v>1.3367352886326511E-2</c:v>
                </c:pt>
                <c:pt idx="53">
                  <c:v>1.3885220865268999E-2</c:v>
                </c:pt>
                <c:pt idx="54">
                  <c:v>1.4412860446260445E-2</c:v>
                </c:pt>
                <c:pt idx="55">
                  <c:v>1.4950266400818424E-2</c:v>
                </c:pt>
                <c:pt idx="56">
                  <c:v>1.5497433403683258E-2</c:v>
                </c:pt>
                <c:pt idx="57">
                  <c:v>1.605435603287142E-2</c:v>
                </c:pt>
                <c:pt idx="58">
                  <c:v>1.6621028769728818E-2</c:v>
                </c:pt>
                <c:pt idx="59">
                  <c:v>1.719744599898565E-2</c:v>
                </c:pt>
                <c:pt idx="60">
                  <c:v>1.7783602008812238E-2</c:v>
                </c:pt>
                <c:pt idx="61">
                  <c:v>1.8379490990875214E-2</c:v>
                </c:pt>
                <c:pt idx="62">
                  <c:v>1.8985107040395466E-2</c:v>
                </c:pt>
                <c:pt idx="63">
                  <c:v>1.9600444156206542E-2</c:v>
                </c:pt>
                <c:pt idx="64">
                  <c:v>2.0225496240813712E-2</c:v>
                </c:pt>
                <c:pt idx="65">
                  <c:v>2.0860257100455248E-2</c:v>
                </c:pt>
                <c:pt idx="66">
                  <c:v>2.1504720445162939E-2</c:v>
                </c:pt>
                <c:pt idx="67">
                  <c:v>2.2158879888824812E-2</c:v>
                </c:pt>
                <c:pt idx="68">
                  <c:v>2.2822728949248527E-2</c:v>
                </c:pt>
                <c:pt idx="69">
                  <c:v>2.349626104822522E-2</c:v>
                </c:pt>
                <c:pt idx="70">
                  <c:v>2.4179469511595331E-2</c:v>
                </c:pt>
                <c:pt idx="71">
                  <c:v>2.487234756931378E-2</c:v>
                </c:pt>
                <c:pt idx="72">
                  <c:v>2.5574888355518133E-2</c:v>
                </c:pt>
                <c:pt idx="73">
                  <c:v>2.6287084908595659E-2</c:v>
                </c:pt>
                <c:pt idx="74">
                  <c:v>2.7008930171253165E-2</c:v>
                </c:pt>
                <c:pt idx="75">
                  <c:v>2.7740416990586381E-2</c:v>
                </c:pt>
                <c:pt idx="76">
                  <c:v>2.8481538118150684E-2</c:v>
                </c:pt>
                <c:pt idx="77">
                  <c:v>2.923228621003382E-2</c:v>
                </c:pt>
                <c:pt idx="78">
                  <c:v>2.9992653826927507E-2</c:v>
                </c:pt>
                <c:pt idx="79">
                  <c:v>3.0762633434202158E-2</c:v>
                </c:pt>
                <c:pt idx="80">
                  <c:v>3.1542217401980821E-2</c:v>
                </c:pt>
                <c:pt idx="81">
                  <c:v>3.2331398005215228E-2</c:v>
                </c:pt>
                <c:pt idx="82">
                  <c:v>3.313016742376218E-2</c:v>
                </c:pt>
                <c:pt idx="83">
                  <c:v>3.3938517742461038E-2</c:v>
                </c:pt>
                <c:pt idx="84">
                  <c:v>3.475644095121222E-2</c:v>
                </c:pt>
                <c:pt idx="85">
                  <c:v>3.5583928945056353E-2</c:v>
                </c:pt>
                <c:pt idx="86">
                  <c:v>3.6420973524254996E-2</c:v>
                </c:pt>
                <c:pt idx="87">
                  <c:v>3.7267566394371454E-2</c:v>
                </c:pt>
                <c:pt idx="88">
                  <c:v>3.8123699166353275E-2</c:v>
                </c:pt>
                <c:pt idx="89">
                  <c:v>3.8989363356615403E-2</c:v>
                </c:pt>
                <c:pt idx="90">
                  <c:v>3.9864550387123776E-2</c:v>
                </c:pt>
                <c:pt idx="91">
                  <c:v>4.0749251585480817E-2</c:v>
                </c:pt>
                <c:pt idx="92">
                  <c:v>4.1643458185011473E-2</c:v>
                </c:pt>
                <c:pt idx="93">
                  <c:v>4.2547161324849481E-2</c:v>
                </c:pt>
                <c:pt idx="94">
                  <c:v>4.346035205002563E-2</c:v>
                </c:pt>
                <c:pt idx="95">
                  <c:v>4.4383021311556581E-2</c:v>
                </c:pt>
                <c:pt idx="96">
                  <c:v>4.5315159966534124E-2</c:v>
                </c:pt>
                <c:pt idx="97">
                  <c:v>4.625675877821589E-2</c:v>
                </c:pt>
                <c:pt idx="98">
                  <c:v>4.7207808416117381E-2</c:v>
                </c:pt>
                <c:pt idx="99">
                  <c:v>4.8168299456103791E-2</c:v>
                </c:pt>
                <c:pt idx="100">
                  <c:v>4.9138222380483598E-2</c:v>
                </c:pt>
                <c:pt idx="101">
                  <c:v>5.0117567578102928E-2</c:v>
                </c:pt>
                <c:pt idx="102">
                  <c:v>5.1106325344440817E-2</c:v>
                </c:pt>
                <c:pt idx="103">
                  <c:v>5.2104485881705465E-2</c:v>
                </c:pt>
                <c:pt idx="104">
                  <c:v>5.3112039298931046E-2</c:v>
                </c:pt>
                <c:pt idx="105">
                  <c:v>5.4128975612075858E-2</c:v>
                </c:pt>
                <c:pt idx="106">
                  <c:v>5.5155284744121347E-2</c:v>
                </c:pt>
                <c:pt idx="107">
                  <c:v>5.6190956525171698E-2</c:v>
                </c:pt>
                <c:pt idx="108">
                  <c:v>5.7235980692555199E-2</c:v>
                </c:pt>
                <c:pt idx="109">
                  <c:v>5.8290346890925049E-2</c:v>
                </c:pt>
                <c:pt idx="110">
                  <c:v>5.9354044672362938E-2</c:v>
                </c:pt>
                <c:pt idx="111">
                  <c:v>6.0427063496481526E-2</c:v>
                </c:pt>
                <c:pt idx="112">
                  <c:v>6.1509392730530021E-2</c:v>
                </c:pt>
                <c:pt idx="113">
                  <c:v>6.2601021649498656E-2</c:v>
                </c:pt>
                <c:pt idx="114">
                  <c:v>6.3701939436225374E-2</c:v>
                </c:pt>
                <c:pt idx="115">
                  <c:v>6.4812135181502861E-2</c:v>
                </c:pt>
                <c:pt idx="116">
                  <c:v>6.5931597884186899E-2</c:v>
                </c:pt>
                <c:pt idx="117">
                  <c:v>6.7060316451305058E-2</c:v>
                </c:pt>
                <c:pt idx="118">
                  <c:v>6.8198279698166608E-2</c:v>
                </c:pt>
                <c:pt idx="119">
                  <c:v>6.9345476348473767E-2</c:v>
                </c:pt>
                <c:pt idx="120">
                  <c:v>7.050189503443316E-2</c:v>
                </c:pt>
                <c:pt idx="121">
                  <c:v>7.1667524296868401E-2</c:v>
                </c:pt>
                <c:pt idx="122">
                  <c:v>7.2842352585333559E-2</c:v>
                </c:pt>
                <c:pt idx="123">
                  <c:v>7.4026368258227948E-2</c:v>
                </c:pt>
                <c:pt idx="124">
                  <c:v>7.5219559582911377E-2</c:v>
                </c:pt>
                <c:pt idx="125">
                  <c:v>7.6421914735820273E-2</c:v>
                </c:pt>
                <c:pt idx="126">
                  <c:v>7.7633421802584812E-2</c:v>
                </c:pt>
                <c:pt idx="127">
                  <c:v>7.8854068778147268E-2</c:v>
                </c:pt>
                <c:pt idx="128">
                  <c:v>8.0083843566880586E-2</c:v>
                </c:pt>
                <c:pt idx="129">
                  <c:v>8.1322733982708617E-2</c:v>
                </c:pt>
                <c:pt idx="130">
                  <c:v>8.2570727749226691E-2</c:v>
                </c:pt>
                <c:pt idx="131">
                  <c:v>8.3827812499823295E-2</c:v>
                </c:pt>
                <c:pt idx="132">
                  <c:v>8.5093975777802311E-2</c:v>
                </c:pt>
                <c:pt idx="133">
                  <c:v>8.6369205036507135E-2</c:v>
                </c:pt>
                <c:pt idx="134">
                  <c:v>8.7653487639444361E-2</c:v>
                </c:pt>
                <c:pt idx="135">
                  <c:v>8.8946810860409342E-2</c:v>
                </c:pt>
                <c:pt idx="136">
                  <c:v>9.0249161883612206E-2</c:v>
                </c:pt>
                <c:pt idx="137">
                  <c:v>9.1560527803804637E-2</c:v>
                </c:pt>
                <c:pt idx="138">
                  <c:v>9.2880895626408333E-2</c:v>
                </c:pt>
                <c:pt idx="139">
                  <c:v>9.4210252267643013E-2</c:v>
                </c:pt>
                <c:pt idx="140">
                  <c:v>9.5548584554656757E-2</c:v>
                </c:pt>
                <c:pt idx="141">
                  <c:v>9.6895879225656123E-2</c:v>
                </c:pt>
                <c:pt idx="142">
                  <c:v>9.8252122930037711E-2</c:v>
                </c:pt>
                <c:pt idx="143">
                  <c:v>9.9617302228520166E-2</c:v>
                </c:pt>
                <c:pt idx="144">
                  <c:v>0.10099140359327796</c:v>
                </c:pt>
                <c:pt idx="145">
                  <c:v>0.10237441340807496</c:v>
                </c:pt>
                <c:pt idx="146">
                  <c:v>0.1037663179683993</c:v>
                </c:pt>
                <c:pt idx="147">
                  <c:v>0.10516710348159974</c:v>
                </c:pt>
                <c:pt idx="148">
                  <c:v>0.10657675606702155</c:v>
                </c:pt>
                <c:pt idx="149">
                  <c:v>0.10799526175614471</c:v>
                </c:pt>
                <c:pt idx="150">
                  <c:v>0.10942260649272206</c:v>
                </c:pt>
                <c:pt idx="151">
                  <c:v>0.11085877613291861</c:v>
                </c:pt>
                <c:pt idx="152">
                  <c:v>0.11230375644545154</c:v>
                </c:pt>
                <c:pt idx="153">
                  <c:v>0.11375753311173153</c:v>
                </c:pt>
                <c:pt idx="154">
                  <c:v>0.11522009172600445</c:v>
                </c:pt>
                <c:pt idx="155">
                  <c:v>0.11669141779549419</c:v>
                </c:pt>
                <c:pt idx="156">
                  <c:v>0.11817149674054617</c:v>
                </c:pt>
                <c:pt idx="157">
                  <c:v>0.11966031389477194</c:v>
                </c:pt>
                <c:pt idx="158">
                  <c:v>0.12115785450519423</c:v>
                </c:pt>
                <c:pt idx="159">
                  <c:v>0.12266410373239378</c:v>
                </c:pt>
                <c:pt idx="160">
                  <c:v>0.12417904665065549</c:v>
                </c:pt>
                <c:pt idx="161">
                  <c:v>0.12570266824811704</c:v>
                </c:pt>
                <c:pt idx="162">
                  <c:v>0.1272349534269176</c:v>
                </c:pt>
                <c:pt idx="163">
                  <c:v>0.12877588700334663</c:v>
                </c:pt>
                <c:pt idx="164">
                  <c:v>0.13032545370799575</c:v>
                </c:pt>
                <c:pt idx="165">
                  <c:v>0.13188363818590843</c:v>
                </c:pt>
                <c:pt idx="166">
                  <c:v>0.13345042499673354</c:v>
                </c:pt>
                <c:pt idx="167">
                  <c:v>0.13502579861487751</c:v>
                </c:pt>
                <c:pt idx="168">
                  <c:v>0.13660974342965859</c:v>
                </c:pt>
                <c:pt idx="169">
                  <c:v>0.13820224374546131</c:v>
                </c:pt>
                <c:pt idx="170">
                  <c:v>0.13980328378189188</c:v>
                </c:pt>
                <c:pt idx="171">
                  <c:v>0.14141284767393503</c:v>
                </c:pt>
                <c:pt idx="172">
                  <c:v>0.143030919472111</c:v>
                </c:pt>
                <c:pt idx="173">
                  <c:v>0.14465748314263338</c:v>
                </c:pt>
                <c:pt idx="174">
                  <c:v>0.14629252256756808</c:v>
                </c:pt>
                <c:pt idx="175">
                  <c:v>0.14793602154499341</c:v>
                </c:pt>
                <c:pt idx="176">
                  <c:v>0.14958796378916006</c:v>
                </c:pt>
                <c:pt idx="177">
                  <c:v>0.15124833293065298</c:v>
                </c:pt>
                <c:pt idx="178">
                  <c:v>0.15291711251655316</c:v>
                </c:pt>
                <c:pt idx="179">
                  <c:v>0.15459428601060099</c:v>
                </c:pt>
                <c:pt idx="180">
                  <c:v>0.15627983679335988</c:v>
                </c:pt>
                <c:pt idx="181">
                  <c:v>0.15797374816238119</c:v>
                </c:pt>
                <c:pt idx="182">
                  <c:v>0.15967600333236964</c:v>
                </c:pt>
                <c:pt idx="183">
                  <c:v>0.16138658543534967</c:v>
                </c:pt>
                <c:pt idx="184">
                  <c:v>0.16310547752083215</c:v>
                </c:pt>
                <c:pt idx="185">
                  <c:v>0.16483266255598328</c:v>
                </c:pt>
                <c:pt idx="186">
                  <c:v>0.1665681234257923</c:v>
                </c:pt>
                <c:pt idx="187">
                  <c:v>0.16831184293324197</c:v>
                </c:pt>
                <c:pt idx="188">
                  <c:v>0.17006380379947839</c:v>
                </c:pt>
                <c:pt idx="189">
                  <c:v>0.17182398866398252</c:v>
                </c:pt>
                <c:pt idx="190">
                  <c:v>0.1735923800847422</c:v>
                </c:pt>
                <c:pt idx="191">
                  <c:v>0.17536896053842488</c:v>
                </c:pt>
                <c:pt idx="192">
                  <c:v>0.17715371242055111</c:v>
                </c:pt>
                <c:pt idx="193">
                  <c:v>0.17894661804566958</c:v>
                </c:pt>
                <c:pt idx="194">
                  <c:v>0.18074765964753159</c:v>
                </c:pt>
                <c:pt idx="195">
                  <c:v>0.1825568193792676</c:v>
                </c:pt>
                <c:pt idx="196">
                  <c:v>0.18437407931356398</c:v>
                </c:pt>
                <c:pt idx="197">
                  <c:v>0.18619942144284063</c:v>
                </c:pt>
                <c:pt idx="198">
                  <c:v>0.18803282767942942</c:v>
                </c:pt>
                <c:pt idx="199">
                  <c:v>0.18987427985575323</c:v>
                </c:pt>
                <c:pt idx="200">
                  <c:v>0.19172375972450661</c:v>
                </c:pt>
                <c:pt idx="201">
                  <c:v>0.19358124895883555</c:v>
                </c:pt>
                <c:pt idx="202">
                  <c:v>0.19544672915252015</c:v>
                </c:pt>
                <c:pt idx="203">
                  <c:v>0.19732018182015654</c:v>
                </c:pt>
                <c:pt idx="204">
                  <c:v>0.1992015883973397</c:v>
                </c:pt>
                <c:pt idx="205">
                  <c:v>0.20109093024084834</c:v>
                </c:pt>
                <c:pt idx="206">
                  <c:v>0.20298818862882839</c:v>
                </c:pt>
                <c:pt idx="207">
                  <c:v>0.20489334476097976</c:v>
                </c:pt>
                <c:pt idx="208">
                  <c:v>0.20680637975874194</c:v>
                </c:pt>
                <c:pt idx="209">
                  <c:v>0.20872727466548102</c:v>
                </c:pt>
                <c:pt idx="210">
                  <c:v>0.21065601044667814</c:v>
                </c:pt>
                <c:pt idx="211">
                  <c:v>0.21259256799011716</c:v>
                </c:pt>
                <c:pt idx="212">
                  <c:v>0.21453692810607505</c:v>
                </c:pt>
                <c:pt idx="213">
                  <c:v>0.2164890715275114</c:v>
                </c:pt>
                <c:pt idx="214">
                  <c:v>0.21844897891025949</c:v>
                </c:pt>
                <c:pt idx="215">
                  <c:v>0.22041663083321805</c:v>
                </c:pt>
                <c:pt idx="216">
                  <c:v>0.22239200779854373</c:v>
                </c:pt>
                <c:pt idx="217">
                  <c:v>0.22437509023184399</c:v>
                </c:pt>
                <c:pt idx="218">
                  <c:v>0.22636585848237156</c:v>
                </c:pt>
                <c:pt idx="219">
                  <c:v>0.22836429282321902</c:v>
                </c:pt>
                <c:pt idx="220">
                  <c:v>0.2303703734515139</c:v>
                </c:pt>
                <c:pt idx="221">
                  <c:v>0.23238408048861525</c:v>
                </c:pt>
                <c:pt idx="222">
                  <c:v>0.23440539398031057</c:v>
                </c:pt>
                <c:pt idx="223">
                  <c:v>0.23643429389701376</c:v>
                </c:pt>
                <c:pt idx="224">
                  <c:v>0.23847076013396296</c:v>
                </c:pt>
                <c:pt idx="225">
                  <c:v>0.24051477251142062</c:v>
                </c:pt>
                <c:pt idx="226">
                  <c:v>0.24256631077487267</c:v>
                </c:pt>
                <c:pt idx="227">
                  <c:v>0.24462535459522983</c:v>
                </c:pt>
                <c:pt idx="228">
                  <c:v>0.24669188356902849</c:v>
                </c:pt>
                <c:pt idx="229">
                  <c:v>0.24876587721863352</c:v>
                </c:pt>
                <c:pt idx="230">
                  <c:v>0.25084731499244084</c:v>
                </c:pt>
                <c:pt idx="231">
                  <c:v>0.25293617626508091</c:v>
                </c:pt>
                <c:pt idx="232">
                  <c:v>0.25503244033762351</c:v>
                </c:pt>
                <c:pt idx="233">
                  <c:v>0.25713608643778241</c:v>
                </c:pt>
                <c:pt idx="234">
                  <c:v>0.25924709372012167</c:v>
                </c:pt>
                <c:pt idx="235">
                  <c:v>0.26136544126626193</c:v>
                </c:pt>
                <c:pt idx="236">
                  <c:v>0.26349110808508769</c:v>
                </c:pt>
                <c:pt idx="237">
                  <c:v>0.26562407311295533</c:v>
                </c:pt>
                <c:pt idx="238">
                  <c:v>0.26776431521390176</c:v>
                </c:pt>
                <c:pt idx="239">
                  <c:v>0.26991181317985435</c:v>
                </c:pt>
                <c:pt idx="240">
                  <c:v>0.27206654573084033</c:v>
                </c:pt>
                <c:pt idx="241">
                  <c:v>0.27422849151519824</c:v>
                </c:pt>
                <c:pt idx="242">
                  <c:v>0.27639762910978904</c:v>
                </c:pt>
                <c:pt idx="243">
                  <c:v>0.27857393702020894</c:v>
                </c:pt>
                <c:pt idx="244">
                  <c:v>0.28075739368100194</c:v>
                </c:pt>
                <c:pt idx="245">
                  <c:v>0.28294797745587386</c:v>
                </c:pt>
                <c:pt idx="246">
                  <c:v>0.28514566663790619</c:v>
                </c:pt>
                <c:pt idx="247">
                  <c:v>0.28735043944977212</c:v>
                </c:pt>
                <c:pt idx="248">
                  <c:v>0.28956227404395118</c:v>
                </c:pt>
                <c:pt idx="249">
                  <c:v>0.2917811485029469</c:v>
                </c:pt>
                <c:pt idx="250">
                  <c:v>0.29400704083950302</c:v>
                </c:pt>
                <c:pt idx="251">
                  <c:v>0.29623992899682194</c:v>
                </c:pt>
                <c:pt idx="252">
                  <c:v>0.29847979084878318</c:v>
                </c:pt>
                <c:pt idx="253">
                  <c:v>0.30072660420016228</c:v>
                </c:pt>
                <c:pt idx="254">
                  <c:v>0.30298034678685137</c:v>
                </c:pt>
                <c:pt idx="255">
                  <c:v>0.30524099627607926</c:v>
                </c:pt>
                <c:pt idx="256">
                  <c:v>0.30750853026663305</c:v>
                </c:pt>
                <c:pt idx="257">
                  <c:v>0.30978292628908</c:v>
                </c:pt>
                <c:pt idx="258">
                  <c:v>0.31206416180598984</c:v>
                </c:pt>
                <c:pt idx="259">
                  <c:v>0.31435221421215875</c:v>
                </c:pt>
                <c:pt idx="260">
                  <c:v>0.31664706083483307</c:v>
                </c:pt>
                <c:pt idx="261">
                  <c:v>0.31894867893393375</c:v>
                </c:pt>
                <c:pt idx="262">
                  <c:v>0.3212570457022822</c:v>
                </c:pt>
                <c:pt idx="263">
                  <c:v>0.32357213826582509</c:v>
                </c:pt>
                <c:pt idx="264">
                  <c:v>0.32589393368386299</c:v>
                </c:pt>
                <c:pt idx="265">
                  <c:v>0.3282224089492759</c:v>
                </c:pt>
                <c:pt idx="266">
                  <c:v>0.33055754098875223</c:v>
                </c:pt>
                <c:pt idx="267">
                  <c:v>0.33289930666301693</c:v>
                </c:pt>
                <c:pt idx="268">
                  <c:v>0.33524768276706118</c:v>
                </c:pt>
                <c:pt idx="269">
                  <c:v>0.33760264603037182</c:v>
                </c:pt>
                <c:pt idx="270">
                  <c:v>0.33996417311716254</c:v>
                </c:pt>
                <c:pt idx="271">
                  <c:v>0.34233224062660483</c:v>
                </c:pt>
                <c:pt idx="272">
                  <c:v>0.34470682509305983</c:v>
                </c:pt>
                <c:pt idx="273">
                  <c:v>0.34708790298631065</c:v>
                </c:pt>
                <c:pt idx="274">
                  <c:v>0.34947545071179609</c:v>
                </c:pt>
                <c:pt idx="275">
                  <c:v>0.35186944461084391</c:v>
                </c:pt>
                <c:pt idx="276">
                  <c:v>0.35426986096090574</c:v>
                </c:pt>
                <c:pt idx="277">
                  <c:v>0.35667667597579156</c:v>
                </c:pt>
                <c:pt idx="278">
                  <c:v>0.35908986580590629</c:v>
                </c:pt>
                <c:pt idx="279">
                  <c:v>0.36150940653848485</c:v>
                </c:pt>
                <c:pt idx="280">
                  <c:v>0.36393527419783034</c:v>
                </c:pt>
                <c:pt idx="281">
                  <c:v>0.36636744474555105</c:v>
                </c:pt>
                <c:pt idx="282">
                  <c:v>0.36880589408079867</c:v>
                </c:pt>
                <c:pt idx="283">
                  <c:v>0.3712505980405072</c:v>
                </c:pt>
                <c:pt idx="284">
                  <c:v>0.37370153239963222</c:v>
                </c:pt>
                <c:pt idx="285">
                  <c:v>0.37615867287139115</c:v>
                </c:pt>
                <c:pt idx="286">
                  <c:v>0.37862199510750394</c:v>
                </c:pt>
                <c:pt idx="287">
                  <c:v>0.38109147469843418</c:v>
                </c:pt>
                <c:pt idx="288">
                  <c:v>0.38356708717363108</c:v>
                </c:pt>
                <c:pt idx="289">
                  <c:v>0.38604880800177188</c:v>
                </c:pt>
                <c:pt idx="290">
                  <c:v>0.3885366125910048</c:v>
                </c:pt>
                <c:pt idx="291">
                  <c:v>0.39103047628919319</c:v>
                </c:pt>
                <c:pt idx="292">
                  <c:v>0.39353037438415939</c:v>
                </c:pt>
                <c:pt idx="293">
                  <c:v>0.3960362821039296</c:v>
                </c:pt>
                <c:pt idx="294">
                  <c:v>0.39854817461698</c:v>
                </c:pt>
                <c:pt idx="295">
                  <c:v>0.4010660270324814</c:v>
                </c:pt>
                <c:pt idx="296">
                  <c:v>0.40358981440054742</c:v>
                </c:pt>
                <c:pt idx="297">
                  <c:v>0.40611951171248117</c:v>
                </c:pt>
                <c:pt idx="298">
                  <c:v>0.4086550939010225</c:v>
                </c:pt>
                <c:pt idx="299">
                  <c:v>0.41119653584059757</c:v>
                </c:pt>
                <c:pt idx="300">
                  <c:v>0.41374381234756619</c:v>
                </c:pt>
                <c:pt idx="301">
                  <c:v>0.41629689818047322</c:v>
                </c:pt>
                <c:pt idx="302">
                  <c:v>0.41885576804029723</c:v>
                </c:pt>
                <c:pt idx="303">
                  <c:v>0.42142039657070196</c:v>
                </c:pt>
                <c:pt idx="304">
                  <c:v>0.42399075835828748</c:v>
                </c:pt>
                <c:pt idx="305">
                  <c:v>0.42656682793284162</c:v>
                </c:pt>
                <c:pt idx="306">
                  <c:v>0.42914857976759269</c:v>
                </c:pt>
                <c:pt idx="307">
                  <c:v>0.43173598827946269</c:v>
                </c:pt>
                <c:pt idx="308">
                  <c:v>0.43432902782932004</c:v>
                </c:pt>
                <c:pt idx="309">
                  <c:v>0.43692767272223476</c:v>
                </c:pt>
                <c:pt idx="310">
                  <c:v>0.43953189720773167</c:v>
                </c:pt>
                <c:pt idx="311">
                  <c:v>0.4421416754800469</c:v>
                </c:pt>
                <c:pt idx="312">
                  <c:v>0.44475698167838285</c:v>
                </c:pt>
                <c:pt idx="313">
                  <c:v>0.44737778988716459</c:v>
                </c:pt>
                <c:pt idx="314">
                  <c:v>0.45000407413629695</c:v>
                </c:pt>
                <c:pt idx="315">
                  <c:v>0.45263580840142115</c:v>
                </c:pt>
                <c:pt idx="316">
                  <c:v>0.45527296660417349</c:v>
                </c:pt>
                <c:pt idx="317">
                  <c:v>0.45791552261244328</c:v>
                </c:pt>
                <c:pt idx="318">
                  <c:v>0.46056345024063217</c:v>
                </c:pt>
                <c:pt idx="319">
                  <c:v>0.46321672324991292</c:v>
                </c:pt>
                <c:pt idx="320">
                  <c:v>0.46587531534849058</c:v>
                </c:pt>
                <c:pt idx="321">
                  <c:v>0.46853920019186157</c:v>
                </c:pt>
                <c:pt idx="322">
                  <c:v>0.47120835138307604</c:v>
                </c:pt>
                <c:pt idx="323">
                  <c:v>0.47388274247299855</c:v>
                </c:pt>
                <c:pt idx="324">
                  <c:v>0.47656234696057043</c:v>
                </c:pt>
                <c:pt idx="325">
                  <c:v>0.47924713829307297</c:v>
                </c:pt>
                <c:pt idx="326">
                  <c:v>0.48193708986638928</c:v>
                </c:pt>
                <c:pt idx="327">
                  <c:v>0.48463217502526945</c:v>
                </c:pt>
                <c:pt idx="328">
                  <c:v>0.48733236706359295</c:v>
                </c:pt>
                <c:pt idx="329">
                  <c:v>0.49003763922463506</c:v>
                </c:pt>
                <c:pt idx="330">
                  <c:v>0.49274796470133042</c:v>
                </c:pt>
                <c:pt idx="331">
                  <c:v>0.4954633166365402</c:v>
                </c:pt>
                <c:pt idx="332">
                  <c:v>0.4981836681233166</c:v>
                </c:pt>
                <c:pt idx="333">
                  <c:v>0.50090899220517071</c:v>
                </c:pt>
                <c:pt idx="334">
                  <c:v>0.50363926187633923</c:v>
                </c:pt>
                <c:pt idx="335">
                  <c:v>0.50637445008205195</c:v>
                </c:pt>
                <c:pt idx="336">
                  <c:v>0.50911452971880011</c:v>
                </c:pt>
                <c:pt idx="337">
                  <c:v>0.51185947363460449</c:v>
                </c:pt>
                <c:pt idx="338">
                  <c:v>0.51460925462928531</c:v>
                </c:pt>
                <c:pt idx="339">
                  <c:v>0.51736384545473046</c:v>
                </c:pt>
                <c:pt idx="340">
                  <c:v>0.52012321881516699</c:v>
                </c:pt>
                <c:pt idx="341">
                  <c:v>0.52288734736743059</c:v>
                </c:pt>
                <c:pt idx="342">
                  <c:v>0.52565620372123711</c:v>
                </c:pt>
                <c:pt idx="343">
                  <c:v>0.52842976043945322</c:v>
                </c:pt>
                <c:pt idx="344">
                  <c:v>0.53120799003836905</c:v>
                </c:pt>
                <c:pt idx="345">
                  <c:v>0.53399086498797033</c:v>
                </c:pt>
                <c:pt idx="346">
                  <c:v>0.53677835771221083</c:v>
                </c:pt>
                <c:pt idx="347">
                  <c:v>0.53957044058928638</c:v>
                </c:pt>
                <c:pt idx="348">
                  <c:v>0.54236708595190763</c:v>
                </c:pt>
                <c:pt idx="349">
                  <c:v>0.54516826608757496</c:v>
                </c:pt>
                <c:pt idx="350">
                  <c:v>0.54797395323885223</c:v>
                </c:pt>
                <c:pt idx="351">
                  <c:v>0.55078411960364337</c:v>
                </c:pt>
                <c:pt idx="352">
                  <c:v>0.55359873733546627</c:v>
                </c:pt>
                <c:pt idx="353">
                  <c:v>0.55641777854372954</c:v>
                </c:pt>
                <c:pt idx="354">
                  <c:v>0.55924121529400872</c:v>
                </c:pt>
                <c:pt idx="355">
                  <c:v>0.56206901960832267</c:v>
                </c:pt>
                <c:pt idx="356">
                  <c:v>0.56490116346541219</c:v>
                </c:pt>
                <c:pt idx="357">
                  <c:v>0.56773761880101548</c:v>
                </c:pt>
                <c:pt idx="358">
                  <c:v>0.57057835750814878</c:v>
                </c:pt>
                <c:pt idx="359">
                  <c:v>0.5734233514373821</c:v>
                </c:pt>
                <c:pt idx="360">
                  <c:v>0.57627257239712093</c:v>
                </c:pt>
                <c:pt idx="361">
                  <c:v>0.5791259921538835</c:v>
                </c:pt>
                <c:pt idx="362">
                  <c:v>0.58198358243258186</c:v>
                </c:pt>
                <c:pt idx="363">
                  <c:v>0.58484531491680136</c:v>
                </c:pt>
                <c:pt idx="364">
                  <c:v>0.58771116124908085</c:v>
                </c:pt>
                <c:pt idx="365">
                  <c:v>0.59058109303119544</c:v>
                </c:pt>
                <c:pt idx="366">
                  <c:v>0.59345508182443574</c:v>
                </c:pt>
                <c:pt idx="367">
                  <c:v>0.59633309914989119</c:v>
                </c:pt>
                <c:pt idx="368">
                  <c:v>0.59921511648873138</c:v>
                </c:pt>
                <c:pt idx="369">
                  <c:v>0.6021011052824895</c:v>
                </c:pt>
                <c:pt idx="370">
                  <c:v>0.60499103693334377</c:v>
                </c:pt>
                <c:pt idx="371">
                  <c:v>0.60788488280440323</c:v>
                </c:pt>
                <c:pt idx="372">
                  <c:v>0.61078261421998925</c:v>
                </c:pt>
                <c:pt idx="373">
                  <c:v>0.61368420246592092</c:v>
                </c:pt>
                <c:pt idx="374">
                  <c:v>0.61658961878979923</c:v>
                </c:pt>
                <c:pt idx="375">
                  <c:v>0.61949883440129161</c:v>
                </c:pt>
                <c:pt idx="376">
                  <c:v>0.6224118204724185</c:v>
                </c:pt>
                <c:pt idx="377">
                  <c:v>0.625328548137837</c:v>
                </c:pt>
                <c:pt idx="378">
                  <c:v>0.62824898849512922</c:v>
                </c:pt>
                <c:pt idx="379">
                  <c:v>0.63117311260508657</c:v>
                </c:pt>
                <c:pt idx="380">
                  <c:v>0.63410089149199766</c:v>
                </c:pt>
                <c:pt idx="381">
                  <c:v>0.63703229614393531</c:v>
                </c:pt>
                <c:pt idx="382">
                  <c:v>0.63996729751304415</c:v>
                </c:pt>
                <c:pt idx="383">
                  <c:v>0.64290586651582782</c:v>
                </c:pt>
                <c:pt idx="384">
                  <c:v>0.64584797403343797</c:v>
                </c:pt>
                <c:pt idx="385">
                  <c:v>0.64879359091196209</c:v>
                </c:pt>
                <c:pt idx="386">
                  <c:v>0.65174268796271284</c:v>
                </c:pt>
                <c:pt idx="387">
                  <c:v>0.65469523596251733</c:v>
                </c:pt>
                <c:pt idx="388">
                  <c:v>0.65765120565400648</c:v>
                </c:pt>
                <c:pt idx="389">
                  <c:v>0.6606105677459051</c:v>
                </c:pt>
                <c:pt idx="390">
                  <c:v>0.66357329291332134</c:v>
                </c:pt>
                <c:pt idx="391">
                  <c:v>0.66653935179803925</c:v>
                </c:pt>
                <c:pt idx="392">
                  <c:v>0.66950871500880726</c:v>
                </c:pt>
                <c:pt idx="393">
                  <c:v>0.67248135312163138</c:v>
                </c:pt>
                <c:pt idx="394">
                  <c:v>0.6754572366800653</c:v>
                </c:pt>
                <c:pt idx="395">
                  <c:v>0.67843633619550392</c:v>
                </c:pt>
                <c:pt idx="396">
                  <c:v>0.68141862214747362</c:v>
                </c:pt>
                <c:pt idx="397">
                  <c:v>0.68440406498392603</c:v>
                </c:pt>
                <c:pt idx="398">
                  <c:v>0.68739263512153115</c:v>
                </c:pt>
                <c:pt idx="399">
                  <c:v>0.6903843029459692</c:v>
                </c:pt>
                <c:pt idx="400">
                  <c:v>0.69337903881222562</c:v>
                </c:pt>
                <c:pt idx="401">
                  <c:v>0.69637681304488286</c:v>
                </c:pt>
                <c:pt idx="402">
                  <c:v>0.69937759593841675</c:v>
                </c:pt>
                <c:pt idx="403">
                  <c:v>0.70238135775748911</c:v>
                </c:pt>
                <c:pt idx="404">
                  <c:v>0.70538806873724358</c:v>
                </c:pt>
                <c:pt idx="405">
                  <c:v>0.70839769908359895</c:v>
                </c:pt>
                <c:pt idx="406">
                  <c:v>0.71141021897354673</c:v>
                </c:pt>
                <c:pt idx="407">
                  <c:v>0.71442559855544452</c:v>
                </c:pt>
                <c:pt idx="408">
                  <c:v>0.71744380794931262</c:v>
                </c:pt>
                <c:pt idx="409">
                  <c:v>0.72046481724713085</c:v>
                </c:pt>
                <c:pt idx="410">
                  <c:v>0.72348859651313369</c:v>
                </c:pt>
                <c:pt idx="411">
                  <c:v>0.72651511578410766</c:v>
                </c:pt>
                <c:pt idx="412">
                  <c:v>0.72954434506968779</c:v>
                </c:pt>
                <c:pt idx="413">
                  <c:v>0.73257625435265572</c:v>
                </c:pt>
                <c:pt idx="414">
                  <c:v>0.73561081358923541</c:v>
                </c:pt>
                <c:pt idx="415">
                  <c:v>0.7386479927093933</c:v>
                </c:pt>
                <c:pt idx="416">
                  <c:v>0.74168776161713368</c:v>
                </c:pt>
                <c:pt idx="417">
                  <c:v>0.7447300901907985</c:v>
                </c:pt>
                <c:pt idx="418">
                  <c:v>0.74777494828336577</c:v>
                </c:pt>
                <c:pt idx="419">
                  <c:v>0.75082230572274766</c:v>
                </c:pt>
                <c:pt idx="420">
                  <c:v>0.75387213231209049</c:v>
                </c:pt>
                <c:pt idx="421">
                  <c:v>0.75692439783007204</c:v>
                </c:pt>
                <c:pt idx="422">
                  <c:v>0.75997907203120352</c:v>
                </c:pt>
                <c:pt idx="423">
                  <c:v>0.76303612464612713</c:v>
                </c:pt>
                <c:pt idx="424">
                  <c:v>0.76609552538191783</c:v>
                </c:pt>
                <c:pt idx="425">
                  <c:v>0.76915724392238149</c:v>
                </c:pt>
                <c:pt idx="426">
                  <c:v>0.77222124992835761</c:v>
                </c:pt>
                <c:pt idx="427">
                  <c:v>0.77528751303801791</c:v>
                </c:pt>
                <c:pt idx="428">
                  <c:v>0.77835600286716788</c:v>
                </c:pt>
                <c:pt idx="429">
                  <c:v>0.78142668900954892</c:v>
                </c:pt>
                <c:pt idx="430">
                  <c:v>0.78449954103713782</c:v>
                </c:pt>
                <c:pt idx="431">
                  <c:v>0.78757452850045018</c:v>
                </c:pt>
                <c:pt idx="432">
                  <c:v>0.79065162092883967</c:v>
                </c:pt>
                <c:pt idx="433">
                  <c:v>0.79373078783080309</c:v>
                </c:pt>
                <c:pt idx="434">
                  <c:v>0.79681199869427966</c:v>
                </c:pt>
                <c:pt idx="435">
                  <c:v>0.79989522298695537</c:v>
                </c:pt>
                <c:pt idx="436">
                  <c:v>0.80298043015656417</c:v>
                </c:pt>
                <c:pt idx="437">
                  <c:v>0.80606758963119207</c:v>
                </c:pt>
                <c:pt idx="438">
                  <c:v>0.80915667081957843</c:v>
                </c:pt>
                <c:pt idx="439">
                  <c:v>0.81224764311142017</c:v>
                </c:pt>
                <c:pt idx="440">
                  <c:v>0.81534047587767555</c:v>
                </c:pt>
                <c:pt idx="441">
                  <c:v>0.81843513847086635</c:v>
                </c:pt>
                <c:pt idx="442">
                  <c:v>0.82153160022538252</c:v>
                </c:pt>
                <c:pt idx="443">
                  <c:v>0.82462983045778548</c:v>
                </c:pt>
                <c:pt idx="444">
                  <c:v>0.82772979846711325</c:v>
                </c:pt>
                <c:pt idx="445">
                  <c:v>0.8308314735351825</c:v>
                </c:pt>
                <c:pt idx="446">
                  <c:v>0.83393482492689608</c:v>
                </c:pt>
                <c:pt idx="447">
                  <c:v>0.83703982189054416</c:v>
                </c:pt>
                <c:pt idx="448">
                  <c:v>0.8401464336581117</c:v>
                </c:pt>
                <c:pt idx="449">
                  <c:v>0.84325462944558205</c:v>
                </c:pt>
                <c:pt idx="450">
                  <c:v>0.84636437845324164</c:v>
                </c:pt>
                <c:pt idx="451">
                  <c:v>0.84947564986598656</c:v>
                </c:pt>
                <c:pt idx="452">
                  <c:v>0.85258841285362663</c:v>
                </c:pt>
                <c:pt idx="453">
                  <c:v>0.85570263657119128</c:v>
                </c:pt>
                <c:pt idx="454">
                  <c:v>0.85881829015923528</c:v>
                </c:pt>
                <c:pt idx="455">
                  <c:v>0.86193534274414518</c:v>
                </c:pt>
                <c:pt idx="456">
                  <c:v>0.86505376343844365</c:v>
                </c:pt>
                <c:pt idx="457">
                  <c:v>0.86817352134109738</c:v>
                </c:pt>
                <c:pt idx="458">
                  <c:v>0.87129458553782158</c:v>
                </c:pt>
                <c:pt idx="459">
                  <c:v>0.87441692510138791</c:v>
                </c:pt>
                <c:pt idx="460">
                  <c:v>0.87754050909192971</c:v>
                </c:pt>
                <c:pt idx="461">
                  <c:v>0.88066530655724884</c:v>
                </c:pt>
                <c:pt idx="462">
                  <c:v>0.88379128653312367</c:v>
                </c:pt>
                <c:pt idx="463">
                  <c:v>0.88691841804361304</c:v>
                </c:pt>
                <c:pt idx="464">
                  <c:v>0.89004667010136695</c:v>
                </c:pt>
                <c:pt idx="465">
                  <c:v>0.89317601170793026</c:v>
                </c:pt>
                <c:pt idx="466">
                  <c:v>0.89630641185405224</c:v>
                </c:pt>
                <c:pt idx="467">
                  <c:v>0.8994378395199919</c:v>
                </c:pt>
                <c:pt idx="468">
                  <c:v>0.9025702636758276</c:v>
                </c:pt>
                <c:pt idx="469">
                  <c:v>0.90570365328176206</c:v>
                </c:pt>
                <c:pt idx="470">
                  <c:v>0.90883797728843208</c:v>
                </c:pt>
                <c:pt idx="471">
                  <c:v>0.91197320463721476</c:v>
                </c:pt>
                <c:pt idx="472">
                  <c:v>0.91510930426053605</c:v>
                </c:pt>
                <c:pt idx="473">
                  <c:v>0.91824624508217823</c:v>
                </c:pt>
                <c:pt idx="474">
                  <c:v>0.92138399601758791</c:v>
                </c:pt>
                <c:pt idx="475">
                  <c:v>0.92452252597418461</c:v>
                </c:pt>
                <c:pt idx="476">
                  <c:v>0.92766180385166763</c:v>
                </c:pt>
                <c:pt idx="477">
                  <c:v>0.93080179854232581</c:v>
                </c:pt>
                <c:pt idx="478">
                  <c:v>0.93394247893134419</c:v>
                </c:pt>
                <c:pt idx="479">
                  <c:v>0.9370838138971137</c:v>
                </c:pt>
                <c:pt idx="480">
                  <c:v>0.94022577231153837</c:v>
                </c:pt>
                <c:pt idx="481">
                  <c:v>0.94336832304034501</c:v>
                </c:pt>
                <c:pt idx="482">
                  <c:v>0.94651143494339052</c:v>
                </c:pt>
                <c:pt idx="483">
                  <c:v>0.9496550768749713</c:v>
                </c:pt>
                <c:pt idx="484">
                  <c:v>0.95279921768413134</c:v>
                </c:pt>
                <c:pt idx="485">
                  <c:v>0.9559438262149712</c:v>
                </c:pt>
                <c:pt idx="486">
                  <c:v>0.95908887130695719</c:v>
                </c:pt>
                <c:pt idx="487">
                  <c:v>0.96223432179522894</c:v>
                </c:pt>
                <c:pt idx="488">
                  <c:v>0.96538014651090975</c:v>
                </c:pt>
                <c:pt idx="489">
                  <c:v>0.96852631428141356</c:v>
                </c:pt>
                <c:pt idx="490">
                  <c:v>0.9716727939307559</c:v>
                </c:pt>
                <c:pt idx="491">
                  <c:v>0.97481955427986144</c:v>
                </c:pt>
                <c:pt idx="492">
                  <c:v>0.977966564146873</c:v>
                </c:pt>
                <c:pt idx="493">
                  <c:v>0.98111379234746177</c:v>
                </c:pt>
                <c:pt idx="494">
                  <c:v>0.98426120769513414</c:v>
                </c:pt>
                <c:pt idx="495">
                  <c:v>0.98740877900154345</c:v>
                </c:pt>
                <c:pt idx="496">
                  <c:v>0.99055647507679634</c:v>
                </c:pt>
                <c:pt idx="497">
                  <c:v>0.99370426472976414</c:v>
                </c:pt>
                <c:pt idx="498">
                  <c:v>0.99685211676839014</c:v>
                </c:pt>
                <c:pt idx="499">
                  <c:v>0.99999999999999989</c:v>
                </c:pt>
              </c:numCache>
            </c:numRef>
          </c:xVal>
          <c:yVal>
            <c:numRef>
              <c:f>Data3!$X$1:$X$500</c:f>
              <c:numCache>
                <c:formatCode>General</c:formatCode>
                <c:ptCount val="5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64-4846-852F-FDF777AE0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132527"/>
        <c:axId val="1952133007"/>
      </c:scatterChart>
      <c:valAx>
        <c:axId val="1952132527"/>
        <c:scaling>
          <c:orientation val="minMax"/>
          <c:max val="1.1000000000000001"/>
          <c:min val="-0.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1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All dimensions are nomalized by the chord length c</a:t>
                </a:r>
              </a:p>
            </c:rich>
          </c:tx>
          <c:layout>
            <c:manualLayout>
              <c:xMode val="edge"/>
              <c:yMode val="edge"/>
              <c:x val="0.75931634288047645"/>
              <c:y val="0.93638793154552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one"/>
        <c:spPr>
          <a:noFill/>
          <a:ln w="3175" cap="flat" cmpd="sng" algn="ctr">
            <a:solidFill>
              <a:schemeClr val="bg2">
                <a:lumMod val="50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33007"/>
        <c:crosses val="autoZero"/>
        <c:crossBetween val="midCat"/>
        <c:majorUnit val="0.1"/>
        <c:minorUnit val="5.000000000000001E-2"/>
      </c:valAx>
      <c:valAx>
        <c:axId val="1952133007"/>
        <c:scaling>
          <c:orientation val="minMax"/>
          <c:max val="0.2"/>
          <c:min val="-0.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0"/>
        <c:majorTickMark val="out"/>
        <c:minorTickMark val="none"/>
        <c:tickLblPos val="none"/>
        <c:spPr>
          <a:noFill/>
          <a:ln w="3175" cap="flat" cmpd="sng" algn="ctr">
            <a:solidFill>
              <a:schemeClr val="bg2">
                <a:lumMod val="50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32527"/>
        <c:crosses val="autoZero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300">
                <a:solidFill>
                  <a:schemeClr val="tx1">
                    <a:lumMod val="75000"/>
                    <a:lumOff val="2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NACA 5-Digit</a:t>
            </a:r>
            <a:r>
              <a:rPr lang="en-GB" sz="1300" baseline="0">
                <a:solidFill>
                  <a:schemeClr val="tx1">
                    <a:lumMod val="75000"/>
                    <a:lumOff val="2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Series Modified  </a:t>
            </a:r>
          </a:p>
        </c:rich>
      </c:tx>
      <c:layout>
        <c:manualLayout>
          <c:xMode val="edge"/>
          <c:yMode val="edge"/>
          <c:x val="0.38097136345131394"/>
          <c:y val="1.095478181439509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952563169880249E-2"/>
          <c:y val="0.13302216300671216"/>
          <c:w val="0.92852719645082349"/>
          <c:h val="0.74582976118858624"/>
        </c:manualLayout>
      </c:layout>
      <c:scatterChart>
        <c:scatterStyle val="smoothMarker"/>
        <c:varyColors val="0"/>
        <c:ser>
          <c:idx val="0"/>
          <c:order val="0"/>
          <c:tx>
            <c:v>Upper Camber</c:v>
          </c:tx>
          <c:spPr>
            <a:ln w="127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Data4!$G$1:$G$501</c:f>
              <c:numCache>
                <c:formatCode>0.00000</c:formatCode>
                <c:ptCount val="501"/>
                <c:pt idx="0">
                  <c:v>0</c:v>
                </c:pt>
                <c:pt idx="1">
                  <c:v>-1.1046830859525482E-4</c:v>
                </c:pt>
                <c:pt idx="2">
                  <c:v>-2.1056599806268636E-4</c:v>
                </c:pt>
                <c:pt idx="3">
                  <c:v>-3.0026005152946906E-4</c:v>
                </c:pt>
                <c:pt idx="4">
                  <c:v>-3.7951782790201989E-4</c:v>
                </c:pt>
                <c:pt idx="5">
                  <c:v>-4.4830706617878565E-4</c:v>
                </c:pt>
                <c:pt idx="6">
                  <c:v>-5.0659588970127835E-4</c:v>
                </c:pt>
                <c:pt idx="7">
                  <c:v>-5.54352810341101E-4</c:v>
                </c:pt>
                <c:pt idx="8">
                  <c:v>-5.9154673263212638E-4</c:v>
                </c:pt>
                <c:pt idx="9">
                  <c:v>-6.1814695785301411E-4</c:v>
                </c:pt>
                <c:pt idx="10">
                  <c:v>-6.3412318806528416E-4</c:v>
                </c:pt>
                <c:pt idx="11">
                  <c:v>-6.3944553011267553E-4</c:v>
                </c:pt>
                <c:pt idx="12">
                  <c:v>-6.3408449958701762E-4</c:v>
                </c:pt>
                <c:pt idx="13">
                  <c:v>-6.1801102476604719E-4</c:v>
                </c:pt>
                <c:pt idx="14">
                  <c:v>-5.9119645052818246E-4</c:v>
                </c:pt>
                <c:pt idx="15">
                  <c:v>-5.5361254224930469E-4</c:v>
                </c:pt>
                <c:pt idx="16">
                  <c:v>-5.0523148968671465E-4</c:v>
                </c:pt>
                <c:pt idx="17">
                  <c:v>-4.460259108544425E-4</c:v>
                </c:pt>
                <c:pt idx="18">
                  <c:v>-3.7596885589547208E-4</c:v>
                </c:pt>
                <c:pt idx="19">
                  <c:v>-2.9503381095433373E-4</c:v>
                </c:pt>
                <c:pt idx="20">
                  <c:v>-2.0319470205564308E-4</c:v>
                </c:pt>
                <c:pt idx="21">
                  <c:v>-1.0042589899166053E-4</c:v>
                </c:pt>
                <c:pt idx="22">
                  <c:v>1.3297780776178308E-5</c:v>
                </c:pt>
                <c:pt idx="23">
                  <c:v>1.3800106819829858E-4</c:v>
                </c:pt>
                <c:pt idx="24">
                  <c:v>2.737082386963267E-4</c:v>
                </c:pt>
                <c:pt idx="25">
                  <c:v>4.2044310819790718E-4</c:v>
                </c:pt>
                <c:pt idx="26">
                  <c:v>5.782290291422628E-4</c:v>
                </c:pt>
                <c:pt idx="27">
                  <c:v>7.4708888645489248E-4</c:v>
                </c:pt>
                <c:pt idx="28">
                  <c:v>9.2704509348647858E-4</c:v>
                </c:pt>
                <c:pt idx="29">
                  <c:v>1.1181195879142996E-3</c:v>
                </c:pt>
                <c:pt idx="30">
                  <c:v>1.3203338276032519E-3</c:v>
                </c:pt>
                <c:pt idx="31">
                  <c:v>1.5337087864225525E-3</c:v>
                </c:pt>
                <c:pt idx="32">
                  <c:v>1.7582649500182297E-3</c:v>
                </c:pt>
                <c:pt idx="33">
                  <c:v>1.9940223115366838E-3</c:v>
                </c:pt>
                <c:pt idx="34">
                  <c:v>2.2410003672984967E-3</c:v>
                </c:pt>
                <c:pt idx="35">
                  <c:v>2.4992181124206749E-3</c:v>
                </c:pt>
                <c:pt idx="36">
                  <c:v>2.7686940363857338E-3</c:v>
                </c:pt>
                <c:pt idx="37">
                  <c:v>3.0494461185555451E-3</c:v>
                </c:pt>
                <c:pt idx="38">
                  <c:v>3.3414918236293512E-3</c:v>
                </c:pt>
                <c:pt idx="39">
                  <c:v>3.6448480970450435E-3</c:v>
                </c:pt>
                <c:pt idx="40">
                  <c:v>3.9595313603224156E-3</c:v>
                </c:pt>
                <c:pt idx="41">
                  <c:v>4.2855575063483293E-3</c:v>
                </c:pt>
                <c:pt idx="42">
                  <c:v>4.6229418946028824E-3</c:v>
                </c:pt>
                <c:pt idx="43">
                  <c:v>4.9716993463270187E-3</c:v>
                </c:pt>
                <c:pt idx="44">
                  <c:v>5.3318441396317078E-3</c:v>
                </c:pt>
                <c:pt idx="45">
                  <c:v>5.7033900045484814E-3</c:v>
                </c:pt>
                <c:pt idx="46">
                  <c:v>6.0863501180224659E-3</c:v>
                </c:pt>
                <c:pt idx="47">
                  <c:v>6.4807370988480681E-3</c:v>
                </c:pt>
                <c:pt idx="48">
                  <c:v>6.8865630025497669E-3</c:v>
                </c:pt>
                <c:pt idx="49">
                  <c:v>7.3038393162070782E-3</c:v>
                </c:pt>
                <c:pt idx="50">
                  <c:v>7.7325769532276215E-3</c:v>
                </c:pt>
                <c:pt idx="51">
                  <c:v>8.1727862480681403E-3</c:v>
                </c:pt>
                <c:pt idx="52">
                  <c:v>8.6244769509068626E-3</c:v>
                </c:pt>
                <c:pt idx="53">
                  <c:v>9.0876582222685388E-3</c:v>
                </c:pt>
                <c:pt idx="54">
                  <c:v>9.5623386276046454E-3</c:v>
                </c:pt>
                <c:pt idx="55">
                  <c:v>1.0048526131833073E-2</c:v>
                </c:pt>
                <c:pt idx="56">
                  <c:v>1.0546228093837505E-2</c:v>
                </c:pt>
                <c:pt idx="57">
                  <c:v>1.1055451260932657E-2</c:v>
                </c:pt>
                <c:pt idx="58">
                  <c:v>1.1576201763296483E-2</c:v>
                </c:pt>
                <c:pt idx="59">
                  <c:v>1.2108485108374615E-2</c:v>
                </c:pt>
                <c:pt idx="60">
                  <c:v>1.2652306175260478E-2</c:v>
                </c:pt>
                <c:pt idx="61">
                  <c:v>1.3207669209054624E-2</c:v>
                </c:pt>
                <c:pt idx="62">
                  <c:v>1.3774577815209096E-2</c:v>
                </c:pt>
                <c:pt idx="63">
                  <c:v>1.4353034953860162E-2</c:v>
                </c:pt>
                <c:pt idx="64">
                  <c:v>1.4943042934154546E-2</c:v>
                </c:pt>
                <c:pt idx="65">
                  <c:v>1.5544603408575693E-2</c:v>
                </c:pt>
                <c:pt idx="66">
                  <c:v>1.6157717367272565E-2</c:v>
                </c:pt>
                <c:pt idx="67">
                  <c:v>1.6782385132399262E-2</c:v>
                </c:pt>
                <c:pt idx="68">
                  <c:v>1.741860635246982E-2</c:v>
                </c:pt>
                <c:pt idx="69">
                  <c:v>1.8066379996733762E-2</c:v>
                </c:pt>
                <c:pt idx="70">
                  <c:v>1.8725704349580118E-2</c:v>
                </c:pt>
                <c:pt idx="71">
                  <c:v>1.9396577004973544E-2</c:v>
                </c:pt>
                <c:pt idx="72">
                  <c:v>2.0078994860932606E-2</c:v>
                </c:pt>
                <c:pt idx="73">
                  <c:v>2.0772954114052836E-2</c:v>
                </c:pt>
                <c:pt idx="74">
                  <c:v>2.1478450254085103E-2</c:v>
                </c:pt>
                <c:pt idx="75">
                  <c:v>2.2195478058573165E-2</c:v>
                </c:pt>
                <c:pt idx="76">
                  <c:v>2.2924031587559086E-2</c:v>
                </c:pt>
                <c:pt idx="77">
                  <c:v>2.3664104178364401E-2</c:v>
                </c:pt>
                <c:pt idx="78">
                  <c:v>2.4415688440451323E-2</c:v>
                </c:pt>
                <c:pt idx="79">
                  <c:v>2.5178776250375377E-2</c:v>
                </c:pt>
                <c:pt idx="80">
                  <c:v>2.5953358746833299E-2</c:v>
                </c:pt>
                <c:pt idx="81">
                  <c:v>2.6739426325816371E-2</c:v>
                </c:pt>
                <c:pt idx="82">
                  <c:v>2.7536968635875243E-2</c:v>
                </c:pt>
                <c:pt idx="83">
                  <c:v>2.8345974573504473E-2</c:v>
                </c:pt>
                <c:pt idx="84">
                  <c:v>2.916643227865446E-2</c:v>
                </c:pt>
                <c:pt idx="85">
                  <c:v>2.9998329130378008E-2</c:v>
                </c:pt>
                <c:pt idx="86">
                  <c:v>3.0841651742620178E-2</c:v>
                </c:pt>
                <c:pt idx="87">
                  <c:v>3.1696385960157544E-2</c:v>
                </c:pt>
                <c:pt idx="88">
                  <c:v>3.2562516854696043E-2</c:v>
                </c:pt>
                <c:pt idx="89">
                  <c:v>3.3440028721133934E-2</c:v>
                </c:pt>
                <c:pt idx="90">
                  <c:v>3.4328905073997204E-2</c:v>
                </c:pt>
                <c:pt idx="91">
                  <c:v>3.5229128644056085E-2</c:v>
                </c:pt>
                <c:pt idx="92">
                  <c:v>3.6140681375128797E-2</c:v>
                </c:pt>
                <c:pt idx="93">
                  <c:v>3.7063544421079099E-2</c:v>
                </c:pt>
                <c:pt idx="94">
                  <c:v>3.7997698143016678E-2</c:v>
                </c:pt>
                <c:pt idx="95">
                  <c:v>3.8943122106705468E-2</c:v>
                </c:pt>
                <c:pt idx="96">
                  <c:v>3.9899795080186658E-2</c:v>
                </c:pt>
                <c:pt idx="97">
                  <c:v>4.0867695031623623E-2</c:v>
                </c:pt>
                <c:pt idx="98">
                  <c:v>4.1846799127375038E-2</c:v>
                </c:pt>
                <c:pt idx="99">
                  <c:v>4.2837083730300429E-2</c:v>
                </c:pt>
                <c:pt idx="100">
                  <c:v>4.3838524398305996E-2</c:v>
                </c:pt>
                <c:pt idx="101">
                  <c:v>4.4851095883134989E-2</c:v>
                </c:pt>
                <c:pt idx="102">
                  <c:v>4.5874772129408055E-2</c:v>
                </c:pt>
                <c:pt idx="103">
                  <c:v>4.6909526273918242E-2</c:v>
                </c:pt>
                <c:pt idx="104">
                  <c:v>4.7955330645184958E-2</c:v>
                </c:pt>
                <c:pt idx="105">
                  <c:v>4.9012156763271544E-2</c:v>
                </c:pt>
                <c:pt idx="106">
                  <c:v>5.007997533987002E-2</c:v>
                </c:pt>
                <c:pt idx="107">
                  <c:v>5.1158756278655827E-2</c:v>
                </c:pt>
                <c:pt idx="108">
                  <c:v>5.2248468675917065E-2</c:v>
                </c:pt>
                <c:pt idx="109">
                  <c:v>5.3349080821458152E-2</c:v>
                </c:pt>
                <c:pt idx="110">
                  <c:v>5.4460560199783702E-2</c:v>
                </c:pt>
                <c:pt idx="111">
                  <c:v>5.5582873491560318E-2</c:v>
                </c:pt>
                <c:pt idx="112">
                  <c:v>5.6715986575361851E-2</c:v>
                </c:pt>
                <c:pt idx="113">
                  <c:v>5.7859864529694723E-2</c:v>
                </c:pt>
                <c:pt idx="114">
                  <c:v>5.9014471635307049E-2</c:v>
                </c:pt>
                <c:pt idx="115">
                  <c:v>6.017977137777962E-2</c:v>
                </c:pt>
                <c:pt idx="116">
                  <c:v>6.1355726450399037E-2</c:v>
                </c:pt>
                <c:pt idx="117">
                  <c:v>6.2542298757311057E-2</c:v>
                </c:pt>
                <c:pt idx="118">
                  <c:v>6.3739449416953503E-2</c:v>
                </c:pt>
                <c:pt idx="119">
                  <c:v>6.4947138765766688E-2</c:v>
                </c:pt>
                <c:pt idx="120">
                  <c:v>6.6165326362177826E-2</c:v>
                </c:pt>
                <c:pt idx="121">
                  <c:v>6.7393970990857227E-2</c:v>
                </c:pt>
                <c:pt idx="122">
                  <c:v>6.8633030667242564E-2</c:v>
                </c:pt>
                <c:pt idx="123">
                  <c:v>6.9882462642327614E-2</c:v>
                </c:pt>
                <c:pt idx="124">
                  <c:v>7.1142223407710106E-2</c:v>
                </c:pt>
                <c:pt idx="125">
                  <c:v>7.2412268700894095E-2</c:v>
                </c:pt>
                <c:pt idx="126">
                  <c:v>7.369255351084146E-2</c:v>
                </c:pt>
                <c:pt idx="127">
                  <c:v>7.4983032083767082E-2</c:v>
                </c:pt>
                <c:pt idx="128">
                  <c:v>7.6283657929169787E-2</c:v>
                </c:pt>
                <c:pt idx="129">
                  <c:v>7.7594383826094293E-2</c:v>
                </c:pt>
                <c:pt idx="130">
                  <c:v>7.8915161829614916E-2</c:v>
                </c:pt>
                <c:pt idx="131">
                  <c:v>8.0245943277534634E-2</c:v>
                </c:pt>
                <c:pt idx="132">
                  <c:v>8.1586678797290382E-2</c:v>
                </c:pt>
                <c:pt idx="133">
                  <c:v>8.2937318313057881E-2</c:v>
                </c:pt>
                <c:pt idx="134">
                  <c:v>8.4297811053044208E-2</c:v>
                </c:pt>
                <c:pt idx="135">
                  <c:v>8.5668105556961832E-2</c:v>
                </c:pt>
                <c:pt idx="136">
                  <c:v>8.7048149683672499E-2</c:v>
                </c:pt>
                <c:pt idx="137">
                  <c:v>8.8437890618991905E-2</c:v>
                </c:pt>
                <c:pt idx="138">
                  <c:v>8.9837274883645499E-2</c:v>
                </c:pt>
                <c:pt idx="139">
                  <c:v>9.1246248341363079E-2</c:v>
                </c:pt>
                <c:pt idx="140">
                  <c:v>9.2664756207104265E-2</c:v>
                </c:pt>
                <c:pt idx="141">
                  <c:v>9.409274305540119E-2</c:v>
                </c:pt>
                <c:pt idx="142">
                  <c:v>9.5530152828809237E-2</c:v>
                </c:pt>
                <c:pt idx="143">
                  <c:v>9.6976928846453467E-2</c:v>
                </c:pt>
                <c:pt idx="144">
                  <c:v>9.843301381266073E-2</c:v>
                </c:pt>
                <c:pt idx="145">
                  <c:v>9.9898349825663812E-2</c:v>
                </c:pt>
                <c:pt idx="146">
                  <c:v>0.10137287838636796</c:v>
                </c:pt>
                <c:pt idx="147">
                  <c:v>0.1028565404071681</c:v>
                </c:pt>
                <c:pt idx="148">
                  <c:v>0.10434927622080312</c:v>
                </c:pt>
                <c:pt idx="149">
                  <c:v>0.10585102558923892</c:v>
                </c:pt>
                <c:pt idx="150">
                  <c:v>0.1073617277125658</c:v>
                </c:pt>
                <c:pt idx="151">
                  <c:v>0.10888132123790038</c:v>
                </c:pt>
                <c:pt idx="152">
                  <c:v>0.11040974426828022</c:v>
                </c:pt>
                <c:pt idx="153">
                  <c:v>0.11194693437154055</c:v>
                </c:pt>
                <c:pt idx="154">
                  <c:v>0.11349282858916142</c:v>
                </c:pt>
                <c:pt idx="155">
                  <c:v>0.11504736344507534</c:v>
                </c:pt>
                <c:pt idx="156">
                  <c:v>0.11661047495442434</c:v>
                </c:pt>
                <c:pt idx="157">
                  <c:v>0.11818209863225716</c:v>
                </c:pt>
                <c:pt idx="158">
                  <c:v>0.11976216950215576</c:v>
                </c:pt>
                <c:pt idx="159">
                  <c:v>0.12135062210478338</c:v>
                </c:pt>
                <c:pt idx="160">
                  <c:v>0.12294739050634262</c:v>
                </c:pt>
                <c:pt idx="161">
                  <c:v>0.12455240830693821</c:v>
                </c:pt>
                <c:pt idx="162">
                  <c:v>0.12616560864883394</c:v>
                </c:pt>
                <c:pt idx="163">
                  <c:v>0.12778692422459639</c:v>
                </c:pt>
                <c:pt idx="164">
                  <c:v>0.12941628728512131</c:v>
                </c:pt>
                <c:pt idx="165">
                  <c:v>0.13105362964753112</c:v>
                </c:pt>
                <c:pt idx="166">
                  <c:v>0.13269888270294383</c:v>
                </c:pt>
                <c:pt idx="167">
                  <c:v>0.13435197742410274</c:v>
                </c:pt>
                <c:pt idx="168">
                  <c:v>0.13601284437286645</c:v>
                </c:pt>
                <c:pt idx="169">
                  <c:v>0.13768141370755321</c:v>
                </c:pt>
                <c:pt idx="170">
                  <c:v>0.1393576151901374</c:v>
                </c:pt>
                <c:pt idx="171">
                  <c:v>0.14104137819329671</c:v>
                </c:pt>
                <c:pt idx="172">
                  <c:v>0.14273263170730735</c:v>
                </c:pt>
                <c:pt idx="173">
                  <c:v>0.14443130434678716</c:v>
                </c:pt>
                <c:pt idx="174">
                  <c:v>0.14613732435728771</c:v>
                </c:pt>
                <c:pt idx="175">
                  <c:v>0.14785061962173654</c:v>
                </c:pt>
                <c:pt idx="176">
                  <c:v>0.14957111766673054</c:v>
                </c:pt>
                <c:pt idx="177">
                  <c:v>0.1512987456686857</c:v>
                </c:pt>
                <c:pt idx="178">
                  <c:v>0.1530334304598456</c:v>
                </c:pt>
                <c:pt idx="179">
                  <c:v>0.15477509853415555</c:v>
                </c:pt>
                <c:pt idx="180">
                  <c:v>0.15652367605300738</c:v>
                </c:pt>
                <c:pt idx="181">
                  <c:v>0.15827908885086361</c:v>
                </c:pt>
                <c:pt idx="182">
                  <c:v>0.16004126244076858</c:v>
                </c:pt>
                <c:pt idx="183">
                  <c:v>0.16181012201975684</c:v>
                </c:pt>
                <c:pt idx="184">
                  <c:v>0.1635855924741694</c:v>
                </c:pt>
                <c:pt idx="185">
                  <c:v>0.16536759838489168</c:v>
                </c:pt>
                <c:pt idx="186">
                  <c:v>0.16715606403252328</c:v>
                </c:pt>
                <c:pt idx="187">
                  <c:v>0.16895091340249865</c:v>
                </c:pt>
                <c:pt idx="188">
                  <c:v>0.17075207019017088</c:v>
                </c:pt>
                <c:pt idx="189">
                  <c:v>0.17255945780587881</c:v>
                </c:pt>
                <c:pt idx="190">
                  <c:v>0.17437299938001513</c:v>
                </c:pt>
                <c:pt idx="191">
                  <c:v>0.17619261776811568</c:v>
                </c:pt>
                <c:pt idx="192">
                  <c:v>0.17801823555599242</c:v>
                </c:pt>
                <c:pt idx="193">
                  <c:v>0.17984977506493333</c:v>
                </c:pt>
                <c:pt idx="194">
                  <c:v>0.18168715835699256</c:v>
                </c:pt>
                <c:pt idx="195">
                  <c:v>0.18353030724039984</c:v>
                </c:pt>
                <c:pt idx="196">
                  <c:v>0.18537914327511465</c:v>
                </c:pt>
                <c:pt idx="197">
                  <c:v>0.18723358777855631</c:v>
                </c:pt>
                <c:pt idx="198">
                  <c:v>0.1890935618315405</c:v>
                </c:pt>
                <c:pt idx="199">
                  <c:v>0.19095898628445546</c:v>
                </c:pt>
                <c:pt idx="200">
                  <c:v>0.19282978176371335</c:v>
                </c:pt>
                <c:pt idx="201">
                  <c:v>0.19470586867851111</c:v>
                </c:pt>
                <c:pt idx="202">
                  <c:v>0.19658716722794242</c:v>
                </c:pt>
                <c:pt idx="203">
                  <c:v>0.19847359740849799</c:v>
                </c:pt>
                <c:pt idx="204">
                  <c:v>0.20036507902199718</c:v>
                </c:pt>
                <c:pt idx="205">
                  <c:v>0.20226153168399666</c:v>
                </c:pt>
                <c:pt idx="206">
                  <c:v>0.20416291450073359</c:v>
                </c:pt>
                <c:pt idx="207">
                  <c:v>0.20607110189605751</c:v>
                </c:pt>
                <c:pt idx="208">
                  <c:v>0.2079871430497531</c:v>
                </c:pt>
                <c:pt idx="209">
                  <c:v>0.20991101890102556</c:v>
                </c:pt>
                <c:pt idx="210">
                  <c:v>0.21184271030775387</c:v>
                </c:pt>
                <c:pt idx="211">
                  <c:v>0.21378219804665452</c:v>
                </c:pt>
                <c:pt idx="212">
                  <c:v>0.21572946281344862</c:v>
                </c:pt>
                <c:pt idx="213">
                  <c:v>0.21768448522302802</c:v>
                </c:pt>
                <c:pt idx="214">
                  <c:v>0.21964724580962369</c:v>
                </c:pt>
                <c:pt idx="215">
                  <c:v>0.22161772502697485</c:v>
                </c:pt>
                <c:pt idx="216">
                  <c:v>0.22359590324849921</c:v>
                </c:pt>
                <c:pt idx="217">
                  <c:v>0.22558176076746389</c:v>
                </c:pt>
                <c:pt idx="218">
                  <c:v>0.2275752777971585</c:v>
                </c:pt>
                <c:pt idx="219">
                  <c:v>0.22957643447106812</c:v>
                </c:pt>
                <c:pt idx="220">
                  <c:v>0.23158521084304787</c:v>
                </c:pt>
                <c:pt idx="221">
                  <c:v>0.23360158688749846</c:v>
                </c:pt>
                <c:pt idx="222">
                  <c:v>0.23562554249954326</c:v>
                </c:pt>
                <c:pt idx="223">
                  <c:v>0.23765705749520613</c:v>
                </c:pt>
                <c:pt idx="224">
                  <c:v>0.23969611161158966</c:v>
                </c:pt>
                <c:pt idx="225">
                  <c:v>0.24174268450705619</c:v>
                </c:pt>
                <c:pt idx="226">
                  <c:v>0.243796755761408</c:v>
                </c:pt>
                <c:pt idx="227">
                  <c:v>0.24585830487607013</c:v>
                </c:pt>
                <c:pt idx="228">
                  <c:v>0.24792731127427323</c:v>
                </c:pt>
                <c:pt idx="229">
                  <c:v>0.25000375430123839</c:v>
                </c:pt>
                <c:pt idx="230">
                  <c:v>0.25208761322436246</c:v>
                </c:pt>
                <c:pt idx="231">
                  <c:v>0.2541788672334046</c:v>
                </c:pt>
                <c:pt idx="232">
                  <c:v>0.25627749544067396</c:v>
                </c:pt>
                <c:pt idx="233">
                  <c:v>0.25838347688121865</c:v>
                </c:pt>
                <c:pt idx="234">
                  <c:v>0.26049679051301577</c:v>
                </c:pt>
                <c:pt idx="235">
                  <c:v>0.26261741521716214</c:v>
                </c:pt>
                <c:pt idx="236">
                  <c:v>0.26474532979806664</c:v>
                </c:pt>
                <c:pt idx="237">
                  <c:v>0.26688051298364346</c:v>
                </c:pt>
                <c:pt idx="238">
                  <c:v>0.26902294342550637</c:v>
                </c:pt>
                <c:pt idx="239">
                  <c:v>0.27117259969916457</c:v>
                </c:pt>
                <c:pt idx="240">
                  <c:v>0.27332946030421873</c:v>
                </c:pt>
                <c:pt idx="241">
                  <c:v>0.27549350366455916</c:v>
                </c:pt>
                <c:pt idx="242">
                  <c:v>0.27766470812856436</c:v>
                </c:pt>
                <c:pt idx="243">
                  <c:v>0.27984305196930126</c:v>
                </c:pt>
                <c:pt idx="244">
                  <c:v>0.28202851338472601</c:v>
                </c:pt>
                <c:pt idx="245">
                  <c:v>0.28422107049788647</c:v>
                </c:pt>
                <c:pt idx="246">
                  <c:v>0.28642070135712488</c:v>
                </c:pt>
                <c:pt idx="247">
                  <c:v>0.28862738393628345</c:v>
                </c:pt>
                <c:pt idx="248">
                  <c:v>0.29084109613490855</c:v>
                </c:pt>
                <c:pt idx="249">
                  <c:v>0.29306181577845847</c:v>
                </c:pt>
                <c:pt idx="250">
                  <c:v>0.2952895206185106</c:v>
                </c:pt>
                <c:pt idx="251">
                  <c:v>0.29752418833297051</c:v>
                </c:pt>
                <c:pt idx="252">
                  <c:v>0.29976579652628221</c:v>
                </c:pt>
                <c:pt idx="253">
                  <c:v>0.3020143227296388</c:v>
                </c:pt>
                <c:pt idx="254">
                  <c:v>0.30426974440119525</c:v>
                </c:pt>
                <c:pt idx="255">
                  <c:v>0.30653203892628172</c:v>
                </c:pt>
                <c:pt idx="256">
                  <c:v>0.30880118361761788</c:v>
                </c:pt>
                <c:pt idx="257">
                  <c:v>0.31107715571552891</c:v>
                </c:pt>
                <c:pt idx="258">
                  <c:v>0.31335993238816162</c:v>
                </c:pt>
                <c:pt idx="259">
                  <c:v>0.31564949073170318</c:v>
                </c:pt>
                <c:pt idx="260">
                  <c:v>0.31794580777059978</c:v>
                </c:pt>
                <c:pt idx="261">
                  <c:v>0.32024886045777673</c:v>
                </c:pt>
                <c:pt idx="262">
                  <c:v>0.3225586256748601</c:v>
                </c:pt>
                <c:pt idx="263">
                  <c:v>0.32487508023239792</c:v>
                </c:pt>
                <c:pt idx="264">
                  <c:v>0.32719820087008578</c:v>
                </c:pt>
                <c:pt idx="265">
                  <c:v>0.32952796425698971</c:v>
                </c:pt>
                <c:pt idx="266">
                  <c:v>0.33186434699177292</c:v>
                </c:pt>
                <c:pt idx="267">
                  <c:v>0.33420732560292216</c:v>
                </c:pt>
                <c:pt idx="268">
                  <c:v>0.33655687654897631</c:v>
                </c:pt>
                <c:pt idx="269">
                  <c:v>0.33891297621875477</c:v>
                </c:pt>
                <c:pt idx="270">
                  <c:v>0.34127560093158854</c:v>
                </c:pt>
                <c:pt idx="271">
                  <c:v>0.34364472693755133</c:v>
                </c:pt>
                <c:pt idx="272">
                  <c:v>0.34602033041769198</c:v>
                </c:pt>
                <c:pt idx="273">
                  <c:v>0.34840238748426788</c:v>
                </c:pt>
                <c:pt idx="274">
                  <c:v>0.35079087418098048</c:v>
                </c:pt>
                <c:pt idx="275">
                  <c:v>0.35318576648321037</c:v>
                </c:pt>
                <c:pt idx="276">
                  <c:v>0.35558704029825494</c:v>
                </c:pt>
                <c:pt idx="277">
                  <c:v>0.35799467146556602</c:v>
                </c:pt>
                <c:pt idx="278">
                  <c:v>0.36040863575698961</c:v>
                </c:pt>
                <c:pt idx="279">
                  <c:v>0.36282890887700547</c:v>
                </c:pt>
                <c:pt idx="280">
                  <c:v>0.36525546646296964</c:v>
                </c:pt>
                <c:pt idx="281">
                  <c:v>0.3676882840853562</c:v>
                </c:pt>
                <c:pt idx="282">
                  <c:v>0.37012733724800145</c:v>
                </c:pt>
                <c:pt idx="283">
                  <c:v>0.37257260138834847</c:v>
                </c:pt>
                <c:pt idx="284">
                  <c:v>0.37502405187769311</c:v>
                </c:pt>
                <c:pt idx="285">
                  <c:v>0.37748166402143107</c:v>
                </c:pt>
                <c:pt idx="286">
                  <c:v>0.37994541305930624</c:v>
                </c:pt>
                <c:pt idx="287">
                  <c:v>0.38241527416565979</c:v>
                </c:pt>
                <c:pt idx="288">
                  <c:v>0.38489122244968044</c:v>
                </c:pt>
                <c:pt idx="289">
                  <c:v>0.38737323295565623</c:v>
                </c:pt>
                <c:pt idx="290">
                  <c:v>0.38986128066322667</c:v>
                </c:pt>
                <c:pt idx="291">
                  <c:v>0.39235534048763698</c:v>
                </c:pt>
                <c:pt idx="292">
                  <c:v>0.39485538727999253</c:v>
                </c:pt>
                <c:pt idx="293">
                  <c:v>0.39736139582751462</c:v>
                </c:pt>
                <c:pt idx="294">
                  <c:v>0.39987334085379816</c:v>
                </c:pt>
                <c:pt idx="295">
                  <c:v>0.40239119702093468</c:v>
                </c:pt>
                <c:pt idx="296">
                  <c:v>0.4049149389921497</c:v>
                </c:pt>
                <c:pt idx="297">
                  <c:v>0.40744454144957348</c:v>
                </c:pt>
                <c:pt idx="298">
                  <c:v>0.409979979023188</c:v>
                </c:pt>
                <c:pt idx="299">
                  <c:v>0.41252122628640753</c:v>
                </c:pt>
                <c:pt idx="300">
                  <c:v>0.41506825775634265</c:v>
                </c:pt>
                <c:pt idx="301">
                  <c:v>0.4176210478940674</c:v>
                </c:pt>
                <c:pt idx="302">
                  <c:v>0.42017957110488435</c:v>
                </c:pt>
                <c:pt idx="303">
                  <c:v>0.42274380173859172</c:v>
                </c:pt>
                <c:pt idx="304">
                  <c:v>0.42531371408975055</c:v>
                </c:pt>
                <c:pt idx="305">
                  <c:v>0.42788928239795188</c:v>
                </c:pt>
                <c:pt idx="306">
                  <c:v>0.43047048084808509</c:v>
                </c:pt>
                <c:pt idx="307">
                  <c:v>0.43305728357060658</c:v>
                </c:pt>
                <c:pt idx="308">
                  <c:v>0.43564966464180804</c:v>
                </c:pt>
                <c:pt idx="309">
                  <c:v>0.43824759808408675</c:v>
                </c:pt>
                <c:pt idx="310">
                  <c:v>0.4408510578662142</c:v>
                </c:pt>
                <c:pt idx="311">
                  <c:v>0.44346001790360756</c:v>
                </c:pt>
                <c:pt idx="312">
                  <c:v>0.44607445205859964</c:v>
                </c:pt>
                <c:pt idx="313">
                  <c:v>0.44869433414071019</c:v>
                </c:pt>
                <c:pt idx="314">
                  <c:v>0.4513196379069177</c:v>
                </c:pt>
                <c:pt idx="315">
                  <c:v>0.45395033706193072</c:v>
                </c:pt>
                <c:pt idx="316">
                  <c:v>0.456586405258461</c:v>
                </c:pt>
                <c:pt idx="317">
                  <c:v>0.45922781609749591</c:v>
                </c:pt>
                <c:pt idx="318">
                  <c:v>0.46187454312857201</c:v>
                </c:pt>
                <c:pt idx="319">
                  <c:v>0.46452655985004798</c:v>
                </c:pt>
                <c:pt idx="320">
                  <c:v>0.4671838397093801</c:v>
                </c:pt>
                <c:pt idx="321">
                  <c:v>0.46984635610339476</c:v>
                </c:pt>
                <c:pt idx="322">
                  <c:v>0.47251408237856518</c:v>
                </c:pt>
                <c:pt idx="323">
                  <c:v>0.4751869918312856</c:v>
                </c:pt>
                <c:pt idx="324">
                  <c:v>0.47786505770814702</c:v>
                </c:pt>
                <c:pt idx="325">
                  <c:v>0.48054825320621419</c:v>
                </c:pt>
                <c:pt idx="326">
                  <c:v>0.48323655147330058</c:v>
                </c:pt>
                <c:pt idx="327">
                  <c:v>0.48592992560824694</c:v>
                </c:pt>
                <c:pt idx="328">
                  <c:v>0.48862834866119664</c:v>
                </c:pt>
                <c:pt idx="329">
                  <c:v>0.49133179363387514</c:v>
                </c:pt>
                <c:pt idx="330">
                  <c:v>0.49404023347986648</c:v>
                </c:pt>
                <c:pt idx="331">
                  <c:v>0.49675364110489306</c:v>
                </c:pt>
                <c:pt idx="332">
                  <c:v>0.49947198936709286</c:v>
                </c:pt>
                <c:pt idx="333">
                  <c:v>0.50219525107729956</c:v>
                </c:pt>
                <c:pt idx="334">
                  <c:v>0.50492339899932204</c:v>
                </c:pt>
                <c:pt idx="335">
                  <c:v>0.50765640585022354</c:v>
                </c:pt>
                <c:pt idx="336">
                  <c:v>0.51039424430060276</c:v>
                </c:pt>
                <c:pt idx="337">
                  <c:v>0.51313688697487336</c:v>
                </c:pt>
                <c:pt idx="338">
                  <c:v>0.51588430645154593</c:v>
                </c:pt>
                <c:pt idx="339">
                  <c:v>0.51863647526350809</c:v>
                </c:pt>
                <c:pt idx="340">
                  <c:v>0.52139336589830743</c:v>
                </c:pt>
                <c:pt idx="341">
                  <c:v>0.52415495079843233</c:v>
                </c:pt>
                <c:pt idx="342">
                  <c:v>0.52692120236159512</c:v>
                </c:pt>
                <c:pt idx="343">
                  <c:v>0.52969209294101383</c:v>
                </c:pt>
                <c:pt idx="344">
                  <c:v>0.53246759484569561</c:v>
                </c:pt>
                <c:pt idx="345">
                  <c:v>0.53524768034072046</c:v>
                </c:pt>
                <c:pt idx="346">
                  <c:v>0.53803232164752368</c:v>
                </c:pt>
                <c:pt idx="347">
                  <c:v>0.5408214909441813</c:v>
                </c:pt>
                <c:pt idx="348">
                  <c:v>0.54361516036569313</c:v>
                </c:pt>
                <c:pt idx="349">
                  <c:v>0.54641330200426774</c:v>
                </c:pt>
                <c:pt idx="350">
                  <c:v>0.54921588790960718</c:v>
                </c:pt>
                <c:pt idx="351">
                  <c:v>0.55202289008919303</c:v>
                </c:pt>
                <c:pt idx="352">
                  <c:v>0.55483428050857098</c:v>
                </c:pt>
                <c:pt idx="353">
                  <c:v>0.55765003109163669</c:v>
                </c:pt>
                <c:pt idx="354">
                  <c:v>0.56047011372092281</c:v>
                </c:pt>
                <c:pt idx="355">
                  <c:v>0.56329450023788386</c:v>
                </c:pt>
                <c:pt idx="356">
                  <c:v>0.56612316244318506</c:v>
                </c:pt>
                <c:pt idx="357">
                  <c:v>0.56895607209698706</c:v>
                </c:pt>
                <c:pt idx="358">
                  <c:v>0.57179320091923536</c:v>
                </c:pt>
                <c:pt idx="359">
                  <c:v>0.5746345205899458</c:v>
                </c:pt>
                <c:pt idx="360">
                  <c:v>0.57748000274949451</c:v>
                </c:pt>
                <c:pt idx="361">
                  <c:v>0.58032961899890456</c:v>
                </c:pt>
                <c:pt idx="362">
                  <c:v>0.58318334090013546</c:v>
                </c:pt>
                <c:pt idx="363">
                  <c:v>0.58604113997637097</c:v>
                </c:pt>
                <c:pt idx="364">
                  <c:v>0.58890298771230798</c:v>
                </c:pt>
                <c:pt idx="365">
                  <c:v>0.59176885555444769</c:v>
                </c:pt>
                <c:pt idx="366">
                  <c:v>0.59463871491138232</c:v>
                </c:pt>
                <c:pt idx="367">
                  <c:v>0.59751253715408725</c:v>
                </c:pt>
                <c:pt idx="368">
                  <c:v>0.60039029361620933</c:v>
                </c:pt>
                <c:pt idx="369">
                  <c:v>0.60327195559435887</c:v>
                </c:pt>
                <c:pt idx="370">
                  <c:v>0.60615749434839805</c:v>
                </c:pt>
                <c:pt idx="371">
                  <c:v>0.60904688110173433</c:v>
                </c:pt>
                <c:pt idx="372">
                  <c:v>0.61194008704160929</c:v>
                </c:pt>
                <c:pt idx="373">
                  <c:v>0.61483708331939113</c:v>
                </c:pt>
                <c:pt idx="374">
                  <c:v>0.61773784105086571</c:v>
                </c:pt>
                <c:pt idx="375">
                  <c:v>0.62064233131652846</c:v>
                </c:pt>
                <c:pt idx="376">
                  <c:v>0.62355052516187692</c:v>
                </c:pt>
                <c:pt idx="377">
                  <c:v>0.62646239359770162</c:v>
                </c:pt>
                <c:pt idx="378">
                  <c:v>0.62937790760038081</c:v>
                </c:pt>
                <c:pt idx="379">
                  <c:v>0.63229703811217053</c:v>
                </c:pt>
                <c:pt idx="380">
                  <c:v>0.63521975604149927</c:v>
                </c:pt>
                <c:pt idx="381">
                  <c:v>0.63814603226326094</c:v>
                </c:pt>
                <c:pt idx="382">
                  <c:v>0.64107583761910791</c:v>
                </c:pt>
                <c:pt idx="383">
                  <c:v>0.64400914291774447</c:v>
                </c:pt>
                <c:pt idx="384">
                  <c:v>0.64694591893522135</c:v>
                </c:pt>
                <c:pt idx="385">
                  <c:v>0.64988613641522863</c:v>
                </c:pt>
                <c:pt idx="386">
                  <c:v>0.65282976606939092</c:v>
                </c:pt>
                <c:pt idx="387">
                  <c:v>0.65577677857756145</c:v>
                </c:pt>
                <c:pt idx="388">
                  <c:v>0.65872714458811654</c:v>
                </c:pt>
                <c:pt idx="389">
                  <c:v>0.66168083471825101</c:v>
                </c:pt>
                <c:pt idx="390">
                  <c:v>0.6646378195542717</c:v>
                </c:pt>
                <c:pt idx="391">
                  <c:v>0.66759806965189505</c:v>
                </c:pt>
                <c:pt idx="392">
                  <c:v>0.67056155553654018</c:v>
                </c:pt>
                <c:pt idx="393">
                  <c:v>0.67352824770362618</c:v>
                </c:pt>
                <c:pt idx="394">
                  <c:v>0.67649811661886639</c:v>
                </c:pt>
                <c:pt idx="395">
                  <c:v>0.67947113271856618</c:v>
                </c:pt>
                <c:pt idx="396">
                  <c:v>0.68244726640991704</c:v>
                </c:pt>
                <c:pt idx="397">
                  <c:v>0.68542648807129425</c:v>
                </c:pt>
                <c:pt idx="398">
                  <c:v>0.68840876805255335</c:v>
                </c:pt>
                <c:pt idx="399">
                  <c:v>0.69139407667532582</c:v>
                </c:pt>
                <c:pt idx="400">
                  <c:v>0.69438238423331711</c:v>
                </c:pt>
                <c:pt idx="401">
                  <c:v>0.6973736609926019</c:v>
                </c:pt>
                <c:pt idx="402">
                  <c:v>0.70036787719192362</c:v>
                </c:pt>
                <c:pt idx="403">
                  <c:v>0.70336500304298943</c:v>
                </c:pt>
                <c:pt idx="404">
                  <c:v>0.70636500873076968</c:v>
                </c:pt>
                <c:pt idx="405">
                  <c:v>0.70936786441379318</c:v>
                </c:pt>
                <c:pt idx="406">
                  <c:v>0.71237354022444777</c:v>
                </c:pt>
                <c:pt idx="407">
                  <c:v>0.71538200626927551</c:v>
                </c:pt>
                <c:pt idx="408">
                  <c:v>0.71839323262927224</c:v>
                </c:pt>
                <c:pt idx="409">
                  <c:v>0.72140718936018577</c:v>
                </c:pt>
                <c:pt idx="410">
                  <c:v>0.72442384649281366</c:v>
                </c:pt>
                <c:pt idx="411">
                  <c:v>0.72744317403330183</c:v>
                </c:pt>
                <c:pt idx="412">
                  <c:v>0.73046514196344303</c:v>
                </c:pt>
                <c:pt idx="413">
                  <c:v>0.73348972024097636</c:v>
                </c:pt>
                <c:pt idx="414">
                  <c:v>0.73651687879988437</c:v>
                </c:pt>
                <c:pt idx="415">
                  <c:v>0.73954658755069458</c:v>
                </c:pt>
                <c:pt idx="416">
                  <c:v>0.74257881638077583</c:v>
                </c:pt>
                <c:pt idx="417">
                  <c:v>0.74561353515463913</c:v>
                </c:pt>
                <c:pt idx="418">
                  <c:v>0.74865071371423686</c:v>
                </c:pt>
                <c:pt idx="419">
                  <c:v>0.75169032187926177</c:v>
                </c:pt>
                <c:pt idx="420">
                  <c:v>0.75473232944744717</c:v>
                </c:pt>
                <c:pt idx="421">
                  <c:v>0.75777670619486515</c:v>
                </c:pt>
                <c:pt idx="422">
                  <c:v>0.7608234218762282</c:v>
                </c:pt>
                <c:pt idx="423">
                  <c:v>0.76387244622518746</c:v>
                </c:pt>
                <c:pt idx="424">
                  <c:v>0.76692374895463444</c:v>
                </c:pt>
                <c:pt idx="425">
                  <c:v>0.76997729975699869</c:v>
                </c:pt>
                <c:pt idx="426">
                  <c:v>0.77303306830455065</c:v>
                </c:pt>
                <c:pt idx="427">
                  <c:v>0.77609102424969978</c:v>
                </c:pt>
                <c:pt idx="428">
                  <c:v>0.77915113722529539</c:v>
                </c:pt>
                <c:pt idx="429">
                  <c:v>0.78221337684492809</c:v>
                </c:pt>
                <c:pt idx="430">
                  <c:v>0.78527771270322888</c:v>
                </c:pt>
                <c:pt idx="431">
                  <c:v>0.78834411437617102</c:v>
                </c:pt>
                <c:pt idx="432">
                  <c:v>0.7914125514213689</c:v>
                </c:pt>
                <c:pt idx="433">
                  <c:v>0.79448299337838135</c:v>
                </c:pt>
                <c:pt idx="434">
                  <c:v>0.79755540976900985</c:v>
                </c:pt>
                <c:pt idx="435">
                  <c:v>0.80062977009760117</c:v>
                </c:pt>
                <c:pt idx="436">
                  <c:v>0.80370604385134747</c:v>
                </c:pt>
                <c:pt idx="437">
                  <c:v>0.80678420050058797</c:v>
                </c:pt>
                <c:pt idx="438">
                  <c:v>0.80986420949910887</c:v>
                </c:pt>
                <c:pt idx="439">
                  <c:v>0.81294604028444539</c:v>
                </c:pt>
                <c:pt idx="440">
                  <c:v>0.81602966227818352</c:v>
                </c:pt>
                <c:pt idx="441">
                  <c:v>0.81911504488625975</c:v>
                </c:pt>
                <c:pt idx="442">
                  <c:v>0.82220215749926318</c:v>
                </c:pt>
                <c:pt idx="443">
                  <c:v>0.82529096949273695</c:v>
                </c:pt>
                <c:pt idx="444">
                  <c:v>0.82838145022748</c:v>
                </c:pt>
                <c:pt idx="445">
                  <c:v>0.83147356904984671</c:v>
                </c:pt>
                <c:pt idx="446">
                  <c:v>0.8345672952920512</c:v>
                </c:pt>
                <c:pt idx="447">
                  <c:v>0.83766259827246603</c:v>
                </c:pt>
                <c:pt idx="448">
                  <c:v>0.84075944729592578</c:v>
                </c:pt>
                <c:pt idx="449">
                  <c:v>0.84385781165402773</c:v>
                </c:pt>
                <c:pt idx="450">
                  <c:v>0.8469576606254331</c:v>
                </c:pt>
                <c:pt idx="451">
                  <c:v>0.85005896347617005</c:v>
                </c:pt>
                <c:pt idx="452">
                  <c:v>0.85316168945993376</c:v>
                </c:pt>
                <c:pt idx="453">
                  <c:v>0.85626580781838924</c:v>
                </c:pt>
                <c:pt idx="454">
                  <c:v>0.85937128778147232</c:v>
                </c:pt>
                <c:pt idx="455">
                  <c:v>0.86247809856769231</c:v>
                </c:pt>
                <c:pt idx="456">
                  <c:v>0.86558620938443243</c:v>
                </c:pt>
                <c:pt idx="457">
                  <c:v>0.86869558942825309</c:v>
                </c:pt>
                <c:pt idx="458">
                  <c:v>0.87180620788519192</c:v>
                </c:pt>
                <c:pt idx="459">
                  <c:v>0.87491803393106726</c:v>
                </c:pt>
                <c:pt idx="460">
                  <c:v>0.87803103673177896</c:v>
                </c:pt>
                <c:pt idx="461">
                  <c:v>0.88114518544360987</c:v>
                </c:pt>
                <c:pt idx="462">
                  <c:v>0.8842604492135292</c:v>
                </c:pt>
                <c:pt idx="463">
                  <c:v>0.88737679717949147</c:v>
                </c:pt>
                <c:pt idx="464">
                  <c:v>0.89049419847074207</c:v>
                </c:pt>
                <c:pt idx="465">
                  <c:v>0.89361262220811555</c:v>
                </c:pt>
                <c:pt idx="466">
                  <c:v>0.8967320375043395</c:v>
                </c:pt>
                <c:pt idx="467">
                  <c:v>0.89985241346433509</c:v>
                </c:pt>
                <c:pt idx="468">
                  <c:v>0.90297371918552027</c:v>
                </c:pt>
                <c:pt idx="469">
                  <c:v>0.90609592375810954</c:v>
                </c:pt>
                <c:pt idx="470">
                  <c:v>0.90921899626541725</c:v>
                </c:pt>
                <c:pt idx="471">
                  <c:v>0.91234290578415844</c:v>
                </c:pt>
                <c:pt idx="472">
                  <c:v>0.91546762138475102</c:v>
                </c:pt>
                <c:pt idx="473">
                  <c:v>0.91859311213161665</c:v>
                </c:pt>
                <c:pt idx="474">
                  <c:v>0.92171934708348302</c:v>
                </c:pt>
                <c:pt idx="475">
                  <c:v>0.92484629529368567</c:v>
                </c:pt>
                <c:pt idx="476">
                  <c:v>0.92797392581046823</c:v>
                </c:pt>
                <c:pt idx="477">
                  <c:v>0.93110220767728535</c:v>
                </c:pt>
                <c:pt idx="478">
                  <c:v>0.9342311099331031</c:v>
                </c:pt>
                <c:pt idx="479">
                  <c:v>0.93736060161270129</c:v>
                </c:pt>
                <c:pt idx="480">
                  <c:v>0.94049065174697366</c:v>
                </c:pt>
                <c:pt idx="481">
                  <c:v>0.94362122936323078</c:v>
                </c:pt>
                <c:pt idx="482">
                  <c:v>0.94675230348549966</c:v>
                </c:pt>
                <c:pt idx="483">
                  <c:v>0.94988384313482621</c:v>
                </c:pt>
                <c:pt idx="484">
                  <c:v>0.95301581732957552</c:v>
                </c:pt>
                <c:pt idx="485">
                  <c:v>0.95614819508573357</c:v>
                </c:pt>
                <c:pt idx="486">
                  <c:v>0.95928094541720865</c:v>
                </c:pt>
                <c:pt idx="487">
                  <c:v>0.96241403733613096</c:v>
                </c:pt>
                <c:pt idx="488">
                  <c:v>0.96554743985315516</c:v>
                </c:pt>
                <c:pt idx="489">
                  <c:v>0.96868112197775957</c:v>
                </c:pt>
                <c:pt idx="490">
                  <c:v>0.97181505271854884</c:v>
                </c:pt>
                <c:pt idx="491">
                  <c:v>0.97494920108355321</c:v>
                </c:pt>
                <c:pt idx="492">
                  <c:v>0.97808353608052934</c:v>
                </c:pt>
                <c:pt idx="493">
                  <c:v>0.98121802671726199</c:v>
                </c:pt>
                <c:pt idx="494">
                  <c:v>0.98435264200186257</c:v>
                </c:pt>
                <c:pt idx="495">
                  <c:v>0.98748735094307205</c:v>
                </c:pt>
                <c:pt idx="496">
                  <c:v>0.9906221225505587</c:v>
                </c:pt>
                <c:pt idx="497">
                  <c:v>0.99375692583522068</c:v>
                </c:pt>
                <c:pt idx="498">
                  <c:v>0.99689172980948426</c:v>
                </c:pt>
                <c:pt idx="499">
                  <c:v>1.0000265034876055</c:v>
                </c:pt>
                <c:pt idx="500">
                  <c:v>1</c:v>
                </c:pt>
              </c:numCache>
            </c:numRef>
          </c:xVal>
          <c:yVal>
            <c:numRef>
              <c:f>Data4!$H$1:$H$501</c:f>
              <c:numCache>
                <c:formatCode>0.00000</c:formatCode>
                <c:ptCount val="501"/>
                <c:pt idx="0">
                  <c:v>0</c:v>
                </c:pt>
                <c:pt idx="1">
                  <c:v>3.8009293060759419E-4</c:v>
                </c:pt>
                <c:pt idx="2">
                  <c:v>7.6181184571662969E-4</c:v>
                </c:pt>
                <c:pt idx="3">
                  <c:v>1.1451644730140046E-3</c:v>
                </c:pt>
                <c:pt idx="4">
                  <c:v>1.5301575451957714E-3</c:v>
                </c:pt>
                <c:pt idx="5">
                  <c:v>1.9167967941326252E-3</c:v>
                </c:pt>
                <c:pt idx="6">
                  <c:v>2.3050869454102258E-3</c:v>
                </c:pt>
                <c:pt idx="7">
                  <c:v>2.6950317132119735E-3</c:v>
                </c:pt>
                <c:pt idx="8">
                  <c:v>3.0866337955599283E-3</c:v>
                </c:pt>
                <c:pt idx="9">
                  <c:v>3.4798948699147655E-3</c:v>
                </c:pt>
                <c:pt idx="10">
                  <c:v>3.8748155891336262E-3</c:v>
                </c:pt>
                <c:pt idx="11">
                  <c:v>4.2713955777898558E-3</c:v>
                </c:pt>
                <c:pt idx="12">
                  <c:v>4.6696334288537106E-3</c:v>
                </c:pt>
                <c:pt idx="13">
                  <c:v>5.069526700737243E-3</c:v>
                </c:pt>
                <c:pt idx="14">
                  <c:v>5.4710719147056429E-3</c:v>
                </c:pt>
                <c:pt idx="15">
                  <c:v>5.874264552654454E-3</c:v>
                </c:pt>
                <c:pt idx="16">
                  <c:v>6.279099055253274E-3</c:v>
                </c:pt>
                <c:pt idx="17">
                  <c:v>6.6855688204630805E-3</c:v>
                </c:pt>
                <c:pt idx="18">
                  <c:v>7.0936662024196802E-3</c:v>
                </c:pt>
                <c:pt idx="19">
                  <c:v>7.5033825106937358E-3</c:v>
                </c:pt>
                <c:pt idx="20">
                  <c:v>7.9147080099204129E-3</c:v>
                </c:pt>
                <c:pt idx="21">
                  <c:v>8.3276319198071214E-3</c:v>
                </c:pt>
                <c:pt idx="22">
                  <c:v>8.7421424155157239E-3</c:v>
                </c:pt>
                <c:pt idx="23">
                  <c:v>9.1582266284229927E-3</c:v>
                </c:pt>
                <c:pt idx="24">
                  <c:v>9.5758706472589446E-3</c:v>
                </c:pt>
                <c:pt idx="25">
                  <c:v>9.995059519626941E-3</c:v>
                </c:pt>
                <c:pt idx="26">
                  <c:v>1.0415777253902921E-2</c:v>
                </c:pt>
                <c:pt idx="27">
                  <c:v>1.0838006821520052E-2</c:v>
                </c:pt>
                <c:pt idx="28">
                  <c:v>1.1261730159635013E-2</c:v>
                </c:pt>
                <c:pt idx="29">
                  <c:v>1.1686928174180823E-2</c:v>
                </c:pt>
                <c:pt idx="30">
                  <c:v>1.2113580743306757E-2</c:v>
                </c:pt>
                <c:pt idx="31">
                  <c:v>1.2541666721203965E-2</c:v>
                </c:pt>
                <c:pt idx="32">
                  <c:v>1.2971163942323526E-2</c:v>
                </c:pt>
                <c:pt idx="33">
                  <c:v>1.3402049225982825E-2</c:v>
                </c:pt>
                <c:pt idx="34">
                  <c:v>1.3834298381364225E-2</c:v>
                </c:pt>
                <c:pt idx="35">
                  <c:v>1.4267886212907324E-2</c:v>
                </c:pt>
                <c:pt idx="36">
                  <c:v>1.4702786526096086E-2</c:v>
                </c:pt>
                <c:pt idx="37">
                  <c:v>1.5138972133640955E-2</c:v>
                </c:pt>
                <c:pt idx="38">
                  <c:v>1.5576414862058604E-2</c:v>
                </c:pt>
                <c:pt idx="39">
                  <c:v>1.6015085558650381E-2</c:v>
                </c:pt>
                <c:pt idx="40">
                  <c:v>1.645495409888029E-2</c:v>
                </c:pt>
                <c:pt idx="41">
                  <c:v>1.6895989394154286E-2</c:v>
                </c:pt>
                <c:pt idx="42">
                  <c:v>1.7338159400001562E-2</c:v>
                </c:pt>
                <c:pt idx="43">
                  <c:v>1.7781431124659769E-2</c:v>
                </c:pt>
                <c:pt idx="44">
                  <c:v>1.8225770638065356E-2</c:v>
                </c:pt>
                <c:pt idx="45">
                  <c:v>1.8671143081249651E-2</c:v>
                </c:pt>
                <c:pt idx="46">
                  <c:v>1.9117512676142465E-2</c:v>
                </c:pt>
                <c:pt idx="47">
                  <c:v>1.9564842735783641E-2</c:v>
                </c:pt>
                <c:pt idx="48">
                  <c:v>2.0013095674945351E-2</c:v>
                </c:pt>
                <c:pt idx="49">
                  <c:v>2.0462233021163501E-2</c:v>
                </c:pt>
                <c:pt idx="50">
                  <c:v>2.0912215426182143E-2</c:v>
                </c:pt>
                <c:pt idx="51">
                  <c:v>2.1363002677809616E-2</c:v>
                </c:pt>
                <c:pt idx="52">
                  <c:v>2.1814553712188833E-2</c:v>
                </c:pt>
                <c:pt idx="53">
                  <c:v>2.2266826626481578E-2</c:v>
                </c:pt>
                <c:pt idx="54">
                  <c:v>2.2719778691967493E-2</c:v>
                </c:pt>
                <c:pt idx="55">
                  <c:v>2.3173366367560146E-2</c:v>
                </c:pt>
                <c:pt idx="56">
                  <c:v>2.3627545313737824E-2</c:v>
                </c:pt>
                <c:pt idx="57">
                  <c:v>2.4082270406892512E-2</c:v>
                </c:pt>
                <c:pt idx="58">
                  <c:v>2.453749575409506E-2</c:v>
                </c:pt>
                <c:pt idx="59">
                  <c:v>2.4993174708278412E-2</c:v>
                </c:pt>
                <c:pt idx="60">
                  <c:v>2.5449259883838317E-2</c:v>
                </c:pt>
                <c:pt idx="61">
                  <c:v>2.5905703172651191E-2</c:v>
                </c:pt>
                <c:pt idx="62">
                  <c:v>2.636245576050995E-2</c:v>
                </c:pt>
                <c:pt idx="63">
                  <c:v>2.6819468143976642E-2</c:v>
                </c:pt>
                <c:pt idx="64">
                  <c:v>2.7276690147651484E-2</c:v>
                </c:pt>
                <c:pt idx="65">
                  <c:v>2.7734070941858802E-2</c:v>
                </c:pt>
                <c:pt idx="66">
                  <c:v>2.819155906074702E-2</c:v>
                </c:pt>
                <c:pt idx="67">
                  <c:v>2.8649102420803686E-2</c:v>
                </c:pt>
                <c:pt idx="68">
                  <c:v>2.9106648339783346E-2</c:v>
                </c:pt>
                <c:pt idx="69">
                  <c:v>2.9564143556046689E-2</c:v>
                </c:pt>
                <c:pt idx="70">
                  <c:v>3.002153424831034E-2</c:v>
                </c:pt>
                <c:pt idx="71">
                  <c:v>3.0478766055803783E-2</c:v>
                </c:pt>
                <c:pt idx="72">
                  <c:v>3.0935784098833609E-2</c:v>
                </c:pt>
                <c:pt idx="73">
                  <c:v>3.13925329997502E-2</c:v>
                </c:pt>
                <c:pt idx="74">
                  <c:v>3.1848956904316737E-2</c:v>
                </c:pt>
                <c:pt idx="75">
                  <c:v>3.2304999503475547E-2</c:v>
                </c:pt>
                <c:pt idx="76">
                  <c:v>3.2760604055509936E-2</c:v>
                </c:pt>
                <c:pt idx="77">
                  <c:v>3.3215713408598378E-2</c:v>
                </c:pt>
                <c:pt idx="78">
                  <c:v>3.3670270023755514E-2</c:v>
                </c:pt>
                <c:pt idx="79">
                  <c:v>3.4124215998158638E-2</c:v>
                </c:pt>
                <c:pt idx="80">
                  <c:v>3.457749308885278E-2</c:v>
                </c:pt>
                <c:pt idx="81">
                  <c:v>3.5030042736831801E-2</c:v>
                </c:pt>
                <c:pt idx="82">
                  <c:v>3.5481806091489328E-2</c:v>
                </c:pt>
                <c:pt idx="83">
                  <c:v>3.5932724035434745E-2</c:v>
                </c:pt>
                <c:pt idx="84">
                  <c:v>3.638273720966869E-2</c:v>
                </c:pt>
                <c:pt idx="85">
                  <c:v>3.6831786039111886E-2</c:v>
                </c:pt>
                <c:pt idx="86">
                  <c:v>3.7279810758481524E-2</c:v>
                </c:pt>
                <c:pt idx="87">
                  <c:v>3.7726751438507782E-2</c:v>
                </c:pt>
                <c:pt idx="88">
                  <c:v>3.8172548012484472E-2</c:v>
                </c:pt>
                <c:pt idx="89">
                  <c:v>3.8617140303145822E-2</c:v>
                </c:pt>
                <c:pt idx="90">
                  <c:v>3.9060468049861734E-2</c:v>
                </c:pt>
                <c:pt idx="91">
                  <c:v>3.9502470936144132E-2</c:v>
                </c:pt>
                <c:pt idx="92">
                  <c:v>3.9943088617455415E-2</c:v>
                </c:pt>
                <c:pt idx="93">
                  <c:v>4.0382260749310124E-2</c:v>
                </c:pt>
                <c:pt idx="94">
                  <c:v>4.081992701566145E-2</c:v>
                </c:pt>
                <c:pt idx="95">
                  <c:v>4.1256027157562707E-2</c:v>
                </c:pt>
                <c:pt idx="96">
                  <c:v>4.169050100209358E-2</c:v>
                </c:pt>
                <c:pt idx="97">
                  <c:v>4.2123288491541719E-2</c:v>
                </c:pt>
                <c:pt idx="98">
                  <c:v>4.2554329712829034E-2</c:v>
                </c:pt>
                <c:pt idx="99">
                  <c:v>4.2983564927171071E-2</c:v>
                </c:pt>
                <c:pt idx="100">
                  <c:v>4.3410934599959275E-2</c:v>
                </c:pt>
                <c:pt idx="101">
                  <c:v>4.3836379430854194E-2</c:v>
                </c:pt>
                <c:pt idx="102">
                  <c:v>4.4259840384077806E-2</c:v>
                </c:pt>
                <c:pt idx="103">
                  <c:v>4.468125871889278E-2</c:v>
                </c:pt>
                <c:pt idx="104">
                  <c:v>4.5100576020256203E-2</c:v>
                </c:pt>
                <c:pt idx="105">
                  <c:v>4.5517734229635357E-2</c:v>
                </c:pt>
                <c:pt idx="106">
                  <c:v>4.5932675675972041E-2</c:v>
                </c:pt>
                <c:pt idx="107">
                  <c:v>4.6345343106782469E-2</c:v>
                </c:pt>
                <c:pt idx="108">
                  <c:v>4.6755679719379238E-2</c:v>
                </c:pt>
                <c:pt idx="109">
                  <c:v>4.7163629192200907E-2</c:v>
                </c:pt>
                <c:pt idx="110">
                  <c:v>4.7569135716236513E-2</c:v>
                </c:pt>
                <c:pt idx="111">
                  <c:v>4.7972144026528871E-2</c:v>
                </c:pt>
                <c:pt idx="112">
                  <c:v>4.8372599433744348E-2</c:v>
                </c:pt>
                <c:pt idx="113">
                  <c:v>4.877044785579257E-2</c:v>
                </c:pt>
                <c:pt idx="114">
                  <c:v>4.9165635849482463E-2</c:v>
                </c:pt>
                <c:pt idx="115">
                  <c:v>4.9558110642199255E-2</c:v>
                </c:pt>
                <c:pt idx="116">
                  <c:v>4.9947820163587398E-2</c:v>
                </c:pt>
                <c:pt idx="117">
                  <c:v>5.0334713077224189E-2</c:v>
                </c:pt>
                <c:pt idx="118">
                  <c:v>5.0718738812268724E-2</c:v>
                </c:pt>
                <c:pt idx="119">
                  <c:v>5.1099847595071274E-2</c:v>
                </c:pt>
                <c:pt idx="120">
                  <c:v>5.1477990480726946E-2</c:v>
                </c:pt>
                <c:pt idx="121">
                  <c:v>5.1853119384558569E-2</c:v>
                </c:pt>
                <c:pt idx="122">
                  <c:v>5.2225187113513497E-2</c:v>
                </c:pt>
                <c:pt idx="123">
                  <c:v>5.2594147397458518E-2</c:v>
                </c:pt>
                <c:pt idx="124">
                  <c:v>5.2959954920357544E-2</c:v>
                </c:pt>
                <c:pt idx="125">
                  <c:v>5.3322565351316707E-2</c:v>
                </c:pt>
                <c:pt idx="126">
                  <c:v>5.3681935375481431E-2</c:v>
                </c:pt>
                <c:pt idx="127">
                  <c:v>5.4038022724770408E-2</c:v>
                </c:pt>
                <c:pt idx="128">
                  <c:v>5.4390786208431033E-2</c:v>
                </c:pt>
                <c:pt idx="129">
                  <c:v>5.4740185743401608E-2</c:v>
                </c:pt>
                <c:pt idx="130">
                  <c:v>5.5086182384465034E-2</c:v>
                </c:pt>
                <c:pt idx="131">
                  <c:v>5.5428738354179552E-2</c:v>
                </c:pt>
                <c:pt idx="132">
                  <c:v>5.5767817072571793E-2</c:v>
                </c:pt>
                <c:pt idx="133">
                  <c:v>5.6103383186578037E-2</c:v>
                </c:pt>
                <c:pt idx="134">
                  <c:v>5.6435402599219031E-2</c:v>
                </c:pt>
                <c:pt idx="135">
                  <c:v>5.6763842498494942E-2</c:v>
                </c:pt>
                <c:pt idx="136">
                  <c:v>5.7088671385986486E-2</c:v>
                </c:pt>
                <c:pt idx="137">
                  <c:v>5.7409859105148744E-2</c:v>
                </c:pt>
                <c:pt idx="138">
                  <c:v>5.7727376869284822E-2</c:v>
                </c:pt>
                <c:pt idx="139">
                  <c:v>5.8041197289185928E-2</c:v>
                </c:pt>
                <c:pt idx="140">
                  <c:v>5.8351294400425927E-2</c:v>
                </c:pt>
                <c:pt idx="141">
                  <c:v>5.8657643690297405E-2</c:v>
                </c:pt>
                <c:pt idx="142">
                  <c:v>5.8960222124377779E-2</c:v>
                </c:pt>
                <c:pt idx="143">
                  <c:v>5.9259008172713484E-2</c:v>
                </c:pt>
                <c:pt idx="144">
                  <c:v>5.9553981835611183E-2</c:v>
                </c:pt>
                <c:pt idx="145">
                  <c:v>5.9845124669024558E-2</c:v>
                </c:pt>
                <c:pt idx="146">
                  <c:v>6.0132419809526397E-2</c:v>
                </c:pt>
                <c:pt idx="147">
                  <c:v>6.0415851998855602E-2</c:v>
                </c:pt>
                <c:pt idx="148">
                  <c:v>6.0695407608028766E-2</c:v>
                </c:pt>
                <c:pt idx="149">
                  <c:v>6.0971074661007228E-2</c:v>
                </c:pt>
                <c:pt idx="150">
                  <c:v>6.1242842857909902E-2</c:v>
                </c:pt>
                <c:pt idx="151">
                  <c:v>6.1510703597762895E-2</c:v>
                </c:pt>
                <c:pt idx="152">
                  <c:v>6.1774650000777698E-2</c:v>
                </c:pt>
                <c:pt idx="153">
                  <c:v>6.2034676930149107E-2</c:v>
                </c:pt>
                <c:pt idx="154">
                  <c:v>6.229078101336534E-2</c:v>
                </c:pt>
                <c:pt idx="155">
                  <c:v>6.2542960663022507E-2</c:v>
                </c:pt>
                <c:pt idx="156">
                  <c:v>6.2791216097136143E-2</c:v>
                </c:pt>
                <c:pt idx="157">
                  <c:v>6.3035549358942705E-2</c:v>
                </c:pt>
                <c:pt idx="158">
                  <c:v>6.3275964336184626E-2</c:v>
                </c:pt>
                <c:pt idx="159">
                  <c:v>6.3512466779871907E-2</c:v>
                </c:pt>
                <c:pt idx="160">
                  <c:v>6.3745064322514727E-2</c:v>
                </c:pt>
                <c:pt idx="161">
                  <c:v>6.3973766495820705E-2</c:v>
                </c:pt>
                <c:pt idx="162">
                  <c:v>6.4198584747851381E-2</c:v>
                </c:pt>
                <c:pt idx="163">
                  <c:v>6.4419532459632362E-2</c:v>
                </c:pt>
                <c:pt idx="164">
                  <c:v>6.4636624961212197E-2</c:v>
                </c:pt>
                <c:pt idx="165">
                  <c:v>6.4849879547164452E-2</c:v>
                </c:pt>
                <c:pt idx="166">
                  <c:v>6.5059315491529018E-2</c:v>
                </c:pt>
                <c:pt idx="167">
                  <c:v>6.5264954062187089E-2</c:v>
                </c:pt>
                <c:pt idx="168">
                  <c:v>6.5466818534666044E-2</c:v>
                </c:pt>
                <c:pt idx="169">
                  <c:v>6.5664934205369493E-2</c:v>
                </c:pt>
                <c:pt idx="170">
                  <c:v>6.5859328404228562E-2</c:v>
                </c:pt>
                <c:pt idx="171">
                  <c:v>6.6050030506769997E-2</c:v>
                </c:pt>
                <c:pt idx="172">
                  <c:v>6.6237071945597539E-2</c:v>
                </c:pt>
                <c:pt idx="173">
                  <c:v>6.6420486221281952E-2</c:v>
                </c:pt>
                <c:pt idx="174">
                  <c:v>6.6600308912656517E-2</c:v>
                </c:pt>
                <c:pt idx="175">
                  <c:v>6.6776577686513752E-2</c:v>
                </c:pt>
                <c:pt idx="176">
                  <c:v>6.6949332306699486E-2</c:v>
                </c:pt>
                <c:pt idx="177">
                  <c:v>6.7118614642601021E-2</c:v>
                </c:pt>
                <c:pt idx="178">
                  <c:v>6.7284468677024617E-2</c:v>
                </c:pt>
                <c:pt idx="179">
                  <c:v>6.7446940513459605E-2</c:v>
                </c:pt>
                <c:pt idx="180">
                  <c:v>6.7606078382724283E-2</c:v>
                </c:pt>
                <c:pt idx="181">
                  <c:v>6.77619326489904E-2</c:v>
                </c:pt>
                <c:pt idx="182">
                  <c:v>6.7914555815181951E-2</c:v>
                </c:pt>
                <c:pt idx="183">
                  <c:v>6.8064002527744333E-2</c:v>
                </c:pt>
                <c:pt idx="184">
                  <c:v>6.8210329580779869E-2</c:v>
                </c:pt>
                <c:pt idx="185">
                  <c:v>6.8353595919545734E-2</c:v>
                </c:pt>
                <c:pt idx="186">
                  <c:v>6.8493862643309519E-2</c:v>
                </c:pt>
                <c:pt idx="187">
                  <c:v>6.8631193007559196E-2</c:v>
                </c:pt>
                <c:pt idx="188">
                  <c:v>6.8765652425561929E-2</c:v>
                </c:pt>
                <c:pt idx="189">
                  <c:v>6.8897308469268503E-2</c:v>
                </c:pt>
                <c:pt idx="190">
                  <c:v>6.9026230869558114E-2</c:v>
                </c:pt>
                <c:pt idx="191">
                  <c:v>6.9152491515819439E-2</c:v>
                </c:pt>
                <c:pt idx="192">
                  <c:v>6.927616445486344E-2</c:v>
                </c:pt>
                <c:pt idx="193">
                  <c:v>6.9397325889163308E-2</c:v>
                </c:pt>
                <c:pt idx="194">
                  <c:v>6.9516054174416836E-2</c:v>
                </c:pt>
                <c:pt idx="195">
                  <c:v>6.9632429816427338E-2</c:v>
                </c:pt>
                <c:pt idx="196">
                  <c:v>6.9746535467297727E-2</c:v>
                </c:pt>
                <c:pt idx="197">
                  <c:v>6.9858455920934467E-2</c:v>
                </c:pt>
                <c:pt idx="198">
                  <c:v>6.9968278107856191E-2</c:v>
                </c:pt>
                <c:pt idx="199">
                  <c:v>7.0076091089303516E-2</c:v>
                </c:pt>
                <c:pt idx="200">
                  <c:v>7.0181986050646045E-2</c:v>
                </c:pt>
                <c:pt idx="201">
                  <c:v>7.0286056294082494E-2</c:v>
                </c:pt>
                <c:pt idx="202">
                  <c:v>7.0388397230631589E-2</c:v>
                </c:pt>
                <c:pt idx="203">
                  <c:v>7.0489106371409593E-2</c:v>
                </c:pt>
                <c:pt idx="204">
                  <c:v>7.0588283318192821E-2</c:v>
                </c:pt>
                <c:pt idx="205">
                  <c:v>7.0686029753262589E-2</c:v>
                </c:pt>
                <c:pt idx="206">
                  <c:v>7.0782448476034973E-2</c:v>
                </c:pt>
                <c:pt idx="207">
                  <c:v>7.0877573680554667E-2</c:v>
                </c:pt>
                <c:pt idx="208">
                  <c:v>7.0971388323423298E-2</c:v>
                </c:pt>
                <c:pt idx="209">
                  <c:v>7.1063888108476511E-2</c:v>
                </c:pt>
                <c:pt idx="210">
                  <c:v>7.1155068585495057E-2</c:v>
                </c:pt>
                <c:pt idx="211">
                  <c:v>7.1244925149124005E-2</c:v>
                </c:pt>
                <c:pt idx="212">
                  <c:v>7.1333453037805722E-2</c:v>
                </c:pt>
                <c:pt idx="213">
                  <c:v>7.1420647332726656E-2</c:v>
                </c:pt>
                <c:pt idx="214">
                  <c:v>7.1506502956778059E-2</c:v>
                </c:pt>
                <c:pt idx="215">
                  <c:v>7.1591014673530934E-2</c:v>
                </c:pt>
                <c:pt idx="216">
                  <c:v>7.1674177086225296E-2</c:v>
                </c:pt>
                <c:pt idx="217">
                  <c:v>7.1755984636773906E-2</c:v>
                </c:pt>
                <c:pt idx="218">
                  <c:v>7.183643160478087E-2</c:v>
                </c:pt>
                <c:pt idx="219">
                  <c:v>7.1915512106574875E-2</c:v>
                </c:pt>
                <c:pt idx="220">
                  <c:v>7.1993220094257543E-2</c:v>
                </c:pt>
                <c:pt idx="221">
                  <c:v>7.2069549354766962E-2</c:v>
                </c:pt>
                <c:pt idx="222">
                  <c:v>7.2144493508956659E-2</c:v>
                </c:pt>
                <c:pt idx="223">
                  <c:v>7.2218046010689887E-2</c:v>
                </c:pt>
                <c:pt idx="224">
                  <c:v>7.2290200145949737E-2</c:v>
                </c:pt>
                <c:pt idx="225">
                  <c:v>7.2360949031965188E-2</c:v>
                </c:pt>
                <c:pt idx="226">
                  <c:v>7.2430285616352869E-2</c:v>
                </c:pt>
                <c:pt idx="227">
                  <c:v>7.249820267627527E-2</c:v>
                </c:pt>
                <c:pt idx="228">
                  <c:v>7.2564692817615073E-2</c:v>
                </c:pt>
                <c:pt idx="229">
                  <c:v>7.2629748474166048E-2</c:v>
                </c:pt>
                <c:pt idx="230">
                  <c:v>7.2693361906840601E-2</c:v>
                </c:pt>
                <c:pt idx="231">
                  <c:v>7.2755525202894009E-2</c:v>
                </c:pt>
                <c:pt idx="232">
                  <c:v>7.2816230275165678E-2</c:v>
                </c:pt>
                <c:pt idx="233">
                  <c:v>7.2875468861337361E-2</c:v>
                </c:pt>
                <c:pt idx="234">
                  <c:v>7.2933232523208796E-2</c:v>
                </c:pt>
                <c:pt idx="235">
                  <c:v>7.2989512645990504E-2</c:v>
                </c:pt>
                <c:pt idx="236">
                  <c:v>7.3044300437614312E-2</c:v>
                </c:pt>
                <c:pt idx="237">
                  <c:v>7.3097586928061398E-2</c:v>
                </c:pt>
                <c:pt idx="238">
                  <c:v>7.3149362968708109E-2</c:v>
                </c:pt>
                <c:pt idx="239">
                  <c:v>7.319961923168998E-2</c:v>
                </c:pt>
                <c:pt idx="240">
                  <c:v>7.3248346209283582E-2</c:v>
                </c:pt>
                <c:pt idx="241">
                  <c:v>7.3295534213306632E-2</c:v>
                </c:pt>
                <c:pt idx="242">
                  <c:v>7.3341173374536633E-2</c:v>
                </c:pt>
                <c:pt idx="243">
                  <c:v>7.3385253642147832E-2</c:v>
                </c:pt>
                <c:pt idx="244">
                  <c:v>7.3427764783166857E-2</c:v>
                </c:pt>
                <c:pt idx="245">
                  <c:v>7.3468696381947196E-2</c:v>
                </c:pt>
                <c:pt idx="246">
                  <c:v>7.3508037839662393E-2</c:v>
                </c:pt>
                <c:pt idx="247">
                  <c:v>7.3545778373818538E-2</c:v>
                </c:pt>
                <c:pt idx="248">
                  <c:v>7.3581907017785581E-2</c:v>
                </c:pt>
                <c:pt idx="249">
                  <c:v>7.3616412620348085E-2</c:v>
                </c:pt>
                <c:pt idx="250">
                  <c:v>7.3649283845275471E-2</c:v>
                </c:pt>
                <c:pt idx="251">
                  <c:v>7.3680509170911485E-2</c:v>
                </c:pt>
                <c:pt idx="252">
                  <c:v>7.3710076889783524E-2</c:v>
                </c:pt>
                <c:pt idx="253">
                  <c:v>7.3737975108231768E-2</c:v>
                </c:pt>
                <c:pt idx="254">
                  <c:v>7.3764191746057889E-2</c:v>
                </c:pt>
                <c:pt idx="255">
                  <c:v>7.3788714536193956E-2</c:v>
                </c:pt>
                <c:pt idx="256">
                  <c:v>7.3811531024391419E-2</c:v>
                </c:pt>
                <c:pt idx="257">
                  <c:v>7.3832628568930206E-2</c:v>
                </c:pt>
                <c:pt idx="258">
                  <c:v>7.3851994340348184E-2</c:v>
                </c:pt>
                <c:pt idx="259">
                  <c:v>7.3869615321191032E-2</c:v>
                </c:pt>
                <c:pt idx="260">
                  <c:v>7.3885478305782612E-2</c:v>
                </c:pt>
                <c:pt idx="261">
                  <c:v>7.3899569900015893E-2</c:v>
                </c:pt>
                <c:pt idx="262">
                  <c:v>7.3911876521164821E-2</c:v>
                </c:pt>
                <c:pt idx="263">
                  <c:v>7.3922384397716687E-2</c:v>
                </c:pt>
                <c:pt idx="264">
                  <c:v>7.3931079569225747E-2</c:v>
                </c:pt>
                <c:pt idx="265">
                  <c:v>7.3937947886187558E-2</c:v>
                </c:pt>
                <c:pt idx="266">
                  <c:v>7.394297500993452E-2</c:v>
                </c:pt>
                <c:pt idx="267">
                  <c:v>7.3946146412552857E-2</c:v>
                </c:pt>
                <c:pt idx="268">
                  <c:v>7.394744737682038E-2</c:v>
                </c:pt>
                <c:pt idx="269">
                  <c:v>7.3946862996166152E-2</c:v>
                </c:pt>
                <c:pt idx="270">
                  <c:v>7.3944378174651118E-2</c:v>
                </c:pt>
                <c:pt idx="271">
                  <c:v>7.3939977626970771E-2</c:v>
                </c:pt>
                <c:pt idx="272">
                  <c:v>7.3933645878479004E-2</c:v>
                </c:pt>
                <c:pt idx="273">
                  <c:v>7.392536726523391E-2</c:v>
                </c:pt>
                <c:pt idx="274">
                  <c:v>7.3915125934065268E-2</c:v>
                </c:pt>
                <c:pt idx="275">
                  <c:v>7.3902905842663888E-2</c:v>
                </c:pt>
                <c:pt idx="276">
                  <c:v>7.3888690759692954E-2</c:v>
                </c:pt>
                <c:pt idx="277">
                  <c:v>7.3872464264921237E-2</c:v>
                </c:pt>
                <c:pt idx="278">
                  <c:v>7.385420974937848E-2</c:v>
                </c:pt>
                <c:pt idx="279">
                  <c:v>7.3833910415532764E-2</c:v>
                </c:pt>
                <c:pt idx="280">
                  <c:v>7.3811549277490326E-2</c:v>
                </c:pt>
                <c:pt idx="281">
                  <c:v>7.3787109161217307E-2</c:v>
                </c:pt>
                <c:pt idx="282">
                  <c:v>7.3760572704784116E-2</c:v>
                </c:pt>
                <c:pt idx="283">
                  <c:v>7.3731922358631963E-2</c:v>
                </c:pt>
                <c:pt idx="284">
                  <c:v>7.370114038586198E-2</c:v>
                </c:pt>
                <c:pt idx="285">
                  <c:v>7.3668208862546575E-2</c:v>
                </c:pt>
                <c:pt idx="286">
                  <c:v>7.3633109678063663E-2</c:v>
                </c:pt>
                <c:pt idx="287">
                  <c:v>7.3595824535453269E-2</c:v>
                </c:pt>
                <c:pt idx="288">
                  <c:v>7.3556334951796712E-2</c:v>
                </c:pt>
                <c:pt idx="289">
                  <c:v>7.351462225861867E-2</c:v>
                </c:pt>
                <c:pt idx="290">
                  <c:v>7.3470667602311787E-2</c:v>
                </c:pt>
                <c:pt idx="291">
                  <c:v>7.3424451944584149E-2</c:v>
                </c:pt>
                <c:pt idx="292">
                  <c:v>7.3375956062929487E-2</c:v>
                </c:pt>
                <c:pt idx="293">
                  <c:v>7.3325160551120316E-2</c:v>
                </c:pt>
                <c:pt idx="294">
                  <c:v>7.3272045819723769E-2</c:v>
                </c:pt>
                <c:pt idx="295">
                  <c:v>7.3216592181121476E-2</c:v>
                </c:pt>
                <c:pt idx="296">
                  <c:v>7.3158782673611839E-2</c:v>
                </c:pt>
                <c:pt idx="297">
                  <c:v>7.3098603854656011E-2</c:v>
                </c:pt>
                <c:pt idx="298">
                  <c:v>7.3036042573385598E-2</c:v>
                </c:pt>
                <c:pt idx="299">
                  <c:v>7.2971085759262158E-2</c:v>
                </c:pt>
                <c:pt idx="300">
                  <c:v>7.2903720422808155E-2</c:v>
                </c:pt>
                <c:pt idx="301">
                  <c:v>7.2833933656333144E-2</c:v>
                </c:pt>
                <c:pt idx="302">
                  <c:v>7.276171263465539E-2</c:v>
                </c:pt>
                <c:pt idx="303">
                  <c:v>7.2687044615818541E-2</c:v>
                </c:pt>
                <c:pt idx="304">
                  <c:v>7.2609916941803632E-2</c:v>
                </c:pt>
                <c:pt idx="305">
                  <c:v>7.253031703923625E-2</c:v>
                </c:pt>
                <c:pt idx="306">
                  <c:v>7.2448232420088798E-2</c:v>
                </c:pt>
                <c:pt idx="307">
                  <c:v>7.2363650682377809E-2</c:v>
                </c:pt>
                <c:pt idx="308">
                  <c:v>7.2276559510856528E-2</c:v>
                </c:pt>
                <c:pt idx="309">
                  <c:v>7.218694667770223E-2</c:v>
                </c:pt>
                <c:pt idx="310">
                  <c:v>7.2094800043198903E-2</c:v>
                </c:pt>
                <c:pt idx="311">
                  <c:v>7.2000107556414519E-2</c:v>
                </c:pt>
                <c:pt idx="312">
                  <c:v>7.1902857255873448E-2</c:v>
                </c:pt>
                <c:pt idx="313">
                  <c:v>7.1803037270223913E-2</c:v>
                </c:pt>
                <c:pt idx="314">
                  <c:v>7.1700635818899933E-2</c:v>
                </c:pt>
                <c:pt idx="315">
                  <c:v>7.1595641212778505E-2</c:v>
                </c:pt>
                <c:pt idx="316">
                  <c:v>7.1488041854831291E-2</c:v>
                </c:pt>
                <c:pt idx="317">
                  <c:v>7.1377826240771339E-2</c:v>
                </c:pt>
                <c:pt idx="318">
                  <c:v>7.1264982959694356E-2</c:v>
                </c:pt>
                <c:pt idx="319">
                  <c:v>7.1149500694714748E-2</c:v>
                </c:pt>
                <c:pt idx="320">
                  <c:v>7.1031368223596417E-2</c:v>
                </c:pt>
                <c:pt idx="321">
                  <c:v>7.0910574419378231E-2</c:v>
                </c:pt>
                <c:pt idx="322">
                  <c:v>7.0787108250993991E-2</c:v>
                </c:pt>
                <c:pt idx="323">
                  <c:v>7.0660958783887048E-2</c:v>
                </c:pt>
                <c:pt idx="324">
                  <c:v>7.0532115180619692E-2</c:v>
                </c:pt>
                <c:pt idx="325">
                  <c:v>7.0400566701476791E-2</c:v>
                </c:pt>
                <c:pt idx="326">
                  <c:v>7.0266302705064107E-2</c:v>
                </c:pt>
                <c:pt idx="327">
                  <c:v>7.0129312648901154E-2</c:v>
                </c:pt>
                <c:pt idx="328">
                  <c:v>6.998958609000841E-2</c:v>
                </c:pt>
                <c:pt idx="329">
                  <c:v>6.9847112685489002E-2</c:v>
                </c:pt>
                <c:pt idx="330">
                  <c:v>6.9701882193104941E-2</c:v>
                </c:pt>
                <c:pt idx="331">
                  <c:v>6.9553884471847419E-2</c:v>
                </c:pt>
                <c:pt idx="332">
                  <c:v>6.9403109482501904E-2</c:v>
                </c:pt>
                <c:pt idx="333">
                  <c:v>6.9249547288207258E-2</c:v>
                </c:pt>
                <c:pt idx="334">
                  <c:v>6.9093188055009275E-2</c:v>
                </c:pt>
                <c:pt idx="335">
                  <c:v>6.8934022052408478E-2</c:v>
                </c:pt>
                <c:pt idx="336">
                  <c:v>6.87720396539023E-2</c:v>
                </c:pt>
                <c:pt idx="337">
                  <c:v>6.860723133752139E-2</c:v>
                </c:pt>
                <c:pt idx="338">
                  <c:v>6.8439587686360187E-2</c:v>
                </c:pt>
                <c:pt idx="339">
                  <c:v>6.8269099389101681E-2</c:v>
                </c:pt>
                <c:pt idx="340">
                  <c:v>6.8095757240536375E-2</c:v>
                </c:pt>
                <c:pt idx="341">
                  <c:v>6.7919552142075484E-2</c:v>
                </c:pt>
                <c:pt idx="342">
                  <c:v>6.7740475102258016E-2</c:v>
                </c:pt>
                <c:pt idx="343">
                  <c:v>6.7558517237252341E-2</c:v>
                </c:pt>
                <c:pt idx="344">
                  <c:v>6.7373669771351508E-2</c:v>
                </c:pt>
                <c:pt idx="345">
                  <c:v>6.7185924037462916E-2</c:v>
                </c:pt>
                <c:pt idx="346">
                  <c:v>6.6995271477591808E-2</c:v>
                </c:pt>
                <c:pt idx="347">
                  <c:v>6.6801703643319069E-2</c:v>
                </c:pt>
                <c:pt idx="348">
                  <c:v>6.6605212196272745E-2</c:v>
                </c:pt>
                <c:pt idx="349">
                  <c:v>6.6405788908593846E-2</c:v>
                </c:pt>
                <c:pt idx="350">
                  <c:v>6.6203425663395904E-2</c:v>
                </c:pt>
                <c:pt idx="351">
                  <c:v>6.599811445521872E-2</c:v>
                </c:pt>
                <c:pt idx="352">
                  <c:v>6.5789847390475831E-2</c:v>
                </c:pt>
                <c:pt idx="353">
                  <c:v>6.5578616687896094E-2</c:v>
                </c:pt>
                <c:pt idx="354">
                  <c:v>6.5364414678959148E-2</c:v>
                </c:pt>
                <c:pt idx="355">
                  <c:v>6.5147233808324698E-2</c:v>
                </c:pt>
                <c:pt idx="356">
                  <c:v>6.4927066634255751E-2</c:v>
                </c:pt>
                <c:pt idx="357">
                  <c:v>6.4703905829035804E-2</c:v>
                </c:pt>
                <c:pt idx="358">
                  <c:v>6.4477744179379654E-2</c:v>
                </c:pt>
                <c:pt idx="359">
                  <c:v>6.4248574586838414E-2</c:v>
                </c:pt>
                <c:pt idx="360">
                  <c:v>6.4016390068197912E-2</c:v>
                </c:pt>
                <c:pt idx="361">
                  <c:v>6.3781183755871412E-2</c:v>
                </c:pt>
                <c:pt idx="362">
                  <c:v>6.3542948898285587E-2</c:v>
                </c:pt>
                <c:pt idx="363">
                  <c:v>6.3301678860260835E-2</c:v>
                </c:pt>
                <c:pt idx="364">
                  <c:v>6.3057367123385027E-2</c:v>
                </c:pt>
                <c:pt idx="365">
                  <c:v>6.2810007286381003E-2</c:v>
                </c:pt>
                <c:pt idx="366">
                  <c:v>6.2559593065468114E-2</c:v>
                </c:pt>
                <c:pt idx="367">
                  <c:v>6.2306118294717203E-2</c:v>
                </c:pt>
                <c:pt idx="368">
                  <c:v>6.2049576926399515E-2</c:v>
                </c:pt>
                <c:pt idx="369">
                  <c:v>6.1789963031329283E-2</c:v>
                </c:pt>
                <c:pt idx="370">
                  <c:v>6.1527270799200021E-2</c:v>
                </c:pt>
                <c:pt idx="371">
                  <c:v>6.1261494538914454E-2</c:v>
                </c:pt>
                <c:pt idx="372">
                  <c:v>6.0992628678908319E-2</c:v>
                </c:pt>
                <c:pt idx="373">
                  <c:v>6.0720667767467679E-2</c:v>
                </c:pt>
                <c:pt idx="374">
                  <c:v>6.0445606473040051E-2</c:v>
                </c:pt>
                <c:pt idx="375">
                  <c:v>6.0167439584539177E-2</c:v>
                </c:pt>
                <c:pt idx="376">
                  <c:v>5.9886162011643346E-2</c:v>
                </c:pt>
                <c:pt idx="377">
                  <c:v>5.9601768785087612E-2</c:v>
                </c:pt>
                <c:pt idx="378">
                  <c:v>5.9314255056949421E-2</c:v>
                </c:pt>
                <c:pt idx="379">
                  <c:v>5.9023616100928065E-2</c:v>
                </c:pt>
                <c:pt idx="380">
                  <c:v>5.8729847312617711E-2</c:v>
                </c:pt>
                <c:pt idx="381">
                  <c:v>5.8432944209774067E-2</c:v>
                </c:pt>
                <c:pt idx="382">
                  <c:v>5.8132902432574601E-2</c:v>
                </c:pt>
                <c:pt idx="383">
                  <c:v>5.7829717743872688E-2</c:v>
                </c:pt>
                <c:pt idx="384">
                  <c:v>5.7523386029444991E-2</c:v>
                </c:pt>
                <c:pt idx="385">
                  <c:v>5.7213903298232699E-2</c:v>
                </c:pt>
                <c:pt idx="386">
                  <c:v>5.690126568257637E-2</c:v>
                </c:pt>
                <c:pt idx="387">
                  <c:v>5.658546943844435E-2</c:v>
                </c:pt>
                <c:pt idx="388">
                  <c:v>5.6266510945654755E-2</c:v>
                </c:pt>
                <c:pt idx="389">
                  <c:v>5.5944386708091202E-2</c:v>
                </c:pt>
                <c:pt idx="390">
                  <c:v>5.5619093353912089E-2</c:v>
                </c:pt>
                <c:pt idx="391">
                  <c:v>5.5290627635753375E-2</c:v>
                </c:pt>
                <c:pt idx="392">
                  <c:v>5.4958986430925116E-2</c:v>
                </c:pt>
                <c:pt idx="393">
                  <c:v>5.4624166741601615E-2</c:v>
                </c:pt>
                <c:pt idx="394">
                  <c:v>5.428616569500512E-2</c:v>
                </c:pt>
                <c:pt idx="395">
                  <c:v>5.394498054358296E-2</c:v>
                </c:pt>
                <c:pt idx="396">
                  <c:v>5.360060866517883E-2</c:v>
                </c:pt>
                <c:pt idx="397">
                  <c:v>5.3253047563197015E-2</c:v>
                </c:pt>
                <c:pt idx="398">
                  <c:v>5.290229486676068E-2</c:v>
                </c:pt>
                <c:pt idx="399">
                  <c:v>5.2548348330863671E-2</c:v>
                </c:pt>
                <c:pt idx="400">
                  <c:v>5.2191205836515833E-2</c:v>
                </c:pt>
                <c:pt idx="401">
                  <c:v>5.1830865390882157E-2</c:v>
                </c:pt>
                <c:pt idx="402">
                  <c:v>5.1467325127415246E-2</c:v>
                </c:pt>
                <c:pt idx="403">
                  <c:v>5.1100583305981731E-2</c:v>
                </c:pt>
                <c:pt idx="404">
                  <c:v>5.0730638312982072E-2</c:v>
                </c:pt>
                <c:pt idx="405">
                  <c:v>5.0357488661464271E-2</c:v>
                </c:pt>
                <c:pt idx="406">
                  <c:v>4.9981132991230845E-2</c:v>
                </c:pt>
                <c:pt idx="407">
                  <c:v>4.9601570068939803E-2</c:v>
                </c:pt>
                <c:pt idx="408">
                  <c:v>4.9218798788199132E-2</c:v>
                </c:pt>
                <c:pt idx="409">
                  <c:v>4.883281816965486E-2</c:v>
                </c:pt>
                <c:pt idx="410">
                  <c:v>4.8443627361072945E-2</c:v>
                </c:pt>
                <c:pt idx="411">
                  <c:v>4.805122563741477E-2</c:v>
                </c:pt>
                <c:pt idx="412">
                  <c:v>4.7655612400906266E-2</c:v>
                </c:pt>
                <c:pt idx="413">
                  <c:v>4.7256787181100754E-2</c:v>
                </c:pt>
                <c:pt idx="414">
                  <c:v>4.6854749634935626E-2</c:v>
                </c:pt>
                <c:pt idx="415">
                  <c:v>4.6449499546782354E-2</c:v>
                </c:pt>
                <c:pt idx="416">
                  <c:v>4.6041036828490735E-2</c:v>
                </c:pt>
                <c:pt idx="417">
                  <c:v>4.5629361519426433E-2</c:v>
                </c:pt>
                <c:pt idx="418">
                  <c:v>4.5214473786502368E-2</c:v>
                </c:pt>
                <c:pt idx="419">
                  <c:v>4.4796373924203971E-2</c:v>
                </c:pt>
                <c:pt idx="420">
                  <c:v>4.4375062354607975E-2</c:v>
                </c:pt>
                <c:pt idx="421">
                  <c:v>4.3950539627395334E-2</c:v>
                </c:pt>
                <c:pt idx="422">
                  <c:v>4.3522806419857292E-2</c:v>
                </c:pt>
                <c:pt idx="423">
                  <c:v>4.3091863536895966E-2</c:v>
                </c:pt>
                <c:pt idx="424">
                  <c:v>4.2657711911018123E-2</c:v>
                </c:pt>
                <c:pt idx="425">
                  <c:v>4.2220352602323194E-2</c:v>
                </c:pt>
                <c:pt idx="426">
                  <c:v>4.1779786798484687E-2</c:v>
                </c:pt>
                <c:pt idx="427">
                  <c:v>4.133601581472595E-2</c:v>
                </c:pt>
                <c:pt idx="428">
                  <c:v>4.0889041093789331E-2</c:v>
                </c:pt>
                <c:pt idx="429">
                  <c:v>4.0438864205899303E-2</c:v>
                </c:pt>
                <c:pt idx="430">
                  <c:v>3.9985486848719713E-2</c:v>
                </c:pt>
                <c:pt idx="431">
                  <c:v>3.9528910847304477E-2</c:v>
                </c:pt>
                <c:pt idx="432">
                  <c:v>3.9069138154042747E-2</c:v>
                </c:pt>
                <c:pt idx="433">
                  <c:v>3.8606170848597257E-2</c:v>
                </c:pt>
                <c:pt idx="434">
                  <c:v>3.8140011137837403E-2</c:v>
                </c:pt>
                <c:pt idx="435">
                  <c:v>3.7670661355765557E-2</c:v>
                </c:pt>
                <c:pt idx="436">
                  <c:v>3.7198123963437919E-2</c:v>
                </c:pt>
                <c:pt idx="437">
                  <c:v>3.6722401548878805E-2</c:v>
                </c:pt>
                <c:pt idx="438">
                  <c:v>3.6243496826989574E-2</c:v>
                </c:pt>
                <c:pt idx="439">
                  <c:v>3.5761412639450887E-2</c:v>
                </c:pt>
                <c:pt idx="440">
                  <c:v>3.5276151954619403E-2</c:v>
                </c:pt>
                <c:pt idx="441">
                  <c:v>3.478771786741848E-2</c:v>
                </c:pt>
                <c:pt idx="442">
                  <c:v>3.4296113599222848E-2</c:v>
                </c:pt>
                <c:pt idx="443">
                  <c:v>3.3801342497737454E-2</c:v>
                </c:pt>
                <c:pt idx="444">
                  <c:v>3.3303408036870145E-2</c:v>
                </c:pt>
                <c:pt idx="445">
                  <c:v>3.2802313816599087E-2</c:v>
                </c:pt>
                <c:pt idx="446">
                  <c:v>3.2298063562833358E-2</c:v>
                </c:pt>
                <c:pt idx="447">
                  <c:v>3.1790661127268825E-2</c:v>
                </c:pt>
                <c:pt idx="448">
                  <c:v>3.1280110487237188E-2</c:v>
                </c:pt>
                <c:pt idx="449">
                  <c:v>3.0766415745549835E-2</c:v>
                </c:pt>
                <c:pt idx="450">
                  <c:v>3.0249581130335833E-2</c:v>
                </c:pt>
                <c:pt idx="451">
                  <c:v>2.9729610994873781E-2</c:v>
                </c:pt>
                <c:pt idx="452">
                  <c:v>2.9206509817418465E-2</c:v>
                </c:pt>
                <c:pt idx="453">
                  <c:v>2.8680282201021427E-2</c:v>
                </c:pt>
                <c:pt idx="454">
                  <c:v>2.8150932873345927E-2</c:v>
                </c:pt>
                <c:pt idx="455">
                  <c:v>2.7618466686476148E-2</c:v>
                </c:pt>
                <c:pt idx="456">
                  <c:v>2.7082888616721073E-2</c:v>
                </c:pt>
                <c:pt idx="457">
                  <c:v>2.6544203764412189E-2</c:v>
                </c:pt>
                <c:pt idx="458">
                  <c:v>2.600241735369618E-2</c:v>
                </c:pt>
                <c:pt idx="459">
                  <c:v>2.5457534732321454E-2</c:v>
                </c:pt>
                <c:pt idx="460">
                  <c:v>2.4909561371419635E-2</c:v>
                </c:pt>
                <c:pt idx="461">
                  <c:v>2.4358502865281143E-2</c:v>
                </c:pt>
                <c:pt idx="462">
                  <c:v>2.3804364931125248E-2</c:v>
                </c:pt>
                <c:pt idx="463">
                  <c:v>2.3247153408865229E-2</c:v>
                </c:pt>
                <c:pt idx="464">
                  <c:v>2.2686874260866945E-2</c:v>
                </c:pt>
                <c:pt idx="465">
                  <c:v>2.2123533571703238E-2</c:v>
                </c:pt>
                <c:pt idx="466">
                  <c:v>2.1557137547901839E-2</c:v>
                </c:pt>
                <c:pt idx="467">
                  <c:v>2.0987692517688745E-2</c:v>
                </c:pt>
                <c:pt idx="468">
                  <c:v>2.0415204930725385E-2</c:v>
                </c:pt>
                <c:pt idx="469">
                  <c:v>1.9839681357841369E-2</c:v>
                </c:pt>
                <c:pt idx="470">
                  <c:v>1.9261128490761035E-2</c:v>
                </c:pt>
                <c:pt idx="471">
                  <c:v>1.8679553141825386E-2</c:v>
                </c:pt>
                <c:pt idx="472">
                  <c:v>1.8094962243708358E-2</c:v>
                </c:pt>
                <c:pt idx="473">
                  <c:v>1.750736284912803E-2</c:v>
                </c:pt>
                <c:pt idx="474">
                  <c:v>1.6916762130552623E-2</c:v>
                </c:pt>
                <c:pt idx="475">
                  <c:v>1.6323167379901121E-2</c:v>
                </c:pt>
                <c:pt idx="476">
                  <c:v>1.572658600823916E-2</c:v>
                </c:pt>
                <c:pt idx="477">
                  <c:v>1.5127025545469245E-2</c:v>
                </c:pt>
                <c:pt idx="478">
                  <c:v>1.4524493640016411E-2</c:v>
                </c:pt>
                <c:pt idx="479">
                  <c:v>1.3918998058508325E-2</c:v>
                </c:pt>
                <c:pt idx="480">
                  <c:v>1.3310546685450824E-2</c:v>
                </c:pt>
                <c:pt idx="481">
                  <c:v>1.2699147522897915E-2</c:v>
                </c:pt>
                <c:pt idx="482">
                  <c:v>1.2084808690117349E-2</c:v>
                </c:pt>
                <c:pt idx="483">
                  <c:v>1.1467538423250783E-2</c:v>
                </c:pt>
                <c:pt idx="484">
                  <c:v>1.0847345074969317E-2</c:v>
                </c:pt>
                <c:pt idx="485">
                  <c:v>1.0224237114123957E-2</c:v>
                </c:pt>
                <c:pt idx="486">
                  <c:v>9.5982231253911969E-3</c:v>
                </c:pt>
                <c:pt idx="487">
                  <c:v>8.9693118089140805E-3</c:v>
                </c:pt>
                <c:pt idx="488">
                  <c:v>8.337511979937923E-3</c:v>
                </c:pt>
                <c:pt idx="489">
                  <c:v>7.7028325684419469E-3</c:v>
                </c:pt>
                <c:pt idx="490">
                  <c:v>7.0652826187653679E-3</c:v>
                </c:pt>
                <c:pt idx="491">
                  <c:v>6.4248712892294784E-3</c:v>
                </c:pt>
                <c:pt idx="492">
                  <c:v>5.7816078517547598E-3</c:v>
                </c:pt>
                <c:pt idx="493">
                  <c:v>5.1355016914730878E-3</c:v>
                </c:pt>
                <c:pt idx="494">
                  <c:v>4.486562306336035E-3</c:v>
                </c:pt>
                <c:pt idx="495">
                  <c:v>3.8347993067175878E-3</c:v>
                </c:pt>
                <c:pt idx="496">
                  <c:v>3.1802224150133921E-3</c:v>
                </c:pt>
                <c:pt idx="497">
                  <c:v>2.5228414652344907E-3</c:v>
                </c:pt>
                <c:pt idx="498">
                  <c:v>1.8626664025973806E-3</c:v>
                </c:pt>
                <c:pt idx="499">
                  <c:v>1.1997072831090093E-3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CD-4352-B20A-242E1F7D3F0D}"/>
            </c:ext>
          </c:extLst>
        </c:ser>
        <c:ser>
          <c:idx val="1"/>
          <c:order val="1"/>
          <c:tx>
            <c:v>Lower Camber</c:v>
          </c:tx>
          <c:spPr>
            <a:ln w="127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Data4!$I$1:$I$501</c:f>
              <c:numCache>
                <c:formatCode>0.00000</c:formatCode>
                <c:ptCount val="501"/>
                <c:pt idx="0">
                  <c:v>0</c:v>
                </c:pt>
                <c:pt idx="1">
                  <c:v>1.2037750198309073E-4</c:v>
                </c:pt>
                <c:pt idx="2">
                  <c:v>2.5020267342213093E-4</c:v>
                </c:pt>
                <c:pt idx="3">
                  <c:v>3.8944220286859794E-4</c:v>
                </c:pt>
                <c:pt idx="4">
                  <c:v>5.3806295827363228E-4</c:v>
                </c:pt>
                <c:pt idx="5">
                  <c:v>6.9603199130415557E-4</c:v>
                </c:pt>
                <c:pt idx="6">
                  <c:v>8.6331654160189998E-4</c:v>
                </c:pt>
                <c:pt idx="7">
                  <c:v>1.0398840409788712E-3</c:v>
                </c:pt>
                <c:pt idx="8">
                  <c:v>1.2257021175599635E-3</c:v>
                </c:pt>
                <c:pt idx="9">
                  <c:v>1.4207385998783551E-3</c:v>
                </c:pt>
                <c:pt idx="10">
                  <c:v>1.6249615209280154E-3</c:v>
                </c:pt>
                <c:pt idx="11">
                  <c:v>1.8383391221799383E-3</c:v>
                </c:pt>
                <c:pt idx="12">
                  <c:v>2.0608398575662212E-3</c:v>
                </c:pt>
                <c:pt idx="13">
                  <c:v>2.2924323974380886E-3</c:v>
                </c:pt>
                <c:pt idx="14">
                  <c:v>2.5330856325035361E-3</c:v>
                </c:pt>
                <c:pt idx="15">
                  <c:v>2.7827686777485375E-3</c:v>
                </c:pt>
                <c:pt idx="16">
                  <c:v>3.0414508763460923E-3</c:v>
                </c:pt>
                <c:pt idx="17">
                  <c:v>3.3091018035615099E-3</c:v>
                </c:pt>
                <c:pt idx="18">
                  <c:v>3.5856912706530597E-3</c:v>
                </c:pt>
                <c:pt idx="19">
                  <c:v>3.8711893287783094E-3</c:v>
                </c:pt>
                <c:pt idx="20">
                  <c:v>4.1655662729050864E-3</c:v>
                </c:pt>
                <c:pt idx="21">
                  <c:v>4.4687926457361166E-3</c:v>
                </c:pt>
                <c:pt idx="22">
                  <c:v>4.780839241648082E-3</c:v>
                </c:pt>
                <c:pt idx="23">
                  <c:v>5.1016771106507739E-3</c:v>
                </c:pt>
                <c:pt idx="24">
                  <c:v>5.4312775623688277E-3</c:v>
                </c:pt>
                <c:pt idx="25">
                  <c:v>5.7696121700517664E-3</c:v>
                </c:pt>
                <c:pt idx="26">
                  <c:v>6.116652774612619E-3</c:v>
                </c:pt>
                <c:pt idx="27">
                  <c:v>6.472371488702524E-3</c:v>
                </c:pt>
                <c:pt idx="28">
                  <c:v>6.8367407008202204E-3</c:v>
                </c:pt>
                <c:pt idx="29">
                  <c:v>7.2097330794623788E-3</c:v>
                </c:pt>
                <c:pt idx="30">
                  <c:v>7.5913215773169753E-3</c:v>
                </c:pt>
                <c:pt idx="31">
                  <c:v>7.9814794354998806E-3</c:v>
                </c:pt>
                <c:pt idx="32">
                  <c:v>8.3801801878418784E-3</c:v>
                </c:pt>
                <c:pt idx="33">
                  <c:v>8.7873976652235036E-3</c:v>
                </c:pt>
                <c:pt idx="34">
                  <c:v>9.2031059999620676E-3</c:v>
                </c:pt>
                <c:pt idx="35">
                  <c:v>9.6272796302527067E-3</c:v>
                </c:pt>
                <c:pt idx="36">
                  <c:v>1.0059893304665012E-2</c:v>
                </c:pt>
                <c:pt idx="37">
                  <c:v>1.0500922086695584E-2</c:v>
                </c:pt>
                <c:pt idx="38">
                  <c:v>1.0950341359378845E-2</c:v>
                </c:pt>
                <c:pt idx="39">
                  <c:v>1.140812682995704E-2</c:v>
                </c:pt>
                <c:pt idx="40">
                  <c:v>1.187425453460959E-2</c:v>
                </c:pt>
                <c:pt idx="41">
                  <c:v>1.2348700843242983E-2</c:v>
                </c:pt>
                <c:pt idx="42">
                  <c:v>1.2831442464340759E-2</c:v>
                </c:pt>
                <c:pt idx="43">
                  <c:v>1.3322456449874509E-2</c:v>
                </c:pt>
                <c:pt idx="44">
                  <c:v>1.382172020027574E-2</c:v>
                </c:pt>
                <c:pt idx="45">
                  <c:v>1.4329211469467494E-2</c:v>
                </c:pt>
                <c:pt idx="46">
                  <c:v>1.4844908369955922E-2</c:v>
                </c:pt>
                <c:pt idx="47">
                  <c:v>1.5368789377980072E-2</c:v>
                </c:pt>
                <c:pt idx="48">
                  <c:v>1.5900833338720815E-2</c:v>
                </c:pt>
                <c:pt idx="49">
                  <c:v>1.6441019471564473E-2</c:v>
                </c:pt>
                <c:pt idx="50">
                  <c:v>1.6989327375423004E-2</c:v>
                </c:pt>
                <c:pt idx="51">
                  <c:v>1.7545737034106248E-2</c:v>
                </c:pt>
                <c:pt idx="52">
                  <c:v>1.811022882174616E-2</c:v>
                </c:pt>
                <c:pt idx="53">
                  <c:v>1.8682783508269459E-2</c:v>
                </c:pt>
                <c:pt idx="54">
                  <c:v>1.9263382264916244E-2</c:v>
                </c:pt>
                <c:pt idx="55">
                  <c:v>1.9852006669803773E-2</c:v>
                </c:pt>
                <c:pt idx="56">
                  <c:v>2.0448638713529012E-2</c:v>
                </c:pt>
                <c:pt idx="57">
                  <c:v>2.1053260804810181E-2</c:v>
                </c:pt>
                <c:pt idx="58">
                  <c:v>2.1665855776161154E-2</c:v>
                </c:pt>
                <c:pt idx="59">
                  <c:v>2.2286406889596683E-2</c:v>
                </c:pt>
                <c:pt idx="60">
                  <c:v>2.2914897842363998E-2</c:v>
                </c:pt>
                <c:pt idx="61">
                  <c:v>2.3551312772695801E-2</c:v>
                </c:pt>
                <c:pt idx="62">
                  <c:v>2.4195636265581834E-2</c:v>
                </c:pt>
                <c:pt idx="63">
                  <c:v>2.4847853358552923E-2</c:v>
                </c:pt>
                <c:pt idx="64">
                  <c:v>2.5507949547472878E-2</c:v>
                </c:pt>
                <c:pt idx="65">
                  <c:v>2.6175910792334806E-2</c:v>
                </c:pt>
                <c:pt idx="66">
                  <c:v>2.6851723523053313E-2</c:v>
                </c:pt>
                <c:pt idx="67">
                  <c:v>2.7535374645250361E-2</c:v>
                </c:pt>
                <c:pt idx="68">
                  <c:v>2.8226851546027235E-2</c:v>
                </c:pt>
                <c:pt idx="69">
                  <c:v>2.8926142099716678E-2</c:v>
                </c:pt>
                <c:pt idx="70">
                  <c:v>2.9633234673610544E-2</c:v>
                </c:pt>
                <c:pt idx="71">
                  <c:v>3.0348118133654015E-2</c:v>
                </c:pt>
                <c:pt idx="72">
                  <c:v>3.107078185010366E-2</c:v>
                </c:pt>
                <c:pt idx="73">
                  <c:v>3.1801215703138486E-2</c:v>
                </c:pt>
                <c:pt idx="74">
                  <c:v>3.2539410088421226E-2</c:v>
                </c:pt>
                <c:pt idx="75">
                  <c:v>3.3285355922599597E-2</c:v>
                </c:pt>
                <c:pt idx="76">
                  <c:v>3.403904464874228E-2</c:v>
                </c:pt>
                <c:pt idx="77">
                  <c:v>3.4800468241703235E-2</c:v>
                </c:pt>
                <c:pt idx="78">
                  <c:v>3.5569619213403694E-2</c:v>
                </c:pt>
                <c:pt idx="79">
                  <c:v>3.6346490618028943E-2</c:v>
                </c:pt>
                <c:pt idx="80">
                  <c:v>3.7131076057128343E-2</c:v>
                </c:pt>
                <c:pt idx="81">
                  <c:v>3.7923369684614086E-2</c:v>
                </c:pt>
                <c:pt idx="82">
                  <c:v>3.8723366211649117E-2</c:v>
                </c:pt>
                <c:pt idx="83">
                  <c:v>3.9531060911417601E-2</c:v>
                </c:pt>
                <c:pt idx="84">
                  <c:v>4.034644962376998E-2</c:v>
                </c:pt>
                <c:pt idx="85">
                  <c:v>4.1169528759734703E-2</c:v>
                </c:pt>
                <c:pt idx="86">
                  <c:v>4.2000295305889813E-2</c:v>
                </c:pt>
                <c:pt idx="87">
                  <c:v>4.2838746828585364E-2</c:v>
                </c:pt>
                <c:pt idx="88">
                  <c:v>4.3684881478010508E-2</c:v>
                </c:pt>
                <c:pt idx="89">
                  <c:v>4.4538697992096872E-2</c:v>
                </c:pt>
                <c:pt idx="90">
                  <c:v>4.5400195700250348E-2</c:v>
                </c:pt>
                <c:pt idx="91">
                  <c:v>4.6269374526905549E-2</c:v>
                </c:pt>
                <c:pt idx="92">
                  <c:v>4.7146234994894148E-2</c:v>
                </c:pt>
                <c:pt idx="93">
                  <c:v>4.8030778228619862E-2</c:v>
                </c:pt>
                <c:pt idx="94">
                  <c:v>4.8923005957034582E-2</c:v>
                </c:pt>
                <c:pt idx="95">
                  <c:v>4.9822920516407694E-2</c:v>
                </c:pt>
                <c:pt idx="96">
                  <c:v>5.0730524852881591E-2</c:v>
                </c:pt>
                <c:pt idx="97">
                  <c:v>5.1645822524808156E-2</c:v>
                </c:pt>
                <c:pt idx="98">
                  <c:v>5.2568817704859723E-2</c:v>
                </c:pt>
                <c:pt idx="99">
                  <c:v>5.3499515181907153E-2</c:v>
                </c:pt>
                <c:pt idx="100">
                  <c:v>5.44379203626612E-2</c:v>
                </c:pt>
                <c:pt idx="101">
                  <c:v>5.5384039273070867E-2</c:v>
                </c:pt>
                <c:pt idx="102">
                  <c:v>5.633787855947358E-2</c:v>
                </c:pt>
                <c:pt idx="103">
                  <c:v>5.7299445489492687E-2</c:v>
                </c:pt>
                <c:pt idx="104">
                  <c:v>5.8268747952677134E-2</c:v>
                </c:pt>
                <c:pt idx="105">
                  <c:v>5.9245794460880172E-2</c:v>
                </c:pt>
                <c:pt idx="106">
                  <c:v>6.0230594148372674E-2</c:v>
                </c:pt>
                <c:pt idx="107">
                  <c:v>6.1223156771687569E-2</c:v>
                </c:pt>
                <c:pt idx="108">
                  <c:v>6.2223492709193334E-2</c:v>
                </c:pt>
                <c:pt idx="109">
                  <c:v>6.3231612960391953E-2</c:v>
                </c:pt>
                <c:pt idx="110">
                  <c:v>6.4247529144942167E-2</c:v>
                </c:pt>
                <c:pt idx="111">
                  <c:v>6.5271253501402726E-2</c:v>
                </c:pt>
                <c:pt idx="112">
                  <c:v>6.6302798885698191E-2</c:v>
                </c:pt>
                <c:pt idx="113">
                  <c:v>6.7342178769302596E-2</c:v>
                </c:pt>
                <c:pt idx="114">
                  <c:v>6.8389407237143693E-2</c:v>
                </c:pt>
                <c:pt idx="115">
                  <c:v>6.9444498985226102E-2</c:v>
                </c:pt>
                <c:pt idx="116">
                  <c:v>7.0507469317974761E-2</c:v>
                </c:pt>
                <c:pt idx="117">
                  <c:v>7.1578334145299058E-2</c:v>
                </c:pt>
                <c:pt idx="118">
                  <c:v>7.2657109979379714E-2</c:v>
                </c:pt>
                <c:pt idx="119">
                  <c:v>7.3743813931180846E-2</c:v>
                </c:pt>
                <c:pt idx="120">
                  <c:v>7.4838463706688493E-2</c:v>
                </c:pt>
                <c:pt idx="121">
                  <c:v>7.5941077602879575E-2</c:v>
                </c:pt>
                <c:pt idx="122">
                  <c:v>7.7051674503424553E-2</c:v>
                </c:pt>
                <c:pt idx="123">
                  <c:v>7.8170273874128282E-2</c:v>
                </c:pt>
                <c:pt idx="124">
                  <c:v>7.9296895758112648E-2</c:v>
                </c:pt>
                <c:pt idx="125">
                  <c:v>8.0431560770746452E-2</c:v>
                </c:pt>
                <c:pt idx="126">
                  <c:v>8.1574290094328164E-2</c:v>
                </c:pt>
                <c:pt idx="127">
                  <c:v>8.2725105472527455E-2</c:v>
                </c:pt>
                <c:pt idx="128">
                  <c:v>8.3884029204591384E-2</c:v>
                </c:pt>
                <c:pt idx="129">
                  <c:v>8.5051084139322941E-2</c:v>
                </c:pt>
                <c:pt idx="130">
                  <c:v>8.6226293668838466E-2</c:v>
                </c:pt>
                <c:pt idx="131">
                  <c:v>8.7409681722111957E-2</c:v>
                </c:pt>
                <c:pt idx="132">
                  <c:v>8.860127275831424E-2</c:v>
                </c:pt>
                <c:pt idx="133">
                  <c:v>8.9801091759956389E-2</c:v>
                </c:pt>
                <c:pt idx="134">
                  <c:v>9.1009164225844513E-2</c:v>
                </c:pt>
                <c:pt idx="135">
                  <c:v>9.2225516163856852E-2</c:v>
                </c:pt>
                <c:pt idx="136">
                  <c:v>9.3450174083551912E-2</c:v>
                </c:pt>
                <c:pt idx="137">
                  <c:v>9.4683164988617369E-2</c:v>
                </c:pt>
                <c:pt idx="138">
                  <c:v>9.5924516369171167E-2</c:v>
                </c:pt>
                <c:pt idx="139">
                  <c:v>9.7174256193922948E-2</c:v>
                </c:pt>
                <c:pt idx="140">
                  <c:v>9.8432412902209249E-2</c:v>
                </c:pt>
                <c:pt idx="141">
                  <c:v>9.9699015395911056E-2</c:v>
                </c:pt>
                <c:pt idx="142">
                  <c:v>0.10097409303126618</c:v>
                </c:pt>
                <c:pt idx="143">
                  <c:v>0.10225767561058687</c:v>
                </c:pt>
                <c:pt idx="144">
                  <c:v>0.10354979337389519</c:v>
                </c:pt>
                <c:pt idx="145">
                  <c:v>0.10485047699048611</c:v>
                </c:pt>
                <c:pt idx="146">
                  <c:v>0.10615975755043064</c:v>
                </c:pt>
                <c:pt idx="147">
                  <c:v>0.10747766655603139</c:v>
                </c:pt>
                <c:pt idx="148">
                  <c:v>0.10880423591323998</c:v>
                </c:pt>
                <c:pt idx="149">
                  <c:v>0.1101394979230505</c:v>
                </c:pt>
                <c:pt idx="150">
                  <c:v>0.11148348527287832</c:v>
                </c:pt>
                <c:pt idx="151">
                  <c:v>0.11283623102793684</c:v>
                </c:pt>
                <c:pt idx="152">
                  <c:v>0.11419776862262286</c:v>
                </c:pt>
                <c:pt idx="153">
                  <c:v>0.11556813185192252</c:v>
                </c:pt>
                <c:pt idx="154">
                  <c:v>0.11694735486284748</c:v>
                </c:pt>
                <c:pt idx="155">
                  <c:v>0.11833547214591304</c:v>
                </c:pt>
                <c:pt idx="156">
                  <c:v>0.119732518526668</c:v>
                </c:pt>
                <c:pt idx="157">
                  <c:v>0.12113852915728672</c:v>
                </c:pt>
                <c:pt idx="158">
                  <c:v>0.1225535395082327</c:v>
                </c:pt>
                <c:pt idx="159">
                  <c:v>0.12397758536000418</c:v>
                </c:pt>
                <c:pt idx="160">
                  <c:v>0.12541070279496835</c:v>
                </c:pt>
                <c:pt idx="161">
                  <c:v>0.12685292818929586</c:v>
                </c:pt>
                <c:pt idx="162">
                  <c:v>0.12830429820500125</c:v>
                </c:pt>
                <c:pt idx="163">
                  <c:v>0.12976484978209687</c:v>
                </c:pt>
                <c:pt idx="164">
                  <c:v>0.1312346201308702</c:v>
                </c:pt>
                <c:pt idx="165">
                  <c:v>0.13271364672428573</c:v>
                </c:pt>
                <c:pt idx="166">
                  <c:v>0.13420196729052325</c:v>
                </c:pt>
                <c:pt idx="167">
                  <c:v>0.13569961980565229</c:v>
                </c:pt>
                <c:pt idx="168">
                  <c:v>0.13720664248645073</c:v>
                </c:pt>
                <c:pt idx="169">
                  <c:v>0.1387230737833694</c:v>
                </c:pt>
                <c:pt idx="170">
                  <c:v>0.14024895237364637</c:v>
                </c:pt>
                <c:pt idx="171">
                  <c:v>0.14178431715457335</c:v>
                </c:pt>
                <c:pt idx="172">
                  <c:v>0.14332920723691464</c:v>
                </c:pt>
                <c:pt idx="173">
                  <c:v>0.1448836619384796</c:v>
                </c:pt>
                <c:pt idx="174">
                  <c:v>0.14644772077784846</c:v>
                </c:pt>
                <c:pt idx="175">
                  <c:v>0.14802142346825028</c:v>
                </c:pt>
                <c:pt idx="176">
                  <c:v>0.14960480991158959</c:v>
                </c:pt>
                <c:pt idx="177">
                  <c:v>0.15119792019262027</c:v>
                </c:pt>
                <c:pt idx="178">
                  <c:v>0.15280079457326071</c:v>
                </c:pt>
                <c:pt idx="179">
                  <c:v>0.15441347348704643</c:v>
                </c:pt>
                <c:pt idx="180">
                  <c:v>0.15603599753371239</c:v>
                </c:pt>
                <c:pt idx="181">
                  <c:v>0.15766840747389876</c:v>
                </c:pt>
                <c:pt idx="182">
                  <c:v>0.15931074422397071</c:v>
                </c:pt>
                <c:pt idx="183">
                  <c:v>0.16096304885094251</c:v>
                </c:pt>
                <c:pt idx="184">
                  <c:v>0.16262536256749491</c:v>
                </c:pt>
                <c:pt idx="185">
                  <c:v>0.16429772672707488</c:v>
                </c:pt>
                <c:pt idx="186">
                  <c:v>0.16598018281906132</c:v>
                </c:pt>
                <c:pt idx="187">
                  <c:v>0.16767277246398529</c:v>
                </c:pt>
                <c:pt idx="188">
                  <c:v>0.16937553740878589</c:v>
                </c:pt>
                <c:pt idx="189">
                  <c:v>0.17108851952208623</c:v>
                </c:pt>
                <c:pt idx="190">
                  <c:v>0.17281176078946928</c:v>
                </c:pt>
                <c:pt idx="191">
                  <c:v>0.17454530330873408</c:v>
                </c:pt>
                <c:pt idx="192">
                  <c:v>0.17628918928510981</c:v>
                </c:pt>
                <c:pt idx="193">
                  <c:v>0.17804346102640584</c:v>
                </c:pt>
                <c:pt idx="194">
                  <c:v>0.17980816093807062</c:v>
                </c:pt>
                <c:pt idx="195">
                  <c:v>0.18158333151813535</c:v>
                </c:pt>
                <c:pt idx="196">
                  <c:v>0.1833690153520133</c:v>
                </c:pt>
                <c:pt idx="197">
                  <c:v>0.18516525510712495</c:v>
                </c:pt>
                <c:pt idx="198">
                  <c:v>0.18697209352731833</c:v>
                </c:pt>
                <c:pt idx="199">
                  <c:v>0.18878957342705099</c:v>
                </c:pt>
                <c:pt idx="200">
                  <c:v>0.19061773768529988</c:v>
                </c:pt>
                <c:pt idx="201">
                  <c:v>0.19245662923915999</c:v>
                </c:pt>
                <c:pt idx="202">
                  <c:v>0.19430629107709788</c:v>
                </c:pt>
                <c:pt idx="203">
                  <c:v>0.19616676623181509</c:v>
                </c:pt>
                <c:pt idx="204">
                  <c:v>0.19803809777268222</c:v>
                </c:pt>
                <c:pt idx="205">
                  <c:v>0.19992032879770003</c:v>
                </c:pt>
                <c:pt idx="206">
                  <c:v>0.20181346275692319</c:v>
                </c:pt>
                <c:pt idx="207">
                  <c:v>0.203715587625902</c:v>
                </c:pt>
                <c:pt idx="208">
                  <c:v>0.20562561646773078</c:v>
                </c:pt>
                <c:pt idx="209">
                  <c:v>0.20754353042993648</c:v>
                </c:pt>
                <c:pt idx="210">
                  <c:v>0.20946931058560242</c:v>
                </c:pt>
                <c:pt idx="211">
                  <c:v>0.21140293793357981</c:v>
                </c:pt>
                <c:pt idx="212">
                  <c:v>0.21334439339870148</c:v>
                </c:pt>
                <c:pt idx="213">
                  <c:v>0.21529365783199478</c:v>
                </c:pt>
                <c:pt idx="214">
                  <c:v>0.2172507120108953</c:v>
                </c:pt>
                <c:pt idx="215">
                  <c:v>0.21921553663946125</c:v>
                </c:pt>
                <c:pt idx="216">
                  <c:v>0.22118811234858826</c:v>
                </c:pt>
                <c:pt idx="217">
                  <c:v>0.22316841969622409</c:v>
                </c:pt>
                <c:pt idx="218">
                  <c:v>0.22515643916758463</c:v>
                </c:pt>
                <c:pt idx="219">
                  <c:v>0.22715215117536991</c:v>
                </c:pt>
                <c:pt idx="220">
                  <c:v>0.22915553605997993</c:v>
                </c:pt>
                <c:pt idx="221">
                  <c:v>0.23116657408973204</c:v>
                </c:pt>
                <c:pt idx="222">
                  <c:v>0.23318524546107788</c:v>
                </c:pt>
                <c:pt idx="223">
                  <c:v>0.23521153029882139</c:v>
                </c:pt>
                <c:pt idx="224">
                  <c:v>0.23724540865633625</c:v>
                </c:pt>
                <c:pt idx="225">
                  <c:v>0.23928686051578504</c:v>
                </c:pt>
                <c:pt idx="226">
                  <c:v>0.24133586578833735</c:v>
                </c:pt>
                <c:pt idx="227">
                  <c:v>0.24339240431438952</c:v>
                </c:pt>
                <c:pt idx="228">
                  <c:v>0.24545645586378376</c:v>
                </c:pt>
                <c:pt idx="229">
                  <c:v>0.24752800013602866</c:v>
                </c:pt>
                <c:pt idx="230">
                  <c:v>0.24960701676051919</c:v>
                </c:pt>
                <c:pt idx="231">
                  <c:v>0.25169348529675722</c:v>
                </c:pt>
                <c:pt idx="232">
                  <c:v>0.25378738523457306</c:v>
                </c:pt>
                <c:pt idx="233">
                  <c:v>0.25588869599434616</c:v>
                </c:pt>
                <c:pt idx="234">
                  <c:v>0.25799739692722756</c:v>
                </c:pt>
                <c:pt idx="235">
                  <c:v>0.26011346731536172</c:v>
                </c:pt>
                <c:pt idx="236">
                  <c:v>0.26223688637210874</c:v>
                </c:pt>
                <c:pt idx="237">
                  <c:v>0.2643676332422672</c:v>
                </c:pt>
                <c:pt idx="238">
                  <c:v>0.26650568700229715</c:v>
                </c:pt>
                <c:pt idx="239">
                  <c:v>0.26865102666054413</c:v>
                </c:pt>
                <c:pt idx="240">
                  <c:v>0.27080363115746192</c:v>
                </c:pt>
                <c:pt idx="241">
                  <c:v>0.27296347936583731</c:v>
                </c:pt>
                <c:pt idx="242">
                  <c:v>0.27513055009101373</c:v>
                </c:pt>
                <c:pt idx="243">
                  <c:v>0.27730482207111662</c:v>
                </c:pt>
                <c:pt idx="244">
                  <c:v>0.27948627397727788</c:v>
                </c:pt>
                <c:pt idx="245">
                  <c:v>0.28167488441386124</c:v>
                </c:pt>
                <c:pt idx="246">
                  <c:v>0.2838706319186875</c:v>
                </c:pt>
                <c:pt idx="247">
                  <c:v>0.28607349496326079</c:v>
                </c:pt>
                <c:pt idx="248">
                  <c:v>0.28828345195299382</c:v>
                </c:pt>
                <c:pt idx="249">
                  <c:v>0.29050048122743533</c:v>
                </c:pt>
                <c:pt idx="250">
                  <c:v>0.29272456106049544</c:v>
                </c:pt>
                <c:pt idx="251">
                  <c:v>0.29495566966067338</c:v>
                </c:pt>
                <c:pt idx="252">
                  <c:v>0.29719378517128414</c:v>
                </c:pt>
                <c:pt idx="253">
                  <c:v>0.29943888567068577</c:v>
                </c:pt>
                <c:pt idx="254">
                  <c:v>0.30169094917250749</c:v>
                </c:pt>
                <c:pt idx="255">
                  <c:v>0.30394995362587679</c:v>
                </c:pt>
                <c:pt idx="256">
                  <c:v>0.30621587691564822</c:v>
                </c:pt>
                <c:pt idx="257">
                  <c:v>0.30848869686263108</c:v>
                </c:pt>
                <c:pt idx="258">
                  <c:v>0.31076839122381805</c:v>
                </c:pt>
                <c:pt idx="259">
                  <c:v>0.31305493769261433</c:v>
                </c:pt>
                <c:pt idx="260">
                  <c:v>0.31534831389906637</c:v>
                </c:pt>
                <c:pt idx="261">
                  <c:v>0.31764849741009077</c:v>
                </c:pt>
                <c:pt idx="262">
                  <c:v>0.31995546572970429</c:v>
                </c:pt>
                <c:pt idx="263">
                  <c:v>0.32226919629925227</c:v>
                </c:pt>
                <c:pt idx="264">
                  <c:v>0.32458966649764021</c:v>
                </c:pt>
                <c:pt idx="265">
                  <c:v>0.32691685364156209</c:v>
                </c:pt>
                <c:pt idx="266">
                  <c:v>0.32925073498573154</c:v>
                </c:pt>
                <c:pt idx="267">
                  <c:v>0.33159128772311169</c:v>
                </c:pt>
                <c:pt idx="268">
                  <c:v>0.33393848898514605</c:v>
                </c:pt>
                <c:pt idx="269">
                  <c:v>0.33629231584198888</c:v>
                </c:pt>
                <c:pt idx="270">
                  <c:v>0.33865274530273654</c:v>
                </c:pt>
                <c:pt idx="271">
                  <c:v>0.34101975431565834</c:v>
                </c:pt>
                <c:pt idx="272">
                  <c:v>0.34339331976842769</c:v>
                </c:pt>
                <c:pt idx="273">
                  <c:v>0.34577341848835341</c:v>
                </c:pt>
                <c:pt idx="274">
                  <c:v>0.34816002724261169</c:v>
                </c:pt>
                <c:pt idx="275">
                  <c:v>0.35055312273847744</c:v>
                </c:pt>
                <c:pt idx="276">
                  <c:v>0.35295268162355653</c:v>
                </c:pt>
                <c:pt idx="277">
                  <c:v>0.3553586804860171</c:v>
                </c:pt>
                <c:pt idx="278">
                  <c:v>0.35777109585482297</c:v>
                </c:pt>
                <c:pt idx="279">
                  <c:v>0.36018990419996422</c:v>
                </c:pt>
                <c:pt idx="280">
                  <c:v>0.36261508193269104</c:v>
                </c:pt>
                <c:pt idx="281">
                  <c:v>0.36504660540574591</c:v>
                </c:pt>
                <c:pt idx="282">
                  <c:v>0.36748445091359588</c:v>
                </c:pt>
                <c:pt idx="283">
                  <c:v>0.36992859469266592</c:v>
                </c:pt>
                <c:pt idx="284">
                  <c:v>0.37237901292157133</c:v>
                </c:pt>
                <c:pt idx="285">
                  <c:v>0.37483568172135123</c:v>
                </c:pt>
                <c:pt idx="286">
                  <c:v>0.37729857715570164</c:v>
                </c:pt>
                <c:pt idx="287">
                  <c:v>0.37976767523120858</c:v>
                </c:pt>
                <c:pt idx="288">
                  <c:v>0.38224295189758173</c:v>
                </c:pt>
                <c:pt idx="289">
                  <c:v>0.38472438304788753</c:v>
                </c:pt>
                <c:pt idx="290">
                  <c:v>0.38721194451878294</c:v>
                </c:pt>
                <c:pt idx="291">
                  <c:v>0.38970561209074939</c:v>
                </c:pt>
                <c:pt idx="292">
                  <c:v>0.39220536148832624</c:v>
                </c:pt>
                <c:pt idx="293">
                  <c:v>0.39471116838034459</c:v>
                </c:pt>
                <c:pt idx="294">
                  <c:v>0.39722300838016183</c:v>
                </c:pt>
                <c:pt idx="295">
                  <c:v>0.39974085704402812</c:v>
                </c:pt>
                <c:pt idx="296">
                  <c:v>0.40226468980894514</c:v>
                </c:pt>
                <c:pt idx="297">
                  <c:v>0.40479448197538886</c:v>
                </c:pt>
                <c:pt idx="298">
                  <c:v>0.40733020877885701</c:v>
                </c:pt>
                <c:pt idx="299">
                  <c:v>0.4098718453947876</c:v>
                </c:pt>
                <c:pt idx="300">
                  <c:v>0.41241936693878972</c:v>
                </c:pt>
                <c:pt idx="301">
                  <c:v>0.41497274846687904</c:v>
                </c:pt>
                <c:pt idx="302">
                  <c:v>0.4175319649757101</c:v>
                </c:pt>
                <c:pt idx="303">
                  <c:v>0.4200969914028122</c:v>
                </c:pt>
                <c:pt idx="304">
                  <c:v>0.42266780262682441</c:v>
                </c:pt>
                <c:pt idx="305">
                  <c:v>0.42524437346773136</c:v>
                </c:pt>
                <c:pt idx="306">
                  <c:v>0.42782667868710028</c:v>
                </c:pt>
                <c:pt idx="307">
                  <c:v>0.4304146929883188</c:v>
                </c:pt>
                <c:pt idx="308">
                  <c:v>0.43300839101683203</c:v>
                </c:pt>
                <c:pt idx="309">
                  <c:v>0.43560774736038277</c:v>
                </c:pt>
                <c:pt idx="310">
                  <c:v>0.43821273654924914</c:v>
                </c:pt>
                <c:pt idx="311">
                  <c:v>0.44082333305648624</c:v>
                </c:pt>
                <c:pt idx="312">
                  <c:v>0.44343951129816606</c:v>
                </c:pt>
                <c:pt idx="313">
                  <c:v>0.44606124563361899</c:v>
                </c:pt>
                <c:pt idx="314">
                  <c:v>0.4486885103656762</c:v>
                </c:pt>
                <c:pt idx="315">
                  <c:v>0.45132127974091157</c:v>
                </c:pt>
                <c:pt idx="316">
                  <c:v>0.45395952794988598</c:v>
                </c:pt>
                <c:pt idx="317">
                  <c:v>0.45660322912739065</c:v>
                </c:pt>
                <c:pt idx="318">
                  <c:v>0.45925235735269232</c:v>
                </c:pt>
                <c:pt idx="319">
                  <c:v>0.46190688664977786</c:v>
                </c:pt>
                <c:pt idx="320">
                  <c:v>0.46456679098760106</c:v>
                </c:pt>
                <c:pt idx="321">
                  <c:v>0.46723204428032838</c:v>
                </c:pt>
                <c:pt idx="322">
                  <c:v>0.4699026203875869</c:v>
                </c:pt>
                <c:pt idx="323">
                  <c:v>0.47257849311471151</c:v>
                </c:pt>
                <c:pt idx="324">
                  <c:v>0.47525963621299383</c:v>
                </c:pt>
                <c:pt idx="325">
                  <c:v>0.47794602337993175</c:v>
                </c:pt>
                <c:pt idx="326">
                  <c:v>0.48063762825947798</c:v>
                </c:pt>
                <c:pt idx="327">
                  <c:v>0.48333442444229197</c:v>
                </c:pt>
                <c:pt idx="328">
                  <c:v>0.48603638546598926</c:v>
                </c:pt>
                <c:pt idx="329">
                  <c:v>0.48874348481539498</c:v>
                </c:pt>
                <c:pt idx="330">
                  <c:v>0.49145569592279437</c:v>
                </c:pt>
                <c:pt idx="331">
                  <c:v>0.49417299216818733</c:v>
                </c:pt>
                <c:pt idx="332">
                  <c:v>0.49689534687954034</c:v>
                </c:pt>
                <c:pt idx="333">
                  <c:v>0.49962273333304186</c:v>
                </c:pt>
                <c:pt idx="334">
                  <c:v>0.50235512475335642</c:v>
                </c:pt>
                <c:pt idx="335">
                  <c:v>0.50509249431388037</c:v>
                </c:pt>
                <c:pt idx="336">
                  <c:v>0.50783481513699746</c:v>
                </c:pt>
                <c:pt idx="337">
                  <c:v>0.51058206029433562</c:v>
                </c:pt>
                <c:pt idx="338">
                  <c:v>0.51333420280702469</c:v>
                </c:pt>
                <c:pt idx="339">
                  <c:v>0.51609121564595284</c:v>
                </c:pt>
                <c:pt idx="340">
                  <c:v>0.51885307173202655</c:v>
                </c:pt>
                <c:pt idx="341">
                  <c:v>0.52161974393642885</c:v>
                </c:pt>
                <c:pt idx="342">
                  <c:v>0.52439120508087911</c:v>
                </c:pt>
                <c:pt idx="343">
                  <c:v>0.52716742793789262</c:v>
                </c:pt>
                <c:pt idx="344">
                  <c:v>0.52994838523104248</c:v>
                </c:pt>
                <c:pt idx="345">
                  <c:v>0.5327340496352202</c:v>
                </c:pt>
                <c:pt idx="346">
                  <c:v>0.53552439377689798</c:v>
                </c:pt>
                <c:pt idx="347">
                  <c:v>0.53831939023439146</c:v>
                </c:pt>
                <c:pt idx="348">
                  <c:v>0.54111901153812214</c:v>
                </c:pt>
                <c:pt idx="349">
                  <c:v>0.54392323017088218</c:v>
                </c:pt>
                <c:pt idx="350">
                  <c:v>0.54673201856809728</c:v>
                </c:pt>
                <c:pt idx="351">
                  <c:v>0.54954534911809372</c:v>
                </c:pt>
                <c:pt idx="352">
                  <c:v>0.55236319416236157</c:v>
                </c:pt>
                <c:pt idx="353">
                  <c:v>0.55518552599582238</c:v>
                </c:pt>
                <c:pt idx="354">
                  <c:v>0.55801231686709463</c:v>
                </c:pt>
                <c:pt idx="355">
                  <c:v>0.56084353897876149</c:v>
                </c:pt>
                <c:pt idx="356">
                  <c:v>0.56367916448763933</c:v>
                </c:pt>
                <c:pt idx="357">
                  <c:v>0.56651916550504389</c:v>
                </c:pt>
                <c:pt idx="358">
                  <c:v>0.56936351409706221</c:v>
                </c:pt>
                <c:pt idx="359">
                  <c:v>0.5722121822848184</c:v>
                </c:pt>
                <c:pt idx="360">
                  <c:v>0.57506514204474735</c:v>
                </c:pt>
                <c:pt idx="361">
                  <c:v>0.57792236530886243</c:v>
                </c:pt>
                <c:pt idx="362">
                  <c:v>0.58078382396502826</c:v>
                </c:pt>
                <c:pt idx="363">
                  <c:v>0.58364948985723175</c:v>
                </c:pt>
                <c:pt idx="364">
                  <c:v>0.58651933478585372</c:v>
                </c:pt>
                <c:pt idx="365">
                  <c:v>0.58939333050794318</c:v>
                </c:pt>
                <c:pt idx="366">
                  <c:v>0.59227144873748916</c:v>
                </c:pt>
                <c:pt idx="367">
                  <c:v>0.59515366114569512</c:v>
                </c:pt>
                <c:pt idx="368">
                  <c:v>0.59803993936125344</c:v>
                </c:pt>
                <c:pt idx="369">
                  <c:v>0.60093025497062014</c:v>
                </c:pt>
                <c:pt idx="370">
                  <c:v>0.60382457951828949</c:v>
                </c:pt>
                <c:pt idx="371">
                  <c:v>0.60672288450707212</c:v>
                </c:pt>
                <c:pt idx="372">
                  <c:v>0.60962514139836921</c:v>
                </c:pt>
                <c:pt idx="373">
                  <c:v>0.61253132161245072</c:v>
                </c:pt>
                <c:pt idx="374">
                  <c:v>0.61544139652873275</c:v>
                </c:pt>
                <c:pt idx="375">
                  <c:v>0.61835533748605476</c:v>
                </c:pt>
                <c:pt idx="376">
                  <c:v>0.62127311578296007</c:v>
                </c:pt>
                <c:pt idx="377">
                  <c:v>0.62419470267797239</c:v>
                </c:pt>
                <c:pt idx="378">
                  <c:v>0.62712006938987763</c:v>
                </c:pt>
                <c:pt idx="379">
                  <c:v>0.63004918709800262</c:v>
                </c:pt>
                <c:pt idx="380">
                  <c:v>0.63298202694249606</c:v>
                </c:pt>
                <c:pt idx="381">
                  <c:v>0.63591856002460967</c:v>
                </c:pt>
                <c:pt idx="382">
                  <c:v>0.63885875740698039</c:v>
                </c:pt>
                <c:pt idx="383">
                  <c:v>0.64180259011391116</c:v>
                </c:pt>
                <c:pt idx="384">
                  <c:v>0.64475002913165458</c:v>
                </c:pt>
                <c:pt idx="385">
                  <c:v>0.64770104540869555</c:v>
                </c:pt>
                <c:pt idx="386">
                  <c:v>0.65065560985603477</c:v>
                </c:pt>
                <c:pt idx="387">
                  <c:v>0.65361369334747321</c:v>
                </c:pt>
                <c:pt idx="388">
                  <c:v>0.65657526671989641</c:v>
                </c:pt>
                <c:pt idx="389">
                  <c:v>0.65954030077355918</c:v>
                </c:pt>
                <c:pt idx="390">
                  <c:v>0.66250876627237099</c:v>
                </c:pt>
                <c:pt idx="391">
                  <c:v>0.66548063394418344</c:v>
                </c:pt>
                <c:pt idx="392">
                  <c:v>0.66845587448107435</c:v>
                </c:pt>
                <c:pt idx="393">
                  <c:v>0.67143445853963657</c:v>
                </c:pt>
                <c:pt idx="394">
                  <c:v>0.67441635674126421</c:v>
                </c:pt>
                <c:pt idx="395">
                  <c:v>0.67740153967244165</c:v>
                </c:pt>
                <c:pt idx="396">
                  <c:v>0.68038997788503019</c:v>
                </c:pt>
                <c:pt idx="397">
                  <c:v>0.68338164189655781</c:v>
                </c:pt>
                <c:pt idx="398">
                  <c:v>0.68637650219050894</c:v>
                </c:pt>
                <c:pt idx="399">
                  <c:v>0.68937452921661257</c:v>
                </c:pt>
                <c:pt idx="400">
                  <c:v>0.69237569339113414</c:v>
                </c:pt>
                <c:pt idx="401">
                  <c:v>0.69537996509716382</c:v>
                </c:pt>
                <c:pt idx="402">
                  <c:v>0.69838731468490989</c:v>
                </c:pt>
                <c:pt idx="403">
                  <c:v>0.70139771247198879</c:v>
                </c:pt>
                <c:pt idx="404">
                  <c:v>0.70441112874371747</c:v>
                </c:pt>
                <c:pt idx="405">
                  <c:v>0.70742753375340472</c:v>
                </c:pt>
                <c:pt idx="406">
                  <c:v>0.71044689772264569</c:v>
                </c:pt>
                <c:pt idx="407">
                  <c:v>0.71346919084161353</c:v>
                </c:pt>
                <c:pt idx="408">
                  <c:v>0.716494383269353</c:v>
                </c:pt>
                <c:pt idx="409">
                  <c:v>0.71952244513407593</c:v>
                </c:pt>
                <c:pt idx="410">
                  <c:v>0.72255334653345371</c:v>
                </c:pt>
                <c:pt idx="411">
                  <c:v>0.72558705753491348</c:v>
                </c:pt>
                <c:pt idx="412">
                  <c:v>0.72862354817593256</c:v>
                </c:pt>
                <c:pt idx="413">
                  <c:v>0.73166278846433508</c:v>
                </c:pt>
                <c:pt idx="414">
                  <c:v>0.73470474837858646</c:v>
                </c:pt>
                <c:pt idx="415">
                  <c:v>0.73774939786809202</c:v>
                </c:pt>
                <c:pt idx="416">
                  <c:v>0.74079670685349153</c:v>
                </c:pt>
                <c:pt idx="417">
                  <c:v>0.74384664522695787</c:v>
                </c:pt>
                <c:pt idx="418">
                  <c:v>0.74689918285249468</c:v>
                </c:pt>
                <c:pt idx="419">
                  <c:v>0.74995428956623356</c:v>
                </c:pt>
                <c:pt idx="420">
                  <c:v>0.75301193517673382</c:v>
                </c:pt>
                <c:pt idx="421">
                  <c:v>0.75607208946527893</c:v>
                </c:pt>
                <c:pt idx="422">
                  <c:v>0.75913472218617883</c:v>
                </c:pt>
                <c:pt idx="423">
                  <c:v>0.76219980306706681</c:v>
                </c:pt>
                <c:pt idx="424">
                  <c:v>0.76526730180920122</c:v>
                </c:pt>
                <c:pt idx="425">
                  <c:v>0.7683371880877643</c:v>
                </c:pt>
                <c:pt idx="426">
                  <c:v>0.77140943155216457</c:v>
                </c:pt>
                <c:pt idx="427">
                  <c:v>0.77448400182633603</c:v>
                </c:pt>
                <c:pt idx="428">
                  <c:v>0.77756086850904038</c:v>
                </c:pt>
                <c:pt idx="429">
                  <c:v>0.78064000117416976</c:v>
                </c:pt>
                <c:pt idx="430">
                  <c:v>0.78372136937104675</c:v>
                </c:pt>
                <c:pt idx="431">
                  <c:v>0.78680494262472933</c:v>
                </c:pt>
                <c:pt idx="432">
                  <c:v>0.78989069043631044</c:v>
                </c:pt>
                <c:pt idx="433">
                  <c:v>0.79297858228322482</c:v>
                </c:pt>
                <c:pt idx="434">
                  <c:v>0.79606858761954946</c:v>
                </c:pt>
                <c:pt idx="435">
                  <c:v>0.79916067587630957</c:v>
                </c:pt>
                <c:pt idx="436">
                  <c:v>0.80225481646178087</c:v>
                </c:pt>
                <c:pt idx="437">
                  <c:v>0.80535097876179618</c:v>
                </c:pt>
                <c:pt idx="438">
                  <c:v>0.80844913214004799</c:v>
                </c:pt>
                <c:pt idx="439">
                  <c:v>0.81154924593839495</c:v>
                </c:pt>
                <c:pt idx="440">
                  <c:v>0.81465128947716758</c:v>
                </c:pt>
                <c:pt idx="441">
                  <c:v>0.81775523205547296</c:v>
                </c:pt>
                <c:pt idx="442">
                  <c:v>0.82086104295150186</c:v>
                </c:pt>
                <c:pt idx="443">
                  <c:v>0.82396869142283402</c:v>
                </c:pt>
                <c:pt idx="444">
                  <c:v>0.82707814670674651</c:v>
                </c:pt>
                <c:pt idx="445">
                  <c:v>0.83018937802051829</c:v>
                </c:pt>
                <c:pt idx="446">
                  <c:v>0.83330235456174095</c:v>
                </c:pt>
                <c:pt idx="447">
                  <c:v>0.83641704550862228</c:v>
                </c:pt>
                <c:pt idx="448">
                  <c:v>0.83953342002029763</c:v>
                </c:pt>
                <c:pt idx="449">
                  <c:v>0.84265144723713636</c:v>
                </c:pt>
                <c:pt idx="450">
                  <c:v>0.84577109628105018</c:v>
                </c:pt>
                <c:pt idx="451">
                  <c:v>0.84889233625580307</c:v>
                </c:pt>
                <c:pt idx="452">
                  <c:v>0.8520151362473195</c:v>
                </c:pt>
                <c:pt idx="453">
                  <c:v>0.85513946532399332</c:v>
                </c:pt>
                <c:pt idx="454">
                  <c:v>0.85826529253699824</c:v>
                </c:pt>
                <c:pt idx="455">
                  <c:v>0.86139258692059806</c:v>
                </c:pt>
                <c:pt idx="456">
                  <c:v>0.86452131749245487</c:v>
                </c:pt>
                <c:pt idx="457">
                  <c:v>0.86765145325394166</c:v>
                </c:pt>
                <c:pt idx="458">
                  <c:v>0.87078296319045123</c:v>
                </c:pt>
                <c:pt idx="459">
                  <c:v>0.87391581627170856</c:v>
                </c:pt>
                <c:pt idx="460">
                  <c:v>0.87704998145208046</c:v>
                </c:pt>
                <c:pt idx="461">
                  <c:v>0.88018542767088781</c:v>
                </c:pt>
                <c:pt idx="462">
                  <c:v>0.88332212385271813</c:v>
                </c:pt>
                <c:pt idx="463">
                  <c:v>0.88646003890773462</c:v>
                </c:pt>
                <c:pt idx="464">
                  <c:v>0.88959914173199184</c:v>
                </c:pt>
                <c:pt idx="465">
                  <c:v>0.89273940120774498</c:v>
                </c:pt>
                <c:pt idx="466">
                  <c:v>0.89588078620376499</c:v>
                </c:pt>
                <c:pt idx="467">
                  <c:v>0.89902326557564871</c:v>
                </c:pt>
                <c:pt idx="468">
                  <c:v>0.90216680816613493</c:v>
                </c:pt>
                <c:pt idx="469">
                  <c:v>0.90531138280541457</c:v>
                </c:pt>
                <c:pt idx="470">
                  <c:v>0.9084569583114469</c:v>
                </c:pt>
                <c:pt idx="471">
                  <c:v>0.91160350349027108</c:v>
                </c:pt>
                <c:pt idx="472">
                  <c:v>0.91475098713632108</c:v>
                </c:pt>
                <c:pt idx="473">
                  <c:v>0.9178993780327398</c:v>
                </c:pt>
                <c:pt idx="474">
                  <c:v>0.92104864495169281</c:v>
                </c:pt>
                <c:pt idx="475">
                  <c:v>0.92419875665468354</c:v>
                </c:pt>
                <c:pt idx="476">
                  <c:v>0.92734968189286704</c:v>
                </c:pt>
                <c:pt idx="477">
                  <c:v>0.93050138940736626</c:v>
                </c:pt>
                <c:pt idx="478">
                  <c:v>0.93365384792958528</c:v>
                </c:pt>
                <c:pt idx="479">
                  <c:v>0.93680702618152611</c:v>
                </c:pt>
                <c:pt idx="480">
                  <c:v>0.93996089287610307</c:v>
                </c:pt>
                <c:pt idx="481">
                  <c:v>0.94311541671745924</c:v>
                </c:pt>
                <c:pt idx="482">
                  <c:v>0.94627056640128138</c:v>
                </c:pt>
                <c:pt idx="483">
                  <c:v>0.9494263106151164</c:v>
                </c:pt>
                <c:pt idx="484">
                  <c:v>0.95258261803868716</c:v>
                </c:pt>
                <c:pt idx="485">
                  <c:v>0.95573945734420884</c:v>
                </c:pt>
                <c:pt idx="486">
                  <c:v>0.95889679719670573</c:v>
                </c:pt>
                <c:pt idx="487">
                  <c:v>0.96205460625432693</c:v>
                </c:pt>
                <c:pt idx="488">
                  <c:v>0.96521285316866434</c:v>
                </c:pt>
                <c:pt idx="489">
                  <c:v>0.96837150658506754</c:v>
                </c:pt>
                <c:pt idx="490">
                  <c:v>0.97153053514296295</c:v>
                </c:pt>
                <c:pt idx="491">
                  <c:v>0.97468990747616968</c:v>
                </c:pt>
                <c:pt idx="492">
                  <c:v>0.97784959221321666</c:v>
                </c:pt>
                <c:pt idx="493">
                  <c:v>0.98100955797766154</c:v>
                </c:pt>
                <c:pt idx="494">
                  <c:v>0.98416977338840572</c:v>
                </c:pt>
                <c:pt idx="495">
                  <c:v>0.98733020706001484</c:v>
                </c:pt>
                <c:pt idx="496">
                  <c:v>0.99049082760303397</c:v>
                </c:pt>
                <c:pt idx="497">
                  <c:v>0.9936516036243076</c:v>
                </c:pt>
                <c:pt idx="498">
                  <c:v>0.99681250372729602</c:v>
                </c:pt>
                <c:pt idx="499">
                  <c:v>0.99997349651239431</c:v>
                </c:pt>
                <c:pt idx="500">
                  <c:v>1</c:v>
                </c:pt>
              </c:numCache>
            </c:numRef>
          </c:xVal>
          <c:yVal>
            <c:numRef>
              <c:f>Data4!$J$1:$J$501</c:f>
              <c:numCache>
                <c:formatCode>0.00000</c:formatCode>
                <c:ptCount val="501"/>
                <c:pt idx="0">
                  <c:v>0</c:v>
                </c:pt>
                <c:pt idx="1">
                  <c:v>-3.7707171751017094E-4</c:v>
                </c:pt>
                <c:pt idx="2">
                  <c:v>-7.4972797370830133E-4</c:v>
                </c:pt>
                <c:pt idx="3">
                  <c:v>-1.1179794371459501E-3</c:v>
                </c:pt>
                <c:pt idx="4">
                  <c:v>-1.4818377410275748E-3</c:v>
                </c:pt>
                <c:pt idx="5">
                  <c:v>-1.8413154759780066E-3</c:v>
                </c:pt>
                <c:pt idx="6">
                  <c:v>-2.1964261826247816E-3</c:v>
                </c:pt>
                <c:pt idx="7">
                  <c:v>-2.5471843439644681E-3</c:v>
                </c:pt>
                <c:pt idx="8">
                  <c:v>-2.8936053775285172E-3</c:v>
                </c:pt>
                <c:pt idx="9">
                  <c:v>-3.2357056273497674E-3</c:v>
                </c:pt>
                <c:pt idx="10">
                  <c:v>-3.5735023557291784E-3</c:v>
                </c:pt>
                <c:pt idx="11">
                  <c:v>-3.9070137348070312E-3</c:v>
                </c:pt>
                <c:pt idx="12">
                  <c:v>-4.2362588379385863E-3</c:v>
                </c:pt>
                <c:pt idx="13">
                  <c:v>-4.5612576308778638E-3</c:v>
                </c:pt>
                <c:pt idx="14">
                  <c:v>-4.8820309627723357E-3</c:v>
                </c:pt>
                <c:pt idx="15">
                  <c:v>-5.1986005569690623E-3</c:v>
                </c:pt>
                <c:pt idx="16">
                  <c:v>-5.5109890016340236E-3</c:v>
                </c:pt>
                <c:pt idx="17">
                  <c:v>-5.8192197401914034E-3</c:v>
                </c:pt>
                <c:pt idx="18">
                  <c:v>-6.1233170615782786E-3</c:v>
                </c:pt>
                <c:pt idx="19">
                  <c:v>-6.4233060903241468E-3</c:v>
                </c:pt>
                <c:pt idx="20">
                  <c:v>-6.7192127764514513E-3</c:v>
                </c:pt>
                <c:pt idx="21">
                  <c:v>-7.0110638852049706E-3</c:v>
                </c:pt>
                <c:pt idx="22">
                  <c:v>-7.2988869866089734E-3</c:v>
                </c:pt>
                <c:pt idx="23">
                  <c:v>-7.5827104448565885E-3</c:v>
                </c:pt>
                <c:pt idx="24">
                  <c:v>-7.8625634075329132E-3</c:v>
                </c:pt>
                <c:pt idx="25">
                  <c:v>-8.1384757946763812E-3</c:v>
                </c:pt>
                <c:pt idx="26">
                  <c:v>-8.4104782876785709E-3</c:v>
                </c:pt>
                <c:pt idx="27">
                  <c:v>-8.6786023180286578E-3</c:v>
                </c:pt>
                <c:pt idx="28">
                  <c:v>-8.9428800559021079E-3</c:v>
                </c:pt>
                <c:pt idx="29">
                  <c:v>-9.2033443985990535E-3</c:v>
                </c:pt>
                <c:pt idx="30">
                  <c:v>-9.4600289588348523E-3</c:v>
                </c:pt>
                <c:pt idx="31">
                  <c:v>-9.712968052884418E-3</c:v>
                </c:pt>
                <c:pt idx="32">
                  <c:v>-9.9621966885868225E-3</c:v>
                </c:pt>
                <c:pt idx="33">
                  <c:v>-1.0207750553210215E-2</c:v>
                </c:pt>
                <c:pt idx="34">
                  <c:v>-1.0449666001182004E-2</c:v>
                </c:pt>
                <c:pt idx="35">
                  <c:v>-1.068798004168775E-2</c:v>
                </c:pt>
                <c:pt idx="36">
                  <c:v>-1.0922730326142219E-2</c:v>
                </c:pt>
                <c:pt idx="37">
                  <c:v>-1.1153955135535487E-2</c:v>
                </c:pt>
                <c:pt idx="38">
                  <c:v>-1.1381693367658508E-2</c:v>
                </c:pt>
                <c:pt idx="39">
                  <c:v>-1.1605984524211639E-2</c:v>
                </c:pt>
                <c:pt idx="40">
                  <c:v>-1.1826868697799673E-2</c:v>
                </c:pt>
                <c:pt idx="41">
                  <c:v>-1.2044386558817387E-2</c:v>
                </c:pt>
                <c:pt idx="42">
                  <c:v>-1.2258579342229188E-2</c:v>
                </c:pt>
                <c:pt idx="43">
                  <c:v>-1.2469488834247056E-2</c:v>
                </c:pt>
                <c:pt idx="44">
                  <c:v>-1.2677157358910743E-2</c:v>
                </c:pt>
                <c:pt idx="45">
                  <c:v>-1.2881627764573831E-2</c:v>
                </c:pt>
                <c:pt idx="46">
                  <c:v>-1.3082943410300057E-2</c:v>
                </c:pt>
                <c:pt idx="47">
                  <c:v>-1.3281148152173463E-2</c:v>
                </c:pt>
                <c:pt idx="48">
                  <c:v>-1.3476286329527347E-2</c:v>
                </c:pt>
                <c:pt idx="49">
                  <c:v>-1.3668402751094735E-2</c:v>
                </c:pt>
                <c:pt idx="50">
                  <c:v>-1.3857542681085841E-2</c:v>
                </c:pt>
                <c:pt idx="51">
                  <c:v>-1.404375182519557E-2</c:v>
                </c:pt>
                <c:pt idx="52">
                  <c:v>-1.4227076316545798E-2</c:v>
                </c:pt>
                <c:pt idx="53">
                  <c:v>-1.4407562701566151E-2</c:v>
                </c:pt>
                <c:pt idx="54">
                  <c:v>-1.4585257925817233E-2</c:v>
                </c:pt>
                <c:pt idx="55">
                  <c:v>-1.4760209319761169E-2</c:v>
                </c:pt>
                <c:pt idx="56">
                  <c:v>-1.4932464584482084E-2</c:v>
                </c:pt>
                <c:pt idx="57">
                  <c:v>-1.5102071777361916E-2</c:v>
                </c:pt>
                <c:pt idx="58">
                  <c:v>-1.5269079297714299E-2</c:v>
                </c:pt>
                <c:pt idx="59">
                  <c:v>-1.5433535872381231E-2</c:v>
                </c:pt>
                <c:pt idx="60">
                  <c:v>-1.5595490541295817E-2</c:v>
                </c:pt>
                <c:pt idx="61">
                  <c:v>-1.5754992643014883E-2</c:v>
                </c:pt>
                <c:pt idx="62">
                  <c:v>-1.5912091800225289E-2</c:v>
                </c:pt>
                <c:pt idx="63">
                  <c:v>-1.6066837905227262E-2</c:v>
                </c:pt>
                <c:pt idx="64">
                  <c:v>-1.6219281105398133E-2</c:v>
                </c:pt>
                <c:pt idx="65">
                  <c:v>-1.636947178864023E-2</c:v>
                </c:pt>
                <c:pt idx="66">
                  <c:v>-1.6517460568815371E-2</c:v>
                </c:pt>
                <c:pt idx="67">
                  <c:v>-1.6663298271169753E-2</c:v>
                </c:pt>
                <c:pt idx="68">
                  <c:v>-1.6807035917751727E-2</c:v>
                </c:pt>
                <c:pt idx="69">
                  <c:v>-1.6948724712825262E-2</c:v>
                </c:pt>
                <c:pt idx="70">
                  <c:v>-1.7088416028281948E-2</c:v>
                </c:pt>
                <c:pt idx="71">
                  <c:v>-1.7226161389053439E-2</c:v>
                </c:pt>
                <c:pt idx="72">
                  <c:v>-1.7362012458527303E-2</c:v>
                </c:pt>
                <c:pt idx="73">
                  <c:v>-1.7496021023967565E-2</c:v>
                </c:pt>
                <c:pt idx="74">
                  <c:v>-1.7628238981942511E-2</c:v>
                </c:pt>
                <c:pt idx="75">
                  <c:v>-1.7758718323760664E-2</c:v>
                </c:pt>
                <c:pt idx="76">
                  <c:v>-1.788751112091691E-2</c:v>
                </c:pt>
                <c:pt idx="77">
                  <c:v>-1.8014669510549891E-2</c:v>
                </c:pt>
                <c:pt idx="78">
                  <c:v>-1.814024568091098E-2</c:v>
                </c:pt>
                <c:pt idx="79">
                  <c:v>-1.8264291856846679E-2</c:v>
                </c:pt>
                <c:pt idx="80">
                  <c:v>-1.8386860285293585E-2</c:v>
                </c:pt>
                <c:pt idx="81">
                  <c:v>-1.8508003220787193E-2</c:v>
                </c:pt>
                <c:pt idx="82">
                  <c:v>-1.8627772910983768E-2</c:v>
                </c:pt>
                <c:pt idx="83">
                  <c:v>-1.8746221582195105E-2</c:v>
                </c:pt>
                <c:pt idx="84">
                  <c:v>-1.8863401424935665E-2</c:v>
                </c:pt>
                <c:pt idx="85">
                  <c:v>-1.8979364579480879E-2</c:v>
                </c:pt>
                <c:pt idx="86">
                  <c:v>-1.9094163121435647E-2</c:v>
                </c:pt>
                <c:pt idx="87">
                  <c:v>-1.9207849047311161E-2</c:v>
                </c:pt>
                <c:pt idx="88">
                  <c:v>-1.9320474260108605E-2</c:v>
                </c:pt>
                <c:pt idx="89">
                  <c:v>-1.9432090554907248E-2</c:v>
                </c:pt>
                <c:pt idx="90">
                  <c:v>-1.9542749604454505E-2</c:v>
                </c:pt>
                <c:pt idx="91">
                  <c:v>-1.9652502944755443E-2</c:v>
                </c:pt>
                <c:pt idx="92">
                  <c:v>-1.9761401960658329E-2</c:v>
                </c:pt>
                <c:pt idx="93">
                  <c:v>-1.9869497871432946E-2</c:v>
                </c:pt>
                <c:pt idx="94">
                  <c:v>-1.9976841716337932E-2</c:v>
                </c:pt>
                <c:pt idx="95">
                  <c:v>-2.0083484340173229E-2</c:v>
                </c:pt>
                <c:pt idx="96">
                  <c:v>-2.0189476378812955E-2</c:v>
                </c:pt>
                <c:pt idx="97">
                  <c:v>-2.0294868244714454E-2</c:v>
                </c:pt>
                <c:pt idx="98">
                  <c:v>-2.0399710112398273E-2</c:v>
                </c:pt>
                <c:pt idx="99">
                  <c:v>-2.0504051903893934E-2</c:v>
                </c:pt>
                <c:pt idx="100">
                  <c:v>-2.0607943274145724E-2</c:v>
                </c:pt>
                <c:pt idx="101">
                  <c:v>-2.0711433596373088E-2</c:v>
                </c:pt>
                <c:pt idx="102">
                  <c:v>-2.0814571947378947E-2</c:v>
                </c:pt>
                <c:pt idx="103">
                  <c:v>-2.0917407092799923E-2</c:v>
                </c:pt>
                <c:pt idx="104">
                  <c:v>-2.1019987472291557E-2</c:v>
                </c:pt>
                <c:pt idx="105">
                  <c:v>-2.112236118464178E-2</c:v>
                </c:pt>
                <c:pt idx="106">
                  <c:v>-2.12245759728052E-2</c:v>
                </c:pt>
                <c:pt idx="107">
                  <c:v>-2.1326679208851052E-2</c:v>
                </c:pt>
                <c:pt idx="108">
                  <c:v>-2.1428717878816915E-2</c:v>
                </c:pt>
                <c:pt idx="109">
                  <c:v>-2.1530738567460444E-2</c:v>
                </c:pt>
                <c:pt idx="110">
                  <c:v>-2.1632787442901244E-2</c:v>
                </c:pt>
                <c:pt idx="111">
                  <c:v>-2.1734910241144129E-2</c:v>
                </c:pt>
                <c:pt idx="112">
                  <c:v>-2.183715225047601E-2</c:v>
                </c:pt>
                <c:pt idx="113">
                  <c:v>-2.1939558295727326E-2</c:v>
                </c:pt>
                <c:pt idx="114">
                  <c:v>-2.2042172722389557E-2</c:v>
                </c:pt>
                <c:pt idx="115">
                  <c:v>-2.2145039380579979E-2</c:v>
                </c:pt>
                <c:pt idx="116">
                  <c:v>-2.2248201608844692E-2</c:v>
                </c:pt>
                <c:pt idx="117">
                  <c:v>-2.2351702217790956E-2</c:v>
                </c:pt>
                <c:pt idx="118">
                  <c:v>-2.2455583473539629E-2</c:v>
                </c:pt>
                <c:pt idx="119">
                  <c:v>-2.2559887080988883E-2</c:v>
                </c:pt>
                <c:pt idx="120">
                  <c:v>-2.2664654166879697E-2</c:v>
                </c:pt>
                <c:pt idx="121">
                  <c:v>-2.2769925262654075E-2</c:v>
                </c:pt>
                <c:pt idx="122">
                  <c:v>-2.2875740287097119E-2</c:v>
                </c:pt>
                <c:pt idx="123">
                  <c:v>-2.2982138528753304E-2</c:v>
                </c:pt>
                <c:pt idx="124">
                  <c:v>-2.3089158628108314E-2</c:v>
                </c:pt>
                <c:pt idx="125">
                  <c:v>-2.319683855952729E-2</c:v>
                </c:pt>
                <c:pt idx="126">
                  <c:v>-2.3305215612940446E-2</c:v>
                </c:pt>
                <c:pt idx="127">
                  <c:v>-2.3414326375267407E-2</c:v>
                </c:pt>
                <c:pt idx="128">
                  <c:v>-2.352420671157146E-2</c:v>
                </c:pt>
                <c:pt idx="129">
                  <c:v>-2.3634891745935284E-2</c:v>
                </c:pt>
                <c:pt idx="130">
                  <c:v>-2.3746415842049541E-2</c:v>
                </c:pt>
                <c:pt idx="131">
                  <c:v>-2.3858812583506389E-2</c:v>
                </c:pt>
                <c:pt idx="132">
                  <c:v>-2.3972114753789641E-2</c:v>
                </c:pt>
                <c:pt idx="133">
                  <c:v>-2.4086354315954055E-2</c:v>
                </c:pt>
                <c:pt idx="134">
                  <c:v>-2.4201562391985742E-2</c:v>
                </c:pt>
                <c:pt idx="135">
                  <c:v>-2.4317769241836866E-2</c:v>
                </c:pt>
                <c:pt idx="136">
                  <c:v>-2.4435004242127179E-2</c:v>
                </c:pt>
                <c:pt idx="137">
                  <c:v>-2.455329586450565E-2</c:v>
                </c:pt>
                <c:pt idx="138">
                  <c:v>-2.4672671653665827E-2</c:v>
                </c:pt>
                <c:pt idx="139">
                  <c:v>-2.4793158205008464E-2</c:v>
                </c:pt>
                <c:pt idx="140">
                  <c:v>-2.491478114194573E-2</c:v>
                </c:pt>
                <c:pt idx="141">
                  <c:v>-2.5037565092841128E-2</c:v>
                </c:pt>
                <c:pt idx="142">
                  <c:v>-2.5161533667579977E-2</c:v>
                </c:pt>
                <c:pt idx="143">
                  <c:v>-2.5286709433765556E-2</c:v>
                </c:pt>
                <c:pt idx="144">
                  <c:v>-2.5413113892536202E-2</c:v>
                </c:pt>
                <c:pt idx="145">
                  <c:v>-2.5540767453998997E-2</c:v>
                </c:pt>
                <c:pt idx="146">
                  <c:v>-2.5669689412276264E-2</c:v>
                </c:pt>
                <c:pt idx="147">
                  <c:v>-2.5799897920161279E-2</c:v>
                </c:pt>
                <c:pt idx="148">
                  <c:v>-2.5931409963379733E-2</c:v>
                </c:pt>
                <c:pt idx="149">
                  <c:v>-2.6064241334454431E-2</c:v>
                </c:pt>
                <c:pt idx="150">
                  <c:v>-2.6198406606170375E-2</c:v>
                </c:pt>
                <c:pt idx="151">
                  <c:v>-2.6333919104638111E-2</c:v>
                </c:pt>
                <c:pt idx="152">
                  <c:v>-2.6470790881953671E-2</c:v>
                </c:pt>
                <c:pt idx="153">
                  <c:v>-2.6609032688453316E-2</c:v>
                </c:pt>
                <c:pt idx="154">
                  <c:v>-2.6748653944562124E-2</c:v>
                </c:pt>
                <c:pt idx="155">
                  <c:v>-2.6889662712235481E-2</c:v>
                </c:pt>
                <c:pt idx="156">
                  <c:v>-2.7032065665992915E-2</c:v>
                </c:pt>
                <c:pt idx="157">
                  <c:v>-2.7175868063544117E-2</c:v>
                </c:pt>
                <c:pt idx="158">
                  <c:v>-2.7321073716007224E-2</c:v>
                </c:pt>
                <c:pt idx="159">
                  <c:v>-2.7467684957719514E-2</c:v>
                </c:pt>
                <c:pt idx="160">
                  <c:v>-2.7615702615641526E-2</c:v>
                </c:pt>
                <c:pt idx="161">
                  <c:v>-2.7765125978355072E-2</c:v>
                </c:pt>
                <c:pt idx="162">
                  <c:v>-2.7915952764656721E-2</c:v>
                </c:pt>
                <c:pt idx="163">
                  <c:v>-2.8068179091747553E-2</c:v>
                </c:pt>
                <c:pt idx="164">
                  <c:v>-2.8221799443021531E-2</c:v>
                </c:pt>
                <c:pt idx="165">
                  <c:v>-2.8376806635453396E-2</c:v>
                </c:pt>
                <c:pt idx="166">
                  <c:v>-2.8533191786588981E-2</c:v>
                </c:pt>
                <c:pt idx="167">
                  <c:v>-2.8690944281139278E-2</c:v>
                </c:pt>
                <c:pt idx="168">
                  <c:v>-2.8850051737180981E-2</c:v>
                </c:pt>
                <c:pt idx="169">
                  <c:v>-2.9010499971966013E-2</c:v>
                </c:pt>
                <c:pt idx="170">
                  <c:v>-2.917227296734214E-2</c:v>
                </c:pt>
                <c:pt idx="171">
                  <c:v>-2.9335352834787831E-2</c:v>
                </c:pt>
                <c:pt idx="172">
                  <c:v>-2.9499719780063726E-2</c:v>
                </c:pt>
                <c:pt idx="173">
                  <c:v>-2.9665352067483563E-2</c:v>
                </c:pt>
                <c:pt idx="174">
                  <c:v>-2.9832225983807581E-2</c:v>
                </c:pt>
                <c:pt idx="175">
                  <c:v>-3.0000315801760963E-2</c:v>
                </c:pt>
                <c:pt idx="176">
                  <c:v>-3.0169593743180446E-2</c:v>
                </c:pt>
                <c:pt idx="177">
                  <c:v>-3.0340029941792003E-2</c:v>
                </c:pt>
                <c:pt idx="178">
                  <c:v>-3.0511592405621964E-2</c:v>
                </c:pt>
                <c:pt idx="179">
                  <c:v>-3.0684246979045229E-2</c:v>
                </c:pt>
                <c:pt idx="180">
                  <c:v>-3.0857957304472522E-2</c:v>
                </c:pt>
                <c:pt idx="181">
                  <c:v>-3.1032684783680115E-2</c:v>
                </c:pt>
                <c:pt idx="182">
                  <c:v>-3.1208388538784205E-2</c:v>
                </c:pt>
                <c:pt idx="183">
                  <c:v>-3.1385025372862703E-2</c:v>
                </c:pt>
                <c:pt idx="184">
                  <c:v>-3.1562549730227096E-2</c:v>
                </c:pt>
                <c:pt idx="185">
                  <c:v>-3.1740913656346695E-2</c:v>
                </c:pt>
                <c:pt idx="186">
                  <c:v>-3.1920066757427507E-2</c:v>
                </c:pt>
                <c:pt idx="187">
                  <c:v>-3.209995615964828E-2</c:v>
                </c:pt>
                <c:pt idx="188">
                  <c:v>-3.228052646805564E-2</c:v>
                </c:pt>
                <c:pt idx="189">
                  <c:v>-3.2461719725120547E-2</c:v>
                </c:pt>
                <c:pt idx="190">
                  <c:v>-3.2643475368958022E-2</c:v>
                </c:pt>
                <c:pt idx="191">
                  <c:v>-3.2825730191212266E-2</c:v>
                </c:pt>
                <c:pt idx="192">
                  <c:v>-3.3008418294608724E-2</c:v>
                </c:pt>
                <c:pt idx="193">
                  <c:v>-3.3191471050175475E-2</c:v>
                </c:pt>
                <c:pt idx="194">
                  <c:v>-3.3374817054135107E-2</c:v>
                </c:pt>
                <c:pt idx="195">
                  <c:v>-3.3558382084469644E-2</c:v>
                </c:pt>
                <c:pt idx="196">
                  <c:v>-3.3742089057159808E-2</c:v>
                </c:pt>
                <c:pt idx="197">
                  <c:v>-3.3925857982100904E-2</c:v>
                </c:pt>
                <c:pt idx="198">
                  <c:v>-3.410960591869712E-2</c:v>
                </c:pt>
                <c:pt idx="199">
                  <c:v>-3.429324693113657E-2</c:v>
                </c:pt>
                <c:pt idx="200">
                  <c:v>-3.4476692043349327E-2</c:v>
                </c:pt>
                <c:pt idx="201">
                  <c:v>-3.4659849193650734E-2</c:v>
                </c:pt>
                <c:pt idx="202">
                  <c:v>-3.4842623189073503E-2</c:v>
                </c:pt>
                <c:pt idx="203">
                  <c:v>-3.5024915659390803E-2</c:v>
                </c:pt>
                <c:pt idx="204">
                  <c:v>-3.5206625010834769E-2</c:v>
                </c:pt>
                <c:pt idx="205">
                  <c:v>-3.5387646379513846E-2</c:v>
                </c:pt>
                <c:pt idx="206">
                  <c:v>-3.5567870784397604E-2</c:v>
                </c:pt>
                <c:pt idx="207">
                  <c:v>-3.5747171991923982E-2</c:v>
                </c:pt>
                <c:pt idx="208">
                  <c:v>-3.5925510751743425E-2</c:v>
                </c:pt>
                <c:pt idx="209">
                  <c:v>-3.6102881930125758E-2</c:v>
                </c:pt>
                <c:pt idx="210">
                  <c:v>-3.6279280235844688E-2</c:v>
                </c:pt>
                <c:pt idx="211">
                  <c:v>-3.645470021910531E-2</c:v>
                </c:pt>
                <c:pt idx="212">
                  <c:v>-3.6629136270485557E-2</c:v>
                </c:pt>
                <c:pt idx="213">
                  <c:v>-3.680258261989125E-2</c:v>
                </c:pt>
                <c:pt idx="214">
                  <c:v>-3.697503333552539E-2</c:v>
                </c:pt>
                <c:pt idx="215">
                  <c:v>-3.7146482322871419E-2</c:v>
                </c:pt>
                <c:pt idx="216">
                  <c:v>-3.7316923323691159E-2</c:v>
                </c:pt>
                <c:pt idx="217">
                  <c:v>-3.7486349915036965E-2</c:v>
                </c:pt>
                <c:pt idx="218">
                  <c:v>-3.7654755508278903E-2</c:v>
                </c:pt>
                <c:pt idx="219">
                  <c:v>-3.7822133348146665E-2</c:v>
                </c:pt>
                <c:pt idx="220">
                  <c:v>-3.7988476511786447E-2</c:v>
                </c:pt>
                <c:pt idx="221">
                  <c:v>-3.8153777907833239E-2</c:v>
                </c:pt>
                <c:pt idx="222">
                  <c:v>-3.831803027549846E-2</c:v>
                </c:pt>
                <c:pt idx="223">
                  <c:v>-3.8481226183673028E-2</c:v>
                </c:pt>
                <c:pt idx="224">
                  <c:v>-3.864335803004619E-2</c:v>
                </c:pt>
                <c:pt idx="225">
                  <c:v>-3.880441804024036E-2</c:v>
                </c:pt>
                <c:pt idx="226">
                  <c:v>-3.8964398266961797E-2</c:v>
                </c:pt>
                <c:pt idx="227">
                  <c:v>-3.9123290589167588E-2</c:v>
                </c:pt>
                <c:pt idx="228">
                  <c:v>-3.9281086711248941E-2</c:v>
                </c:pt>
                <c:pt idx="229">
                  <c:v>-3.9437778162231027E-2</c:v>
                </c:pt>
                <c:pt idx="230">
                  <c:v>-3.9593356294989446E-2</c:v>
                </c:pt>
                <c:pt idx="231">
                  <c:v>-3.9747812285483478E-2</c:v>
                </c:pt>
                <c:pt idx="232">
                  <c:v>-3.9901137132006333E-2</c:v>
                </c:pt>
                <c:pt idx="233">
                  <c:v>-4.0053321654452551E-2</c:v>
                </c:pt>
                <c:pt idx="234">
                  <c:v>-4.0204356493602614E-2</c:v>
                </c:pt>
                <c:pt idx="235">
                  <c:v>-4.0354232110424867E-2</c:v>
                </c:pt>
                <c:pt idx="236">
                  <c:v>-4.0502938785395341E-2</c:v>
                </c:pt>
                <c:pt idx="237">
                  <c:v>-4.0650466617834786E-2</c:v>
                </c:pt>
                <c:pt idx="238">
                  <c:v>-4.0796805525263893E-2</c:v>
                </c:pt>
                <c:pt idx="239">
                  <c:v>-4.0941945242776473E-2</c:v>
                </c:pt>
                <c:pt idx="240">
                  <c:v>-4.1085875322430576E-2</c:v>
                </c:pt>
                <c:pt idx="241">
                  <c:v>-4.122858513265798E-2</c:v>
                </c:pt>
                <c:pt idx="242">
                  <c:v>-4.1370063857692138E-2</c:v>
                </c:pt>
                <c:pt idx="243">
                  <c:v>-4.1510300497014527E-2</c:v>
                </c:pt>
                <c:pt idx="244">
                  <c:v>-4.1649283864819669E-2</c:v>
                </c:pt>
                <c:pt idx="245">
                  <c:v>-4.178700258949912E-2</c:v>
                </c:pt>
                <c:pt idx="246">
                  <c:v>-4.1923445113144081E-2</c:v>
                </c:pt>
                <c:pt idx="247">
                  <c:v>-4.20585996910674E-2</c:v>
                </c:pt>
                <c:pt idx="248">
                  <c:v>-4.2192454391344406E-2</c:v>
                </c:pt>
                <c:pt idx="249">
                  <c:v>-4.2324997094373304E-2</c:v>
                </c:pt>
                <c:pt idx="250">
                  <c:v>-4.2456215492454902E-2</c:v>
                </c:pt>
                <c:pt idx="251">
                  <c:v>-4.2586097089391796E-2</c:v>
                </c:pt>
                <c:pt idx="252">
                  <c:v>-4.2714629200107324E-2</c:v>
                </c:pt>
                <c:pt idx="253">
                  <c:v>-4.2841798950284359E-2</c:v>
                </c:pt>
                <c:pt idx="254">
                  <c:v>-4.2967593276023758E-2</c:v>
                </c:pt>
                <c:pt idx="255">
                  <c:v>-4.3091998923523021E-2</c:v>
                </c:pt>
                <c:pt idx="256">
                  <c:v>-4.3215002448775075E-2</c:v>
                </c:pt>
                <c:pt idx="257">
                  <c:v>-4.3336590217287106E-2</c:v>
                </c:pt>
                <c:pt idx="258">
                  <c:v>-4.3456748403819911E-2</c:v>
                </c:pt>
                <c:pt idx="259">
                  <c:v>-4.3575462992147637E-2</c:v>
                </c:pt>
                <c:pt idx="260">
                  <c:v>-4.369271977483806E-2</c:v>
                </c:pt>
                <c:pt idx="261">
                  <c:v>-4.3808504353053362E-2</c:v>
                </c:pt>
                <c:pt idx="262">
                  <c:v>-4.3922802136372098E-2</c:v>
                </c:pt>
                <c:pt idx="263">
                  <c:v>-4.4035598342631349E-2</c:v>
                </c:pt>
                <c:pt idx="264">
                  <c:v>-4.414687799779056E-2</c:v>
                </c:pt>
                <c:pt idx="265">
                  <c:v>-4.425662593581578E-2</c:v>
                </c:pt>
                <c:pt idx="266">
                  <c:v>-4.4364826798585388E-2</c:v>
                </c:pt>
                <c:pt idx="267">
                  <c:v>-4.4471465035817052E-2</c:v>
                </c:pt>
                <c:pt idx="268">
                  <c:v>-4.4576524905015708E-2</c:v>
                </c:pt>
                <c:pt idx="269">
                  <c:v>-4.4679990471443352E-2</c:v>
                </c:pt>
                <c:pt idx="270">
                  <c:v>-4.478184560810991E-2</c:v>
                </c:pt>
                <c:pt idx="271">
                  <c:v>-4.4882073995786038E-2</c:v>
                </c:pt>
                <c:pt idx="272">
                  <c:v>-4.4980659123037274E-2</c:v>
                </c:pt>
                <c:pt idx="273">
                  <c:v>-4.507758428628008E-2</c:v>
                </c:pt>
                <c:pt idx="274">
                  <c:v>-4.5172832589859706E-2</c:v>
                </c:pt>
                <c:pt idx="275">
                  <c:v>-4.5266386946149748E-2</c:v>
                </c:pt>
                <c:pt idx="276">
                  <c:v>-4.5358230075673953E-2</c:v>
                </c:pt>
                <c:pt idx="277">
                  <c:v>-4.5448344507249716E-2</c:v>
                </c:pt>
                <c:pt idx="278">
                  <c:v>-4.5536712578154004E-2</c:v>
                </c:pt>
                <c:pt idx="279">
                  <c:v>-4.5623316434311063E-2</c:v>
                </c:pt>
                <c:pt idx="280">
                  <c:v>-4.5708138030502748E-2</c:v>
                </c:pt>
                <c:pt idx="281">
                  <c:v>-4.5791159130600757E-2</c:v>
                </c:pt>
                <c:pt idx="282">
                  <c:v>-4.5872361307821533E-2</c:v>
                </c:pt>
                <c:pt idx="283">
                  <c:v>-4.5951725945003324E-2</c:v>
                </c:pt>
                <c:pt idx="284">
                  <c:v>-4.6029234234905882E-2</c:v>
                </c:pt>
                <c:pt idx="285">
                  <c:v>-4.6104867180532486E-2</c:v>
                </c:pt>
                <c:pt idx="286">
                  <c:v>-4.617860559547473E-2</c:v>
                </c:pt>
                <c:pt idx="287">
                  <c:v>-4.6250430104279816E-2</c:v>
                </c:pt>
                <c:pt idx="288">
                  <c:v>-4.6320321142840418E-2</c:v>
                </c:pt>
                <c:pt idx="289">
                  <c:v>-4.6388258958807493E-2</c:v>
                </c:pt>
                <c:pt idx="290">
                  <c:v>-4.6454223612025572E-2</c:v>
                </c:pt>
                <c:pt idx="291">
                  <c:v>-4.6518194974991045E-2</c:v>
                </c:pt>
                <c:pt idx="292">
                  <c:v>-4.6580152733333144E-2</c:v>
                </c:pt>
                <c:pt idx="293">
                  <c:v>-4.6640076386317925E-2</c:v>
                </c:pt>
                <c:pt idx="294">
                  <c:v>-4.6697945247374889E-2</c:v>
                </c:pt>
                <c:pt idx="295">
                  <c:v>-4.6753738529127772E-2</c:v>
                </c:pt>
                <c:pt idx="296">
                  <c:v>-4.6807438167507751E-2</c:v>
                </c:pt>
                <c:pt idx="297">
                  <c:v>-4.6859029615010289E-2</c:v>
                </c:pt>
                <c:pt idx="298">
                  <c:v>-4.6908498613213792E-2</c:v>
                </c:pt>
                <c:pt idx="299">
                  <c:v>-4.6955830981450127E-2</c:v>
                </c:pt>
                <c:pt idx="300">
                  <c:v>-4.7001012617546509E-2</c:v>
                </c:pt>
                <c:pt idx="301">
                  <c:v>-4.7044029498562803E-2</c:v>
                </c:pt>
                <c:pt idx="302">
                  <c:v>-4.7084867681524124E-2</c:v>
                </c:pt>
                <c:pt idx="303">
                  <c:v>-4.7123513304148559E-2</c:v>
                </c:pt>
                <c:pt idx="304">
                  <c:v>-4.7159952585570396E-2</c:v>
                </c:pt>
                <c:pt idx="305">
                  <c:v>-4.7194171827058276E-2</c:v>
                </c:pt>
                <c:pt idx="306">
                  <c:v>-4.7226157412728682E-2</c:v>
                </c:pt>
                <c:pt idx="307">
                  <c:v>-4.7255895810254453E-2</c:v>
                </c:pt>
                <c:pt idx="308">
                  <c:v>-4.7283373571568491E-2</c:v>
                </c:pt>
                <c:pt idx="309">
                  <c:v>-4.7308577333562384E-2</c:v>
                </c:pt>
                <c:pt idx="310">
                  <c:v>-4.733149381878024E-2</c:v>
                </c:pt>
                <c:pt idx="311">
                  <c:v>-4.7352109836107339E-2</c:v>
                </c:pt>
                <c:pt idx="312">
                  <c:v>-4.7370412281453785E-2</c:v>
                </c:pt>
                <c:pt idx="313">
                  <c:v>-4.7386388138433287E-2</c:v>
                </c:pt>
                <c:pt idx="314">
                  <c:v>-4.7400024479036483E-2</c:v>
                </c:pt>
                <c:pt idx="315">
                  <c:v>-4.7411308464299445E-2</c:v>
                </c:pt>
                <c:pt idx="316">
                  <c:v>-4.7420227344966787E-2</c:v>
                </c:pt>
                <c:pt idx="317">
                  <c:v>-4.7426768462149785E-2</c:v>
                </c:pt>
                <c:pt idx="318">
                  <c:v>-4.7430919247979125E-2</c:v>
                </c:pt>
                <c:pt idx="319">
                  <c:v>-4.7432667226252369E-2</c:v>
                </c:pt>
                <c:pt idx="320">
                  <c:v>-4.7432000013076292E-2</c:v>
                </c:pt>
                <c:pt idx="321">
                  <c:v>-4.7428905317503788E-2</c:v>
                </c:pt>
                <c:pt idx="322">
                  <c:v>-4.7423370942165421E-2</c:v>
                </c:pt>
                <c:pt idx="323">
                  <c:v>-4.741538478389562E-2</c:v>
                </c:pt>
                <c:pt idx="324">
                  <c:v>-4.7404934834353582E-2</c:v>
                </c:pt>
                <c:pt idx="325">
                  <c:v>-4.7392009180638565E-2</c:v>
                </c:pt>
                <c:pt idx="326">
                  <c:v>-4.7376596005899801E-2</c:v>
                </c:pt>
                <c:pt idx="327">
                  <c:v>-4.735868358994106E-2</c:v>
                </c:pt>
                <c:pt idx="328">
                  <c:v>-4.7338260309819427E-2</c:v>
                </c:pt>
                <c:pt idx="329">
                  <c:v>-4.7315314640438783E-2</c:v>
                </c:pt>
                <c:pt idx="330">
                  <c:v>-4.7289835155137683E-2</c:v>
                </c:pt>
                <c:pt idx="331">
                  <c:v>-4.7261810526271451E-2</c:v>
                </c:pt>
                <c:pt idx="332">
                  <c:v>-4.7231229525788967E-2</c:v>
                </c:pt>
                <c:pt idx="333">
                  <c:v>-4.7198081025803619E-2</c:v>
                </c:pt>
                <c:pt idx="334">
                  <c:v>-4.7162353999158607E-2</c:v>
                </c:pt>
                <c:pt idx="335">
                  <c:v>-4.7124037519986589E-2</c:v>
                </c:pt>
                <c:pt idx="336">
                  <c:v>-4.7083120764263721E-2</c:v>
                </c:pt>
                <c:pt idx="337">
                  <c:v>-4.7039593010357782E-2</c:v>
                </c:pt>
                <c:pt idx="338">
                  <c:v>-4.6993443639570635E-2</c:v>
                </c:pt>
                <c:pt idx="339">
                  <c:v>-4.6944662136674989E-2</c:v>
                </c:pt>
                <c:pt idx="340">
                  <c:v>-4.6893238090445148E-2</c:v>
                </c:pt>
                <c:pt idx="341">
                  <c:v>-4.6839161194182286E-2</c:v>
                </c:pt>
                <c:pt idx="342">
                  <c:v>-4.6782421246233455E-2</c:v>
                </c:pt>
                <c:pt idx="343">
                  <c:v>-4.6723008150505098E-2</c:v>
                </c:pt>
                <c:pt idx="344">
                  <c:v>-4.6660911916970471E-2</c:v>
                </c:pt>
                <c:pt idx="345">
                  <c:v>-4.6596122662171252E-2</c:v>
                </c:pt>
                <c:pt idx="346">
                  <c:v>-4.652863060971317E-2</c:v>
                </c:pt>
                <c:pt idx="347">
                  <c:v>-4.6458426090755817E-2</c:v>
                </c:pt>
                <c:pt idx="348">
                  <c:v>-4.6385499544496278E-2</c:v>
                </c:pt>
                <c:pt idx="349">
                  <c:v>-4.6309841518647095E-2</c:v>
                </c:pt>
                <c:pt idx="350">
                  <c:v>-4.6231442669907849E-2</c:v>
                </c:pt>
                <c:pt idx="351">
                  <c:v>-4.6150293764431208E-2</c:v>
                </c:pt>
                <c:pt idx="352">
                  <c:v>-4.6066385678282397E-2</c:v>
                </c:pt>
                <c:pt idx="353">
                  <c:v>-4.5979709397893129E-2</c:v>
                </c:pt>
                <c:pt idx="354">
                  <c:v>-4.5890256020509182E-2</c:v>
                </c:pt>
                <c:pt idx="355">
                  <c:v>-4.5798016754631923E-2</c:v>
                </c:pt>
                <c:pt idx="356">
                  <c:v>-4.5702982920453876E-2</c:v>
                </c:pt>
                <c:pt idx="357">
                  <c:v>-4.5605145950288042E-2</c:v>
                </c:pt>
                <c:pt idx="358">
                  <c:v>-4.5504497388991129E-2</c:v>
                </c:pt>
                <c:pt idx="359">
                  <c:v>-4.5401028894380753E-2</c:v>
                </c:pt>
                <c:pt idx="360">
                  <c:v>-4.5294732237646282E-2</c:v>
                </c:pt>
                <c:pt idx="361">
                  <c:v>-4.5185599303753793E-2</c:v>
                </c:pt>
                <c:pt idx="362">
                  <c:v>-4.507362209184447E-2</c:v>
                </c:pt>
                <c:pt idx="363">
                  <c:v>-4.4958792715627291E-2</c:v>
                </c:pt>
                <c:pt idx="364">
                  <c:v>-4.4841103403765147E-2</c:v>
                </c:pt>
                <c:pt idx="365">
                  <c:v>-4.4720546500254796E-2</c:v>
                </c:pt>
                <c:pt idx="366">
                  <c:v>-4.4597114464800795E-2</c:v>
                </c:pt>
                <c:pt idx="367">
                  <c:v>-4.4470799873182948E-2</c:v>
                </c:pt>
                <c:pt idx="368">
                  <c:v>-4.4341595417617709E-2</c:v>
                </c:pt>
                <c:pt idx="369">
                  <c:v>-4.42094939071132E-2</c:v>
                </c:pt>
                <c:pt idx="370">
                  <c:v>-4.4074488267818054E-2</c:v>
                </c:pt>
                <c:pt idx="371">
                  <c:v>-4.3936571543363875E-2</c:v>
                </c:pt>
                <c:pt idx="372">
                  <c:v>-4.3795736895201505E-2</c:v>
                </c:pt>
                <c:pt idx="373">
                  <c:v>-4.3651977602930991E-2</c:v>
                </c:pt>
                <c:pt idx="374">
                  <c:v>-4.3505287064625225E-2</c:v>
                </c:pt>
                <c:pt idx="375">
                  <c:v>-4.3355658797147263E-2</c:v>
                </c:pt>
                <c:pt idx="376">
                  <c:v>-4.3203086436461369E-2</c:v>
                </c:pt>
                <c:pt idx="377">
                  <c:v>-4.3047563737937743E-2</c:v>
                </c:pt>
                <c:pt idx="378">
                  <c:v>-4.2889084576650867E-2</c:v>
                </c:pt>
                <c:pt idx="379">
                  <c:v>-4.2727642947671542E-2</c:v>
                </c:pt>
                <c:pt idx="380">
                  <c:v>-4.2563232966352629E-2</c:v>
                </c:pt>
                <c:pt idx="381">
                  <c:v>-4.2395848868608414E-2</c:v>
                </c:pt>
                <c:pt idx="382">
                  <c:v>-4.2225485011187502E-2</c:v>
                </c:pt>
                <c:pt idx="383">
                  <c:v>-4.2052135871939664E-2</c:v>
                </c:pt>
                <c:pt idx="384">
                  <c:v>-4.1875796050075999E-2</c:v>
                </c:pt>
                <c:pt idx="385">
                  <c:v>-4.1696460266422902E-2</c:v>
                </c:pt>
                <c:pt idx="386">
                  <c:v>-4.1514123363669657E-2</c:v>
                </c:pt>
                <c:pt idx="387">
                  <c:v>-4.132878030660965E-2</c:v>
                </c:pt>
                <c:pt idx="388">
                  <c:v>-4.1140426182375123E-2</c:v>
                </c:pt>
                <c:pt idx="389">
                  <c:v>-4.094905620066578E-2</c:v>
                </c:pt>
                <c:pt idx="390">
                  <c:v>-4.0754665693970779E-2</c:v>
                </c:pt>
                <c:pt idx="391">
                  <c:v>-4.0557250117784452E-2</c:v>
                </c:pt>
                <c:pt idx="392">
                  <c:v>-4.0356805050815667E-2</c:v>
                </c:pt>
                <c:pt idx="393">
                  <c:v>-4.0153326195190825E-2</c:v>
                </c:pt>
                <c:pt idx="394">
                  <c:v>-3.9946809376650433E-2</c:v>
                </c:pt>
                <c:pt idx="395">
                  <c:v>-3.9737250544739214E-2</c:v>
                </c:pt>
                <c:pt idx="396">
                  <c:v>-3.9524645772990176E-2</c:v>
                </c:pt>
                <c:pt idx="397">
                  <c:v>-3.9308991259101866E-2</c:v>
                </c:pt>
                <c:pt idx="398">
                  <c:v>-3.9090283325109582E-2</c:v>
                </c:pt>
                <c:pt idx="399">
                  <c:v>-3.8868518417550048E-2</c:v>
                </c:pt>
                <c:pt idx="400">
                  <c:v>-3.8643693107619836E-2</c:v>
                </c:pt>
                <c:pt idx="401">
                  <c:v>-3.8415804091327312E-2</c:v>
                </c:pt>
                <c:pt idx="402">
                  <c:v>-3.8184848189638292E-2</c:v>
                </c:pt>
                <c:pt idx="403">
                  <c:v>-3.7950822348615298E-2</c:v>
                </c:pt>
                <c:pt idx="404">
                  <c:v>-3.7713723639550521E-2</c:v>
                </c:pt>
                <c:pt idx="405">
                  <c:v>-3.7473549259092388E-2</c:v>
                </c:pt>
                <c:pt idx="406">
                  <c:v>-3.7230296529365783E-2</c:v>
                </c:pt>
                <c:pt idx="407">
                  <c:v>-3.6983962898085913E-2</c:v>
                </c:pt>
                <c:pt idx="408">
                  <c:v>-3.6734545938665965E-2</c:v>
                </c:pt>
                <c:pt idx="409">
                  <c:v>-3.6482043350318211E-2</c:v>
                </c:pt>
                <c:pt idx="410">
                  <c:v>-3.6226452958148976E-2</c:v>
                </c:pt>
                <c:pt idx="411">
                  <c:v>-3.596777271324731E-2</c:v>
                </c:pt>
                <c:pt idx="412">
                  <c:v>-3.5706000692767109E-2</c:v>
                </c:pt>
                <c:pt idx="413">
                  <c:v>-3.5441135100003254E-2</c:v>
                </c:pt>
                <c:pt idx="414">
                  <c:v>-3.5173174264461225E-2</c:v>
                </c:pt>
                <c:pt idx="415">
                  <c:v>-3.4902116641920507E-2</c:v>
                </c:pt>
                <c:pt idx="416">
                  <c:v>-3.4627960814491758E-2</c:v>
                </c:pt>
                <c:pt idx="417">
                  <c:v>-3.4350705490667689E-2</c:v>
                </c:pt>
                <c:pt idx="418">
                  <c:v>-3.4070349505367609E-2</c:v>
                </c:pt>
                <c:pt idx="419">
                  <c:v>-3.378689181997583E-2</c:v>
                </c:pt>
                <c:pt idx="420">
                  <c:v>-3.350033152237375E-2</c:v>
                </c:pt>
                <c:pt idx="421">
                  <c:v>-3.3210667826965849E-2</c:v>
                </c:pt>
                <c:pt idx="422">
                  <c:v>-3.2917900074699198E-2</c:v>
                </c:pt>
                <c:pt idx="423">
                  <c:v>-3.2622027733077097E-2</c:v>
                </c:pt>
                <c:pt idx="424">
                  <c:v>-3.2323050396166189E-2</c:v>
                </c:pt>
                <c:pt idx="425">
                  <c:v>-3.2020967784597745E-2</c:v>
                </c:pt>
                <c:pt idx="426">
                  <c:v>-3.1715779745562327E-2</c:v>
                </c:pt>
                <c:pt idx="427">
                  <c:v>-3.1407486252798815E-2</c:v>
                </c:pt>
                <c:pt idx="428">
                  <c:v>-3.1096087406576912E-2</c:v>
                </c:pt>
                <c:pt idx="429">
                  <c:v>-3.0781583433673525E-2</c:v>
                </c:pt>
                <c:pt idx="430">
                  <c:v>-3.0463974687343343E-2</c:v>
                </c:pt>
                <c:pt idx="431">
                  <c:v>-3.0143261647282885E-2</c:v>
                </c:pt>
                <c:pt idx="432">
                  <c:v>-2.9819444919588909E-2</c:v>
                </c:pt>
                <c:pt idx="433">
                  <c:v>-2.9492525236710223E-2</c:v>
                </c:pt>
                <c:pt idx="434">
                  <c:v>-2.9162503457393997E-2</c:v>
                </c:pt>
                <c:pt idx="435">
                  <c:v>-2.8829380566625533E-2</c:v>
                </c:pt>
                <c:pt idx="436">
                  <c:v>-2.849315767556241E-2</c:v>
                </c:pt>
                <c:pt idx="437">
                  <c:v>-2.8153836021462198E-2</c:v>
                </c:pt>
                <c:pt idx="438">
                  <c:v>-2.7811416967604738E-2</c:v>
                </c:pt>
                <c:pt idx="439">
                  <c:v>-2.7465902003207806E-2</c:v>
                </c:pt>
                <c:pt idx="440">
                  <c:v>-2.7117292743337219E-2</c:v>
                </c:pt>
                <c:pt idx="441">
                  <c:v>-2.6765590928810951E-2</c:v>
                </c:pt>
                <c:pt idx="442">
                  <c:v>-2.6410798426097191E-2</c:v>
                </c:pt>
                <c:pt idx="443">
                  <c:v>-2.605291722720663E-2</c:v>
                </c:pt>
                <c:pt idx="444">
                  <c:v>-2.569194944957863E-2</c:v>
                </c:pt>
                <c:pt idx="445">
                  <c:v>-2.5327897335961965E-2</c:v>
                </c:pt>
                <c:pt idx="446">
                  <c:v>-2.4960763254289017E-2</c:v>
                </c:pt>
                <c:pt idx="447">
                  <c:v>-2.4590549697544959E-2</c:v>
                </c:pt>
                <c:pt idx="448">
                  <c:v>-2.4217259283630367E-2</c:v>
                </c:pt>
                <c:pt idx="449">
                  <c:v>-2.3840894755218514E-2</c:v>
                </c:pt>
                <c:pt idx="450">
                  <c:v>-2.3461458979606799E-2</c:v>
                </c:pt>
                <c:pt idx="451">
                  <c:v>-2.3078954948562182E-2</c:v>
                </c:pt>
                <c:pt idx="452">
                  <c:v>-2.2693385778161219E-2</c:v>
                </c:pt>
                <c:pt idx="453">
                  <c:v>-2.2304754708624201E-2</c:v>
                </c:pt>
                <c:pt idx="454">
                  <c:v>-2.1913065104143578E-2</c:v>
                </c:pt>
                <c:pt idx="455">
                  <c:v>-2.1518320452706741E-2</c:v>
                </c:pt>
                <c:pt idx="456">
                  <c:v>-2.1120524365913326E-2</c:v>
                </c:pt>
                <c:pt idx="457">
                  <c:v>-2.0719680578786516E-2</c:v>
                </c:pt>
                <c:pt idx="458">
                  <c:v>-2.0315792949579217E-2</c:v>
                </c:pt>
                <c:pt idx="459">
                  <c:v>-1.9908865459574151E-2</c:v>
                </c:pt>
                <c:pt idx="460">
                  <c:v>-1.9498902212878859E-2</c:v>
                </c:pt>
                <c:pt idx="461">
                  <c:v>-1.9085907436214848E-2</c:v>
                </c:pt>
                <c:pt idx="462">
                  <c:v>-1.8669885478701215E-2</c:v>
                </c:pt>
                <c:pt idx="463">
                  <c:v>-1.8250840811633268E-2</c:v>
                </c:pt>
                <c:pt idx="464">
                  <c:v>-1.7828778028254829E-2</c:v>
                </c:pt>
                <c:pt idx="465">
                  <c:v>-1.7403701843526024E-2</c:v>
                </c:pt>
                <c:pt idx="466">
                  <c:v>-1.6975617093884884E-2</c:v>
                </c:pt>
                <c:pt idx="467">
                  <c:v>-1.6544528737004228E-2</c:v>
                </c:pt>
                <c:pt idx="468">
                  <c:v>-1.6110441851542479E-2</c:v>
                </c:pt>
                <c:pt idx="469">
                  <c:v>-1.5673361636889902E-2</c:v>
                </c:pt>
                <c:pt idx="470">
                  <c:v>-1.5233293412908844E-2</c:v>
                </c:pt>
                <c:pt idx="471">
                  <c:v>-1.4790242619669193E-2</c:v>
                </c:pt>
                <c:pt idx="472">
                  <c:v>-1.4344214817178276E-2</c:v>
                </c:pt>
                <c:pt idx="473">
                  <c:v>-1.3895215685105653E-2</c:v>
                </c:pt>
                <c:pt idx="474">
                  <c:v>-1.3443251022502739E-2</c:v>
                </c:pt>
                <c:pt idx="475">
                  <c:v>-1.2988326747517041E-2</c:v>
                </c:pt>
                <c:pt idx="476">
                  <c:v>-1.2530448897101622E-2</c:v>
                </c:pt>
                <c:pt idx="477">
                  <c:v>-1.2069623626718984E-2</c:v>
                </c:pt>
                <c:pt idx="478">
                  <c:v>-1.1605857210040295E-2</c:v>
                </c:pt>
                <c:pt idx="479">
                  <c:v>-1.1139156038639179E-2</c:v>
                </c:pt>
                <c:pt idx="480">
                  <c:v>-1.0669526621680799E-2</c:v>
                </c:pt>
                <c:pt idx="481">
                  <c:v>-1.0196975585605577E-2</c:v>
                </c:pt>
                <c:pt idx="482">
                  <c:v>-9.7215096738083127E-3</c:v>
                </c:pt>
                <c:pt idx="483">
                  <c:v>-9.2431357463120343E-3</c:v>
                </c:pt>
                <c:pt idx="484">
                  <c:v>-8.7618607794371535E-3</c:v>
                </c:pt>
                <c:pt idx="485">
                  <c:v>-8.277691865465564E-3</c:v>
                </c:pt>
                <c:pt idx="486">
                  <c:v>-7.7906362122998861E-3</c:v>
                </c:pt>
                <c:pt idx="487">
                  <c:v>-7.3007011431181299E-3</c:v>
                </c:pt>
                <c:pt idx="488">
                  <c:v>-6.8078940960231253E-3</c:v>
                </c:pt>
                <c:pt idx="489">
                  <c:v>-6.3122226236877093E-3</c:v>
                </c:pt>
                <c:pt idx="490">
                  <c:v>-5.8136943929945652E-3</c:v>
                </c:pt>
                <c:pt idx="491">
                  <c:v>-5.3123171846718885E-3</c:v>
                </c:pt>
                <c:pt idx="492">
                  <c:v>-4.808098892924148E-3</c:v>
                </c:pt>
                <c:pt idx="493">
                  <c:v>-4.301047525058008E-3</c:v>
                </c:pt>
                <c:pt idx="494">
                  <c:v>-3.7911712011041787E-3</c:v>
                </c:pt>
                <c:pt idx="495">
                  <c:v>-3.2784781534339084E-3</c:v>
                </c:pt>
                <c:pt idx="496">
                  <c:v>-2.7629767263717725E-3</c:v>
                </c:pt>
                <c:pt idx="497">
                  <c:v>-2.2446753758031579E-3</c:v>
                </c:pt>
                <c:pt idx="498">
                  <c:v>-1.7235826687779028E-3</c:v>
                </c:pt>
                <c:pt idx="499">
                  <c:v>-1.1997072831090045E-3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CD-4352-B20A-242E1F7D3F0D}"/>
            </c:ext>
          </c:extLst>
        </c:ser>
        <c:ser>
          <c:idx val="2"/>
          <c:order val="2"/>
          <c:tx>
            <c:v>Mean Camber Line</c:v>
          </c:tx>
          <c:spPr>
            <a:ln w="317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Data4!$B$1:$B$500</c:f>
              <c:numCache>
                <c:formatCode>0.00000</c:formatCode>
                <c:ptCount val="500"/>
                <c:pt idx="0">
                  <c:v>0</c:v>
                </c:pt>
                <c:pt idx="1">
                  <c:v>4.9545966939179564E-6</c:v>
                </c:pt>
                <c:pt idx="2">
                  <c:v>1.9818337679722298E-5</c:v>
                </c:pt>
                <c:pt idx="3">
                  <c:v>4.4591075669564439E-5</c:v>
                </c:pt>
                <c:pt idx="4">
                  <c:v>7.9272565185806165E-5</c:v>
                </c:pt>
                <c:pt idx="5">
                  <c:v>1.2386246256268496E-4</c:v>
                </c:pt>
                <c:pt idx="6">
                  <c:v>1.7836032595031082E-4</c:v>
                </c:pt>
                <c:pt idx="7">
                  <c:v>2.4276561531888508E-4</c:v>
                </c:pt>
                <c:pt idx="8">
                  <c:v>3.1707769246391848E-4</c:v>
                </c:pt>
                <c:pt idx="9">
                  <c:v>4.0129582101267047E-4</c:v>
                </c:pt>
                <c:pt idx="10">
                  <c:v>4.9541916643136563E-4</c:v>
                </c:pt>
                <c:pt idx="11">
                  <c:v>5.9944679603363138E-4</c:v>
                </c:pt>
                <c:pt idx="12">
                  <c:v>7.133776789896018E-4</c:v>
                </c:pt>
                <c:pt idx="13">
                  <c:v>8.3721068633602069E-4</c:v>
                </c:pt>
                <c:pt idx="14">
                  <c:v>9.7094459098767683E-4</c:v>
                </c:pt>
                <c:pt idx="15">
                  <c:v>1.1145780677496164E-3</c:v>
                </c:pt>
                <c:pt idx="16">
                  <c:v>1.2681096933296887E-3</c:v>
                </c:pt>
                <c:pt idx="17">
                  <c:v>1.4315379463535338E-3</c:v>
                </c:pt>
                <c:pt idx="18">
                  <c:v>1.6048612073787938E-3</c:v>
                </c:pt>
                <c:pt idx="19">
                  <c:v>1.7880777589119878E-3</c:v>
                </c:pt>
                <c:pt idx="20">
                  <c:v>1.9811857854247217E-3</c:v>
                </c:pt>
                <c:pt idx="21">
                  <c:v>2.1841833733722282E-3</c:v>
                </c:pt>
                <c:pt idx="22">
                  <c:v>2.3970685112121304E-3</c:v>
                </c:pt>
                <c:pt idx="23">
                  <c:v>2.619839089424536E-3</c:v>
                </c:pt>
                <c:pt idx="24">
                  <c:v>2.8524929005325772E-3</c:v>
                </c:pt>
                <c:pt idx="25">
                  <c:v>3.0950276391248366E-3</c:v>
                </c:pt>
                <c:pt idx="26">
                  <c:v>3.3474409018774409E-3</c:v>
                </c:pt>
                <c:pt idx="27">
                  <c:v>3.609730187578708E-3</c:v>
                </c:pt>
                <c:pt idx="28">
                  <c:v>3.8818928971533495E-3</c:v>
                </c:pt>
                <c:pt idx="29">
                  <c:v>4.1639263336883392E-3</c:v>
                </c:pt>
                <c:pt idx="30">
                  <c:v>4.4558277024601134E-3</c:v>
                </c:pt>
                <c:pt idx="31">
                  <c:v>4.7575941109612163E-3</c:v>
                </c:pt>
                <c:pt idx="32">
                  <c:v>5.0692225689300541E-3</c:v>
                </c:pt>
                <c:pt idx="33">
                  <c:v>5.3907099883800935E-3</c:v>
                </c:pt>
                <c:pt idx="34">
                  <c:v>5.7220531836302824E-3</c:v>
                </c:pt>
                <c:pt idx="35">
                  <c:v>6.0632488713366905E-3</c:v>
                </c:pt>
                <c:pt idx="36">
                  <c:v>6.4142936705253728E-3</c:v>
                </c:pt>
                <c:pt idx="37">
                  <c:v>6.7751841026255644E-3</c:v>
                </c:pt>
                <c:pt idx="38">
                  <c:v>7.1459165915040979E-3</c:v>
                </c:pt>
                <c:pt idx="39">
                  <c:v>7.5264874635010415E-3</c:v>
                </c:pt>
                <c:pt idx="40">
                  <c:v>7.9168929474660032E-3</c:v>
                </c:pt>
                <c:pt idx="41">
                  <c:v>8.3171291747956566E-3</c:v>
                </c:pt>
                <c:pt idx="42">
                  <c:v>8.727192179471821E-3</c:v>
                </c:pt>
                <c:pt idx="43">
                  <c:v>9.1470778981007639E-3</c:v>
                </c:pt>
                <c:pt idx="44">
                  <c:v>9.5767821699537237E-3</c:v>
                </c:pt>
                <c:pt idx="45">
                  <c:v>1.0016300737007988E-2</c:v>
                </c:pt>
                <c:pt idx="46">
                  <c:v>1.0465629243989194E-2</c:v>
                </c:pt>
                <c:pt idx="47">
                  <c:v>1.092476323841407E-2</c:v>
                </c:pt>
                <c:pt idx="48">
                  <c:v>1.1393698170635291E-2</c:v>
                </c:pt>
                <c:pt idx="49">
                  <c:v>1.1872429393885775E-2</c:v>
                </c:pt>
                <c:pt idx="50">
                  <c:v>1.2360952164325312E-2</c:v>
                </c:pt>
                <c:pt idx="51">
                  <c:v>1.2859261641087194E-2</c:v>
                </c:pt>
                <c:pt idx="52">
                  <c:v>1.3367352886326511E-2</c:v>
                </c:pt>
                <c:pt idx="53">
                  <c:v>1.3885220865268999E-2</c:v>
                </c:pt>
                <c:pt idx="54">
                  <c:v>1.4412860446260445E-2</c:v>
                </c:pt>
                <c:pt idx="55">
                  <c:v>1.4950266400818424E-2</c:v>
                </c:pt>
                <c:pt idx="56">
                  <c:v>1.5497433403683258E-2</c:v>
                </c:pt>
                <c:pt idx="57">
                  <c:v>1.605435603287142E-2</c:v>
                </c:pt>
                <c:pt idx="58">
                  <c:v>1.6621028769728818E-2</c:v>
                </c:pt>
                <c:pt idx="59">
                  <c:v>1.719744599898565E-2</c:v>
                </c:pt>
                <c:pt idx="60">
                  <c:v>1.7783602008812238E-2</c:v>
                </c:pt>
                <c:pt idx="61">
                  <c:v>1.8379490990875214E-2</c:v>
                </c:pt>
                <c:pt idx="62">
                  <c:v>1.8985107040395466E-2</c:v>
                </c:pt>
                <c:pt idx="63">
                  <c:v>1.9600444156206542E-2</c:v>
                </c:pt>
                <c:pt idx="64">
                  <c:v>2.0225496240813712E-2</c:v>
                </c:pt>
                <c:pt idx="65">
                  <c:v>2.0860257100455248E-2</c:v>
                </c:pt>
                <c:pt idx="66">
                  <c:v>2.1504720445162939E-2</c:v>
                </c:pt>
                <c:pt idx="67">
                  <c:v>2.2158879888824812E-2</c:v>
                </c:pt>
                <c:pt idx="68">
                  <c:v>2.2822728949248527E-2</c:v>
                </c:pt>
                <c:pt idx="69">
                  <c:v>2.349626104822522E-2</c:v>
                </c:pt>
                <c:pt idx="70">
                  <c:v>2.4179469511595331E-2</c:v>
                </c:pt>
                <c:pt idx="71">
                  <c:v>2.487234756931378E-2</c:v>
                </c:pt>
                <c:pt idx="72">
                  <c:v>2.5574888355518133E-2</c:v>
                </c:pt>
                <c:pt idx="73">
                  <c:v>2.6287084908595659E-2</c:v>
                </c:pt>
                <c:pt idx="74">
                  <c:v>2.7008930171253165E-2</c:v>
                </c:pt>
                <c:pt idx="75">
                  <c:v>2.7740416990586381E-2</c:v>
                </c:pt>
                <c:pt idx="76">
                  <c:v>2.8481538118150684E-2</c:v>
                </c:pt>
                <c:pt idx="77">
                  <c:v>2.923228621003382E-2</c:v>
                </c:pt>
                <c:pt idx="78">
                  <c:v>2.9992653826927507E-2</c:v>
                </c:pt>
                <c:pt idx="79">
                  <c:v>3.0762633434202158E-2</c:v>
                </c:pt>
                <c:pt idx="80">
                  <c:v>3.1542217401980821E-2</c:v>
                </c:pt>
                <c:pt idx="81">
                  <c:v>3.2331398005215228E-2</c:v>
                </c:pt>
                <c:pt idx="82">
                  <c:v>3.313016742376218E-2</c:v>
                </c:pt>
                <c:pt idx="83">
                  <c:v>3.3938517742461038E-2</c:v>
                </c:pt>
                <c:pt idx="84">
                  <c:v>3.475644095121222E-2</c:v>
                </c:pt>
                <c:pt idx="85">
                  <c:v>3.5583928945056353E-2</c:v>
                </c:pt>
                <c:pt idx="86">
                  <c:v>3.6420973524254996E-2</c:v>
                </c:pt>
                <c:pt idx="87">
                  <c:v>3.7267566394371454E-2</c:v>
                </c:pt>
                <c:pt idx="88">
                  <c:v>3.8123699166353275E-2</c:v>
                </c:pt>
                <c:pt idx="89">
                  <c:v>3.8989363356615403E-2</c:v>
                </c:pt>
                <c:pt idx="90">
                  <c:v>3.9864550387123776E-2</c:v>
                </c:pt>
                <c:pt idx="91">
                  <c:v>4.0749251585480817E-2</c:v>
                </c:pt>
                <c:pt idx="92">
                  <c:v>4.1643458185011473E-2</c:v>
                </c:pt>
                <c:pt idx="93">
                  <c:v>4.2547161324849481E-2</c:v>
                </c:pt>
                <c:pt idx="94">
                  <c:v>4.346035205002563E-2</c:v>
                </c:pt>
                <c:pt idx="95">
                  <c:v>4.4383021311556581E-2</c:v>
                </c:pt>
                <c:pt idx="96">
                  <c:v>4.5315159966534124E-2</c:v>
                </c:pt>
                <c:pt idx="97">
                  <c:v>4.625675877821589E-2</c:v>
                </c:pt>
                <c:pt idx="98">
                  <c:v>4.7207808416117381E-2</c:v>
                </c:pt>
                <c:pt idx="99">
                  <c:v>4.8168299456103791E-2</c:v>
                </c:pt>
                <c:pt idx="100">
                  <c:v>4.9138222380483598E-2</c:v>
                </c:pt>
                <c:pt idx="101">
                  <c:v>5.0117567578102928E-2</c:v>
                </c:pt>
                <c:pt idx="102">
                  <c:v>5.1106325344440817E-2</c:v>
                </c:pt>
                <c:pt idx="103">
                  <c:v>5.2104485881705465E-2</c:v>
                </c:pt>
                <c:pt idx="104">
                  <c:v>5.3112039298931046E-2</c:v>
                </c:pt>
                <c:pt idx="105">
                  <c:v>5.4128975612075858E-2</c:v>
                </c:pt>
                <c:pt idx="106">
                  <c:v>5.5155284744121347E-2</c:v>
                </c:pt>
                <c:pt idx="107">
                  <c:v>5.6190956525171698E-2</c:v>
                </c:pt>
                <c:pt idx="108">
                  <c:v>5.7235980692555199E-2</c:v>
                </c:pt>
                <c:pt idx="109">
                  <c:v>5.8290346890925049E-2</c:v>
                </c:pt>
                <c:pt idx="110">
                  <c:v>5.9354044672362938E-2</c:v>
                </c:pt>
                <c:pt idx="111">
                  <c:v>6.0427063496481526E-2</c:v>
                </c:pt>
                <c:pt idx="112">
                  <c:v>6.1509392730530021E-2</c:v>
                </c:pt>
                <c:pt idx="113">
                  <c:v>6.2601021649498656E-2</c:v>
                </c:pt>
                <c:pt idx="114">
                  <c:v>6.3701939436225374E-2</c:v>
                </c:pt>
                <c:pt idx="115">
                  <c:v>6.4812135181502861E-2</c:v>
                </c:pt>
                <c:pt idx="116">
                  <c:v>6.5931597884186899E-2</c:v>
                </c:pt>
                <c:pt idx="117">
                  <c:v>6.7060316451305058E-2</c:v>
                </c:pt>
                <c:pt idx="118">
                  <c:v>6.8198279698166608E-2</c:v>
                </c:pt>
                <c:pt idx="119">
                  <c:v>6.9345476348473767E-2</c:v>
                </c:pt>
                <c:pt idx="120">
                  <c:v>7.050189503443316E-2</c:v>
                </c:pt>
                <c:pt idx="121">
                  <c:v>7.1667524296868401E-2</c:v>
                </c:pt>
                <c:pt idx="122">
                  <c:v>7.2842352585333559E-2</c:v>
                </c:pt>
                <c:pt idx="123">
                  <c:v>7.4026368258227948E-2</c:v>
                </c:pt>
                <c:pt idx="124">
                  <c:v>7.5219559582911377E-2</c:v>
                </c:pt>
                <c:pt idx="125">
                  <c:v>7.6421914735820273E-2</c:v>
                </c:pt>
                <c:pt idx="126">
                  <c:v>7.7633421802584812E-2</c:v>
                </c:pt>
                <c:pt idx="127">
                  <c:v>7.8854068778147268E-2</c:v>
                </c:pt>
                <c:pt idx="128">
                  <c:v>8.0083843566880586E-2</c:v>
                </c:pt>
                <c:pt idx="129">
                  <c:v>8.1322733982708617E-2</c:v>
                </c:pt>
                <c:pt idx="130">
                  <c:v>8.2570727749226691E-2</c:v>
                </c:pt>
                <c:pt idx="131">
                  <c:v>8.3827812499823295E-2</c:v>
                </c:pt>
                <c:pt idx="132">
                  <c:v>8.5093975777802311E-2</c:v>
                </c:pt>
                <c:pt idx="133">
                  <c:v>8.6369205036507135E-2</c:v>
                </c:pt>
                <c:pt idx="134">
                  <c:v>8.7653487639444361E-2</c:v>
                </c:pt>
                <c:pt idx="135">
                  <c:v>8.8946810860409342E-2</c:v>
                </c:pt>
                <c:pt idx="136">
                  <c:v>9.0249161883612206E-2</c:v>
                </c:pt>
                <c:pt idx="137">
                  <c:v>9.1560527803804637E-2</c:v>
                </c:pt>
                <c:pt idx="138">
                  <c:v>9.2880895626408333E-2</c:v>
                </c:pt>
                <c:pt idx="139">
                  <c:v>9.4210252267643013E-2</c:v>
                </c:pt>
                <c:pt idx="140">
                  <c:v>9.5548584554656757E-2</c:v>
                </c:pt>
                <c:pt idx="141">
                  <c:v>9.6895879225656123E-2</c:v>
                </c:pt>
                <c:pt idx="142">
                  <c:v>9.8252122930037711E-2</c:v>
                </c:pt>
                <c:pt idx="143">
                  <c:v>9.9617302228520166E-2</c:v>
                </c:pt>
                <c:pt idx="144">
                  <c:v>0.10099140359327796</c:v>
                </c:pt>
                <c:pt idx="145">
                  <c:v>0.10237441340807496</c:v>
                </c:pt>
                <c:pt idx="146">
                  <c:v>0.1037663179683993</c:v>
                </c:pt>
                <c:pt idx="147">
                  <c:v>0.10516710348159974</c:v>
                </c:pt>
                <c:pt idx="148">
                  <c:v>0.10657675606702155</c:v>
                </c:pt>
                <c:pt idx="149">
                  <c:v>0.10799526175614471</c:v>
                </c:pt>
                <c:pt idx="150">
                  <c:v>0.10942260649272206</c:v>
                </c:pt>
                <c:pt idx="151">
                  <c:v>0.11085877613291861</c:v>
                </c:pt>
                <c:pt idx="152">
                  <c:v>0.11230375644545154</c:v>
                </c:pt>
                <c:pt idx="153">
                  <c:v>0.11375753311173153</c:v>
                </c:pt>
                <c:pt idx="154">
                  <c:v>0.11522009172600445</c:v>
                </c:pt>
                <c:pt idx="155">
                  <c:v>0.11669141779549419</c:v>
                </c:pt>
                <c:pt idx="156">
                  <c:v>0.11817149674054617</c:v>
                </c:pt>
                <c:pt idx="157">
                  <c:v>0.11966031389477194</c:v>
                </c:pt>
                <c:pt idx="158">
                  <c:v>0.12115785450519423</c:v>
                </c:pt>
                <c:pt idx="159">
                  <c:v>0.12266410373239378</c:v>
                </c:pt>
                <c:pt idx="160">
                  <c:v>0.12417904665065549</c:v>
                </c:pt>
                <c:pt idx="161">
                  <c:v>0.12570266824811704</c:v>
                </c:pt>
                <c:pt idx="162">
                  <c:v>0.1272349534269176</c:v>
                </c:pt>
                <c:pt idx="163">
                  <c:v>0.12877588700334663</c:v>
                </c:pt>
                <c:pt idx="164">
                  <c:v>0.13032545370799575</c:v>
                </c:pt>
                <c:pt idx="165">
                  <c:v>0.13188363818590843</c:v>
                </c:pt>
                <c:pt idx="166">
                  <c:v>0.13345042499673354</c:v>
                </c:pt>
                <c:pt idx="167">
                  <c:v>0.13502579861487751</c:v>
                </c:pt>
                <c:pt idx="168">
                  <c:v>0.13660974342965859</c:v>
                </c:pt>
                <c:pt idx="169">
                  <c:v>0.13820224374546131</c:v>
                </c:pt>
                <c:pt idx="170">
                  <c:v>0.13980328378189188</c:v>
                </c:pt>
                <c:pt idx="171">
                  <c:v>0.14141284767393503</c:v>
                </c:pt>
                <c:pt idx="172">
                  <c:v>0.143030919472111</c:v>
                </c:pt>
                <c:pt idx="173">
                  <c:v>0.14465748314263338</c:v>
                </c:pt>
                <c:pt idx="174">
                  <c:v>0.14629252256756808</c:v>
                </c:pt>
                <c:pt idx="175">
                  <c:v>0.14793602154499341</c:v>
                </c:pt>
                <c:pt idx="176">
                  <c:v>0.14958796378916006</c:v>
                </c:pt>
                <c:pt idx="177">
                  <c:v>0.15124833293065298</c:v>
                </c:pt>
                <c:pt idx="178">
                  <c:v>0.15291711251655316</c:v>
                </c:pt>
                <c:pt idx="179">
                  <c:v>0.15459428601060099</c:v>
                </c:pt>
                <c:pt idx="180">
                  <c:v>0.15627983679335988</c:v>
                </c:pt>
                <c:pt idx="181">
                  <c:v>0.15797374816238119</c:v>
                </c:pt>
                <c:pt idx="182">
                  <c:v>0.15967600333236964</c:v>
                </c:pt>
                <c:pt idx="183">
                  <c:v>0.16138658543534967</c:v>
                </c:pt>
                <c:pt idx="184">
                  <c:v>0.16310547752083215</c:v>
                </c:pt>
                <c:pt idx="185">
                  <c:v>0.16483266255598328</c:v>
                </c:pt>
                <c:pt idx="186">
                  <c:v>0.1665681234257923</c:v>
                </c:pt>
                <c:pt idx="187">
                  <c:v>0.16831184293324197</c:v>
                </c:pt>
                <c:pt idx="188">
                  <c:v>0.17006380379947839</c:v>
                </c:pt>
                <c:pt idx="189">
                  <c:v>0.17182398866398252</c:v>
                </c:pt>
                <c:pt idx="190">
                  <c:v>0.1735923800847422</c:v>
                </c:pt>
                <c:pt idx="191">
                  <c:v>0.17536896053842488</c:v>
                </c:pt>
                <c:pt idx="192">
                  <c:v>0.17715371242055111</c:v>
                </c:pt>
                <c:pt idx="193">
                  <c:v>0.17894661804566958</c:v>
                </c:pt>
                <c:pt idx="194">
                  <c:v>0.18074765964753159</c:v>
                </c:pt>
                <c:pt idx="195">
                  <c:v>0.1825568193792676</c:v>
                </c:pt>
                <c:pt idx="196">
                  <c:v>0.18437407931356398</c:v>
                </c:pt>
                <c:pt idx="197">
                  <c:v>0.18619942144284063</c:v>
                </c:pt>
                <c:pt idx="198">
                  <c:v>0.18803282767942942</c:v>
                </c:pt>
                <c:pt idx="199">
                  <c:v>0.18987427985575323</c:v>
                </c:pt>
                <c:pt idx="200">
                  <c:v>0.19172375972450661</c:v>
                </c:pt>
                <c:pt idx="201">
                  <c:v>0.19358124895883555</c:v>
                </c:pt>
                <c:pt idx="202">
                  <c:v>0.19544672915252015</c:v>
                </c:pt>
                <c:pt idx="203">
                  <c:v>0.19732018182015654</c:v>
                </c:pt>
                <c:pt idx="204">
                  <c:v>0.1992015883973397</c:v>
                </c:pt>
                <c:pt idx="205">
                  <c:v>0.20109093024084834</c:v>
                </c:pt>
                <c:pt idx="206">
                  <c:v>0.20298818862882839</c:v>
                </c:pt>
                <c:pt idx="207">
                  <c:v>0.20489334476097976</c:v>
                </c:pt>
                <c:pt idx="208">
                  <c:v>0.20680637975874194</c:v>
                </c:pt>
                <c:pt idx="209">
                  <c:v>0.20872727466548102</c:v>
                </c:pt>
                <c:pt idx="210">
                  <c:v>0.21065601044667814</c:v>
                </c:pt>
                <c:pt idx="211">
                  <c:v>0.21259256799011716</c:v>
                </c:pt>
                <c:pt idx="212">
                  <c:v>0.21453692810607505</c:v>
                </c:pt>
                <c:pt idx="213">
                  <c:v>0.2164890715275114</c:v>
                </c:pt>
                <c:pt idx="214">
                  <c:v>0.21844897891025949</c:v>
                </c:pt>
                <c:pt idx="215">
                  <c:v>0.22041663083321805</c:v>
                </c:pt>
                <c:pt idx="216">
                  <c:v>0.22239200779854373</c:v>
                </c:pt>
                <c:pt idx="217">
                  <c:v>0.22437509023184399</c:v>
                </c:pt>
                <c:pt idx="218">
                  <c:v>0.22636585848237156</c:v>
                </c:pt>
                <c:pt idx="219">
                  <c:v>0.22836429282321902</c:v>
                </c:pt>
                <c:pt idx="220">
                  <c:v>0.2303703734515139</c:v>
                </c:pt>
                <c:pt idx="221">
                  <c:v>0.23238408048861525</c:v>
                </c:pt>
                <c:pt idx="222">
                  <c:v>0.23440539398031057</c:v>
                </c:pt>
                <c:pt idx="223">
                  <c:v>0.23643429389701376</c:v>
                </c:pt>
                <c:pt idx="224">
                  <c:v>0.23847076013396296</c:v>
                </c:pt>
                <c:pt idx="225">
                  <c:v>0.24051477251142062</c:v>
                </c:pt>
                <c:pt idx="226">
                  <c:v>0.24256631077487267</c:v>
                </c:pt>
                <c:pt idx="227">
                  <c:v>0.24462535459522983</c:v>
                </c:pt>
                <c:pt idx="228">
                  <c:v>0.24669188356902849</c:v>
                </c:pt>
                <c:pt idx="229">
                  <c:v>0.24876587721863352</c:v>
                </c:pt>
                <c:pt idx="230">
                  <c:v>0.25084731499244084</c:v>
                </c:pt>
                <c:pt idx="231">
                  <c:v>0.25293617626508091</c:v>
                </c:pt>
                <c:pt idx="232">
                  <c:v>0.25503244033762351</c:v>
                </c:pt>
                <c:pt idx="233">
                  <c:v>0.25713608643778241</c:v>
                </c:pt>
                <c:pt idx="234">
                  <c:v>0.25924709372012167</c:v>
                </c:pt>
                <c:pt idx="235">
                  <c:v>0.26136544126626193</c:v>
                </c:pt>
                <c:pt idx="236">
                  <c:v>0.26349110808508769</c:v>
                </c:pt>
                <c:pt idx="237">
                  <c:v>0.26562407311295533</c:v>
                </c:pt>
                <c:pt idx="238">
                  <c:v>0.26776431521390176</c:v>
                </c:pt>
                <c:pt idx="239">
                  <c:v>0.26991181317985435</c:v>
                </c:pt>
                <c:pt idx="240">
                  <c:v>0.27206654573084033</c:v>
                </c:pt>
                <c:pt idx="241">
                  <c:v>0.27422849151519824</c:v>
                </c:pt>
                <c:pt idx="242">
                  <c:v>0.27639762910978904</c:v>
                </c:pt>
                <c:pt idx="243">
                  <c:v>0.27857393702020894</c:v>
                </c:pt>
                <c:pt idx="244">
                  <c:v>0.28075739368100194</c:v>
                </c:pt>
                <c:pt idx="245">
                  <c:v>0.28294797745587386</c:v>
                </c:pt>
                <c:pt idx="246">
                  <c:v>0.28514566663790619</c:v>
                </c:pt>
                <c:pt idx="247">
                  <c:v>0.28735043944977212</c:v>
                </c:pt>
                <c:pt idx="248">
                  <c:v>0.28956227404395118</c:v>
                </c:pt>
                <c:pt idx="249">
                  <c:v>0.2917811485029469</c:v>
                </c:pt>
                <c:pt idx="250">
                  <c:v>0.29400704083950302</c:v>
                </c:pt>
                <c:pt idx="251">
                  <c:v>0.29623992899682194</c:v>
                </c:pt>
                <c:pt idx="252">
                  <c:v>0.29847979084878318</c:v>
                </c:pt>
                <c:pt idx="253">
                  <c:v>0.30072660420016228</c:v>
                </c:pt>
                <c:pt idx="254">
                  <c:v>0.30298034678685137</c:v>
                </c:pt>
                <c:pt idx="255">
                  <c:v>0.30524099627607926</c:v>
                </c:pt>
                <c:pt idx="256">
                  <c:v>0.30750853026663305</c:v>
                </c:pt>
                <c:pt idx="257">
                  <c:v>0.30978292628908</c:v>
                </c:pt>
                <c:pt idx="258">
                  <c:v>0.31206416180598984</c:v>
                </c:pt>
                <c:pt idx="259">
                  <c:v>0.31435221421215875</c:v>
                </c:pt>
                <c:pt idx="260">
                  <c:v>0.31664706083483307</c:v>
                </c:pt>
                <c:pt idx="261">
                  <c:v>0.31894867893393375</c:v>
                </c:pt>
                <c:pt idx="262">
                  <c:v>0.3212570457022822</c:v>
                </c:pt>
                <c:pt idx="263">
                  <c:v>0.32357213826582509</c:v>
                </c:pt>
                <c:pt idx="264">
                  <c:v>0.32589393368386299</c:v>
                </c:pt>
                <c:pt idx="265">
                  <c:v>0.3282224089492759</c:v>
                </c:pt>
                <c:pt idx="266">
                  <c:v>0.33055754098875223</c:v>
                </c:pt>
                <c:pt idx="267">
                  <c:v>0.33289930666301693</c:v>
                </c:pt>
                <c:pt idx="268">
                  <c:v>0.33524768276706118</c:v>
                </c:pt>
                <c:pt idx="269">
                  <c:v>0.33760264603037182</c:v>
                </c:pt>
                <c:pt idx="270">
                  <c:v>0.33996417311716254</c:v>
                </c:pt>
                <c:pt idx="271">
                  <c:v>0.34233224062660483</c:v>
                </c:pt>
                <c:pt idx="272">
                  <c:v>0.34470682509305983</c:v>
                </c:pt>
                <c:pt idx="273">
                  <c:v>0.34708790298631065</c:v>
                </c:pt>
                <c:pt idx="274">
                  <c:v>0.34947545071179609</c:v>
                </c:pt>
                <c:pt idx="275">
                  <c:v>0.35186944461084391</c:v>
                </c:pt>
                <c:pt idx="276">
                  <c:v>0.35426986096090574</c:v>
                </c:pt>
                <c:pt idx="277">
                  <c:v>0.35667667597579156</c:v>
                </c:pt>
                <c:pt idx="278">
                  <c:v>0.35908986580590629</c:v>
                </c:pt>
                <c:pt idx="279">
                  <c:v>0.36150940653848485</c:v>
                </c:pt>
                <c:pt idx="280">
                  <c:v>0.36393527419783034</c:v>
                </c:pt>
                <c:pt idx="281">
                  <c:v>0.36636744474555105</c:v>
                </c:pt>
                <c:pt idx="282">
                  <c:v>0.36880589408079867</c:v>
                </c:pt>
                <c:pt idx="283">
                  <c:v>0.3712505980405072</c:v>
                </c:pt>
                <c:pt idx="284">
                  <c:v>0.37370153239963222</c:v>
                </c:pt>
                <c:pt idx="285">
                  <c:v>0.37615867287139115</c:v>
                </c:pt>
                <c:pt idx="286">
                  <c:v>0.37862199510750394</c:v>
                </c:pt>
                <c:pt idx="287">
                  <c:v>0.38109147469843418</c:v>
                </c:pt>
                <c:pt idx="288">
                  <c:v>0.38356708717363108</c:v>
                </c:pt>
                <c:pt idx="289">
                  <c:v>0.38604880800177188</c:v>
                </c:pt>
                <c:pt idx="290">
                  <c:v>0.3885366125910048</c:v>
                </c:pt>
                <c:pt idx="291">
                  <c:v>0.39103047628919319</c:v>
                </c:pt>
                <c:pt idx="292">
                  <c:v>0.39353037438415939</c:v>
                </c:pt>
                <c:pt idx="293">
                  <c:v>0.3960362821039296</c:v>
                </c:pt>
                <c:pt idx="294">
                  <c:v>0.39854817461698</c:v>
                </c:pt>
                <c:pt idx="295">
                  <c:v>0.4010660270324814</c:v>
                </c:pt>
                <c:pt idx="296">
                  <c:v>0.40358981440054742</c:v>
                </c:pt>
                <c:pt idx="297">
                  <c:v>0.40611951171248117</c:v>
                </c:pt>
                <c:pt idx="298">
                  <c:v>0.4086550939010225</c:v>
                </c:pt>
                <c:pt idx="299">
                  <c:v>0.41119653584059757</c:v>
                </c:pt>
                <c:pt idx="300">
                  <c:v>0.41374381234756619</c:v>
                </c:pt>
                <c:pt idx="301">
                  <c:v>0.41629689818047322</c:v>
                </c:pt>
                <c:pt idx="302">
                  <c:v>0.41885576804029723</c:v>
                </c:pt>
                <c:pt idx="303">
                  <c:v>0.42142039657070196</c:v>
                </c:pt>
                <c:pt idx="304">
                  <c:v>0.42399075835828748</c:v>
                </c:pt>
                <c:pt idx="305">
                  <c:v>0.42656682793284162</c:v>
                </c:pt>
                <c:pt idx="306">
                  <c:v>0.42914857976759269</c:v>
                </c:pt>
                <c:pt idx="307">
                  <c:v>0.43173598827946269</c:v>
                </c:pt>
                <c:pt idx="308">
                  <c:v>0.43432902782932004</c:v>
                </c:pt>
                <c:pt idx="309">
                  <c:v>0.43692767272223476</c:v>
                </c:pt>
                <c:pt idx="310">
                  <c:v>0.43953189720773167</c:v>
                </c:pt>
                <c:pt idx="311">
                  <c:v>0.4421416754800469</c:v>
                </c:pt>
                <c:pt idx="312">
                  <c:v>0.44475698167838285</c:v>
                </c:pt>
                <c:pt idx="313">
                  <c:v>0.44737778988716459</c:v>
                </c:pt>
                <c:pt idx="314">
                  <c:v>0.45000407413629695</c:v>
                </c:pt>
                <c:pt idx="315">
                  <c:v>0.45263580840142115</c:v>
                </c:pt>
                <c:pt idx="316">
                  <c:v>0.45527296660417349</c:v>
                </c:pt>
                <c:pt idx="317">
                  <c:v>0.45791552261244328</c:v>
                </c:pt>
                <c:pt idx="318">
                  <c:v>0.46056345024063217</c:v>
                </c:pt>
                <c:pt idx="319">
                  <c:v>0.46321672324991292</c:v>
                </c:pt>
                <c:pt idx="320">
                  <c:v>0.46587531534849058</c:v>
                </c:pt>
                <c:pt idx="321">
                  <c:v>0.46853920019186157</c:v>
                </c:pt>
                <c:pt idx="322">
                  <c:v>0.47120835138307604</c:v>
                </c:pt>
                <c:pt idx="323">
                  <c:v>0.47388274247299855</c:v>
                </c:pt>
                <c:pt idx="324">
                  <c:v>0.47656234696057043</c:v>
                </c:pt>
                <c:pt idx="325">
                  <c:v>0.47924713829307297</c:v>
                </c:pt>
                <c:pt idx="326">
                  <c:v>0.48193708986638928</c:v>
                </c:pt>
                <c:pt idx="327">
                  <c:v>0.48463217502526945</c:v>
                </c:pt>
                <c:pt idx="328">
                  <c:v>0.48733236706359295</c:v>
                </c:pt>
                <c:pt idx="329">
                  <c:v>0.49003763922463506</c:v>
                </c:pt>
                <c:pt idx="330">
                  <c:v>0.49274796470133042</c:v>
                </c:pt>
                <c:pt idx="331">
                  <c:v>0.4954633166365402</c:v>
                </c:pt>
                <c:pt idx="332">
                  <c:v>0.4981836681233166</c:v>
                </c:pt>
                <c:pt idx="333">
                  <c:v>0.50090899220517071</c:v>
                </c:pt>
                <c:pt idx="334">
                  <c:v>0.50363926187633923</c:v>
                </c:pt>
                <c:pt idx="335">
                  <c:v>0.50637445008205195</c:v>
                </c:pt>
                <c:pt idx="336">
                  <c:v>0.50911452971880011</c:v>
                </c:pt>
                <c:pt idx="337">
                  <c:v>0.51185947363460449</c:v>
                </c:pt>
                <c:pt idx="338">
                  <c:v>0.51460925462928531</c:v>
                </c:pt>
                <c:pt idx="339">
                  <c:v>0.51736384545473046</c:v>
                </c:pt>
                <c:pt idx="340">
                  <c:v>0.52012321881516699</c:v>
                </c:pt>
                <c:pt idx="341">
                  <c:v>0.52288734736743059</c:v>
                </c:pt>
                <c:pt idx="342">
                  <c:v>0.52565620372123711</c:v>
                </c:pt>
                <c:pt idx="343">
                  <c:v>0.52842976043945322</c:v>
                </c:pt>
                <c:pt idx="344">
                  <c:v>0.53120799003836905</c:v>
                </c:pt>
                <c:pt idx="345">
                  <c:v>0.53399086498797033</c:v>
                </c:pt>
                <c:pt idx="346">
                  <c:v>0.53677835771221083</c:v>
                </c:pt>
                <c:pt idx="347">
                  <c:v>0.53957044058928638</c:v>
                </c:pt>
                <c:pt idx="348">
                  <c:v>0.54236708595190763</c:v>
                </c:pt>
                <c:pt idx="349">
                  <c:v>0.54516826608757496</c:v>
                </c:pt>
                <c:pt idx="350">
                  <c:v>0.54797395323885223</c:v>
                </c:pt>
                <c:pt idx="351">
                  <c:v>0.55078411960364337</c:v>
                </c:pt>
                <c:pt idx="352">
                  <c:v>0.55359873733546627</c:v>
                </c:pt>
                <c:pt idx="353">
                  <c:v>0.55641777854372954</c:v>
                </c:pt>
                <c:pt idx="354">
                  <c:v>0.55924121529400872</c:v>
                </c:pt>
                <c:pt idx="355">
                  <c:v>0.56206901960832267</c:v>
                </c:pt>
                <c:pt idx="356">
                  <c:v>0.56490116346541219</c:v>
                </c:pt>
                <c:pt idx="357">
                  <c:v>0.56773761880101548</c:v>
                </c:pt>
                <c:pt idx="358">
                  <c:v>0.57057835750814878</c:v>
                </c:pt>
                <c:pt idx="359">
                  <c:v>0.5734233514373821</c:v>
                </c:pt>
                <c:pt idx="360">
                  <c:v>0.57627257239712093</c:v>
                </c:pt>
                <c:pt idx="361">
                  <c:v>0.5791259921538835</c:v>
                </c:pt>
                <c:pt idx="362">
                  <c:v>0.58198358243258186</c:v>
                </c:pt>
                <c:pt idx="363">
                  <c:v>0.58484531491680136</c:v>
                </c:pt>
                <c:pt idx="364">
                  <c:v>0.58771116124908085</c:v>
                </c:pt>
                <c:pt idx="365">
                  <c:v>0.59058109303119544</c:v>
                </c:pt>
                <c:pt idx="366">
                  <c:v>0.59345508182443574</c:v>
                </c:pt>
                <c:pt idx="367">
                  <c:v>0.59633309914989119</c:v>
                </c:pt>
                <c:pt idx="368">
                  <c:v>0.59921511648873138</c:v>
                </c:pt>
                <c:pt idx="369">
                  <c:v>0.6021011052824895</c:v>
                </c:pt>
                <c:pt idx="370">
                  <c:v>0.60499103693334377</c:v>
                </c:pt>
                <c:pt idx="371">
                  <c:v>0.60788488280440323</c:v>
                </c:pt>
                <c:pt idx="372">
                  <c:v>0.61078261421998925</c:v>
                </c:pt>
                <c:pt idx="373">
                  <c:v>0.61368420246592092</c:v>
                </c:pt>
                <c:pt idx="374">
                  <c:v>0.61658961878979923</c:v>
                </c:pt>
                <c:pt idx="375">
                  <c:v>0.61949883440129161</c:v>
                </c:pt>
                <c:pt idx="376">
                  <c:v>0.6224118204724185</c:v>
                </c:pt>
                <c:pt idx="377">
                  <c:v>0.625328548137837</c:v>
                </c:pt>
                <c:pt idx="378">
                  <c:v>0.62824898849512922</c:v>
                </c:pt>
                <c:pt idx="379">
                  <c:v>0.63117311260508657</c:v>
                </c:pt>
                <c:pt idx="380">
                  <c:v>0.63410089149199766</c:v>
                </c:pt>
                <c:pt idx="381">
                  <c:v>0.63703229614393531</c:v>
                </c:pt>
                <c:pt idx="382">
                  <c:v>0.63996729751304415</c:v>
                </c:pt>
                <c:pt idx="383">
                  <c:v>0.64290586651582782</c:v>
                </c:pt>
                <c:pt idx="384">
                  <c:v>0.64584797403343797</c:v>
                </c:pt>
                <c:pt idx="385">
                  <c:v>0.64879359091196209</c:v>
                </c:pt>
                <c:pt idx="386">
                  <c:v>0.65174268796271284</c:v>
                </c:pt>
                <c:pt idx="387">
                  <c:v>0.65469523596251733</c:v>
                </c:pt>
                <c:pt idx="388">
                  <c:v>0.65765120565400648</c:v>
                </c:pt>
                <c:pt idx="389">
                  <c:v>0.6606105677459051</c:v>
                </c:pt>
                <c:pt idx="390">
                  <c:v>0.66357329291332134</c:v>
                </c:pt>
                <c:pt idx="391">
                  <c:v>0.66653935179803925</c:v>
                </c:pt>
                <c:pt idx="392">
                  <c:v>0.66950871500880726</c:v>
                </c:pt>
                <c:pt idx="393">
                  <c:v>0.67248135312163138</c:v>
                </c:pt>
                <c:pt idx="394">
                  <c:v>0.6754572366800653</c:v>
                </c:pt>
                <c:pt idx="395">
                  <c:v>0.67843633619550392</c:v>
                </c:pt>
                <c:pt idx="396">
                  <c:v>0.68141862214747362</c:v>
                </c:pt>
                <c:pt idx="397">
                  <c:v>0.68440406498392603</c:v>
                </c:pt>
                <c:pt idx="398">
                  <c:v>0.68739263512153115</c:v>
                </c:pt>
                <c:pt idx="399">
                  <c:v>0.6903843029459692</c:v>
                </c:pt>
                <c:pt idx="400">
                  <c:v>0.69337903881222562</c:v>
                </c:pt>
                <c:pt idx="401">
                  <c:v>0.69637681304488286</c:v>
                </c:pt>
                <c:pt idx="402">
                  <c:v>0.69937759593841675</c:v>
                </c:pt>
                <c:pt idx="403">
                  <c:v>0.70238135775748911</c:v>
                </c:pt>
                <c:pt idx="404">
                  <c:v>0.70538806873724358</c:v>
                </c:pt>
                <c:pt idx="405">
                  <c:v>0.70839769908359895</c:v>
                </c:pt>
                <c:pt idx="406">
                  <c:v>0.71141021897354673</c:v>
                </c:pt>
                <c:pt idx="407">
                  <c:v>0.71442559855544452</c:v>
                </c:pt>
                <c:pt idx="408">
                  <c:v>0.71744380794931262</c:v>
                </c:pt>
                <c:pt idx="409">
                  <c:v>0.72046481724713085</c:v>
                </c:pt>
                <c:pt idx="410">
                  <c:v>0.72348859651313369</c:v>
                </c:pt>
                <c:pt idx="411">
                  <c:v>0.72651511578410766</c:v>
                </c:pt>
                <c:pt idx="412">
                  <c:v>0.72954434506968779</c:v>
                </c:pt>
                <c:pt idx="413">
                  <c:v>0.73257625435265572</c:v>
                </c:pt>
                <c:pt idx="414">
                  <c:v>0.73561081358923541</c:v>
                </c:pt>
                <c:pt idx="415">
                  <c:v>0.7386479927093933</c:v>
                </c:pt>
                <c:pt idx="416">
                  <c:v>0.74168776161713368</c:v>
                </c:pt>
                <c:pt idx="417">
                  <c:v>0.7447300901907985</c:v>
                </c:pt>
                <c:pt idx="418">
                  <c:v>0.74777494828336577</c:v>
                </c:pt>
                <c:pt idx="419">
                  <c:v>0.75082230572274766</c:v>
                </c:pt>
                <c:pt idx="420">
                  <c:v>0.75387213231209049</c:v>
                </c:pt>
                <c:pt idx="421">
                  <c:v>0.75692439783007204</c:v>
                </c:pt>
                <c:pt idx="422">
                  <c:v>0.75997907203120352</c:v>
                </c:pt>
                <c:pt idx="423">
                  <c:v>0.76303612464612713</c:v>
                </c:pt>
                <c:pt idx="424">
                  <c:v>0.76609552538191783</c:v>
                </c:pt>
                <c:pt idx="425">
                  <c:v>0.76915724392238149</c:v>
                </c:pt>
                <c:pt idx="426">
                  <c:v>0.77222124992835761</c:v>
                </c:pt>
                <c:pt idx="427">
                  <c:v>0.77528751303801791</c:v>
                </c:pt>
                <c:pt idx="428">
                  <c:v>0.77835600286716788</c:v>
                </c:pt>
                <c:pt idx="429">
                  <c:v>0.78142668900954892</c:v>
                </c:pt>
                <c:pt idx="430">
                  <c:v>0.78449954103713782</c:v>
                </c:pt>
                <c:pt idx="431">
                  <c:v>0.78757452850045018</c:v>
                </c:pt>
                <c:pt idx="432">
                  <c:v>0.79065162092883967</c:v>
                </c:pt>
                <c:pt idx="433">
                  <c:v>0.79373078783080309</c:v>
                </c:pt>
                <c:pt idx="434">
                  <c:v>0.79681199869427966</c:v>
                </c:pt>
                <c:pt idx="435">
                  <c:v>0.79989522298695537</c:v>
                </c:pt>
                <c:pt idx="436">
                  <c:v>0.80298043015656417</c:v>
                </c:pt>
                <c:pt idx="437">
                  <c:v>0.80606758963119207</c:v>
                </c:pt>
                <c:pt idx="438">
                  <c:v>0.80915667081957843</c:v>
                </c:pt>
                <c:pt idx="439">
                  <c:v>0.81224764311142017</c:v>
                </c:pt>
                <c:pt idx="440">
                  <c:v>0.81534047587767555</c:v>
                </c:pt>
                <c:pt idx="441">
                  <c:v>0.81843513847086635</c:v>
                </c:pt>
                <c:pt idx="442">
                  <c:v>0.82153160022538252</c:v>
                </c:pt>
                <c:pt idx="443">
                  <c:v>0.82462983045778548</c:v>
                </c:pt>
                <c:pt idx="444">
                  <c:v>0.82772979846711325</c:v>
                </c:pt>
                <c:pt idx="445">
                  <c:v>0.8308314735351825</c:v>
                </c:pt>
                <c:pt idx="446">
                  <c:v>0.83393482492689608</c:v>
                </c:pt>
                <c:pt idx="447">
                  <c:v>0.83703982189054416</c:v>
                </c:pt>
                <c:pt idx="448">
                  <c:v>0.8401464336581117</c:v>
                </c:pt>
                <c:pt idx="449">
                  <c:v>0.84325462944558205</c:v>
                </c:pt>
                <c:pt idx="450">
                  <c:v>0.84636437845324164</c:v>
                </c:pt>
                <c:pt idx="451">
                  <c:v>0.84947564986598656</c:v>
                </c:pt>
                <c:pt idx="452">
                  <c:v>0.85258841285362663</c:v>
                </c:pt>
                <c:pt idx="453">
                  <c:v>0.85570263657119128</c:v>
                </c:pt>
                <c:pt idx="454">
                  <c:v>0.85881829015923528</c:v>
                </c:pt>
                <c:pt idx="455">
                  <c:v>0.86193534274414518</c:v>
                </c:pt>
                <c:pt idx="456">
                  <c:v>0.86505376343844365</c:v>
                </c:pt>
                <c:pt idx="457">
                  <c:v>0.86817352134109738</c:v>
                </c:pt>
                <c:pt idx="458">
                  <c:v>0.87129458553782158</c:v>
                </c:pt>
                <c:pt idx="459">
                  <c:v>0.87441692510138791</c:v>
                </c:pt>
                <c:pt idx="460">
                  <c:v>0.87754050909192971</c:v>
                </c:pt>
                <c:pt idx="461">
                  <c:v>0.88066530655724884</c:v>
                </c:pt>
                <c:pt idx="462">
                  <c:v>0.88379128653312367</c:v>
                </c:pt>
                <c:pt idx="463">
                  <c:v>0.88691841804361304</c:v>
                </c:pt>
                <c:pt idx="464">
                  <c:v>0.89004667010136695</c:v>
                </c:pt>
                <c:pt idx="465">
                  <c:v>0.89317601170793026</c:v>
                </c:pt>
                <c:pt idx="466">
                  <c:v>0.89630641185405224</c:v>
                </c:pt>
                <c:pt idx="467">
                  <c:v>0.8994378395199919</c:v>
                </c:pt>
                <c:pt idx="468">
                  <c:v>0.9025702636758276</c:v>
                </c:pt>
                <c:pt idx="469">
                  <c:v>0.90570365328176206</c:v>
                </c:pt>
                <c:pt idx="470">
                  <c:v>0.90883797728843208</c:v>
                </c:pt>
                <c:pt idx="471">
                  <c:v>0.91197320463721476</c:v>
                </c:pt>
                <c:pt idx="472">
                  <c:v>0.91510930426053605</c:v>
                </c:pt>
                <c:pt idx="473">
                  <c:v>0.91824624508217823</c:v>
                </c:pt>
                <c:pt idx="474">
                  <c:v>0.92138399601758791</c:v>
                </c:pt>
                <c:pt idx="475">
                  <c:v>0.92452252597418461</c:v>
                </c:pt>
                <c:pt idx="476">
                  <c:v>0.92766180385166763</c:v>
                </c:pt>
                <c:pt idx="477">
                  <c:v>0.93080179854232581</c:v>
                </c:pt>
                <c:pt idx="478">
                  <c:v>0.93394247893134419</c:v>
                </c:pt>
                <c:pt idx="479">
                  <c:v>0.9370838138971137</c:v>
                </c:pt>
                <c:pt idx="480">
                  <c:v>0.94022577231153837</c:v>
                </c:pt>
                <c:pt idx="481">
                  <c:v>0.94336832304034501</c:v>
                </c:pt>
                <c:pt idx="482">
                  <c:v>0.94651143494339052</c:v>
                </c:pt>
                <c:pt idx="483">
                  <c:v>0.9496550768749713</c:v>
                </c:pt>
                <c:pt idx="484">
                  <c:v>0.95279921768413134</c:v>
                </c:pt>
                <c:pt idx="485">
                  <c:v>0.9559438262149712</c:v>
                </c:pt>
                <c:pt idx="486">
                  <c:v>0.95908887130695719</c:v>
                </c:pt>
                <c:pt idx="487">
                  <c:v>0.96223432179522894</c:v>
                </c:pt>
                <c:pt idx="488">
                  <c:v>0.96538014651090975</c:v>
                </c:pt>
                <c:pt idx="489">
                  <c:v>0.96852631428141356</c:v>
                </c:pt>
                <c:pt idx="490">
                  <c:v>0.9716727939307559</c:v>
                </c:pt>
                <c:pt idx="491">
                  <c:v>0.97481955427986144</c:v>
                </c:pt>
                <c:pt idx="492">
                  <c:v>0.977966564146873</c:v>
                </c:pt>
                <c:pt idx="493">
                  <c:v>0.98111379234746177</c:v>
                </c:pt>
                <c:pt idx="494">
                  <c:v>0.98426120769513414</c:v>
                </c:pt>
                <c:pt idx="495">
                  <c:v>0.98740877900154345</c:v>
                </c:pt>
                <c:pt idx="496">
                  <c:v>0.99055647507679634</c:v>
                </c:pt>
                <c:pt idx="497">
                  <c:v>0.99370426472976414</c:v>
                </c:pt>
                <c:pt idx="498">
                  <c:v>0.99685211676839014</c:v>
                </c:pt>
                <c:pt idx="499">
                  <c:v>0.99999999999999989</c:v>
                </c:pt>
              </c:numCache>
            </c:numRef>
          </c:xVal>
          <c:yVal>
            <c:numRef>
              <c:f>Data4!$Y$1:$Y$500</c:f>
              <c:numCache>
                <c:formatCode>General</c:formatCode>
                <c:ptCount val="500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3">
                  <c:v>-0.5</c:v>
                </c:pt>
                <c:pt idx="54">
                  <c:v>-0.5</c:v>
                </c:pt>
                <c:pt idx="55">
                  <c:v>-0.5</c:v>
                </c:pt>
                <c:pt idx="56">
                  <c:v>-0.5</c:v>
                </c:pt>
                <c:pt idx="57">
                  <c:v>-0.5</c:v>
                </c:pt>
                <c:pt idx="58">
                  <c:v>-0.5</c:v>
                </c:pt>
                <c:pt idx="59">
                  <c:v>-0.5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-0.5</c:v>
                </c:pt>
                <c:pt idx="66">
                  <c:v>-0.5</c:v>
                </c:pt>
                <c:pt idx="67">
                  <c:v>-0.5</c:v>
                </c:pt>
                <c:pt idx="68">
                  <c:v>-0.5</c:v>
                </c:pt>
                <c:pt idx="69">
                  <c:v>-0.5</c:v>
                </c:pt>
                <c:pt idx="70">
                  <c:v>-0.5</c:v>
                </c:pt>
                <c:pt idx="71">
                  <c:v>-0.5</c:v>
                </c:pt>
                <c:pt idx="72">
                  <c:v>-0.5</c:v>
                </c:pt>
                <c:pt idx="73">
                  <c:v>-0.5</c:v>
                </c:pt>
                <c:pt idx="74">
                  <c:v>-0.5</c:v>
                </c:pt>
                <c:pt idx="75">
                  <c:v>-0.5</c:v>
                </c:pt>
                <c:pt idx="76">
                  <c:v>-0.5</c:v>
                </c:pt>
                <c:pt idx="77">
                  <c:v>-0.5</c:v>
                </c:pt>
                <c:pt idx="78">
                  <c:v>-0.5</c:v>
                </c:pt>
                <c:pt idx="79">
                  <c:v>-0.5</c:v>
                </c:pt>
                <c:pt idx="80">
                  <c:v>-0.5</c:v>
                </c:pt>
                <c:pt idx="81">
                  <c:v>-0.5</c:v>
                </c:pt>
                <c:pt idx="82">
                  <c:v>-0.5</c:v>
                </c:pt>
                <c:pt idx="83">
                  <c:v>-0.5</c:v>
                </c:pt>
                <c:pt idx="84">
                  <c:v>-0.5</c:v>
                </c:pt>
                <c:pt idx="85">
                  <c:v>-0.5</c:v>
                </c:pt>
                <c:pt idx="86">
                  <c:v>-0.5</c:v>
                </c:pt>
                <c:pt idx="87">
                  <c:v>-0.5</c:v>
                </c:pt>
                <c:pt idx="88">
                  <c:v>-0.5</c:v>
                </c:pt>
                <c:pt idx="89">
                  <c:v>-0.5</c:v>
                </c:pt>
                <c:pt idx="90">
                  <c:v>-0.5</c:v>
                </c:pt>
                <c:pt idx="91">
                  <c:v>-0.5</c:v>
                </c:pt>
                <c:pt idx="92">
                  <c:v>-0.5</c:v>
                </c:pt>
                <c:pt idx="93">
                  <c:v>-0.5</c:v>
                </c:pt>
                <c:pt idx="94">
                  <c:v>-0.5</c:v>
                </c:pt>
                <c:pt idx="95">
                  <c:v>-0.5</c:v>
                </c:pt>
                <c:pt idx="96">
                  <c:v>-0.5</c:v>
                </c:pt>
                <c:pt idx="97">
                  <c:v>-0.5</c:v>
                </c:pt>
                <c:pt idx="98">
                  <c:v>-0.5</c:v>
                </c:pt>
                <c:pt idx="99">
                  <c:v>-0.5</c:v>
                </c:pt>
                <c:pt idx="100">
                  <c:v>-0.5</c:v>
                </c:pt>
                <c:pt idx="101">
                  <c:v>-0.5</c:v>
                </c:pt>
                <c:pt idx="102">
                  <c:v>-0.5</c:v>
                </c:pt>
                <c:pt idx="103">
                  <c:v>-0.5</c:v>
                </c:pt>
                <c:pt idx="104">
                  <c:v>-0.5</c:v>
                </c:pt>
                <c:pt idx="105">
                  <c:v>-0.5</c:v>
                </c:pt>
                <c:pt idx="106">
                  <c:v>-0.5</c:v>
                </c:pt>
                <c:pt idx="107">
                  <c:v>-0.5</c:v>
                </c:pt>
                <c:pt idx="108">
                  <c:v>-0.5</c:v>
                </c:pt>
                <c:pt idx="109">
                  <c:v>-0.5</c:v>
                </c:pt>
                <c:pt idx="110">
                  <c:v>-0.5</c:v>
                </c:pt>
                <c:pt idx="111">
                  <c:v>-0.5</c:v>
                </c:pt>
                <c:pt idx="112">
                  <c:v>-0.5</c:v>
                </c:pt>
                <c:pt idx="113">
                  <c:v>-0.5</c:v>
                </c:pt>
                <c:pt idx="114">
                  <c:v>-0.5</c:v>
                </c:pt>
                <c:pt idx="115">
                  <c:v>-0.5</c:v>
                </c:pt>
                <c:pt idx="116">
                  <c:v>-0.5</c:v>
                </c:pt>
                <c:pt idx="117">
                  <c:v>-0.5</c:v>
                </c:pt>
                <c:pt idx="118">
                  <c:v>-0.5</c:v>
                </c:pt>
                <c:pt idx="119">
                  <c:v>-0.5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-0.5</c:v>
                </c:pt>
                <c:pt idx="129">
                  <c:v>-0.5</c:v>
                </c:pt>
                <c:pt idx="130">
                  <c:v>-0.5</c:v>
                </c:pt>
                <c:pt idx="131">
                  <c:v>-0.5</c:v>
                </c:pt>
                <c:pt idx="132">
                  <c:v>-0.5</c:v>
                </c:pt>
                <c:pt idx="133">
                  <c:v>-0.5</c:v>
                </c:pt>
                <c:pt idx="134">
                  <c:v>-0.5</c:v>
                </c:pt>
                <c:pt idx="135">
                  <c:v>-0.5</c:v>
                </c:pt>
                <c:pt idx="136">
                  <c:v>-0.5</c:v>
                </c:pt>
                <c:pt idx="137">
                  <c:v>-0.5</c:v>
                </c:pt>
                <c:pt idx="138">
                  <c:v>-0.5</c:v>
                </c:pt>
                <c:pt idx="139">
                  <c:v>-0.5</c:v>
                </c:pt>
                <c:pt idx="140">
                  <c:v>-0.5</c:v>
                </c:pt>
                <c:pt idx="141">
                  <c:v>-0.5</c:v>
                </c:pt>
                <c:pt idx="142">
                  <c:v>-0.5</c:v>
                </c:pt>
                <c:pt idx="143">
                  <c:v>-0.5</c:v>
                </c:pt>
                <c:pt idx="144">
                  <c:v>-0.5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-0.5</c:v>
                </c:pt>
                <c:pt idx="149">
                  <c:v>-0.5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  <c:pt idx="171">
                  <c:v>-0.5</c:v>
                </c:pt>
                <c:pt idx="172">
                  <c:v>-0.5</c:v>
                </c:pt>
                <c:pt idx="173">
                  <c:v>-0.5</c:v>
                </c:pt>
                <c:pt idx="174">
                  <c:v>-0.5</c:v>
                </c:pt>
                <c:pt idx="175">
                  <c:v>-0.5</c:v>
                </c:pt>
                <c:pt idx="176">
                  <c:v>-0.5</c:v>
                </c:pt>
                <c:pt idx="177">
                  <c:v>-0.5</c:v>
                </c:pt>
                <c:pt idx="178">
                  <c:v>-0.5</c:v>
                </c:pt>
                <c:pt idx="179">
                  <c:v>-0.5</c:v>
                </c:pt>
                <c:pt idx="180">
                  <c:v>-0.5</c:v>
                </c:pt>
                <c:pt idx="181">
                  <c:v>-0.5</c:v>
                </c:pt>
                <c:pt idx="182">
                  <c:v>-0.5</c:v>
                </c:pt>
                <c:pt idx="183">
                  <c:v>-0.5</c:v>
                </c:pt>
                <c:pt idx="184">
                  <c:v>-0.5</c:v>
                </c:pt>
                <c:pt idx="185">
                  <c:v>-0.5</c:v>
                </c:pt>
                <c:pt idx="186">
                  <c:v>-0.5</c:v>
                </c:pt>
                <c:pt idx="187">
                  <c:v>-0.5</c:v>
                </c:pt>
                <c:pt idx="188">
                  <c:v>-0.5</c:v>
                </c:pt>
                <c:pt idx="189">
                  <c:v>-0.5</c:v>
                </c:pt>
                <c:pt idx="190">
                  <c:v>-0.5</c:v>
                </c:pt>
                <c:pt idx="191">
                  <c:v>-0.5</c:v>
                </c:pt>
                <c:pt idx="192">
                  <c:v>-0.5</c:v>
                </c:pt>
                <c:pt idx="193">
                  <c:v>-0.5</c:v>
                </c:pt>
                <c:pt idx="194">
                  <c:v>-0.5</c:v>
                </c:pt>
                <c:pt idx="195">
                  <c:v>-0.5</c:v>
                </c:pt>
                <c:pt idx="196">
                  <c:v>-0.5</c:v>
                </c:pt>
                <c:pt idx="197">
                  <c:v>-0.5</c:v>
                </c:pt>
                <c:pt idx="198">
                  <c:v>-0.5</c:v>
                </c:pt>
                <c:pt idx="199">
                  <c:v>-0.5</c:v>
                </c:pt>
                <c:pt idx="200">
                  <c:v>-0.5</c:v>
                </c:pt>
                <c:pt idx="201">
                  <c:v>-0.5</c:v>
                </c:pt>
                <c:pt idx="202">
                  <c:v>-0.5</c:v>
                </c:pt>
                <c:pt idx="203">
                  <c:v>-0.5</c:v>
                </c:pt>
                <c:pt idx="204">
                  <c:v>-0.5</c:v>
                </c:pt>
                <c:pt idx="205">
                  <c:v>-0.5</c:v>
                </c:pt>
                <c:pt idx="206">
                  <c:v>-0.5</c:v>
                </c:pt>
                <c:pt idx="207">
                  <c:v>-0.5</c:v>
                </c:pt>
                <c:pt idx="208">
                  <c:v>-0.5</c:v>
                </c:pt>
                <c:pt idx="209">
                  <c:v>-0.5</c:v>
                </c:pt>
                <c:pt idx="210">
                  <c:v>-0.5</c:v>
                </c:pt>
                <c:pt idx="211">
                  <c:v>-0.5</c:v>
                </c:pt>
                <c:pt idx="212">
                  <c:v>-0.5</c:v>
                </c:pt>
                <c:pt idx="213">
                  <c:v>-0.5</c:v>
                </c:pt>
                <c:pt idx="214">
                  <c:v>-0.5</c:v>
                </c:pt>
                <c:pt idx="215">
                  <c:v>-0.5</c:v>
                </c:pt>
                <c:pt idx="216">
                  <c:v>-0.5</c:v>
                </c:pt>
                <c:pt idx="217">
                  <c:v>-0.5</c:v>
                </c:pt>
                <c:pt idx="218">
                  <c:v>-0.5</c:v>
                </c:pt>
                <c:pt idx="219">
                  <c:v>-0.5</c:v>
                </c:pt>
                <c:pt idx="220">
                  <c:v>-0.5</c:v>
                </c:pt>
                <c:pt idx="221">
                  <c:v>-0.5</c:v>
                </c:pt>
                <c:pt idx="222">
                  <c:v>-0.5</c:v>
                </c:pt>
                <c:pt idx="223">
                  <c:v>-0.5</c:v>
                </c:pt>
                <c:pt idx="224">
                  <c:v>-0.5</c:v>
                </c:pt>
                <c:pt idx="225">
                  <c:v>-0.5</c:v>
                </c:pt>
                <c:pt idx="226">
                  <c:v>-0.5</c:v>
                </c:pt>
                <c:pt idx="227">
                  <c:v>-0.5</c:v>
                </c:pt>
                <c:pt idx="228">
                  <c:v>-0.5</c:v>
                </c:pt>
                <c:pt idx="229">
                  <c:v>-0.5</c:v>
                </c:pt>
                <c:pt idx="230">
                  <c:v>-0.5</c:v>
                </c:pt>
                <c:pt idx="231">
                  <c:v>-0.5</c:v>
                </c:pt>
                <c:pt idx="232">
                  <c:v>-0.5</c:v>
                </c:pt>
                <c:pt idx="233">
                  <c:v>-0.5</c:v>
                </c:pt>
                <c:pt idx="234">
                  <c:v>-0.5</c:v>
                </c:pt>
                <c:pt idx="235">
                  <c:v>-0.5</c:v>
                </c:pt>
                <c:pt idx="236">
                  <c:v>-0.5</c:v>
                </c:pt>
                <c:pt idx="237">
                  <c:v>-0.5</c:v>
                </c:pt>
                <c:pt idx="238">
                  <c:v>-0.5</c:v>
                </c:pt>
                <c:pt idx="239">
                  <c:v>-0.5</c:v>
                </c:pt>
                <c:pt idx="240">
                  <c:v>-0.5</c:v>
                </c:pt>
                <c:pt idx="241">
                  <c:v>-0.5</c:v>
                </c:pt>
                <c:pt idx="242">
                  <c:v>-0.5</c:v>
                </c:pt>
                <c:pt idx="243">
                  <c:v>-0.5</c:v>
                </c:pt>
                <c:pt idx="244">
                  <c:v>-0.5</c:v>
                </c:pt>
                <c:pt idx="245">
                  <c:v>-0.5</c:v>
                </c:pt>
                <c:pt idx="246">
                  <c:v>-0.5</c:v>
                </c:pt>
                <c:pt idx="247">
                  <c:v>-0.5</c:v>
                </c:pt>
                <c:pt idx="248">
                  <c:v>-0.5</c:v>
                </c:pt>
                <c:pt idx="249">
                  <c:v>-0.5</c:v>
                </c:pt>
                <c:pt idx="250">
                  <c:v>-0.5</c:v>
                </c:pt>
                <c:pt idx="251">
                  <c:v>-0.5</c:v>
                </c:pt>
                <c:pt idx="252">
                  <c:v>-0.5</c:v>
                </c:pt>
                <c:pt idx="253">
                  <c:v>-0.5</c:v>
                </c:pt>
                <c:pt idx="254">
                  <c:v>-0.5</c:v>
                </c:pt>
                <c:pt idx="255">
                  <c:v>-0.5</c:v>
                </c:pt>
                <c:pt idx="256">
                  <c:v>-0.5</c:v>
                </c:pt>
                <c:pt idx="257">
                  <c:v>-0.5</c:v>
                </c:pt>
                <c:pt idx="258">
                  <c:v>-0.5</c:v>
                </c:pt>
                <c:pt idx="259">
                  <c:v>-0.5</c:v>
                </c:pt>
                <c:pt idx="260">
                  <c:v>-0.5</c:v>
                </c:pt>
                <c:pt idx="261">
                  <c:v>-0.5</c:v>
                </c:pt>
                <c:pt idx="262">
                  <c:v>-0.5</c:v>
                </c:pt>
                <c:pt idx="263">
                  <c:v>-0.5</c:v>
                </c:pt>
                <c:pt idx="264">
                  <c:v>-0.5</c:v>
                </c:pt>
                <c:pt idx="265">
                  <c:v>-0.5</c:v>
                </c:pt>
                <c:pt idx="266">
                  <c:v>-0.5</c:v>
                </c:pt>
                <c:pt idx="267">
                  <c:v>-0.5</c:v>
                </c:pt>
                <c:pt idx="268">
                  <c:v>-0.5</c:v>
                </c:pt>
                <c:pt idx="269">
                  <c:v>-0.5</c:v>
                </c:pt>
                <c:pt idx="270">
                  <c:v>-0.5</c:v>
                </c:pt>
                <c:pt idx="271">
                  <c:v>-0.5</c:v>
                </c:pt>
                <c:pt idx="272">
                  <c:v>-0.5</c:v>
                </c:pt>
                <c:pt idx="273">
                  <c:v>-0.5</c:v>
                </c:pt>
                <c:pt idx="274">
                  <c:v>-0.5</c:v>
                </c:pt>
                <c:pt idx="275">
                  <c:v>-0.5</c:v>
                </c:pt>
                <c:pt idx="276">
                  <c:v>-0.5</c:v>
                </c:pt>
                <c:pt idx="277">
                  <c:v>-0.5</c:v>
                </c:pt>
                <c:pt idx="278">
                  <c:v>-0.5</c:v>
                </c:pt>
                <c:pt idx="279">
                  <c:v>-0.5</c:v>
                </c:pt>
                <c:pt idx="280">
                  <c:v>-0.5</c:v>
                </c:pt>
                <c:pt idx="281">
                  <c:v>-0.5</c:v>
                </c:pt>
                <c:pt idx="282">
                  <c:v>-0.5</c:v>
                </c:pt>
                <c:pt idx="283">
                  <c:v>-0.5</c:v>
                </c:pt>
                <c:pt idx="284">
                  <c:v>-0.5</c:v>
                </c:pt>
                <c:pt idx="285">
                  <c:v>-0.5</c:v>
                </c:pt>
                <c:pt idx="286">
                  <c:v>-0.5</c:v>
                </c:pt>
                <c:pt idx="287">
                  <c:v>-0.5</c:v>
                </c:pt>
                <c:pt idx="288">
                  <c:v>-0.5</c:v>
                </c:pt>
                <c:pt idx="289">
                  <c:v>-0.5</c:v>
                </c:pt>
                <c:pt idx="290">
                  <c:v>-0.5</c:v>
                </c:pt>
                <c:pt idx="291">
                  <c:v>-0.5</c:v>
                </c:pt>
                <c:pt idx="292">
                  <c:v>-0.5</c:v>
                </c:pt>
                <c:pt idx="293">
                  <c:v>-0.5</c:v>
                </c:pt>
                <c:pt idx="294">
                  <c:v>-0.5</c:v>
                </c:pt>
                <c:pt idx="295">
                  <c:v>-0.5</c:v>
                </c:pt>
                <c:pt idx="296">
                  <c:v>-0.5</c:v>
                </c:pt>
                <c:pt idx="297">
                  <c:v>-0.5</c:v>
                </c:pt>
                <c:pt idx="298">
                  <c:v>-0.5</c:v>
                </c:pt>
                <c:pt idx="299">
                  <c:v>-0.5</c:v>
                </c:pt>
                <c:pt idx="300">
                  <c:v>-0.5</c:v>
                </c:pt>
                <c:pt idx="301">
                  <c:v>-0.5</c:v>
                </c:pt>
                <c:pt idx="302">
                  <c:v>-0.5</c:v>
                </c:pt>
                <c:pt idx="303">
                  <c:v>-0.5</c:v>
                </c:pt>
                <c:pt idx="304">
                  <c:v>-0.5</c:v>
                </c:pt>
                <c:pt idx="305">
                  <c:v>-0.5</c:v>
                </c:pt>
                <c:pt idx="306">
                  <c:v>-0.5</c:v>
                </c:pt>
                <c:pt idx="307">
                  <c:v>-0.5</c:v>
                </c:pt>
                <c:pt idx="308">
                  <c:v>-0.5</c:v>
                </c:pt>
                <c:pt idx="309">
                  <c:v>-0.5</c:v>
                </c:pt>
                <c:pt idx="310">
                  <c:v>-0.5</c:v>
                </c:pt>
                <c:pt idx="311">
                  <c:v>-0.5</c:v>
                </c:pt>
                <c:pt idx="312">
                  <c:v>-0.5</c:v>
                </c:pt>
                <c:pt idx="313">
                  <c:v>-0.5</c:v>
                </c:pt>
                <c:pt idx="314">
                  <c:v>-0.5</c:v>
                </c:pt>
                <c:pt idx="315">
                  <c:v>-0.5</c:v>
                </c:pt>
                <c:pt idx="316">
                  <c:v>-0.5</c:v>
                </c:pt>
                <c:pt idx="317">
                  <c:v>-0.5</c:v>
                </c:pt>
                <c:pt idx="318">
                  <c:v>-0.5</c:v>
                </c:pt>
                <c:pt idx="319">
                  <c:v>-0.5</c:v>
                </c:pt>
                <c:pt idx="320">
                  <c:v>-0.5</c:v>
                </c:pt>
                <c:pt idx="321">
                  <c:v>-0.5</c:v>
                </c:pt>
                <c:pt idx="322">
                  <c:v>-0.5</c:v>
                </c:pt>
                <c:pt idx="323">
                  <c:v>-0.5</c:v>
                </c:pt>
                <c:pt idx="324">
                  <c:v>-0.5</c:v>
                </c:pt>
                <c:pt idx="325">
                  <c:v>-0.5</c:v>
                </c:pt>
                <c:pt idx="326">
                  <c:v>-0.5</c:v>
                </c:pt>
                <c:pt idx="327">
                  <c:v>-0.5</c:v>
                </c:pt>
                <c:pt idx="328">
                  <c:v>-0.5</c:v>
                </c:pt>
                <c:pt idx="329">
                  <c:v>-0.5</c:v>
                </c:pt>
                <c:pt idx="330">
                  <c:v>-0.5</c:v>
                </c:pt>
                <c:pt idx="331">
                  <c:v>-0.5</c:v>
                </c:pt>
                <c:pt idx="332">
                  <c:v>-0.5</c:v>
                </c:pt>
                <c:pt idx="333">
                  <c:v>-0.5</c:v>
                </c:pt>
                <c:pt idx="334">
                  <c:v>-0.5</c:v>
                </c:pt>
                <c:pt idx="335">
                  <c:v>-0.5</c:v>
                </c:pt>
                <c:pt idx="336">
                  <c:v>-0.5</c:v>
                </c:pt>
                <c:pt idx="337">
                  <c:v>-0.5</c:v>
                </c:pt>
                <c:pt idx="338">
                  <c:v>-0.5</c:v>
                </c:pt>
                <c:pt idx="339">
                  <c:v>-0.5</c:v>
                </c:pt>
                <c:pt idx="340">
                  <c:v>-0.5</c:v>
                </c:pt>
                <c:pt idx="341">
                  <c:v>-0.5</c:v>
                </c:pt>
                <c:pt idx="342">
                  <c:v>-0.5</c:v>
                </c:pt>
                <c:pt idx="343">
                  <c:v>-0.5</c:v>
                </c:pt>
                <c:pt idx="344">
                  <c:v>-0.5</c:v>
                </c:pt>
                <c:pt idx="345">
                  <c:v>-0.5</c:v>
                </c:pt>
                <c:pt idx="346">
                  <c:v>-0.5</c:v>
                </c:pt>
                <c:pt idx="347">
                  <c:v>-0.5</c:v>
                </c:pt>
                <c:pt idx="348">
                  <c:v>-0.5</c:v>
                </c:pt>
                <c:pt idx="349">
                  <c:v>-0.5</c:v>
                </c:pt>
                <c:pt idx="350">
                  <c:v>-0.5</c:v>
                </c:pt>
                <c:pt idx="351">
                  <c:v>-0.5</c:v>
                </c:pt>
                <c:pt idx="352">
                  <c:v>-0.5</c:v>
                </c:pt>
                <c:pt idx="353">
                  <c:v>-0.5</c:v>
                </c:pt>
                <c:pt idx="354">
                  <c:v>-0.5</c:v>
                </c:pt>
                <c:pt idx="355">
                  <c:v>-0.5</c:v>
                </c:pt>
                <c:pt idx="356">
                  <c:v>-0.5</c:v>
                </c:pt>
                <c:pt idx="357">
                  <c:v>-0.5</c:v>
                </c:pt>
                <c:pt idx="358">
                  <c:v>-0.5</c:v>
                </c:pt>
                <c:pt idx="359">
                  <c:v>-0.5</c:v>
                </c:pt>
                <c:pt idx="360">
                  <c:v>-0.5</c:v>
                </c:pt>
                <c:pt idx="361">
                  <c:v>-0.5</c:v>
                </c:pt>
                <c:pt idx="362">
                  <c:v>-0.5</c:v>
                </c:pt>
                <c:pt idx="363">
                  <c:v>-0.5</c:v>
                </c:pt>
                <c:pt idx="364">
                  <c:v>-0.5</c:v>
                </c:pt>
                <c:pt idx="365">
                  <c:v>-0.5</c:v>
                </c:pt>
                <c:pt idx="366">
                  <c:v>-0.5</c:v>
                </c:pt>
                <c:pt idx="367">
                  <c:v>-0.5</c:v>
                </c:pt>
                <c:pt idx="368">
                  <c:v>-0.5</c:v>
                </c:pt>
                <c:pt idx="369">
                  <c:v>-0.5</c:v>
                </c:pt>
                <c:pt idx="370">
                  <c:v>-0.5</c:v>
                </c:pt>
                <c:pt idx="371">
                  <c:v>-0.5</c:v>
                </c:pt>
                <c:pt idx="372">
                  <c:v>-0.5</c:v>
                </c:pt>
                <c:pt idx="373">
                  <c:v>-0.5</c:v>
                </c:pt>
                <c:pt idx="374">
                  <c:v>-0.5</c:v>
                </c:pt>
                <c:pt idx="375">
                  <c:v>-0.5</c:v>
                </c:pt>
                <c:pt idx="376">
                  <c:v>-0.5</c:v>
                </c:pt>
                <c:pt idx="377">
                  <c:v>-0.5</c:v>
                </c:pt>
                <c:pt idx="378">
                  <c:v>-0.5</c:v>
                </c:pt>
                <c:pt idx="379">
                  <c:v>-0.5</c:v>
                </c:pt>
                <c:pt idx="380">
                  <c:v>-0.5</c:v>
                </c:pt>
                <c:pt idx="381">
                  <c:v>-0.5</c:v>
                </c:pt>
                <c:pt idx="382">
                  <c:v>-0.5</c:v>
                </c:pt>
                <c:pt idx="383">
                  <c:v>-0.5</c:v>
                </c:pt>
                <c:pt idx="384">
                  <c:v>-0.5</c:v>
                </c:pt>
                <c:pt idx="385">
                  <c:v>-0.5</c:v>
                </c:pt>
                <c:pt idx="386">
                  <c:v>-0.5</c:v>
                </c:pt>
                <c:pt idx="387">
                  <c:v>-0.5</c:v>
                </c:pt>
                <c:pt idx="388">
                  <c:v>-0.5</c:v>
                </c:pt>
                <c:pt idx="389">
                  <c:v>-0.5</c:v>
                </c:pt>
                <c:pt idx="390">
                  <c:v>-0.5</c:v>
                </c:pt>
                <c:pt idx="391">
                  <c:v>-0.5</c:v>
                </c:pt>
                <c:pt idx="392">
                  <c:v>-0.5</c:v>
                </c:pt>
                <c:pt idx="393">
                  <c:v>-0.5</c:v>
                </c:pt>
                <c:pt idx="394">
                  <c:v>-0.5</c:v>
                </c:pt>
                <c:pt idx="395">
                  <c:v>-0.5</c:v>
                </c:pt>
                <c:pt idx="396">
                  <c:v>-0.5</c:v>
                </c:pt>
                <c:pt idx="397">
                  <c:v>-0.5</c:v>
                </c:pt>
                <c:pt idx="398">
                  <c:v>-0.5</c:v>
                </c:pt>
                <c:pt idx="399">
                  <c:v>-0.5</c:v>
                </c:pt>
                <c:pt idx="400">
                  <c:v>-0.5</c:v>
                </c:pt>
                <c:pt idx="401">
                  <c:v>-0.5</c:v>
                </c:pt>
                <c:pt idx="402">
                  <c:v>-0.5</c:v>
                </c:pt>
                <c:pt idx="403">
                  <c:v>-0.5</c:v>
                </c:pt>
                <c:pt idx="404">
                  <c:v>-0.5</c:v>
                </c:pt>
                <c:pt idx="405">
                  <c:v>-0.5</c:v>
                </c:pt>
                <c:pt idx="406">
                  <c:v>-0.5</c:v>
                </c:pt>
                <c:pt idx="407">
                  <c:v>-0.5</c:v>
                </c:pt>
                <c:pt idx="408">
                  <c:v>-0.5</c:v>
                </c:pt>
                <c:pt idx="409">
                  <c:v>-0.5</c:v>
                </c:pt>
                <c:pt idx="410">
                  <c:v>-0.5</c:v>
                </c:pt>
                <c:pt idx="411">
                  <c:v>-0.5</c:v>
                </c:pt>
                <c:pt idx="412">
                  <c:v>-0.5</c:v>
                </c:pt>
                <c:pt idx="413">
                  <c:v>-0.5</c:v>
                </c:pt>
                <c:pt idx="414">
                  <c:v>-0.5</c:v>
                </c:pt>
                <c:pt idx="415">
                  <c:v>-0.5</c:v>
                </c:pt>
                <c:pt idx="416">
                  <c:v>-0.5</c:v>
                </c:pt>
                <c:pt idx="417">
                  <c:v>-0.5</c:v>
                </c:pt>
                <c:pt idx="418">
                  <c:v>-0.5</c:v>
                </c:pt>
                <c:pt idx="419">
                  <c:v>-0.5</c:v>
                </c:pt>
                <c:pt idx="420">
                  <c:v>-0.5</c:v>
                </c:pt>
                <c:pt idx="421">
                  <c:v>-0.5</c:v>
                </c:pt>
                <c:pt idx="422">
                  <c:v>-0.5</c:v>
                </c:pt>
                <c:pt idx="423">
                  <c:v>-0.5</c:v>
                </c:pt>
                <c:pt idx="424">
                  <c:v>-0.5</c:v>
                </c:pt>
                <c:pt idx="425">
                  <c:v>-0.5</c:v>
                </c:pt>
                <c:pt idx="426">
                  <c:v>-0.5</c:v>
                </c:pt>
                <c:pt idx="427">
                  <c:v>-0.5</c:v>
                </c:pt>
                <c:pt idx="428">
                  <c:v>-0.5</c:v>
                </c:pt>
                <c:pt idx="429">
                  <c:v>-0.5</c:v>
                </c:pt>
                <c:pt idx="430">
                  <c:v>-0.5</c:v>
                </c:pt>
                <c:pt idx="431">
                  <c:v>-0.5</c:v>
                </c:pt>
                <c:pt idx="432">
                  <c:v>-0.5</c:v>
                </c:pt>
                <c:pt idx="433">
                  <c:v>-0.5</c:v>
                </c:pt>
                <c:pt idx="434">
                  <c:v>-0.5</c:v>
                </c:pt>
                <c:pt idx="435">
                  <c:v>-0.5</c:v>
                </c:pt>
                <c:pt idx="436">
                  <c:v>-0.5</c:v>
                </c:pt>
                <c:pt idx="437">
                  <c:v>-0.5</c:v>
                </c:pt>
                <c:pt idx="438">
                  <c:v>-0.5</c:v>
                </c:pt>
                <c:pt idx="439">
                  <c:v>-0.5</c:v>
                </c:pt>
                <c:pt idx="440">
                  <c:v>-0.5</c:v>
                </c:pt>
                <c:pt idx="441">
                  <c:v>-0.5</c:v>
                </c:pt>
                <c:pt idx="442">
                  <c:v>-0.5</c:v>
                </c:pt>
                <c:pt idx="443">
                  <c:v>-0.5</c:v>
                </c:pt>
                <c:pt idx="444">
                  <c:v>-0.5</c:v>
                </c:pt>
                <c:pt idx="445">
                  <c:v>-0.5</c:v>
                </c:pt>
                <c:pt idx="446">
                  <c:v>-0.5</c:v>
                </c:pt>
                <c:pt idx="447">
                  <c:v>-0.5</c:v>
                </c:pt>
                <c:pt idx="448">
                  <c:v>-0.5</c:v>
                </c:pt>
                <c:pt idx="449">
                  <c:v>-0.5</c:v>
                </c:pt>
                <c:pt idx="450">
                  <c:v>-0.5</c:v>
                </c:pt>
                <c:pt idx="451">
                  <c:v>-0.5</c:v>
                </c:pt>
                <c:pt idx="452">
                  <c:v>-0.5</c:v>
                </c:pt>
                <c:pt idx="453">
                  <c:v>-0.5</c:v>
                </c:pt>
                <c:pt idx="454">
                  <c:v>-0.5</c:v>
                </c:pt>
                <c:pt idx="455">
                  <c:v>-0.5</c:v>
                </c:pt>
                <c:pt idx="456">
                  <c:v>-0.5</c:v>
                </c:pt>
                <c:pt idx="457">
                  <c:v>-0.5</c:v>
                </c:pt>
                <c:pt idx="458">
                  <c:v>-0.5</c:v>
                </c:pt>
                <c:pt idx="459">
                  <c:v>-0.5</c:v>
                </c:pt>
                <c:pt idx="460">
                  <c:v>-0.5</c:v>
                </c:pt>
                <c:pt idx="461">
                  <c:v>-0.5</c:v>
                </c:pt>
                <c:pt idx="462">
                  <c:v>-0.5</c:v>
                </c:pt>
                <c:pt idx="463">
                  <c:v>-0.5</c:v>
                </c:pt>
                <c:pt idx="464">
                  <c:v>-0.5</c:v>
                </c:pt>
                <c:pt idx="465">
                  <c:v>-0.5</c:v>
                </c:pt>
                <c:pt idx="466">
                  <c:v>-0.5</c:v>
                </c:pt>
                <c:pt idx="467">
                  <c:v>-0.5</c:v>
                </c:pt>
                <c:pt idx="468">
                  <c:v>-0.5</c:v>
                </c:pt>
                <c:pt idx="469">
                  <c:v>-0.5</c:v>
                </c:pt>
                <c:pt idx="470">
                  <c:v>-0.5</c:v>
                </c:pt>
                <c:pt idx="471">
                  <c:v>-0.5</c:v>
                </c:pt>
                <c:pt idx="472">
                  <c:v>-0.5</c:v>
                </c:pt>
                <c:pt idx="473">
                  <c:v>-0.5</c:v>
                </c:pt>
                <c:pt idx="474">
                  <c:v>-0.5</c:v>
                </c:pt>
                <c:pt idx="475">
                  <c:v>-0.5</c:v>
                </c:pt>
                <c:pt idx="476">
                  <c:v>-0.5</c:v>
                </c:pt>
                <c:pt idx="477">
                  <c:v>-0.5</c:v>
                </c:pt>
                <c:pt idx="478">
                  <c:v>-0.5</c:v>
                </c:pt>
                <c:pt idx="479">
                  <c:v>-0.5</c:v>
                </c:pt>
                <c:pt idx="480">
                  <c:v>-0.5</c:v>
                </c:pt>
                <c:pt idx="481">
                  <c:v>-0.5</c:v>
                </c:pt>
                <c:pt idx="482">
                  <c:v>-0.5</c:v>
                </c:pt>
                <c:pt idx="483">
                  <c:v>-0.5</c:v>
                </c:pt>
                <c:pt idx="484">
                  <c:v>-0.5</c:v>
                </c:pt>
                <c:pt idx="485">
                  <c:v>-0.5</c:v>
                </c:pt>
                <c:pt idx="486">
                  <c:v>-0.5</c:v>
                </c:pt>
                <c:pt idx="487">
                  <c:v>-0.5</c:v>
                </c:pt>
                <c:pt idx="488">
                  <c:v>-0.5</c:v>
                </c:pt>
                <c:pt idx="489">
                  <c:v>-0.5</c:v>
                </c:pt>
                <c:pt idx="490">
                  <c:v>-0.5</c:v>
                </c:pt>
                <c:pt idx="491">
                  <c:v>-0.5</c:v>
                </c:pt>
                <c:pt idx="492">
                  <c:v>-0.5</c:v>
                </c:pt>
                <c:pt idx="493">
                  <c:v>-0.5</c:v>
                </c:pt>
                <c:pt idx="494">
                  <c:v>-0.5</c:v>
                </c:pt>
                <c:pt idx="495">
                  <c:v>-0.5</c:v>
                </c:pt>
                <c:pt idx="496">
                  <c:v>-0.5</c:v>
                </c:pt>
                <c:pt idx="497">
                  <c:v>-0.5</c:v>
                </c:pt>
                <c:pt idx="498">
                  <c:v>-0.5</c:v>
                </c:pt>
                <c:pt idx="499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CD-4352-B20A-242E1F7D3F0D}"/>
            </c:ext>
          </c:extLst>
        </c:ser>
        <c:ser>
          <c:idx val="3"/>
          <c:order val="3"/>
          <c:tx>
            <c:v>Chord line</c:v>
          </c:tx>
          <c:spPr>
            <a:ln w="3175" cap="rnd">
              <a:solidFill>
                <a:schemeClr val="tx1">
                  <a:lumMod val="95000"/>
                  <a:lumOff val="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Data4!$B$1:$B$500</c:f>
              <c:numCache>
                <c:formatCode>0.00000</c:formatCode>
                <c:ptCount val="500"/>
                <c:pt idx="0">
                  <c:v>0</c:v>
                </c:pt>
                <c:pt idx="1">
                  <c:v>4.9545966939179564E-6</c:v>
                </c:pt>
                <c:pt idx="2">
                  <c:v>1.9818337679722298E-5</c:v>
                </c:pt>
                <c:pt idx="3">
                  <c:v>4.4591075669564439E-5</c:v>
                </c:pt>
                <c:pt idx="4">
                  <c:v>7.9272565185806165E-5</c:v>
                </c:pt>
                <c:pt idx="5">
                  <c:v>1.2386246256268496E-4</c:v>
                </c:pt>
                <c:pt idx="6">
                  <c:v>1.7836032595031082E-4</c:v>
                </c:pt>
                <c:pt idx="7">
                  <c:v>2.4276561531888508E-4</c:v>
                </c:pt>
                <c:pt idx="8">
                  <c:v>3.1707769246391848E-4</c:v>
                </c:pt>
                <c:pt idx="9">
                  <c:v>4.0129582101267047E-4</c:v>
                </c:pt>
                <c:pt idx="10">
                  <c:v>4.9541916643136563E-4</c:v>
                </c:pt>
                <c:pt idx="11">
                  <c:v>5.9944679603363138E-4</c:v>
                </c:pt>
                <c:pt idx="12">
                  <c:v>7.133776789896018E-4</c:v>
                </c:pt>
                <c:pt idx="13">
                  <c:v>8.3721068633602069E-4</c:v>
                </c:pt>
                <c:pt idx="14">
                  <c:v>9.7094459098767683E-4</c:v>
                </c:pt>
                <c:pt idx="15">
                  <c:v>1.1145780677496164E-3</c:v>
                </c:pt>
                <c:pt idx="16">
                  <c:v>1.2681096933296887E-3</c:v>
                </c:pt>
                <c:pt idx="17">
                  <c:v>1.4315379463535338E-3</c:v>
                </c:pt>
                <c:pt idx="18">
                  <c:v>1.6048612073787938E-3</c:v>
                </c:pt>
                <c:pt idx="19">
                  <c:v>1.7880777589119878E-3</c:v>
                </c:pt>
                <c:pt idx="20">
                  <c:v>1.9811857854247217E-3</c:v>
                </c:pt>
                <c:pt idx="21">
                  <c:v>2.1841833733722282E-3</c:v>
                </c:pt>
                <c:pt idx="22">
                  <c:v>2.3970685112121304E-3</c:v>
                </c:pt>
                <c:pt idx="23">
                  <c:v>2.619839089424536E-3</c:v>
                </c:pt>
                <c:pt idx="24">
                  <c:v>2.8524929005325772E-3</c:v>
                </c:pt>
                <c:pt idx="25">
                  <c:v>3.0950276391248366E-3</c:v>
                </c:pt>
                <c:pt idx="26">
                  <c:v>3.3474409018774409E-3</c:v>
                </c:pt>
                <c:pt idx="27">
                  <c:v>3.609730187578708E-3</c:v>
                </c:pt>
                <c:pt idx="28">
                  <c:v>3.8818928971533495E-3</c:v>
                </c:pt>
                <c:pt idx="29">
                  <c:v>4.1639263336883392E-3</c:v>
                </c:pt>
                <c:pt idx="30">
                  <c:v>4.4558277024601134E-3</c:v>
                </c:pt>
                <c:pt idx="31">
                  <c:v>4.7575941109612163E-3</c:v>
                </c:pt>
                <c:pt idx="32">
                  <c:v>5.0692225689300541E-3</c:v>
                </c:pt>
                <c:pt idx="33">
                  <c:v>5.3907099883800935E-3</c:v>
                </c:pt>
                <c:pt idx="34">
                  <c:v>5.7220531836302824E-3</c:v>
                </c:pt>
                <c:pt idx="35">
                  <c:v>6.0632488713366905E-3</c:v>
                </c:pt>
                <c:pt idx="36">
                  <c:v>6.4142936705253728E-3</c:v>
                </c:pt>
                <c:pt idx="37">
                  <c:v>6.7751841026255644E-3</c:v>
                </c:pt>
                <c:pt idx="38">
                  <c:v>7.1459165915040979E-3</c:v>
                </c:pt>
                <c:pt idx="39">
                  <c:v>7.5264874635010415E-3</c:v>
                </c:pt>
                <c:pt idx="40">
                  <c:v>7.9168929474660032E-3</c:v>
                </c:pt>
                <c:pt idx="41">
                  <c:v>8.3171291747956566E-3</c:v>
                </c:pt>
                <c:pt idx="42">
                  <c:v>8.727192179471821E-3</c:v>
                </c:pt>
                <c:pt idx="43">
                  <c:v>9.1470778981007639E-3</c:v>
                </c:pt>
                <c:pt idx="44">
                  <c:v>9.5767821699537237E-3</c:v>
                </c:pt>
                <c:pt idx="45">
                  <c:v>1.0016300737007988E-2</c:v>
                </c:pt>
                <c:pt idx="46">
                  <c:v>1.0465629243989194E-2</c:v>
                </c:pt>
                <c:pt idx="47">
                  <c:v>1.092476323841407E-2</c:v>
                </c:pt>
                <c:pt idx="48">
                  <c:v>1.1393698170635291E-2</c:v>
                </c:pt>
                <c:pt idx="49">
                  <c:v>1.1872429393885775E-2</c:v>
                </c:pt>
                <c:pt idx="50">
                  <c:v>1.2360952164325312E-2</c:v>
                </c:pt>
                <c:pt idx="51">
                  <c:v>1.2859261641087194E-2</c:v>
                </c:pt>
                <c:pt idx="52">
                  <c:v>1.3367352886326511E-2</c:v>
                </c:pt>
                <c:pt idx="53">
                  <c:v>1.3885220865268999E-2</c:v>
                </c:pt>
                <c:pt idx="54">
                  <c:v>1.4412860446260445E-2</c:v>
                </c:pt>
                <c:pt idx="55">
                  <c:v>1.4950266400818424E-2</c:v>
                </c:pt>
                <c:pt idx="56">
                  <c:v>1.5497433403683258E-2</c:v>
                </c:pt>
                <c:pt idx="57">
                  <c:v>1.605435603287142E-2</c:v>
                </c:pt>
                <c:pt idx="58">
                  <c:v>1.6621028769728818E-2</c:v>
                </c:pt>
                <c:pt idx="59">
                  <c:v>1.719744599898565E-2</c:v>
                </c:pt>
                <c:pt idx="60">
                  <c:v>1.7783602008812238E-2</c:v>
                </c:pt>
                <c:pt idx="61">
                  <c:v>1.8379490990875214E-2</c:v>
                </c:pt>
                <c:pt idx="62">
                  <c:v>1.8985107040395466E-2</c:v>
                </c:pt>
                <c:pt idx="63">
                  <c:v>1.9600444156206542E-2</c:v>
                </c:pt>
                <c:pt idx="64">
                  <c:v>2.0225496240813712E-2</c:v>
                </c:pt>
                <c:pt idx="65">
                  <c:v>2.0860257100455248E-2</c:v>
                </c:pt>
                <c:pt idx="66">
                  <c:v>2.1504720445162939E-2</c:v>
                </c:pt>
                <c:pt idx="67">
                  <c:v>2.2158879888824812E-2</c:v>
                </c:pt>
                <c:pt idx="68">
                  <c:v>2.2822728949248527E-2</c:v>
                </c:pt>
                <c:pt idx="69">
                  <c:v>2.349626104822522E-2</c:v>
                </c:pt>
                <c:pt idx="70">
                  <c:v>2.4179469511595331E-2</c:v>
                </c:pt>
                <c:pt idx="71">
                  <c:v>2.487234756931378E-2</c:v>
                </c:pt>
                <c:pt idx="72">
                  <c:v>2.5574888355518133E-2</c:v>
                </c:pt>
                <c:pt idx="73">
                  <c:v>2.6287084908595659E-2</c:v>
                </c:pt>
                <c:pt idx="74">
                  <c:v>2.7008930171253165E-2</c:v>
                </c:pt>
                <c:pt idx="75">
                  <c:v>2.7740416990586381E-2</c:v>
                </c:pt>
                <c:pt idx="76">
                  <c:v>2.8481538118150684E-2</c:v>
                </c:pt>
                <c:pt idx="77">
                  <c:v>2.923228621003382E-2</c:v>
                </c:pt>
                <c:pt idx="78">
                  <c:v>2.9992653826927507E-2</c:v>
                </c:pt>
                <c:pt idx="79">
                  <c:v>3.0762633434202158E-2</c:v>
                </c:pt>
                <c:pt idx="80">
                  <c:v>3.1542217401980821E-2</c:v>
                </c:pt>
                <c:pt idx="81">
                  <c:v>3.2331398005215228E-2</c:v>
                </c:pt>
                <c:pt idx="82">
                  <c:v>3.313016742376218E-2</c:v>
                </c:pt>
                <c:pt idx="83">
                  <c:v>3.3938517742461038E-2</c:v>
                </c:pt>
                <c:pt idx="84">
                  <c:v>3.475644095121222E-2</c:v>
                </c:pt>
                <c:pt idx="85">
                  <c:v>3.5583928945056353E-2</c:v>
                </c:pt>
                <c:pt idx="86">
                  <c:v>3.6420973524254996E-2</c:v>
                </c:pt>
                <c:pt idx="87">
                  <c:v>3.7267566394371454E-2</c:v>
                </c:pt>
                <c:pt idx="88">
                  <c:v>3.8123699166353275E-2</c:v>
                </c:pt>
                <c:pt idx="89">
                  <c:v>3.8989363356615403E-2</c:v>
                </c:pt>
                <c:pt idx="90">
                  <c:v>3.9864550387123776E-2</c:v>
                </c:pt>
                <c:pt idx="91">
                  <c:v>4.0749251585480817E-2</c:v>
                </c:pt>
                <c:pt idx="92">
                  <c:v>4.1643458185011473E-2</c:v>
                </c:pt>
                <c:pt idx="93">
                  <c:v>4.2547161324849481E-2</c:v>
                </c:pt>
                <c:pt idx="94">
                  <c:v>4.346035205002563E-2</c:v>
                </c:pt>
                <c:pt idx="95">
                  <c:v>4.4383021311556581E-2</c:v>
                </c:pt>
                <c:pt idx="96">
                  <c:v>4.5315159966534124E-2</c:v>
                </c:pt>
                <c:pt idx="97">
                  <c:v>4.625675877821589E-2</c:v>
                </c:pt>
                <c:pt idx="98">
                  <c:v>4.7207808416117381E-2</c:v>
                </c:pt>
                <c:pt idx="99">
                  <c:v>4.8168299456103791E-2</c:v>
                </c:pt>
                <c:pt idx="100">
                  <c:v>4.9138222380483598E-2</c:v>
                </c:pt>
                <c:pt idx="101">
                  <c:v>5.0117567578102928E-2</c:v>
                </c:pt>
                <c:pt idx="102">
                  <c:v>5.1106325344440817E-2</c:v>
                </c:pt>
                <c:pt idx="103">
                  <c:v>5.2104485881705465E-2</c:v>
                </c:pt>
                <c:pt idx="104">
                  <c:v>5.3112039298931046E-2</c:v>
                </c:pt>
                <c:pt idx="105">
                  <c:v>5.4128975612075858E-2</c:v>
                </c:pt>
                <c:pt idx="106">
                  <c:v>5.5155284744121347E-2</c:v>
                </c:pt>
                <c:pt idx="107">
                  <c:v>5.6190956525171698E-2</c:v>
                </c:pt>
                <c:pt idx="108">
                  <c:v>5.7235980692555199E-2</c:v>
                </c:pt>
                <c:pt idx="109">
                  <c:v>5.8290346890925049E-2</c:v>
                </c:pt>
                <c:pt idx="110">
                  <c:v>5.9354044672362938E-2</c:v>
                </c:pt>
                <c:pt idx="111">
                  <c:v>6.0427063496481526E-2</c:v>
                </c:pt>
                <c:pt idx="112">
                  <c:v>6.1509392730530021E-2</c:v>
                </c:pt>
                <c:pt idx="113">
                  <c:v>6.2601021649498656E-2</c:v>
                </c:pt>
                <c:pt idx="114">
                  <c:v>6.3701939436225374E-2</c:v>
                </c:pt>
                <c:pt idx="115">
                  <c:v>6.4812135181502861E-2</c:v>
                </c:pt>
                <c:pt idx="116">
                  <c:v>6.5931597884186899E-2</c:v>
                </c:pt>
                <c:pt idx="117">
                  <c:v>6.7060316451305058E-2</c:v>
                </c:pt>
                <c:pt idx="118">
                  <c:v>6.8198279698166608E-2</c:v>
                </c:pt>
                <c:pt idx="119">
                  <c:v>6.9345476348473767E-2</c:v>
                </c:pt>
                <c:pt idx="120">
                  <c:v>7.050189503443316E-2</c:v>
                </c:pt>
                <c:pt idx="121">
                  <c:v>7.1667524296868401E-2</c:v>
                </c:pt>
                <c:pt idx="122">
                  <c:v>7.2842352585333559E-2</c:v>
                </c:pt>
                <c:pt idx="123">
                  <c:v>7.4026368258227948E-2</c:v>
                </c:pt>
                <c:pt idx="124">
                  <c:v>7.5219559582911377E-2</c:v>
                </c:pt>
                <c:pt idx="125">
                  <c:v>7.6421914735820273E-2</c:v>
                </c:pt>
                <c:pt idx="126">
                  <c:v>7.7633421802584812E-2</c:v>
                </c:pt>
                <c:pt idx="127">
                  <c:v>7.8854068778147268E-2</c:v>
                </c:pt>
                <c:pt idx="128">
                  <c:v>8.0083843566880586E-2</c:v>
                </c:pt>
                <c:pt idx="129">
                  <c:v>8.1322733982708617E-2</c:v>
                </c:pt>
                <c:pt idx="130">
                  <c:v>8.2570727749226691E-2</c:v>
                </c:pt>
                <c:pt idx="131">
                  <c:v>8.3827812499823295E-2</c:v>
                </c:pt>
                <c:pt idx="132">
                  <c:v>8.5093975777802311E-2</c:v>
                </c:pt>
                <c:pt idx="133">
                  <c:v>8.6369205036507135E-2</c:v>
                </c:pt>
                <c:pt idx="134">
                  <c:v>8.7653487639444361E-2</c:v>
                </c:pt>
                <c:pt idx="135">
                  <c:v>8.8946810860409342E-2</c:v>
                </c:pt>
                <c:pt idx="136">
                  <c:v>9.0249161883612206E-2</c:v>
                </c:pt>
                <c:pt idx="137">
                  <c:v>9.1560527803804637E-2</c:v>
                </c:pt>
                <c:pt idx="138">
                  <c:v>9.2880895626408333E-2</c:v>
                </c:pt>
                <c:pt idx="139">
                  <c:v>9.4210252267643013E-2</c:v>
                </c:pt>
                <c:pt idx="140">
                  <c:v>9.5548584554656757E-2</c:v>
                </c:pt>
                <c:pt idx="141">
                  <c:v>9.6895879225656123E-2</c:v>
                </c:pt>
                <c:pt idx="142">
                  <c:v>9.8252122930037711E-2</c:v>
                </c:pt>
                <c:pt idx="143">
                  <c:v>9.9617302228520166E-2</c:v>
                </c:pt>
                <c:pt idx="144">
                  <c:v>0.10099140359327796</c:v>
                </c:pt>
                <c:pt idx="145">
                  <c:v>0.10237441340807496</c:v>
                </c:pt>
                <c:pt idx="146">
                  <c:v>0.1037663179683993</c:v>
                </c:pt>
                <c:pt idx="147">
                  <c:v>0.10516710348159974</c:v>
                </c:pt>
                <c:pt idx="148">
                  <c:v>0.10657675606702155</c:v>
                </c:pt>
                <c:pt idx="149">
                  <c:v>0.10799526175614471</c:v>
                </c:pt>
                <c:pt idx="150">
                  <c:v>0.10942260649272206</c:v>
                </c:pt>
                <c:pt idx="151">
                  <c:v>0.11085877613291861</c:v>
                </c:pt>
                <c:pt idx="152">
                  <c:v>0.11230375644545154</c:v>
                </c:pt>
                <c:pt idx="153">
                  <c:v>0.11375753311173153</c:v>
                </c:pt>
                <c:pt idx="154">
                  <c:v>0.11522009172600445</c:v>
                </c:pt>
                <c:pt idx="155">
                  <c:v>0.11669141779549419</c:v>
                </c:pt>
                <c:pt idx="156">
                  <c:v>0.11817149674054617</c:v>
                </c:pt>
                <c:pt idx="157">
                  <c:v>0.11966031389477194</c:v>
                </c:pt>
                <c:pt idx="158">
                  <c:v>0.12115785450519423</c:v>
                </c:pt>
                <c:pt idx="159">
                  <c:v>0.12266410373239378</c:v>
                </c:pt>
                <c:pt idx="160">
                  <c:v>0.12417904665065549</c:v>
                </c:pt>
                <c:pt idx="161">
                  <c:v>0.12570266824811704</c:v>
                </c:pt>
                <c:pt idx="162">
                  <c:v>0.1272349534269176</c:v>
                </c:pt>
                <c:pt idx="163">
                  <c:v>0.12877588700334663</c:v>
                </c:pt>
                <c:pt idx="164">
                  <c:v>0.13032545370799575</c:v>
                </c:pt>
                <c:pt idx="165">
                  <c:v>0.13188363818590843</c:v>
                </c:pt>
                <c:pt idx="166">
                  <c:v>0.13345042499673354</c:v>
                </c:pt>
                <c:pt idx="167">
                  <c:v>0.13502579861487751</c:v>
                </c:pt>
                <c:pt idx="168">
                  <c:v>0.13660974342965859</c:v>
                </c:pt>
                <c:pt idx="169">
                  <c:v>0.13820224374546131</c:v>
                </c:pt>
                <c:pt idx="170">
                  <c:v>0.13980328378189188</c:v>
                </c:pt>
                <c:pt idx="171">
                  <c:v>0.14141284767393503</c:v>
                </c:pt>
                <c:pt idx="172">
                  <c:v>0.143030919472111</c:v>
                </c:pt>
                <c:pt idx="173">
                  <c:v>0.14465748314263338</c:v>
                </c:pt>
                <c:pt idx="174">
                  <c:v>0.14629252256756808</c:v>
                </c:pt>
                <c:pt idx="175">
                  <c:v>0.14793602154499341</c:v>
                </c:pt>
                <c:pt idx="176">
                  <c:v>0.14958796378916006</c:v>
                </c:pt>
                <c:pt idx="177">
                  <c:v>0.15124833293065298</c:v>
                </c:pt>
                <c:pt idx="178">
                  <c:v>0.15291711251655316</c:v>
                </c:pt>
                <c:pt idx="179">
                  <c:v>0.15459428601060099</c:v>
                </c:pt>
                <c:pt idx="180">
                  <c:v>0.15627983679335988</c:v>
                </c:pt>
                <c:pt idx="181">
                  <c:v>0.15797374816238119</c:v>
                </c:pt>
                <c:pt idx="182">
                  <c:v>0.15967600333236964</c:v>
                </c:pt>
                <c:pt idx="183">
                  <c:v>0.16138658543534967</c:v>
                </c:pt>
                <c:pt idx="184">
                  <c:v>0.16310547752083215</c:v>
                </c:pt>
                <c:pt idx="185">
                  <c:v>0.16483266255598328</c:v>
                </c:pt>
                <c:pt idx="186">
                  <c:v>0.1665681234257923</c:v>
                </c:pt>
                <c:pt idx="187">
                  <c:v>0.16831184293324197</c:v>
                </c:pt>
                <c:pt idx="188">
                  <c:v>0.17006380379947839</c:v>
                </c:pt>
                <c:pt idx="189">
                  <c:v>0.17182398866398252</c:v>
                </c:pt>
                <c:pt idx="190">
                  <c:v>0.1735923800847422</c:v>
                </c:pt>
                <c:pt idx="191">
                  <c:v>0.17536896053842488</c:v>
                </c:pt>
                <c:pt idx="192">
                  <c:v>0.17715371242055111</c:v>
                </c:pt>
                <c:pt idx="193">
                  <c:v>0.17894661804566958</c:v>
                </c:pt>
                <c:pt idx="194">
                  <c:v>0.18074765964753159</c:v>
                </c:pt>
                <c:pt idx="195">
                  <c:v>0.1825568193792676</c:v>
                </c:pt>
                <c:pt idx="196">
                  <c:v>0.18437407931356398</c:v>
                </c:pt>
                <c:pt idx="197">
                  <c:v>0.18619942144284063</c:v>
                </c:pt>
                <c:pt idx="198">
                  <c:v>0.18803282767942942</c:v>
                </c:pt>
                <c:pt idx="199">
                  <c:v>0.18987427985575323</c:v>
                </c:pt>
                <c:pt idx="200">
                  <c:v>0.19172375972450661</c:v>
                </c:pt>
                <c:pt idx="201">
                  <c:v>0.19358124895883555</c:v>
                </c:pt>
                <c:pt idx="202">
                  <c:v>0.19544672915252015</c:v>
                </c:pt>
                <c:pt idx="203">
                  <c:v>0.19732018182015654</c:v>
                </c:pt>
                <c:pt idx="204">
                  <c:v>0.1992015883973397</c:v>
                </c:pt>
                <c:pt idx="205">
                  <c:v>0.20109093024084834</c:v>
                </c:pt>
                <c:pt idx="206">
                  <c:v>0.20298818862882839</c:v>
                </c:pt>
                <c:pt idx="207">
                  <c:v>0.20489334476097976</c:v>
                </c:pt>
                <c:pt idx="208">
                  <c:v>0.20680637975874194</c:v>
                </c:pt>
                <c:pt idx="209">
                  <c:v>0.20872727466548102</c:v>
                </c:pt>
                <c:pt idx="210">
                  <c:v>0.21065601044667814</c:v>
                </c:pt>
                <c:pt idx="211">
                  <c:v>0.21259256799011716</c:v>
                </c:pt>
                <c:pt idx="212">
                  <c:v>0.21453692810607505</c:v>
                </c:pt>
                <c:pt idx="213">
                  <c:v>0.2164890715275114</c:v>
                </c:pt>
                <c:pt idx="214">
                  <c:v>0.21844897891025949</c:v>
                </c:pt>
                <c:pt idx="215">
                  <c:v>0.22041663083321805</c:v>
                </c:pt>
                <c:pt idx="216">
                  <c:v>0.22239200779854373</c:v>
                </c:pt>
                <c:pt idx="217">
                  <c:v>0.22437509023184399</c:v>
                </c:pt>
                <c:pt idx="218">
                  <c:v>0.22636585848237156</c:v>
                </c:pt>
                <c:pt idx="219">
                  <c:v>0.22836429282321902</c:v>
                </c:pt>
                <c:pt idx="220">
                  <c:v>0.2303703734515139</c:v>
                </c:pt>
                <c:pt idx="221">
                  <c:v>0.23238408048861525</c:v>
                </c:pt>
                <c:pt idx="222">
                  <c:v>0.23440539398031057</c:v>
                </c:pt>
                <c:pt idx="223">
                  <c:v>0.23643429389701376</c:v>
                </c:pt>
                <c:pt idx="224">
                  <c:v>0.23847076013396296</c:v>
                </c:pt>
                <c:pt idx="225">
                  <c:v>0.24051477251142062</c:v>
                </c:pt>
                <c:pt idx="226">
                  <c:v>0.24256631077487267</c:v>
                </c:pt>
                <c:pt idx="227">
                  <c:v>0.24462535459522983</c:v>
                </c:pt>
                <c:pt idx="228">
                  <c:v>0.24669188356902849</c:v>
                </c:pt>
                <c:pt idx="229">
                  <c:v>0.24876587721863352</c:v>
                </c:pt>
                <c:pt idx="230">
                  <c:v>0.25084731499244084</c:v>
                </c:pt>
                <c:pt idx="231">
                  <c:v>0.25293617626508091</c:v>
                </c:pt>
                <c:pt idx="232">
                  <c:v>0.25503244033762351</c:v>
                </c:pt>
                <c:pt idx="233">
                  <c:v>0.25713608643778241</c:v>
                </c:pt>
                <c:pt idx="234">
                  <c:v>0.25924709372012167</c:v>
                </c:pt>
                <c:pt idx="235">
                  <c:v>0.26136544126626193</c:v>
                </c:pt>
                <c:pt idx="236">
                  <c:v>0.26349110808508769</c:v>
                </c:pt>
                <c:pt idx="237">
                  <c:v>0.26562407311295533</c:v>
                </c:pt>
                <c:pt idx="238">
                  <c:v>0.26776431521390176</c:v>
                </c:pt>
                <c:pt idx="239">
                  <c:v>0.26991181317985435</c:v>
                </c:pt>
                <c:pt idx="240">
                  <c:v>0.27206654573084033</c:v>
                </c:pt>
                <c:pt idx="241">
                  <c:v>0.27422849151519824</c:v>
                </c:pt>
                <c:pt idx="242">
                  <c:v>0.27639762910978904</c:v>
                </c:pt>
                <c:pt idx="243">
                  <c:v>0.27857393702020894</c:v>
                </c:pt>
                <c:pt idx="244">
                  <c:v>0.28075739368100194</c:v>
                </c:pt>
                <c:pt idx="245">
                  <c:v>0.28294797745587386</c:v>
                </c:pt>
                <c:pt idx="246">
                  <c:v>0.28514566663790619</c:v>
                </c:pt>
                <c:pt idx="247">
                  <c:v>0.28735043944977212</c:v>
                </c:pt>
                <c:pt idx="248">
                  <c:v>0.28956227404395118</c:v>
                </c:pt>
                <c:pt idx="249">
                  <c:v>0.2917811485029469</c:v>
                </c:pt>
                <c:pt idx="250">
                  <c:v>0.29400704083950302</c:v>
                </c:pt>
                <c:pt idx="251">
                  <c:v>0.29623992899682194</c:v>
                </c:pt>
                <c:pt idx="252">
                  <c:v>0.29847979084878318</c:v>
                </c:pt>
                <c:pt idx="253">
                  <c:v>0.30072660420016228</c:v>
                </c:pt>
                <c:pt idx="254">
                  <c:v>0.30298034678685137</c:v>
                </c:pt>
                <c:pt idx="255">
                  <c:v>0.30524099627607926</c:v>
                </c:pt>
                <c:pt idx="256">
                  <c:v>0.30750853026663305</c:v>
                </c:pt>
                <c:pt idx="257">
                  <c:v>0.30978292628908</c:v>
                </c:pt>
                <c:pt idx="258">
                  <c:v>0.31206416180598984</c:v>
                </c:pt>
                <c:pt idx="259">
                  <c:v>0.31435221421215875</c:v>
                </c:pt>
                <c:pt idx="260">
                  <c:v>0.31664706083483307</c:v>
                </c:pt>
                <c:pt idx="261">
                  <c:v>0.31894867893393375</c:v>
                </c:pt>
                <c:pt idx="262">
                  <c:v>0.3212570457022822</c:v>
                </c:pt>
                <c:pt idx="263">
                  <c:v>0.32357213826582509</c:v>
                </c:pt>
                <c:pt idx="264">
                  <c:v>0.32589393368386299</c:v>
                </c:pt>
                <c:pt idx="265">
                  <c:v>0.3282224089492759</c:v>
                </c:pt>
                <c:pt idx="266">
                  <c:v>0.33055754098875223</c:v>
                </c:pt>
                <c:pt idx="267">
                  <c:v>0.33289930666301693</c:v>
                </c:pt>
                <c:pt idx="268">
                  <c:v>0.33524768276706118</c:v>
                </c:pt>
                <c:pt idx="269">
                  <c:v>0.33760264603037182</c:v>
                </c:pt>
                <c:pt idx="270">
                  <c:v>0.33996417311716254</c:v>
                </c:pt>
                <c:pt idx="271">
                  <c:v>0.34233224062660483</c:v>
                </c:pt>
                <c:pt idx="272">
                  <c:v>0.34470682509305983</c:v>
                </c:pt>
                <c:pt idx="273">
                  <c:v>0.34708790298631065</c:v>
                </c:pt>
                <c:pt idx="274">
                  <c:v>0.34947545071179609</c:v>
                </c:pt>
                <c:pt idx="275">
                  <c:v>0.35186944461084391</c:v>
                </c:pt>
                <c:pt idx="276">
                  <c:v>0.35426986096090574</c:v>
                </c:pt>
                <c:pt idx="277">
                  <c:v>0.35667667597579156</c:v>
                </c:pt>
                <c:pt idx="278">
                  <c:v>0.35908986580590629</c:v>
                </c:pt>
                <c:pt idx="279">
                  <c:v>0.36150940653848485</c:v>
                </c:pt>
                <c:pt idx="280">
                  <c:v>0.36393527419783034</c:v>
                </c:pt>
                <c:pt idx="281">
                  <c:v>0.36636744474555105</c:v>
                </c:pt>
                <c:pt idx="282">
                  <c:v>0.36880589408079867</c:v>
                </c:pt>
                <c:pt idx="283">
                  <c:v>0.3712505980405072</c:v>
                </c:pt>
                <c:pt idx="284">
                  <c:v>0.37370153239963222</c:v>
                </c:pt>
                <c:pt idx="285">
                  <c:v>0.37615867287139115</c:v>
                </c:pt>
                <c:pt idx="286">
                  <c:v>0.37862199510750394</c:v>
                </c:pt>
                <c:pt idx="287">
                  <c:v>0.38109147469843418</c:v>
                </c:pt>
                <c:pt idx="288">
                  <c:v>0.38356708717363108</c:v>
                </c:pt>
                <c:pt idx="289">
                  <c:v>0.38604880800177188</c:v>
                </c:pt>
                <c:pt idx="290">
                  <c:v>0.3885366125910048</c:v>
                </c:pt>
                <c:pt idx="291">
                  <c:v>0.39103047628919319</c:v>
                </c:pt>
                <c:pt idx="292">
                  <c:v>0.39353037438415939</c:v>
                </c:pt>
                <c:pt idx="293">
                  <c:v>0.3960362821039296</c:v>
                </c:pt>
                <c:pt idx="294">
                  <c:v>0.39854817461698</c:v>
                </c:pt>
                <c:pt idx="295">
                  <c:v>0.4010660270324814</c:v>
                </c:pt>
                <c:pt idx="296">
                  <c:v>0.40358981440054742</c:v>
                </c:pt>
                <c:pt idx="297">
                  <c:v>0.40611951171248117</c:v>
                </c:pt>
                <c:pt idx="298">
                  <c:v>0.4086550939010225</c:v>
                </c:pt>
                <c:pt idx="299">
                  <c:v>0.41119653584059757</c:v>
                </c:pt>
                <c:pt idx="300">
                  <c:v>0.41374381234756619</c:v>
                </c:pt>
                <c:pt idx="301">
                  <c:v>0.41629689818047322</c:v>
                </c:pt>
                <c:pt idx="302">
                  <c:v>0.41885576804029723</c:v>
                </c:pt>
                <c:pt idx="303">
                  <c:v>0.42142039657070196</c:v>
                </c:pt>
                <c:pt idx="304">
                  <c:v>0.42399075835828748</c:v>
                </c:pt>
                <c:pt idx="305">
                  <c:v>0.42656682793284162</c:v>
                </c:pt>
                <c:pt idx="306">
                  <c:v>0.42914857976759269</c:v>
                </c:pt>
                <c:pt idx="307">
                  <c:v>0.43173598827946269</c:v>
                </c:pt>
                <c:pt idx="308">
                  <c:v>0.43432902782932004</c:v>
                </c:pt>
                <c:pt idx="309">
                  <c:v>0.43692767272223476</c:v>
                </c:pt>
                <c:pt idx="310">
                  <c:v>0.43953189720773167</c:v>
                </c:pt>
                <c:pt idx="311">
                  <c:v>0.4421416754800469</c:v>
                </c:pt>
                <c:pt idx="312">
                  <c:v>0.44475698167838285</c:v>
                </c:pt>
                <c:pt idx="313">
                  <c:v>0.44737778988716459</c:v>
                </c:pt>
                <c:pt idx="314">
                  <c:v>0.45000407413629695</c:v>
                </c:pt>
                <c:pt idx="315">
                  <c:v>0.45263580840142115</c:v>
                </c:pt>
                <c:pt idx="316">
                  <c:v>0.45527296660417349</c:v>
                </c:pt>
                <c:pt idx="317">
                  <c:v>0.45791552261244328</c:v>
                </c:pt>
                <c:pt idx="318">
                  <c:v>0.46056345024063217</c:v>
                </c:pt>
                <c:pt idx="319">
                  <c:v>0.46321672324991292</c:v>
                </c:pt>
                <c:pt idx="320">
                  <c:v>0.46587531534849058</c:v>
                </c:pt>
                <c:pt idx="321">
                  <c:v>0.46853920019186157</c:v>
                </c:pt>
                <c:pt idx="322">
                  <c:v>0.47120835138307604</c:v>
                </c:pt>
                <c:pt idx="323">
                  <c:v>0.47388274247299855</c:v>
                </c:pt>
                <c:pt idx="324">
                  <c:v>0.47656234696057043</c:v>
                </c:pt>
                <c:pt idx="325">
                  <c:v>0.47924713829307297</c:v>
                </c:pt>
                <c:pt idx="326">
                  <c:v>0.48193708986638928</c:v>
                </c:pt>
                <c:pt idx="327">
                  <c:v>0.48463217502526945</c:v>
                </c:pt>
                <c:pt idx="328">
                  <c:v>0.48733236706359295</c:v>
                </c:pt>
                <c:pt idx="329">
                  <c:v>0.49003763922463506</c:v>
                </c:pt>
                <c:pt idx="330">
                  <c:v>0.49274796470133042</c:v>
                </c:pt>
                <c:pt idx="331">
                  <c:v>0.4954633166365402</c:v>
                </c:pt>
                <c:pt idx="332">
                  <c:v>0.4981836681233166</c:v>
                </c:pt>
                <c:pt idx="333">
                  <c:v>0.50090899220517071</c:v>
                </c:pt>
                <c:pt idx="334">
                  <c:v>0.50363926187633923</c:v>
                </c:pt>
                <c:pt idx="335">
                  <c:v>0.50637445008205195</c:v>
                </c:pt>
                <c:pt idx="336">
                  <c:v>0.50911452971880011</c:v>
                </c:pt>
                <c:pt idx="337">
                  <c:v>0.51185947363460449</c:v>
                </c:pt>
                <c:pt idx="338">
                  <c:v>0.51460925462928531</c:v>
                </c:pt>
                <c:pt idx="339">
                  <c:v>0.51736384545473046</c:v>
                </c:pt>
                <c:pt idx="340">
                  <c:v>0.52012321881516699</c:v>
                </c:pt>
                <c:pt idx="341">
                  <c:v>0.52288734736743059</c:v>
                </c:pt>
                <c:pt idx="342">
                  <c:v>0.52565620372123711</c:v>
                </c:pt>
                <c:pt idx="343">
                  <c:v>0.52842976043945322</c:v>
                </c:pt>
                <c:pt idx="344">
                  <c:v>0.53120799003836905</c:v>
                </c:pt>
                <c:pt idx="345">
                  <c:v>0.53399086498797033</c:v>
                </c:pt>
                <c:pt idx="346">
                  <c:v>0.53677835771221083</c:v>
                </c:pt>
                <c:pt idx="347">
                  <c:v>0.53957044058928638</c:v>
                </c:pt>
                <c:pt idx="348">
                  <c:v>0.54236708595190763</c:v>
                </c:pt>
                <c:pt idx="349">
                  <c:v>0.54516826608757496</c:v>
                </c:pt>
                <c:pt idx="350">
                  <c:v>0.54797395323885223</c:v>
                </c:pt>
                <c:pt idx="351">
                  <c:v>0.55078411960364337</c:v>
                </c:pt>
                <c:pt idx="352">
                  <c:v>0.55359873733546627</c:v>
                </c:pt>
                <c:pt idx="353">
                  <c:v>0.55641777854372954</c:v>
                </c:pt>
                <c:pt idx="354">
                  <c:v>0.55924121529400872</c:v>
                </c:pt>
                <c:pt idx="355">
                  <c:v>0.56206901960832267</c:v>
                </c:pt>
                <c:pt idx="356">
                  <c:v>0.56490116346541219</c:v>
                </c:pt>
                <c:pt idx="357">
                  <c:v>0.56773761880101548</c:v>
                </c:pt>
                <c:pt idx="358">
                  <c:v>0.57057835750814878</c:v>
                </c:pt>
                <c:pt idx="359">
                  <c:v>0.5734233514373821</c:v>
                </c:pt>
                <c:pt idx="360">
                  <c:v>0.57627257239712093</c:v>
                </c:pt>
                <c:pt idx="361">
                  <c:v>0.5791259921538835</c:v>
                </c:pt>
                <c:pt idx="362">
                  <c:v>0.58198358243258186</c:v>
                </c:pt>
                <c:pt idx="363">
                  <c:v>0.58484531491680136</c:v>
                </c:pt>
                <c:pt idx="364">
                  <c:v>0.58771116124908085</c:v>
                </c:pt>
                <c:pt idx="365">
                  <c:v>0.59058109303119544</c:v>
                </c:pt>
                <c:pt idx="366">
                  <c:v>0.59345508182443574</c:v>
                </c:pt>
                <c:pt idx="367">
                  <c:v>0.59633309914989119</c:v>
                </c:pt>
                <c:pt idx="368">
                  <c:v>0.59921511648873138</c:v>
                </c:pt>
                <c:pt idx="369">
                  <c:v>0.6021011052824895</c:v>
                </c:pt>
                <c:pt idx="370">
                  <c:v>0.60499103693334377</c:v>
                </c:pt>
                <c:pt idx="371">
                  <c:v>0.60788488280440323</c:v>
                </c:pt>
                <c:pt idx="372">
                  <c:v>0.61078261421998925</c:v>
                </c:pt>
                <c:pt idx="373">
                  <c:v>0.61368420246592092</c:v>
                </c:pt>
                <c:pt idx="374">
                  <c:v>0.61658961878979923</c:v>
                </c:pt>
                <c:pt idx="375">
                  <c:v>0.61949883440129161</c:v>
                </c:pt>
                <c:pt idx="376">
                  <c:v>0.6224118204724185</c:v>
                </c:pt>
                <c:pt idx="377">
                  <c:v>0.625328548137837</c:v>
                </c:pt>
                <c:pt idx="378">
                  <c:v>0.62824898849512922</c:v>
                </c:pt>
                <c:pt idx="379">
                  <c:v>0.63117311260508657</c:v>
                </c:pt>
                <c:pt idx="380">
                  <c:v>0.63410089149199766</c:v>
                </c:pt>
                <c:pt idx="381">
                  <c:v>0.63703229614393531</c:v>
                </c:pt>
                <c:pt idx="382">
                  <c:v>0.63996729751304415</c:v>
                </c:pt>
                <c:pt idx="383">
                  <c:v>0.64290586651582782</c:v>
                </c:pt>
                <c:pt idx="384">
                  <c:v>0.64584797403343797</c:v>
                </c:pt>
                <c:pt idx="385">
                  <c:v>0.64879359091196209</c:v>
                </c:pt>
                <c:pt idx="386">
                  <c:v>0.65174268796271284</c:v>
                </c:pt>
                <c:pt idx="387">
                  <c:v>0.65469523596251733</c:v>
                </c:pt>
                <c:pt idx="388">
                  <c:v>0.65765120565400648</c:v>
                </c:pt>
                <c:pt idx="389">
                  <c:v>0.6606105677459051</c:v>
                </c:pt>
                <c:pt idx="390">
                  <c:v>0.66357329291332134</c:v>
                </c:pt>
                <c:pt idx="391">
                  <c:v>0.66653935179803925</c:v>
                </c:pt>
                <c:pt idx="392">
                  <c:v>0.66950871500880726</c:v>
                </c:pt>
                <c:pt idx="393">
                  <c:v>0.67248135312163138</c:v>
                </c:pt>
                <c:pt idx="394">
                  <c:v>0.6754572366800653</c:v>
                </c:pt>
                <c:pt idx="395">
                  <c:v>0.67843633619550392</c:v>
                </c:pt>
                <c:pt idx="396">
                  <c:v>0.68141862214747362</c:v>
                </c:pt>
                <c:pt idx="397">
                  <c:v>0.68440406498392603</c:v>
                </c:pt>
                <c:pt idx="398">
                  <c:v>0.68739263512153115</c:v>
                </c:pt>
                <c:pt idx="399">
                  <c:v>0.6903843029459692</c:v>
                </c:pt>
                <c:pt idx="400">
                  <c:v>0.69337903881222562</c:v>
                </c:pt>
                <c:pt idx="401">
                  <c:v>0.69637681304488286</c:v>
                </c:pt>
                <c:pt idx="402">
                  <c:v>0.69937759593841675</c:v>
                </c:pt>
                <c:pt idx="403">
                  <c:v>0.70238135775748911</c:v>
                </c:pt>
                <c:pt idx="404">
                  <c:v>0.70538806873724358</c:v>
                </c:pt>
                <c:pt idx="405">
                  <c:v>0.70839769908359895</c:v>
                </c:pt>
                <c:pt idx="406">
                  <c:v>0.71141021897354673</c:v>
                </c:pt>
                <c:pt idx="407">
                  <c:v>0.71442559855544452</c:v>
                </c:pt>
                <c:pt idx="408">
                  <c:v>0.71744380794931262</c:v>
                </c:pt>
                <c:pt idx="409">
                  <c:v>0.72046481724713085</c:v>
                </c:pt>
                <c:pt idx="410">
                  <c:v>0.72348859651313369</c:v>
                </c:pt>
                <c:pt idx="411">
                  <c:v>0.72651511578410766</c:v>
                </c:pt>
                <c:pt idx="412">
                  <c:v>0.72954434506968779</c:v>
                </c:pt>
                <c:pt idx="413">
                  <c:v>0.73257625435265572</c:v>
                </c:pt>
                <c:pt idx="414">
                  <c:v>0.73561081358923541</c:v>
                </c:pt>
                <c:pt idx="415">
                  <c:v>0.7386479927093933</c:v>
                </c:pt>
                <c:pt idx="416">
                  <c:v>0.74168776161713368</c:v>
                </c:pt>
                <c:pt idx="417">
                  <c:v>0.7447300901907985</c:v>
                </c:pt>
                <c:pt idx="418">
                  <c:v>0.74777494828336577</c:v>
                </c:pt>
                <c:pt idx="419">
                  <c:v>0.75082230572274766</c:v>
                </c:pt>
                <c:pt idx="420">
                  <c:v>0.75387213231209049</c:v>
                </c:pt>
                <c:pt idx="421">
                  <c:v>0.75692439783007204</c:v>
                </c:pt>
                <c:pt idx="422">
                  <c:v>0.75997907203120352</c:v>
                </c:pt>
                <c:pt idx="423">
                  <c:v>0.76303612464612713</c:v>
                </c:pt>
                <c:pt idx="424">
                  <c:v>0.76609552538191783</c:v>
                </c:pt>
                <c:pt idx="425">
                  <c:v>0.76915724392238149</c:v>
                </c:pt>
                <c:pt idx="426">
                  <c:v>0.77222124992835761</c:v>
                </c:pt>
                <c:pt idx="427">
                  <c:v>0.77528751303801791</c:v>
                </c:pt>
                <c:pt idx="428">
                  <c:v>0.77835600286716788</c:v>
                </c:pt>
                <c:pt idx="429">
                  <c:v>0.78142668900954892</c:v>
                </c:pt>
                <c:pt idx="430">
                  <c:v>0.78449954103713782</c:v>
                </c:pt>
                <c:pt idx="431">
                  <c:v>0.78757452850045018</c:v>
                </c:pt>
                <c:pt idx="432">
                  <c:v>0.79065162092883967</c:v>
                </c:pt>
                <c:pt idx="433">
                  <c:v>0.79373078783080309</c:v>
                </c:pt>
                <c:pt idx="434">
                  <c:v>0.79681199869427966</c:v>
                </c:pt>
                <c:pt idx="435">
                  <c:v>0.79989522298695537</c:v>
                </c:pt>
                <c:pt idx="436">
                  <c:v>0.80298043015656417</c:v>
                </c:pt>
                <c:pt idx="437">
                  <c:v>0.80606758963119207</c:v>
                </c:pt>
                <c:pt idx="438">
                  <c:v>0.80915667081957843</c:v>
                </c:pt>
                <c:pt idx="439">
                  <c:v>0.81224764311142017</c:v>
                </c:pt>
                <c:pt idx="440">
                  <c:v>0.81534047587767555</c:v>
                </c:pt>
                <c:pt idx="441">
                  <c:v>0.81843513847086635</c:v>
                </c:pt>
                <c:pt idx="442">
                  <c:v>0.82153160022538252</c:v>
                </c:pt>
                <c:pt idx="443">
                  <c:v>0.82462983045778548</c:v>
                </c:pt>
                <c:pt idx="444">
                  <c:v>0.82772979846711325</c:v>
                </c:pt>
                <c:pt idx="445">
                  <c:v>0.8308314735351825</c:v>
                </c:pt>
                <c:pt idx="446">
                  <c:v>0.83393482492689608</c:v>
                </c:pt>
                <c:pt idx="447">
                  <c:v>0.83703982189054416</c:v>
                </c:pt>
                <c:pt idx="448">
                  <c:v>0.8401464336581117</c:v>
                </c:pt>
                <c:pt idx="449">
                  <c:v>0.84325462944558205</c:v>
                </c:pt>
                <c:pt idx="450">
                  <c:v>0.84636437845324164</c:v>
                </c:pt>
                <c:pt idx="451">
                  <c:v>0.84947564986598656</c:v>
                </c:pt>
                <c:pt idx="452">
                  <c:v>0.85258841285362663</c:v>
                </c:pt>
                <c:pt idx="453">
                  <c:v>0.85570263657119128</c:v>
                </c:pt>
                <c:pt idx="454">
                  <c:v>0.85881829015923528</c:v>
                </c:pt>
                <c:pt idx="455">
                  <c:v>0.86193534274414518</c:v>
                </c:pt>
                <c:pt idx="456">
                  <c:v>0.86505376343844365</c:v>
                </c:pt>
                <c:pt idx="457">
                  <c:v>0.86817352134109738</c:v>
                </c:pt>
                <c:pt idx="458">
                  <c:v>0.87129458553782158</c:v>
                </c:pt>
                <c:pt idx="459">
                  <c:v>0.87441692510138791</c:v>
                </c:pt>
                <c:pt idx="460">
                  <c:v>0.87754050909192971</c:v>
                </c:pt>
                <c:pt idx="461">
                  <c:v>0.88066530655724884</c:v>
                </c:pt>
                <c:pt idx="462">
                  <c:v>0.88379128653312367</c:v>
                </c:pt>
                <c:pt idx="463">
                  <c:v>0.88691841804361304</c:v>
                </c:pt>
                <c:pt idx="464">
                  <c:v>0.89004667010136695</c:v>
                </c:pt>
                <c:pt idx="465">
                  <c:v>0.89317601170793026</c:v>
                </c:pt>
                <c:pt idx="466">
                  <c:v>0.89630641185405224</c:v>
                </c:pt>
                <c:pt idx="467">
                  <c:v>0.8994378395199919</c:v>
                </c:pt>
                <c:pt idx="468">
                  <c:v>0.9025702636758276</c:v>
                </c:pt>
                <c:pt idx="469">
                  <c:v>0.90570365328176206</c:v>
                </c:pt>
                <c:pt idx="470">
                  <c:v>0.90883797728843208</c:v>
                </c:pt>
                <c:pt idx="471">
                  <c:v>0.91197320463721476</c:v>
                </c:pt>
                <c:pt idx="472">
                  <c:v>0.91510930426053605</c:v>
                </c:pt>
                <c:pt idx="473">
                  <c:v>0.91824624508217823</c:v>
                </c:pt>
                <c:pt idx="474">
                  <c:v>0.92138399601758791</c:v>
                </c:pt>
                <c:pt idx="475">
                  <c:v>0.92452252597418461</c:v>
                </c:pt>
                <c:pt idx="476">
                  <c:v>0.92766180385166763</c:v>
                </c:pt>
                <c:pt idx="477">
                  <c:v>0.93080179854232581</c:v>
                </c:pt>
                <c:pt idx="478">
                  <c:v>0.93394247893134419</c:v>
                </c:pt>
                <c:pt idx="479">
                  <c:v>0.9370838138971137</c:v>
                </c:pt>
                <c:pt idx="480">
                  <c:v>0.94022577231153837</c:v>
                </c:pt>
                <c:pt idx="481">
                  <c:v>0.94336832304034501</c:v>
                </c:pt>
                <c:pt idx="482">
                  <c:v>0.94651143494339052</c:v>
                </c:pt>
                <c:pt idx="483">
                  <c:v>0.9496550768749713</c:v>
                </c:pt>
                <c:pt idx="484">
                  <c:v>0.95279921768413134</c:v>
                </c:pt>
                <c:pt idx="485">
                  <c:v>0.9559438262149712</c:v>
                </c:pt>
                <c:pt idx="486">
                  <c:v>0.95908887130695719</c:v>
                </c:pt>
                <c:pt idx="487">
                  <c:v>0.96223432179522894</c:v>
                </c:pt>
                <c:pt idx="488">
                  <c:v>0.96538014651090975</c:v>
                </c:pt>
                <c:pt idx="489">
                  <c:v>0.96852631428141356</c:v>
                </c:pt>
                <c:pt idx="490">
                  <c:v>0.9716727939307559</c:v>
                </c:pt>
                <c:pt idx="491">
                  <c:v>0.97481955427986144</c:v>
                </c:pt>
                <c:pt idx="492">
                  <c:v>0.977966564146873</c:v>
                </c:pt>
                <c:pt idx="493">
                  <c:v>0.98111379234746177</c:v>
                </c:pt>
                <c:pt idx="494">
                  <c:v>0.98426120769513414</c:v>
                </c:pt>
                <c:pt idx="495">
                  <c:v>0.98740877900154345</c:v>
                </c:pt>
                <c:pt idx="496">
                  <c:v>0.99055647507679634</c:v>
                </c:pt>
                <c:pt idx="497">
                  <c:v>0.99370426472976414</c:v>
                </c:pt>
                <c:pt idx="498">
                  <c:v>0.99685211676839014</c:v>
                </c:pt>
                <c:pt idx="499">
                  <c:v>0.99999999999999989</c:v>
                </c:pt>
              </c:numCache>
            </c:numRef>
          </c:xVal>
          <c:yVal>
            <c:numRef>
              <c:f>Data4!$X$1:$X$500</c:f>
              <c:numCache>
                <c:formatCode>General</c:formatCode>
                <c:ptCount val="5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3A-4005-BD1E-2653D1E89E61}"/>
            </c:ext>
          </c:extLst>
        </c:ser>
        <c:ser>
          <c:idx val="4"/>
          <c:order val="4"/>
          <c:tx>
            <c:v>Leading-edge Radius</c:v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Data4!$AC$1:$AC$50</c:f>
              <c:numCache>
                <c:formatCode>0.000</c:formatCode>
                <c:ptCount val="50"/>
                <c:pt idx="0">
                  <c:v>3.1081570487949812E-2</c:v>
                </c:pt>
                <c:pt idx="1">
                  <c:v>3.0951303213624291E-2</c:v>
                </c:pt>
                <c:pt idx="2">
                  <c:v>3.0562640375690706E-2</c:v>
                </c:pt>
                <c:pt idx="3">
                  <c:v>2.9921963807202773E-2</c:v>
                </c:pt>
                <c:pt idx="4">
                  <c:v>2.9039793399702602E-2</c:v>
                </c:pt>
                <c:pt idx="5">
                  <c:v>2.7930614366892426E-2</c:v>
                </c:pt>
                <c:pt idx="6">
                  <c:v>2.6612639397826082E-2</c:v>
                </c:pt>
                <c:pt idx="7">
                  <c:v>2.5107509605058247E-2</c:v>
                </c:pt>
                <c:pt idx="8">
                  <c:v>2.3439939178174621E-2</c:v>
                </c:pt>
                <c:pt idx="9">
                  <c:v>2.1637309577482153E-2</c:v>
                </c:pt>
                <c:pt idx="10">
                  <c:v>1.9729219931187831E-2</c:v>
                </c:pt>
                <c:pt idx="11">
                  <c:v>1.7747001018531817E-2</c:v>
                </c:pt>
                <c:pt idx="12">
                  <c:v>1.5723200819258529E-2</c:v>
                </c:pt>
                <c:pt idx="13">
                  <c:v>1.3691050076689056E-2</c:v>
                </c:pt>
                <c:pt idx="14">
                  <c:v>1.1683916649834548E-2</c:v>
                </c:pt>
                <c:pt idx="15">
                  <c:v>9.7347576140737573E-3</c:v>
                </c:pt>
                <c:pt idx="16">
                  <c:v>7.8755781068864644E-3</c:v>
                </c:pt>
                <c:pt idx="17">
                  <c:v>6.1369058043808976E-3</c:v>
                </c:pt>
                <c:pt idx="18">
                  <c:v>4.5472896576960065E-3</c:v>
                </c:pt>
                <c:pt idx="19">
                  <c:v>3.1328311200130451E-3</c:v>
                </c:pt>
                <c:pt idx="20">
                  <c:v>1.9167555614159502E-3</c:v>
                </c:pt>
                <c:pt idx="21">
                  <c:v>9.1903090895666399E-4</c:v>
                </c:pt>
                <c:pt idx="22">
                  <c:v>1.5603977384498098E-4</c:v>
                </c:pt>
                <c:pt idx="23">
                  <c:v>-3.5968955057459444E-4</c:v>
                </c:pt>
                <c:pt idx="24">
                  <c:v>-6.1968880305319888E-4</c:v>
                </c:pt>
                <c:pt idx="25">
                  <c:v>-6.1968880305320246E-4</c:v>
                </c:pt>
                <c:pt idx="26">
                  <c:v>-3.5968955057460322E-4</c:v>
                </c:pt>
                <c:pt idx="27">
                  <c:v>1.5603977384496864E-4</c:v>
                </c:pt>
                <c:pt idx="28">
                  <c:v>9.1903090895664632E-4</c:v>
                </c:pt>
                <c:pt idx="29">
                  <c:v>1.9167555614159292E-3</c:v>
                </c:pt>
                <c:pt idx="30">
                  <c:v>3.1328311200130186E-3</c:v>
                </c:pt>
                <c:pt idx="31">
                  <c:v>4.5472896576959779E-3</c:v>
                </c:pt>
                <c:pt idx="32">
                  <c:v>6.1369058043808716E-3</c:v>
                </c:pt>
                <c:pt idx="33">
                  <c:v>7.8755781068864435E-3</c:v>
                </c:pt>
                <c:pt idx="34">
                  <c:v>9.7347576140737382E-3</c:v>
                </c:pt>
                <c:pt idx="35">
                  <c:v>1.1683916649834534E-2</c:v>
                </c:pt>
                <c:pt idx="36">
                  <c:v>1.3691050076689049E-2</c:v>
                </c:pt>
                <c:pt idx="37">
                  <c:v>1.5723200819258529E-2</c:v>
                </c:pt>
                <c:pt idx="38">
                  <c:v>1.7747001018531824E-2</c:v>
                </c:pt>
                <c:pt idx="39">
                  <c:v>1.9729219931187845E-2</c:v>
                </c:pt>
                <c:pt idx="40">
                  <c:v>2.163730957748217E-2</c:v>
                </c:pt>
                <c:pt idx="41">
                  <c:v>2.3439939178174645E-2</c:v>
                </c:pt>
                <c:pt idx="42">
                  <c:v>2.5107509605058278E-2</c:v>
                </c:pt>
                <c:pt idx="43">
                  <c:v>2.6612639397826113E-2</c:v>
                </c:pt>
                <c:pt idx="44">
                  <c:v>2.7930614366892457E-2</c:v>
                </c:pt>
                <c:pt idx="45">
                  <c:v>2.9039793399702626E-2</c:v>
                </c:pt>
                <c:pt idx="46">
                  <c:v>2.9921963807202797E-2</c:v>
                </c:pt>
                <c:pt idx="47">
                  <c:v>3.0562640375690724E-2</c:v>
                </c:pt>
                <c:pt idx="48">
                  <c:v>3.0951303213624298E-2</c:v>
                </c:pt>
                <c:pt idx="49">
                  <c:v>3.1081570487949812E-2</c:v>
                </c:pt>
              </c:numCache>
            </c:numRef>
          </c:xVal>
          <c:yVal>
            <c:numRef>
              <c:f>Data4!$AD$1:$AD$50</c:f>
              <c:numCache>
                <c:formatCode>0.000</c:formatCode>
                <c:ptCount val="50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3A-4005-BD1E-2653D1E89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905648"/>
        <c:axId val="1341910448"/>
      </c:scatterChart>
      <c:valAx>
        <c:axId val="1341905648"/>
        <c:scaling>
          <c:orientation val="minMax"/>
          <c:max val="1.1000000000000001"/>
          <c:min val="-0.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1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All dimensions are nomalized by the chord length c</a:t>
                </a:r>
              </a:p>
            </c:rich>
          </c:tx>
          <c:layout>
            <c:manualLayout>
              <c:xMode val="edge"/>
              <c:yMode val="edge"/>
              <c:x val="0.74484902283964127"/>
              <c:y val="0.937640545885318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one"/>
        <c:spPr>
          <a:noFill/>
          <a:ln w="3175" cap="flat" cmpd="sng" algn="ctr">
            <a:solidFill>
              <a:schemeClr val="bg2">
                <a:lumMod val="50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10448"/>
        <c:crosses val="autoZero"/>
        <c:crossBetween val="midCat"/>
        <c:majorUnit val="0.1"/>
        <c:minorUnit val="5.000000000000001E-2"/>
      </c:valAx>
      <c:valAx>
        <c:axId val="1341910448"/>
        <c:scaling>
          <c:orientation val="minMax"/>
          <c:max val="0.2"/>
          <c:min val="-0.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000" sourceLinked="1"/>
        <c:majorTickMark val="out"/>
        <c:minorTickMark val="none"/>
        <c:tickLblPos val="none"/>
        <c:spPr>
          <a:noFill/>
          <a:ln w="3175" cap="flat" cmpd="sng" algn="ctr">
            <a:solidFill>
              <a:schemeClr val="bg2">
                <a:lumMod val="50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905648"/>
        <c:crosses val="autoZero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300">
                <a:solidFill>
                  <a:schemeClr val="tx1">
                    <a:lumMod val="75000"/>
                    <a:lumOff val="2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NACA </a:t>
            </a:r>
            <a:r>
              <a:rPr lang="en-GB" sz="1300" baseline="0">
                <a:solidFill>
                  <a:schemeClr val="tx1">
                    <a:lumMod val="75000"/>
                    <a:lumOff val="2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16-Series </a:t>
            </a:r>
          </a:p>
        </c:rich>
      </c:tx>
      <c:layout>
        <c:manualLayout>
          <c:xMode val="edge"/>
          <c:yMode val="edge"/>
          <c:x val="0.43945216008207572"/>
          <c:y val="1.2979327746800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791861111637091E-2"/>
          <c:y val="0.12383201273087424"/>
          <c:w val="0.92818385528646474"/>
          <c:h val="0.77154026226014349"/>
        </c:manualLayout>
      </c:layout>
      <c:scatterChart>
        <c:scatterStyle val="smoothMarker"/>
        <c:varyColors val="0"/>
        <c:ser>
          <c:idx val="0"/>
          <c:order val="0"/>
          <c:tx>
            <c:v>Mean Camber Line</c:v>
          </c:tx>
          <c:spPr>
            <a:ln w="1270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Data5!$B$1:$B$500</c:f>
              <c:numCache>
                <c:formatCode>0.00000</c:formatCode>
                <c:ptCount val="500"/>
                <c:pt idx="0">
                  <c:v>0</c:v>
                </c:pt>
                <c:pt idx="1">
                  <c:v>9.9091688398611488E-6</c:v>
                </c:pt>
                <c:pt idx="2">
                  <c:v>3.9636282592903083E-5</c:v>
                </c:pt>
                <c:pt idx="3">
                  <c:v>8.9180162975155408E-5</c:v>
                </c:pt>
                <c:pt idx="4">
                  <c:v>1.5853884623195924E-4</c:v>
                </c:pt>
                <c:pt idx="5">
                  <c:v>2.4770958321568282E-4</c:v>
                </c:pt>
                <c:pt idx="6">
                  <c:v>3.566888394948009E-4</c:v>
                </c:pt>
                <c:pt idx="7">
                  <c:v>4.8547229549383841E-4</c:v>
                </c:pt>
                <c:pt idx="8">
                  <c:v>6.3405484666484435E-4</c:v>
                </c:pt>
                <c:pt idx="9">
                  <c:v>8.0243060368939689E-4</c:v>
                </c:pt>
                <c:pt idx="10">
                  <c:v>9.9059289271236084E-4</c:v>
                </c:pt>
                <c:pt idx="11">
                  <c:v>1.1985342556060652E-3</c:v>
                </c:pt>
                <c:pt idx="12">
                  <c:v>1.4262464502662886E-3</c:v>
                </c:pt>
                <c:pt idx="13">
                  <c:v>1.6737204509387205E-3</c:v>
                </c:pt>
                <c:pt idx="14">
                  <c:v>1.9409464485766748E-3</c:v>
                </c:pt>
                <c:pt idx="15">
                  <c:v>2.2279138512300567E-3</c:v>
                </c:pt>
                <c:pt idx="16">
                  <c:v>2.534611284465027E-3</c:v>
                </c:pt>
                <c:pt idx="17">
                  <c:v>2.8610265918151412E-3</c:v>
                </c:pt>
                <c:pt idx="18">
                  <c:v>3.2071468352626864E-3</c:v>
                </c:pt>
                <c:pt idx="19">
                  <c:v>3.5729582957520489E-3</c:v>
                </c:pt>
                <c:pt idx="20">
                  <c:v>3.9584464737330016E-3</c:v>
                </c:pt>
                <c:pt idx="21">
                  <c:v>4.3635960897359105E-3</c:v>
                </c:pt>
                <c:pt idx="22">
                  <c:v>4.7883910849768618E-3</c:v>
                </c:pt>
                <c:pt idx="23">
                  <c:v>5.232814621994597E-3</c:v>
                </c:pt>
                <c:pt idx="24">
                  <c:v>5.6968490853176457E-3</c:v>
                </c:pt>
                <c:pt idx="25">
                  <c:v>6.1804760821626559E-3</c:v>
                </c:pt>
                <c:pt idx="26">
                  <c:v>6.6836764431632556E-3</c:v>
                </c:pt>
                <c:pt idx="27">
                  <c:v>7.2064302231302224E-3</c:v>
                </c:pt>
                <c:pt idx="28">
                  <c:v>7.7487167018416292E-3</c:v>
                </c:pt>
                <c:pt idx="29">
                  <c:v>8.3105143848644092E-3</c:v>
                </c:pt>
                <c:pt idx="30">
                  <c:v>8.8918010044061191E-3</c:v>
                </c:pt>
                <c:pt idx="31">
                  <c:v>9.4925535201977329E-3</c:v>
                </c:pt>
                <c:pt idx="32">
                  <c:v>1.0112748120406856E-2</c:v>
                </c:pt>
                <c:pt idx="33">
                  <c:v>1.075236022258147E-2</c:v>
                </c:pt>
                <c:pt idx="34">
                  <c:v>1.1411364474624264E-2</c:v>
                </c:pt>
                <c:pt idx="35">
                  <c:v>1.2089734755797665E-2</c:v>
                </c:pt>
                <c:pt idx="36">
                  <c:v>1.2787444177759066E-2</c:v>
                </c:pt>
                <c:pt idx="37">
                  <c:v>1.3504465085626582E-2</c:v>
                </c:pt>
                <c:pt idx="38">
                  <c:v>1.4240769059075342E-2</c:v>
                </c:pt>
                <c:pt idx="39">
                  <c:v>1.4996326913463753E-2</c:v>
                </c:pt>
                <c:pt idx="40">
                  <c:v>1.5771108700990411E-2</c:v>
                </c:pt>
                <c:pt idx="41">
                  <c:v>1.656508371188109E-2</c:v>
                </c:pt>
                <c:pt idx="42">
                  <c:v>1.737822047560611E-2</c:v>
                </c:pt>
                <c:pt idx="43">
                  <c:v>1.8210486762127498E-2</c:v>
                </c:pt>
                <c:pt idx="44">
                  <c:v>1.9061849583176638E-2</c:v>
                </c:pt>
                <c:pt idx="45">
                  <c:v>1.9932275193561888E-2</c:v>
                </c:pt>
                <c:pt idx="46">
                  <c:v>2.0821729092505736E-2</c:v>
                </c:pt>
                <c:pt idx="47">
                  <c:v>2.1730176025012815E-2</c:v>
                </c:pt>
                <c:pt idx="48">
                  <c:v>2.2657579983267062E-2</c:v>
                </c:pt>
                <c:pt idx="49">
                  <c:v>2.360390420805869E-2</c:v>
                </c:pt>
                <c:pt idx="50">
                  <c:v>2.4569111190241799E-2</c:v>
                </c:pt>
                <c:pt idx="51">
                  <c:v>2.5553162672220409E-2</c:v>
                </c:pt>
                <c:pt idx="52">
                  <c:v>2.6556019649465523E-2</c:v>
                </c:pt>
                <c:pt idx="53">
                  <c:v>2.7577642372060673E-2</c:v>
                </c:pt>
                <c:pt idx="54">
                  <c:v>2.86179903462776E-2</c:v>
                </c:pt>
                <c:pt idx="55">
                  <c:v>2.9677022336181469E-2</c:v>
                </c:pt>
                <c:pt idx="56">
                  <c:v>3.0754696365265011E-2</c:v>
                </c:pt>
                <c:pt idx="57">
                  <c:v>3.1850969718112687E-2</c:v>
                </c:pt>
                <c:pt idx="58">
                  <c:v>3.2965798942093449E-2</c:v>
                </c:pt>
                <c:pt idx="59">
                  <c:v>3.4099139849083304E-2</c:v>
                </c:pt>
                <c:pt idx="60">
                  <c:v>3.525094751721658E-2</c:v>
                </c:pt>
                <c:pt idx="61">
                  <c:v>3.6421176292666779E-2</c:v>
                </c:pt>
                <c:pt idx="62">
                  <c:v>3.7609779791455689E-2</c:v>
                </c:pt>
                <c:pt idx="63">
                  <c:v>3.8816710901292406E-2</c:v>
                </c:pt>
                <c:pt idx="64">
                  <c:v>4.0041921783440293E-2</c:v>
                </c:pt>
                <c:pt idx="65">
                  <c:v>4.1285363874613346E-2</c:v>
                </c:pt>
                <c:pt idx="66">
                  <c:v>4.2546987888901155E-2</c:v>
                </c:pt>
                <c:pt idx="67">
                  <c:v>4.382674381972218E-2</c:v>
                </c:pt>
                <c:pt idx="68">
                  <c:v>4.5124580941806103E-2</c:v>
                </c:pt>
                <c:pt idx="69">
                  <c:v>4.6440447813204166E-2</c:v>
                </c:pt>
                <c:pt idx="70">
                  <c:v>4.7774292277328378E-2</c:v>
                </c:pt>
                <c:pt idx="71">
                  <c:v>4.9126061465018855E-2</c:v>
                </c:pt>
                <c:pt idx="72">
                  <c:v>5.0495701796638981E-2</c:v>
                </c:pt>
                <c:pt idx="73">
                  <c:v>5.1883158984199651E-2</c:v>
                </c:pt>
                <c:pt idx="74">
                  <c:v>5.3288378033510775E-2</c:v>
                </c:pt>
                <c:pt idx="75">
                  <c:v>5.4711303246361032E-2</c:v>
                </c:pt>
                <c:pt idx="76">
                  <c:v>5.6151878222725771E-2</c:v>
                </c:pt>
                <c:pt idx="77">
                  <c:v>5.7610045863002224E-2</c:v>
                </c:pt>
                <c:pt idx="78">
                  <c:v>5.9085748370273083E-2</c:v>
                </c:pt>
                <c:pt idx="79">
                  <c:v>6.0578927252597115E-2</c:v>
                </c:pt>
                <c:pt idx="80">
                  <c:v>6.2089523325327745E-2</c:v>
                </c:pt>
                <c:pt idx="81">
                  <c:v>6.3617476713458798E-2</c:v>
                </c:pt>
                <c:pt idx="82">
                  <c:v>6.5162726853997877E-2</c:v>
                </c:pt>
                <c:pt idx="83">
                  <c:v>6.672521249836677E-2</c:v>
                </c:pt>
                <c:pt idx="84">
                  <c:v>6.8304871714829296E-2</c:v>
                </c:pt>
                <c:pt idx="85">
                  <c:v>6.9901641890945942E-2</c:v>
                </c:pt>
                <c:pt idx="86">
                  <c:v>7.1515459736055498E-2</c:v>
                </c:pt>
                <c:pt idx="87">
                  <c:v>7.3146261283784042E-2</c:v>
                </c:pt>
                <c:pt idx="88">
                  <c:v>7.4793981894580031E-2</c:v>
                </c:pt>
                <c:pt idx="89">
                  <c:v>7.6458556258276578E-2</c:v>
                </c:pt>
                <c:pt idx="90">
                  <c:v>7.8139918396679942E-2</c:v>
                </c:pt>
                <c:pt idx="91">
                  <c:v>7.9838001666184821E-2</c:v>
                </c:pt>
                <c:pt idx="92">
                  <c:v>8.1552738760416077E-2</c:v>
                </c:pt>
                <c:pt idx="93">
                  <c:v>8.3284061712896151E-2</c:v>
                </c:pt>
                <c:pt idx="94">
                  <c:v>8.5031901899739193E-2</c:v>
                </c:pt>
                <c:pt idx="95">
                  <c:v>8.6796190042371102E-2</c:v>
                </c:pt>
                <c:pt idx="96">
                  <c:v>8.8576856210275556E-2</c:v>
                </c:pt>
                <c:pt idx="97">
                  <c:v>9.0373829823765794E-2</c:v>
                </c:pt>
                <c:pt idx="98">
                  <c:v>9.2187039656781988E-2</c:v>
                </c:pt>
                <c:pt idx="99">
                  <c:v>9.4016413839714708E-2</c:v>
                </c:pt>
                <c:pt idx="100">
                  <c:v>9.5861879862253307E-2</c:v>
                </c:pt>
                <c:pt idx="101">
                  <c:v>9.7723364576260074E-2</c:v>
                </c:pt>
                <c:pt idx="102">
                  <c:v>9.9600794198669851E-2</c:v>
                </c:pt>
                <c:pt idx="103">
                  <c:v>0.1014940943144142</c:v>
                </c:pt>
                <c:pt idx="104">
                  <c:v>0.10340318987937097</c:v>
                </c:pt>
                <c:pt idx="105">
                  <c:v>0.10532800522333907</c:v>
                </c:pt>
                <c:pt idx="106">
                  <c:v>0.10726846405303753</c:v>
                </c:pt>
                <c:pt idx="107">
                  <c:v>0.10922448945512975</c:v>
                </c:pt>
                <c:pt idx="108">
                  <c:v>0.11119600389927187</c:v>
                </c:pt>
                <c:pt idx="109">
                  <c:v>0.11318292924118578</c:v>
                </c:pt>
                <c:pt idx="110">
                  <c:v>0.11518518672575695</c:v>
                </c:pt>
                <c:pt idx="111">
                  <c:v>0.11720269699015529</c:v>
                </c:pt>
                <c:pt idx="112">
                  <c:v>0.11923538006698148</c:v>
                </c:pt>
                <c:pt idx="113">
                  <c:v>0.12128315538743634</c:v>
                </c:pt>
                <c:pt idx="114">
                  <c:v>0.12334594178451425</c:v>
                </c:pt>
                <c:pt idx="115">
                  <c:v>0.12542365749622042</c:v>
                </c:pt>
                <c:pt idx="116">
                  <c:v>0.12751622016881176</c:v>
                </c:pt>
                <c:pt idx="117">
                  <c:v>0.12962354686006083</c:v>
                </c:pt>
                <c:pt idx="118">
                  <c:v>0.13174555404254384</c:v>
                </c:pt>
                <c:pt idx="119">
                  <c:v>0.13388215760695088</c:v>
                </c:pt>
                <c:pt idx="120">
                  <c:v>0.13603327286542016</c:v>
                </c:pt>
                <c:pt idx="121">
                  <c:v>0.13819881455489452</c:v>
                </c:pt>
                <c:pt idx="122">
                  <c:v>0.14037869684050097</c:v>
                </c:pt>
                <c:pt idx="123">
                  <c:v>0.1425728333189531</c:v>
                </c:pt>
                <c:pt idx="124">
                  <c:v>0.14478113702197559</c:v>
                </c:pt>
                <c:pt idx="125">
                  <c:v>0.14700352041975151</c:v>
                </c:pt>
                <c:pt idx="126">
                  <c:v>0.14923989542439159</c:v>
                </c:pt>
                <c:pt idx="127">
                  <c:v>0.15149017339342569</c:v>
                </c:pt>
                <c:pt idx="128">
                  <c:v>0.15375426513331653</c:v>
                </c:pt>
                <c:pt idx="129">
                  <c:v>0.15603208090299492</c:v>
                </c:pt>
                <c:pt idx="130">
                  <c:v>0.15832353041741654</c:v>
                </c:pt>
                <c:pt idx="131">
                  <c:v>0.1606285228511411</c:v>
                </c:pt>
                <c:pt idx="132">
                  <c:v>0.1629469668419315</c:v>
                </c:pt>
                <c:pt idx="133">
                  <c:v>0.16527877049437611</c:v>
                </c:pt>
                <c:pt idx="134">
                  <c:v>0.16762384138353059</c:v>
                </c:pt>
                <c:pt idx="135">
                  <c:v>0.16998208655858127</c:v>
                </c:pt>
                <c:pt idx="136">
                  <c:v>0.17235341254652992</c:v>
                </c:pt>
                <c:pt idx="137">
                  <c:v>0.17473772535589804</c:v>
                </c:pt>
                <c:pt idx="138">
                  <c:v>0.17713493048045287</c:v>
                </c:pt>
                <c:pt idx="139">
                  <c:v>0.17954493290295315</c:v>
                </c:pt>
                <c:pt idx="140">
                  <c:v>0.18196763709891517</c:v>
                </c:pt>
                <c:pt idx="141">
                  <c:v>0.18440294704039933</c:v>
                </c:pt>
                <c:pt idx="142">
                  <c:v>0.18685076619981611</c:v>
                </c:pt>
                <c:pt idx="143">
                  <c:v>0.18931099755375197</c:v>
                </c:pt>
                <c:pt idx="144">
                  <c:v>0.19178354358681554</c:v>
                </c:pt>
                <c:pt idx="145">
                  <c:v>0.1942683062955024</c:v>
                </c:pt>
                <c:pt idx="146">
                  <c:v>0.19676518719207969</c:v>
                </c:pt>
                <c:pt idx="147">
                  <c:v>0.19927408730849</c:v>
                </c:pt>
                <c:pt idx="148">
                  <c:v>0.20179490720027371</c:v>
                </c:pt>
                <c:pt idx="149">
                  <c:v>0.20432754695051125</c:v>
                </c:pt>
                <c:pt idx="150">
                  <c:v>0.20687190617378309</c:v>
                </c:pt>
                <c:pt idx="151">
                  <c:v>0.20942788402014861</c:v>
                </c:pt>
                <c:pt idx="152">
                  <c:v>0.21199537917914374</c:v>
                </c:pt>
                <c:pt idx="153">
                  <c:v>0.21457428988379634</c:v>
                </c:pt>
                <c:pt idx="154">
                  <c:v>0.21716451391466002</c:v>
                </c:pt>
                <c:pt idx="155">
                  <c:v>0.21976594860386583</c:v>
                </c:pt>
                <c:pt idx="156">
                  <c:v>0.22237849083919142</c:v>
                </c:pt>
                <c:pt idx="157">
                  <c:v>0.22500203706814847</c:v>
                </c:pt>
                <c:pt idx="158">
                  <c:v>0.22763648330208675</c:v>
                </c:pt>
                <c:pt idx="159">
                  <c:v>0.23028172512031608</c:v>
                </c:pt>
                <c:pt idx="160">
                  <c:v>0.23293765767424529</c:v>
                </c:pt>
                <c:pt idx="161">
                  <c:v>0.23560417569153802</c:v>
                </c:pt>
                <c:pt idx="162">
                  <c:v>0.23828117348028521</c:v>
                </c:pt>
                <c:pt idx="163">
                  <c:v>0.24096854493319464</c:v>
                </c:pt>
                <c:pt idx="164">
                  <c:v>0.24366618353179648</c:v>
                </c:pt>
                <c:pt idx="165">
                  <c:v>0.24637398235066521</c:v>
                </c:pt>
                <c:pt idx="166">
                  <c:v>0.2490918340616583</c:v>
                </c:pt>
                <c:pt idx="167">
                  <c:v>0.25181963093816961</c:v>
                </c:pt>
                <c:pt idx="168">
                  <c:v>0.25455726485940006</c:v>
                </c:pt>
                <c:pt idx="169">
                  <c:v>0.25730462731464265</c:v>
                </c:pt>
                <c:pt idx="170">
                  <c:v>0.26006160940758349</c:v>
                </c:pt>
                <c:pt idx="171">
                  <c:v>0.26282810186061856</c:v>
                </c:pt>
                <c:pt idx="172">
                  <c:v>0.26560399501918452</c:v>
                </c:pt>
                <c:pt idx="173">
                  <c:v>0.26838917885610541</c:v>
                </c:pt>
                <c:pt idx="174">
                  <c:v>0.27118354297595382</c:v>
                </c:pt>
                <c:pt idx="175">
                  <c:v>0.27398697661942611</c:v>
                </c:pt>
                <c:pt idx="176">
                  <c:v>0.27679936866773314</c:v>
                </c:pt>
                <c:pt idx="177">
                  <c:v>0.27962060764700436</c:v>
                </c:pt>
                <c:pt idx="178">
                  <c:v>0.2824505817327061</c:v>
                </c:pt>
                <c:pt idx="179">
                  <c:v>0.28528917875407439</c:v>
                </c:pt>
                <c:pt idx="180">
                  <c:v>0.28813628619856047</c:v>
                </c:pt>
                <c:pt idx="181">
                  <c:v>0.29099179121629093</c:v>
                </c:pt>
                <c:pt idx="182">
                  <c:v>0.29385558062454042</c:v>
                </c:pt>
                <c:pt idx="183">
                  <c:v>0.29672754091221787</c:v>
                </c:pt>
                <c:pt idx="184">
                  <c:v>0.29960755824436569</c:v>
                </c:pt>
                <c:pt idx="185">
                  <c:v>0.30249551846667189</c:v>
                </c:pt>
                <c:pt idx="186">
                  <c:v>0.30539130710999463</c:v>
                </c:pt>
                <c:pt idx="187">
                  <c:v>0.30829480939489962</c:v>
                </c:pt>
                <c:pt idx="188">
                  <c:v>0.31120591023620925</c:v>
                </c:pt>
                <c:pt idx="189">
                  <c:v>0.31412449424756461</c:v>
                </c:pt>
                <c:pt idx="190">
                  <c:v>0.31705044574599883</c:v>
                </c:pt>
                <c:pt idx="191">
                  <c:v>0.31998364875652208</c:v>
                </c:pt>
                <c:pt idx="192">
                  <c:v>0.32292398701671898</c:v>
                </c:pt>
                <c:pt idx="193">
                  <c:v>0.32587134398135642</c:v>
                </c:pt>
                <c:pt idx="194">
                  <c:v>0.32882560282700324</c:v>
                </c:pt>
                <c:pt idx="195">
                  <c:v>0.33178664645666067</c:v>
                </c:pt>
                <c:pt idx="196">
                  <c:v>0.33475435750440363</c:v>
                </c:pt>
                <c:pt idx="197">
                  <c:v>0.33772861834003265</c:v>
                </c:pt>
                <c:pt idx="198">
                  <c:v>0.34070931107373681</c:v>
                </c:pt>
                <c:pt idx="199">
                  <c:v>0.34369631756076557</c:v>
                </c:pt>
                <c:pt idx="200">
                  <c:v>0.34668951940611281</c:v>
                </c:pt>
                <c:pt idx="201">
                  <c:v>0.34968879796920838</c:v>
                </c:pt>
                <c:pt idx="202">
                  <c:v>0.35269403436862179</c:v>
                </c:pt>
                <c:pt idx="203">
                  <c:v>0.35570510948677336</c:v>
                </c:pt>
                <c:pt idx="204">
                  <c:v>0.35872190397465631</c:v>
                </c:pt>
                <c:pt idx="205">
                  <c:v>0.36174429825656684</c:v>
                </c:pt>
                <c:pt idx="206">
                  <c:v>0.3647721725348439</c:v>
                </c:pt>
                <c:pt idx="207">
                  <c:v>0.36780540679461771</c:v>
                </c:pt>
                <c:pt idx="208">
                  <c:v>0.37084388080856684</c:v>
                </c:pt>
                <c:pt idx="209">
                  <c:v>0.37388747414168289</c:v>
                </c:pt>
                <c:pt idx="210">
                  <c:v>0.37693606615604525</c:v>
                </c:pt>
                <c:pt idx="211">
                  <c:v>0.37998953601560176</c:v>
                </c:pt>
                <c:pt idx="212">
                  <c:v>0.38304776269095892</c:v>
                </c:pt>
                <c:pt idx="213">
                  <c:v>0.38611062496417881</c:v>
                </c:pt>
                <c:pt idx="214">
                  <c:v>0.38917800143358394</c:v>
                </c:pt>
                <c:pt idx="215">
                  <c:v>0.39224977051856891</c:v>
                </c:pt>
                <c:pt idx="216">
                  <c:v>0.39532581046441984</c:v>
                </c:pt>
                <c:pt idx="217">
                  <c:v>0.39840599934713983</c:v>
                </c:pt>
                <c:pt idx="218">
                  <c:v>0.40149021507828209</c:v>
                </c:pt>
                <c:pt idx="219">
                  <c:v>0.40457833540978921</c:v>
                </c:pt>
                <c:pt idx="220">
                  <c:v>0.40767023793883778</c:v>
                </c:pt>
                <c:pt idx="221">
                  <c:v>0.41076580011269126</c:v>
                </c:pt>
                <c:pt idx="222">
                  <c:v>0.41386489923355663</c:v>
                </c:pt>
                <c:pt idx="223">
                  <c:v>0.41696741246344804</c:v>
                </c:pt>
                <c:pt idx="224">
                  <c:v>0.42007321682905585</c:v>
                </c:pt>
                <c:pt idx="225">
                  <c:v>0.42318218922662082</c:v>
                </c:pt>
                <c:pt idx="226">
                  <c:v>0.42629420642681332</c:v>
                </c:pt>
                <c:pt idx="227">
                  <c:v>0.42940914507961764</c:v>
                </c:pt>
                <c:pt idx="228">
                  <c:v>0.43252688171922182</c:v>
                </c:pt>
                <c:pt idx="229">
                  <c:v>0.43564729276891079</c:v>
                </c:pt>
                <c:pt idx="230">
                  <c:v>0.43877025454596486</c:v>
                </c:pt>
                <c:pt idx="231">
                  <c:v>0.44189564326656183</c:v>
                </c:pt>
                <c:pt idx="232">
                  <c:v>0.44502333505068348</c:v>
                </c:pt>
                <c:pt idx="233">
                  <c:v>0.44815320592702612</c:v>
                </c:pt>
                <c:pt idx="234">
                  <c:v>0.4512851318379138</c:v>
                </c:pt>
                <c:pt idx="235">
                  <c:v>0.45441898864421604</c:v>
                </c:pt>
                <c:pt idx="236">
                  <c:v>0.45755465213026802</c:v>
                </c:pt>
                <c:pt idx="237">
                  <c:v>0.46069199800879396</c:v>
                </c:pt>
                <c:pt idx="238">
                  <c:v>0.46383090192583382</c:v>
                </c:pt>
                <c:pt idx="239">
                  <c:v>0.46697123946567209</c:v>
                </c:pt>
                <c:pt idx="240">
                  <c:v>0.47011288615576918</c:v>
                </c:pt>
                <c:pt idx="241">
                  <c:v>0.47325571747169526</c:v>
                </c:pt>
                <c:pt idx="242">
                  <c:v>0.47639960884206567</c:v>
                </c:pt>
                <c:pt idx="243">
                  <c:v>0.4795444356534786</c:v>
                </c:pt>
                <c:pt idx="244">
                  <c:v>0.48269007325545488</c:v>
                </c:pt>
                <c:pt idx="245">
                  <c:v>0.48583639696537795</c:v>
                </c:pt>
                <c:pt idx="246">
                  <c:v>0.4889832820734365</c:v>
                </c:pt>
                <c:pt idx="247">
                  <c:v>0.49213060384756707</c:v>
                </c:pt>
                <c:pt idx="248">
                  <c:v>0.49527823753839817</c:v>
                </c:pt>
                <c:pt idx="249">
                  <c:v>0.49842605838419507</c:v>
                </c:pt>
                <c:pt idx="250">
                  <c:v>0.50157394161580482</c:v>
                </c:pt>
                <c:pt idx="251">
                  <c:v>0.50472176246160183</c:v>
                </c:pt>
                <c:pt idx="252">
                  <c:v>0.50786939615243298</c:v>
                </c:pt>
                <c:pt idx="253">
                  <c:v>0.51101671792656345</c:v>
                </c:pt>
                <c:pt idx="254">
                  <c:v>0.51416360303462194</c:v>
                </c:pt>
                <c:pt idx="255">
                  <c:v>0.51730992674454512</c:v>
                </c:pt>
                <c:pt idx="256">
                  <c:v>0.52045556434652129</c:v>
                </c:pt>
                <c:pt idx="257">
                  <c:v>0.52360039115793444</c:v>
                </c:pt>
                <c:pt idx="258">
                  <c:v>0.52674428252830463</c:v>
                </c:pt>
                <c:pt idx="259">
                  <c:v>0.5298871138442306</c:v>
                </c:pt>
                <c:pt idx="260">
                  <c:v>0.53302876053432768</c:v>
                </c:pt>
                <c:pt idx="261">
                  <c:v>0.53616909807416602</c:v>
                </c:pt>
                <c:pt idx="262">
                  <c:v>0.5393080019912061</c:v>
                </c:pt>
                <c:pt idx="263">
                  <c:v>0.54244534786973198</c:v>
                </c:pt>
                <c:pt idx="264">
                  <c:v>0.54558101135578396</c:v>
                </c:pt>
                <c:pt idx="265">
                  <c:v>0.54871486816208614</c:v>
                </c:pt>
                <c:pt idx="266">
                  <c:v>0.55184679407297388</c:v>
                </c:pt>
                <c:pt idx="267">
                  <c:v>0.55497666494931641</c:v>
                </c:pt>
                <c:pt idx="268">
                  <c:v>0.55810435673343828</c:v>
                </c:pt>
                <c:pt idx="269">
                  <c:v>0.56122974545403514</c:v>
                </c:pt>
                <c:pt idx="270">
                  <c:v>0.5643527072310891</c:v>
                </c:pt>
                <c:pt idx="271">
                  <c:v>0.56747311828077796</c:v>
                </c:pt>
                <c:pt idx="272">
                  <c:v>0.57059085492038231</c:v>
                </c:pt>
                <c:pt idx="273">
                  <c:v>0.57370579357318674</c:v>
                </c:pt>
                <c:pt idx="274">
                  <c:v>0.57681781077337912</c:v>
                </c:pt>
                <c:pt idx="275">
                  <c:v>0.57992678317094404</c:v>
                </c:pt>
                <c:pt idx="276">
                  <c:v>0.58303258753655196</c:v>
                </c:pt>
                <c:pt idx="277">
                  <c:v>0.58613510076644337</c:v>
                </c:pt>
                <c:pt idx="278">
                  <c:v>0.58923419988730874</c:v>
                </c:pt>
                <c:pt idx="279">
                  <c:v>0.59232976206116217</c:v>
                </c:pt>
                <c:pt idx="280">
                  <c:v>0.59542166459021073</c:v>
                </c:pt>
                <c:pt idx="281">
                  <c:v>0.59850978492171769</c:v>
                </c:pt>
                <c:pt idx="282">
                  <c:v>0.60159400065285995</c:v>
                </c:pt>
                <c:pt idx="283">
                  <c:v>0.60467418953558016</c:v>
                </c:pt>
                <c:pt idx="284">
                  <c:v>0.60775022948143098</c:v>
                </c:pt>
                <c:pt idx="285">
                  <c:v>0.61082199856641595</c:v>
                </c:pt>
                <c:pt idx="286">
                  <c:v>0.61388937503582108</c:v>
                </c:pt>
                <c:pt idx="287">
                  <c:v>0.61695223730904103</c:v>
                </c:pt>
                <c:pt idx="288">
                  <c:v>0.6200104639843983</c:v>
                </c:pt>
                <c:pt idx="289">
                  <c:v>0.62306393384395475</c:v>
                </c:pt>
                <c:pt idx="290">
                  <c:v>0.626112525858317</c:v>
                </c:pt>
                <c:pt idx="291">
                  <c:v>0.62915611919143311</c:v>
                </c:pt>
                <c:pt idx="292">
                  <c:v>0.63219459320538207</c:v>
                </c:pt>
                <c:pt idx="293">
                  <c:v>0.63522782746515594</c:v>
                </c:pt>
                <c:pt idx="294">
                  <c:v>0.63825570174343316</c:v>
                </c:pt>
                <c:pt idx="295">
                  <c:v>0.64127809602534369</c:v>
                </c:pt>
                <c:pt idx="296">
                  <c:v>0.64429489051322653</c:v>
                </c:pt>
                <c:pt idx="297">
                  <c:v>0.64730596563137821</c:v>
                </c:pt>
                <c:pt idx="298">
                  <c:v>0.65031120203079151</c:v>
                </c:pt>
                <c:pt idx="299">
                  <c:v>0.65331048059388719</c:v>
                </c:pt>
                <c:pt idx="300">
                  <c:v>0.65630368243923431</c:v>
                </c:pt>
                <c:pt idx="301">
                  <c:v>0.65929068892626308</c:v>
                </c:pt>
                <c:pt idx="302">
                  <c:v>0.66227138165996713</c:v>
                </c:pt>
                <c:pt idx="303">
                  <c:v>0.66524564249559626</c:v>
                </c:pt>
                <c:pt idx="304">
                  <c:v>0.66821335354333922</c:v>
                </c:pt>
                <c:pt idx="305">
                  <c:v>0.67117439717299676</c:v>
                </c:pt>
                <c:pt idx="306">
                  <c:v>0.67412865601864358</c:v>
                </c:pt>
                <c:pt idx="307">
                  <c:v>0.67707601298328102</c:v>
                </c:pt>
                <c:pt idx="308">
                  <c:v>0.68001635124347781</c:v>
                </c:pt>
                <c:pt idx="309">
                  <c:v>0.68294955425400117</c:v>
                </c:pt>
                <c:pt idx="310">
                  <c:v>0.68587550575243539</c:v>
                </c:pt>
                <c:pt idx="311">
                  <c:v>0.68879408976379075</c:v>
                </c:pt>
                <c:pt idx="312">
                  <c:v>0.69170519060510038</c:v>
                </c:pt>
                <c:pt idx="313">
                  <c:v>0.69460869289000526</c:v>
                </c:pt>
                <c:pt idx="314">
                  <c:v>0.697504481533328</c:v>
                </c:pt>
                <c:pt idx="315">
                  <c:v>0.70039244175563431</c:v>
                </c:pt>
                <c:pt idx="316">
                  <c:v>0.70327245908778213</c:v>
                </c:pt>
                <c:pt idx="317">
                  <c:v>0.70614441937545946</c:v>
                </c:pt>
                <c:pt idx="318">
                  <c:v>0.70900820878370907</c:v>
                </c:pt>
                <c:pt idx="319">
                  <c:v>0.71186371380143942</c:v>
                </c:pt>
                <c:pt idx="320">
                  <c:v>0.71471082124592566</c:v>
                </c:pt>
                <c:pt idx="321">
                  <c:v>0.71754941826729379</c:v>
                </c:pt>
                <c:pt idx="322">
                  <c:v>0.72037939235299564</c:v>
                </c:pt>
                <c:pt idx="323">
                  <c:v>0.72320063133226686</c:v>
                </c:pt>
                <c:pt idx="324">
                  <c:v>0.72601302338057372</c:v>
                </c:pt>
                <c:pt idx="325">
                  <c:v>0.72881645702404607</c:v>
                </c:pt>
                <c:pt idx="326">
                  <c:v>0.73161082114389431</c:v>
                </c:pt>
                <c:pt idx="327">
                  <c:v>0.73439600498081559</c:v>
                </c:pt>
                <c:pt idx="328">
                  <c:v>0.73717189813938133</c:v>
                </c:pt>
                <c:pt idx="329">
                  <c:v>0.73993839059241651</c:v>
                </c:pt>
                <c:pt idx="330">
                  <c:v>0.74269537268535735</c:v>
                </c:pt>
                <c:pt idx="331">
                  <c:v>0.74544273514059989</c:v>
                </c:pt>
                <c:pt idx="332">
                  <c:v>0.74818036906183039</c:v>
                </c:pt>
                <c:pt idx="333">
                  <c:v>0.75090816593834164</c:v>
                </c:pt>
                <c:pt idx="334">
                  <c:v>0.75362601764933479</c:v>
                </c:pt>
                <c:pt idx="335">
                  <c:v>0.75633381646820341</c:v>
                </c:pt>
                <c:pt idx="336">
                  <c:v>0.75903145506680525</c:v>
                </c:pt>
                <c:pt idx="337">
                  <c:v>0.76171882651971456</c:v>
                </c:pt>
                <c:pt idx="338">
                  <c:v>0.76439582430846209</c:v>
                </c:pt>
                <c:pt idx="339">
                  <c:v>0.76706234232575465</c:v>
                </c:pt>
                <c:pt idx="340">
                  <c:v>0.76971827487968403</c:v>
                </c:pt>
                <c:pt idx="341">
                  <c:v>0.77236351669791325</c:v>
                </c:pt>
                <c:pt idx="342">
                  <c:v>0.77499796293185153</c:v>
                </c:pt>
                <c:pt idx="343">
                  <c:v>0.77762150916080852</c:v>
                </c:pt>
                <c:pt idx="344">
                  <c:v>0.78023405139613411</c:v>
                </c:pt>
                <c:pt idx="345">
                  <c:v>0.78283548608533993</c:v>
                </c:pt>
                <c:pt idx="346">
                  <c:v>0.78542571011620343</c:v>
                </c:pt>
                <c:pt idx="347">
                  <c:v>0.78800462082085621</c:v>
                </c:pt>
                <c:pt idx="348">
                  <c:v>0.79057211597985133</c:v>
                </c:pt>
                <c:pt idx="349">
                  <c:v>0.79312809382621685</c:v>
                </c:pt>
                <c:pt idx="350">
                  <c:v>0.79567245304948864</c:v>
                </c:pt>
                <c:pt idx="351">
                  <c:v>0.79820509279972629</c:v>
                </c:pt>
                <c:pt idx="352">
                  <c:v>0.80072591269150994</c:v>
                </c:pt>
                <c:pt idx="353">
                  <c:v>0.80323481280792031</c:v>
                </c:pt>
                <c:pt idx="354">
                  <c:v>0.8057316937044976</c:v>
                </c:pt>
                <c:pt idx="355">
                  <c:v>0.8082164564131844</c:v>
                </c:pt>
                <c:pt idx="356">
                  <c:v>0.81068900244624797</c:v>
                </c:pt>
                <c:pt idx="357">
                  <c:v>0.81314923380018378</c:v>
                </c:pt>
                <c:pt idx="358">
                  <c:v>0.81559705295960072</c:v>
                </c:pt>
                <c:pt idx="359">
                  <c:v>0.81803236290108483</c:v>
                </c:pt>
                <c:pt idx="360">
                  <c:v>0.82045506709704696</c:v>
                </c:pt>
                <c:pt idx="361">
                  <c:v>0.82286506951954708</c:v>
                </c:pt>
                <c:pt idx="362">
                  <c:v>0.82526227464410196</c:v>
                </c:pt>
                <c:pt idx="363">
                  <c:v>0.82764658745347019</c:v>
                </c:pt>
                <c:pt idx="364">
                  <c:v>0.83001791344141862</c:v>
                </c:pt>
                <c:pt idx="365">
                  <c:v>0.83237615861646941</c:v>
                </c:pt>
                <c:pt idx="366">
                  <c:v>0.83472122950562377</c:v>
                </c:pt>
                <c:pt idx="367">
                  <c:v>0.83705303315806845</c:v>
                </c:pt>
                <c:pt idx="368">
                  <c:v>0.83937147714885874</c:v>
                </c:pt>
                <c:pt idx="369">
                  <c:v>0.84167646958258346</c:v>
                </c:pt>
                <c:pt idx="370">
                  <c:v>0.84396791909700508</c:v>
                </c:pt>
                <c:pt idx="371">
                  <c:v>0.84624573486668342</c:v>
                </c:pt>
                <c:pt idx="372">
                  <c:v>0.84850982660657426</c:v>
                </c:pt>
                <c:pt idx="373">
                  <c:v>0.85076010457560836</c:v>
                </c:pt>
                <c:pt idx="374">
                  <c:v>0.85299647958024849</c:v>
                </c:pt>
                <c:pt idx="375">
                  <c:v>0.8552188629780243</c:v>
                </c:pt>
                <c:pt idx="376">
                  <c:v>0.8574271666810469</c:v>
                </c:pt>
                <c:pt idx="377">
                  <c:v>0.85962130315949881</c:v>
                </c:pt>
                <c:pt idx="378">
                  <c:v>0.86180118544510542</c:v>
                </c:pt>
                <c:pt idx="379">
                  <c:v>0.86396672713457978</c:v>
                </c:pt>
                <c:pt idx="380">
                  <c:v>0.86611784239304912</c:v>
                </c:pt>
                <c:pt idx="381">
                  <c:v>0.86825444595745616</c:v>
                </c:pt>
                <c:pt idx="382">
                  <c:v>0.87037645313993917</c:v>
                </c:pt>
                <c:pt idx="383">
                  <c:v>0.87248377983118819</c:v>
                </c:pt>
                <c:pt idx="384">
                  <c:v>0.87457634250377958</c:v>
                </c:pt>
                <c:pt idx="385">
                  <c:v>0.87665405821548581</c:v>
                </c:pt>
                <c:pt idx="386">
                  <c:v>0.8787168446125635</c:v>
                </c:pt>
                <c:pt idx="387">
                  <c:v>0.88076461993301847</c:v>
                </c:pt>
                <c:pt idx="388">
                  <c:v>0.8827973030098446</c:v>
                </c:pt>
                <c:pt idx="389">
                  <c:v>0.88481481327424305</c:v>
                </c:pt>
                <c:pt idx="390">
                  <c:v>0.88681707075881411</c:v>
                </c:pt>
                <c:pt idx="391">
                  <c:v>0.88880399610072813</c:v>
                </c:pt>
                <c:pt idx="392">
                  <c:v>0.89077551054487025</c:v>
                </c:pt>
                <c:pt idx="393">
                  <c:v>0.89273153594696253</c:v>
                </c:pt>
                <c:pt idx="394">
                  <c:v>0.89467199477666082</c:v>
                </c:pt>
                <c:pt idx="395">
                  <c:v>0.89659681012062897</c:v>
                </c:pt>
                <c:pt idx="396">
                  <c:v>0.89850590568558575</c:v>
                </c:pt>
                <c:pt idx="397">
                  <c:v>0.90039920580133004</c:v>
                </c:pt>
                <c:pt idx="398">
                  <c:v>0.90227663542373993</c:v>
                </c:pt>
                <c:pt idx="399">
                  <c:v>0.90413812013774664</c:v>
                </c:pt>
                <c:pt idx="400">
                  <c:v>0.9059835861602854</c:v>
                </c:pt>
                <c:pt idx="401">
                  <c:v>0.9078129603432179</c:v>
                </c:pt>
                <c:pt idx="402">
                  <c:v>0.90962617017623426</c:v>
                </c:pt>
                <c:pt idx="403">
                  <c:v>0.91142314378972433</c:v>
                </c:pt>
                <c:pt idx="404">
                  <c:v>0.91320380995762895</c:v>
                </c:pt>
                <c:pt idx="405">
                  <c:v>0.91496809810026081</c:v>
                </c:pt>
                <c:pt idx="406">
                  <c:v>0.91671593828710374</c:v>
                </c:pt>
                <c:pt idx="407">
                  <c:v>0.91844726123958387</c:v>
                </c:pt>
                <c:pt idx="408">
                  <c:v>0.92016199833381507</c:v>
                </c:pt>
                <c:pt idx="409">
                  <c:v>0.92186008160332</c:v>
                </c:pt>
                <c:pt idx="410">
                  <c:v>0.92354144374172342</c:v>
                </c:pt>
                <c:pt idx="411">
                  <c:v>0.92520601810542002</c:v>
                </c:pt>
                <c:pt idx="412">
                  <c:v>0.9268537387162159</c:v>
                </c:pt>
                <c:pt idx="413">
                  <c:v>0.92848454026394456</c:v>
                </c:pt>
                <c:pt idx="414">
                  <c:v>0.93009835810905406</c:v>
                </c:pt>
                <c:pt idx="415">
                  <c:v>0.93169512828517065</c:v>
                </c:pt>
                <c:pt idx="416">
                  <c:v>0.93327478750163317</c:v>
                </c:pt>
                <c:pt idx="417">
                  <c:v>0.93483727314600207</c:v>
                </c:pt>
                <c:pt idx="418">
                  <c:v>0.93638252328654126</c:v>
                </c:pt>
                <c:pt idx="419">
                  <c:v>0.9379104766746722</c:v>
                </c:pt>
                <c:pt idx="420">
                  <c:v>0.93942107274740294</c:v>
                </c:pt>
                <c:pt idx="421">
                  <c:v>0.94091425162972686</c:v>
                </c:pt>
                <c:pt idx="422">
                  <c:v>0.94238995413699778</c:v>
                </c:pt>
                <c:pt idx="423">
                  <c:v>0.94384812177727417</c:v>
                </c:pt>
                <c:pt idx="424">
                  <c:v>0.94528869675363891</c:v>
                </c:pt>
                <c:pt idx="425">
                  <c:v>0.94671162196648917</c:v>
                </c:pt>
                <c:pt idx="426">
                  <c:v>0.94811684101580029</c:v>
                </c:pt>
                <c:pt idx="427">
                  <c:v>0.94950429820336102</c:v>
                </c:pt>
                <c:pt idx="428">
                  <c:v>0.95087393853498114</c:v>
                </c:pt>
                <c:pt idx="429">
                  <c:v>0.95222570772267157</c:v>
                </c:pt>
                <c:pt idx="430">
                  <c:v>0.95355955218679578</c:v>
                </c:pt>
                <c:pt idx="431">
                  <c:v>0.95487541905819395</c:v>
                </c:pt>
                <c:pt idx="432">
                  <c:v>0.95617325618027782</c:v>
                </c:pt>
                <c:pt idx="433">
                  <c:v>0.9574530121110989</c:v>
                </c:pt>
                <c:pt idx="434">
                  <c:v>0.95871463612538665</c:v>
                </c:pt>
                <c:pt idx="435">
                  <c:v>0.95995807821655976</c:v>
                </c:pt>
                <c:pt idx="436">
                  <c:v>0.96118328909870754</c:v>
                </c:pt>
                <c:pt idx="437">
                  <c:v>0.96239022020854426</c:v>
                </c:pt>
                <c:pt idx="438">
                  <c:v>0.96357882370733328</c:v>
                </c:pt>
                <c:pt idx="439">
                  <c:v>0.96474905248278331</c:v>
                </c:pt>
                <c:pt idx="440">
                  <c:v>0.9659008601509167</c:v>
                </c:pt>
                <c:pt idx="441">
                  <c:v>0.9670342010579065</c:v>
                </c:pt>
                <c:pt idx="442">
                  <c:v>0.96814903028188737</c:v>
                </c:pt>
                <c:pt idx="443">
                  <c:v>0.96924530363473493</c:v>
                </c:pt>
                <c:pt idx="444">
                  <c:v>0.97032297766381859</c:v>
                </c:pt>
                <c:pt idx="445">
                  <c:v>0.97138200965372234</c:v>
                </c:pt>
                <c:pt idx="446">
                  <c:v>0.97242235762793938</c:v>
                </c:pt>
                <c:pt idx="447">
                  <c:v>0.97344398035053437</c:v>
                </c:pt>
                <c:pt idx="448">
                  <c:v>0.97444683732777948</c:v>
                </c:pt>
                <c:pt idx="449">
                  <c:v>0.97543088880975826</c:v>
                </c:pt>
                <c:pt idx="450">
                  <c:v>0.97639609579194131</c:v>
                </c:pt>
                <c:pt idx="451">
                  <c:v>0.97734242001673288</c:v>
                </c:pt>
                <c:pt idx="452">
                  <c:v>0.97826982397498718</c:v>
                </c:pt>
                <c:pt idx="453">
                  <c:v>0.97917827090749432</c:v>
                </c:pt>
                <c:pt idx="454">
                  <c:v>0.98006772480643811</c:v>
                </c:pt>
                <c:pt idx="455">
                  <c:v>0.98093815041682331</c:v>
                </c:pt>
                <c:pt idx="456">
                  <c:v>0.98178951323787245</c:v>
                </c:pt>
                <c:pt idx="457">
                  <c:v>0.98262177952439389</c:v>
                </c:pt>
                <c:pt idx="458">
                  <c:v>0.98343491628811885</c:v>
                </c:pt>
                <c:pt idx="459">
                  <c:v>0.98422889129900959</c:v>
                </c:pt>
                <c:pt idx="460">
                  <c:v>0.98500367308653625</c:v>
                </c:pt>
                <c:pt idx="461">
                  <c:v>0.98575923094092466</c:v>
                </c:pt>
                <c:pt idx="462">
                  <c:v>0.98649553491437336</c:v>
                </c:pt>
                <c:pt idx="463">
                  <c:v>0.98721255582224088</c:v>
                </c:pt>
                <c:pt idx="464">
                  <c:v>0.98791026524420245</c:v>
                </c:pt>
                <c:pt idx="465">
                  <c:v>0.98858863552537568</c:v>
                </c:pt>
                <c:pt idx="466">
                  <c:v>0.98924763977741859</c:v>
                </c:pt>
                <c:pt idx="467">
                  <c:v>0.98988725187959314</c:v>
                </c:pt>
                <c:pt idx="468">
                  <c:v>0.99050744647980227</c:v>
                </c:pt>
                <c:pt idx="469">
                  <c:v>0.99110819899559388</c:v>
                </c:pt>
                <c:pt idx="470">
                  <c:v>0.99168948561513559</c:v>
                </c:pt>
                <c:pt idx="471">
                  <c:v>0.99225128329815826</c:v>
                </c:pt>
                <c:pt idx="472">
                  <c:v>0.99279356977686972</c:v>
                </c:pt>
                <c:pt idx="473">
                  <c:v>0.99331632355683674</c:v>
                </c:pt>
                <c:pt idx="474">
                  <c:v>0.99381952391783734</c:v>
                </c:pt>
                <c:pt idx="475">
                  <c:v>0.99430315091468235</c:v>
                </c:pt>
                <c:pt idx="476">
                  <c:v>0.99476718537800535</c:v>
                </c:pt>
                <c:pt idx="477">
                  <c:v>0.99521160891502314</c:v>
                </c:pt>
                <c:pt idx="478">
                  <c:v>0.99563640391026409</c:v>
                </c:pt>
                <c:pt idx="479">
                  <c:v>0.996041553526267</c:v>
                </c:pt>
                <c:pt idx="480">
                  <c:v>0.99642704170424801</c:v>
                </c:pt>
                <c:pt idx="481">
                  <c:v>0.9967928531647372</c:v>
                </c:pt>
                <c:pt idx="482">
                  <c:v>0.9971389734081848</c:v>
                </c:pt>
                <c:pt idx="483">
                  <c:v>0.99746538871553492</c:v>
                </c:pt>
                <c:pt idx="484">
                  <c:v>0.99777208614877</c:v>
                </c:pt>
                <c:pt idx="485">
                  <c:v>0.99805905355142333</c:v>
                </c:pt>
                <c:pt idx="486">
                  <c:v>0.99832627954906128</c:v>
                </c:pt>
                <c:pt idx="487">
                  <c:v>0.99857375354973366</c:v>
                </c:pt>
                <c:pt idx="488">
                  <c:v>0.99880146574439399</c:v>
                </c:pt>
                <c:pt idx="489">
                  <c:v>0.99900940710728769</c:v>
                </c:pt>
                <c:pt idx="490">
                  <c:v>0.99919756939631066</c:v>
                </c:pt>
                <c:pt idx="491">
                  <c:v>0.99936594515333521</c:v>
                </c:pt>
                <c:pt idx="492">
                  <c:v>0.99951452770450611</c:v>
                </c:pt>
                <c:pt idx="493">
                  <c:v>0.9996433111605052</c:v>
                </c:pt>
                <c:pt idx="494">
                  <c:v>0.99975229041678437</c:v>
                </c:pt>
                <c:pt idx="495">
                  <c:v>0.99984146115376804</c:v>
                </c:pt>
                <c:pt idx="496">
                  <c:v>0.99991081983702479</c:v>
                </c:pt>
                <c:pt idx="497">
                  <c:v>0.99996036371740704</c:v>
                </c:pt>
                <c:pt idx="498">
                  <c:v>0.99999009083116008</c:v>
                </c:pt>
                <c:pt idx="499">
                  <c:v>1</c:v>
                </c:pt>
              </c:numCache>
            </c:numRef>
          </c:xVal>
          <c:yVal>
            <c:numRef>
              <c:f>Data5!$Y$1:$Y$500</c:f>
              <c:numCache>
                <c:formatCode>0.00000</c:formatCode>
                <c:ptCount val="500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3">
                  <c:v>-0.5</c:v>
                </c:pt>
                <c:pt idx="54">
                  <c:v>-0.5</c:v>
                </c:pt>
                <c:pt idx="55">
                  <c:v>-0.5</c:v>
                </c:pt>
                <c:pt idx="56">
                  <c:v>-0.5</c:v>
                </c:pt>
                <c:pt idx="57">
                  <c:v>-0.5</c:v>
                </c:pt>
                <c:pt idx="58">
                  <c:v>-0.5</c:v>
                </c:pt>
                <c:pt idx="59">
                  <c:v>-0.5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-0.5</c:v>
                </c:pt>
                <c:pt idx="66">
                  <c:v>-0.5</c:v>
                </c:pt>
                <c:pt idx="67">
                  <c:v>-0.5</c:v>
                </c:pt>
                <c:pt idx="68">
                  <c:v>-0.5</c:v>
                </c:pt>
                <c:pt idx="69">
                  <c:v>-0.5</c:v>
                </c:pt>
                <c:pt idx="70">
                  <c:v>-0.5</c:v>
                </c:pt>
                <c:pt idx="71">
                  <c:v>-0.5</c:v>
                </c:pt>
                <c:pt idx="72">
                  <c:v>-0.5</c:v>
                </c:pt>
                <c:pt idx="73">
                  <c:v>-0.5</c:v>
                </c:pt>
                <c:pt idx="74">
                  <c:v>-0.5</c:v>
                </c:pt>
                <c:pt idx="75">
                  <c:v>-0.5</c:v>
                </c:pt>
                <c:pt idx="76">
                  <c:v>-0.5</c:v>
                </c:pt>
                <c:pt idx="77">
                  <c:v>-0.5</c:v>
                </c:pt>
                <c:pt idx="78">
                  <c:v>-0.5</c:v>
                </c:pt>
                <c:pt idx="79">
                  <c:v>-0.5</c:v>
                </c:pt>
                <c:pt idx="80">
                  <c:v>-0.5</c:v>
                </c:pt>
                <c:pt idx="81">
                  <c:v>-0.5</c:v>
                </c:pt>
                <c:pt idx="82">
                  <c:v>-0.5</c:v>
                </c:pt>
                <c:pt idx="83">
                  <c:v>-0.5</c:v>
                </c:pt>
                <c:pt idx="84">
                  <c:v>-0.5</c:v>
                </c:pt>
                <c:pt idx="85">
                  <c:v>-0.5</c:v>
                </c:pt>
                <c:pt idx="86">
                  <c:v>-0.5</c:v>
                </c:pt>
                <c:pt idx="87">
                  <c:v>-0.5</c:v>
                </c:pt>
                <c:pt idx="88">
                  <c:v>-0.5</c:v>
                </c:pt>
                <c:pt idx="89">
                  <c:v>-0.5</c:v>
                </c:pt>
                <c:pt idx="90">
                  <c:v>-0.5</c:v>
                </c:pt>
                <c:pt idx="91">
                  <c:v>-0.5</c:v>
                </c:pt>
                <c:pt idx="92">
                  <c:v>-0.5</c:v>
                </c:pt>
                <c:pt idx="93">
                  <c:v>-0.5</c:v>
                </c:pt>
                <c:pt idx="94">
                  <c:v>-0.5</c:v>
                </c:pt>
                <c:pt idx="95">
                  <c:v>-0.5</c:v>
                </c:pt>
                <c:pt idx="96">
                  <c:v>-0.5</c:v>
                </c:pt>
                <c:pt idx="97">
                  <c:v>-0.5</c:v>
                </c:pt>
                <c:pt idx="98">
                  <c:v>-0.5</c:v>
                </c:pt>
                <c:pt idx="99">
                  <c:v>-0.5</c:v>
                </c:pt>
                <c:pt idx="100">
                  <c:v>-0.5</c:v>
                </c:pt>
                <c:pt idx="101">
                  <c:v>-0.5</c:v>
                </c:pt>
                <c:pt idx="102">
                  <c:v>-0.5</c:v>
                </c:pt>
                <c:pt idx="103">
                  <c:v>-0.5</c:v>
                </c:pt>
                <c:pt idx="104">
                  <c:v>-0.5</c:v>
                </c:pt>
                <c:pt idx="105">
                  <c:v>-0.5</c:v>
                </c:pt>
                <c:pt idx="106">
                  <c:v>-0.5</c:v>
                </c:pt>
                <c:pt idx="107">
                  <c:v>-0.5</c:v>
                </c:pt>
                <c:pt idx="108">
                  <c:v>-0.5</c:v>
                </c:pt>
                <c:pt idx="109">
                  <c:v>-0.5</c:v>
                </c:pt>
                <c:pt idx="110">
                  <c:v>-0.5</c:v>
                </c:pt>
                <c:pt idx="111">
                  <c:v>-0.5</c:v>
                </c:pt>
                <c:pt idx="112">
                  <c:v>-0.5</c:v>
                </c:pt>
                <c:pt idx="113">
                  <c:v>-0.5</c:v>
                </c:pt>
                <c:pt idx="114">
                  <c:v>-0.5</c:v>
                </c:pt>
                <c:pt idx="115">
                  <c:v>-0.5</c:v>
                </c:pt>
                <c:pt idx="116">
                  <c:v>-0.5</c:v>
                </c:pt>
                <c:pt idx="117">
                  <c:v>-0.5</c:v>
                </c:pt>
                <c:pt idx="118">
                  <c:v>-0.5</c:v>
                </c:pt>
                <c:pt idx="119">
                  <c:v>-0.5</c:v>
                </c:pt>
                <c:pt idx="120">
                  <c:v>-0.5</c:v>
                </c:pt>
                <c:pt idx="121">
                  <c:v>-0.5</c:v>
                </c:pt>
                <c:pt idx="122">
                  <c:v>-0.5</c:v>
                </c:pt>
                <c:pt idx="123">
                  <c:v>-0.5</c:v>
                </c:pt>
                <c:pt idx="124">
                  <c:v>-0.5</c:v>
                </c:pt>
                <c:pt idx="125">
                  <c:v>-0.5</c:v>
                </c:pt>
                <c:pt idx="126">
                  <c:v>-0.5</c:v>
                </c:pt>
                <c:pt idx="127">
                  <c:v>-0.5</c:v>
                </c:pt>
                <c:pt idx="128">
                  <c:v>-0.5</c:v>
                </c:pt>
                <c:pt idx="129">
                  <c:v>-0.5</c:v>
                </c:pt>
                <c:pt idx="130">
                  <c:v>-0.5</c:v>
                </c:pt>
                <c:pt idx="131">
                  <c:v>-0.5</c:v>
                </c:pt>
                <c:pt idx="132">
                  <c:v>-0.5</c:v>
                </c:pt>
                <c:pt idx="133">
                  <c:v>-0.5</c:v>
                </c:pt>
                <c:pt idx="134">
                  <c:v>-0.5</c:v>
                </c:pt>
                <c:pt idx="135">
                  <c:v>-0.5</c:v>
                </c:pt>
                <c:pt idx="136">
                  <c:v>-0.5</c:v>
                </c:pt>
                <c:pt idx="137">
                  <c:v>-0.5</c:v>
                </c:pt>
                <c:pt idx="138">
                  <c:v>-0.5</c:v>
                </c:pt>
                <c:pt idx="139">
                  <c:v>-0.5</c:v>
                </c:pt>
                <c:pt idx="140">
                  <c:v>-0.5</c:v>
                </c:pt>
                <c:pt idx="141">
                  <c:v>-0.5</c:v>
                </c:pt>
                <c:pt idx="142">
                  <c:v>-0.5</c:v>
                </c:pt>
                <c:pt idx="143">
                  <c:v>-0.5</c:v>
                </c:pt>
                <c:pt idx="144">
                  <c:v>-0.5</c:v>
                </c:pt>
                <c:pt idx="145">
                  <c:v>-0.5</c:v>
                </c:pt>
                <c:pt idx="146">
                  <c:v>-0.5</c:v>
                </c:pt>
                <c:pt idx="147">
                  <c:v>-0.5</c:v>
                </c:pt>
                <c:pt idx="148">
                  <c:v>-0.5</c:v>
                </c:pt>
                <c:pt idx="149">
                  <c:v>-0.5</c:v>
                </c:pt>
                <c:pt idx="150">
                  <c:v>-0.5</c:v>
                </c:pt>
                <c:pt idx="151">
                  <c:v>-0.5</c:v>
                </c:pt>
                <c:pt idx="152">
                  <c:v>-0.5</c:v>
                </c:pt>
                <c:pt idx="153">
                  <c:v>-0.5</c:v>
                </c:pt>
                <c:pt idx="154">
                  <c:v>-0.5</c:v>
                </c:pt>
                <c:pt idx="155">
                  <c:v>-0.5</c:v>
                </c:pt>
                <c:pt idx="156">
                  <c:v>-0.5</c:v>
                </c:pt>
                <c:pt idx="157">
                  <c:v>-0.5</c:v>
                </c:pt>
                <c:pt idx="158">
                  <c:v>-0.5</c:v>
                </c:pt>
                <c:pt idx="159">
                  <c:v>-0.5</c:v>
                </c:pt>
                <c:pt idx="160">
                  <c:v>-0.5</c:v>
                </c:pt>
                <c:pt idx="161">
                  <c:v>-0.5</c:v>
                </c:pt>
                <c:pt idx="162">
                  <c:v>-0.5</c:v>
                </c:pt>
                <c:pt idx="163">
                  <c:v>-0.5</c:v>
                </c:pt>
                <c:pt idx="164">
                  <c:v>-0.5</c:v>
                </c:pt>
                <c:pt idx="165">
                  <c:v>-0.5</c:v>
                </c:pt>
                <c:pt idx="166">
                  <c:v>-0.5</c:v>
                </c:pt>
                <c:pt idx="167">
                  <c:v>-0.5</c:v>
                </c:pt>
                <c:pt idx="168">
                  <c:v>-0.5</c:v>
                </c:pt>
                <c:pt idx="169">
                  <c:v>-0.5</c:v>
                </c:pt>
                <c:pt idx="170">
                  <c:v>-0.5</c:v>
                </c:pt>
                <c:pt idx="171">
                  <c:v>-0.5</c:v>
                </c:pt>
                <c:pt idx="172">
                  <c:v>-0.5</c:v>
                </c:pt>
                <c:pt idx="173">
                  <c:v>-0.5</c:v>
                </c:pt>
                <c:pt idx="174">
                  <c:v>-0.5</c:v>
                </c:pt>
                <c:pt idx="175">
                  <c:v>-0.5</c:v>
                </c:pt>
                <c:pt idx="176">
                  <c:v>-0.5</c:v>
                </c:pt>
                <c:pt idx="177">
                  <c:v>-0.5</c:v>
                </c:pt>
                <c:pt idx="178">
                  <c:v>-0.5</c:v>
                </c:pt>
                <c:pt idx="179">
                  <c:v>-0.5</c:v>
                </c:pt>
                <c:pt idx="180">
                  <c:v>-0.5</c:v>
                </c:pt>
                <c:pt idx="181">
                  <c:v>-0.5</c:v>
                </c:pt>
                <c:pt idx="182">
                  <c:v>-0.5</c:v>
                </c:pt>
                <c:pt idx="183">
                  <c:v>-0.5</c:v>
                </c:pt>
                <c:pt idx="184">
                  <c:v>-0.5</c:v>
                </c:pt>
                <c:pt idx="185">
                  <c:v>-0.5</c:v>
                </c:pt>
                <c:pt idx="186">
                  <c:v>-0.5</c:v>
                </c:pt>
                <c:pt idx="187">
                  <c:v>-0.5</c:v>
                </c:pt>
                <c:pt idx="188">
                  <c:v>-0.5</c:v>
                </c:pt>
                <c:pt idx="189">
                  <c:v>-0.5</c:v>
                </c:pt>
                <c:pt idx="190">
                  <c:v>-0.5</c:v>
                </c:pt>
                <c:pt idx="191">
                  <c:v>-0.5</c:v>
                </c:pt>
                <c:pt idx="192">
                  <c:v>-0.5</c:v>
                </c:pt>
                <c:pt idx="193">
                  <c:v>-0.5</c:v>
                </c:pt>
                <c:pt idx="194">
                  <c:v>-0.5</c:v>
                </c:pt>
                <c:pt idx="195">
                  <c:v>-0.5</c:v>
                </c:pt>
                <c:pt idx="196">
                  <c:v>-0.5</c:v>
                </c:pt>
                <c:pt idx="197">
                  <c:v>-0.5</c:v>
                </c:pt>
                <c:pt idx="198">
                  <c:v>-0.5</c:v>
                </c:pt>
                <c:pt idx="199">
                  <c:v>-0.5</c:v>
                </c:pt>
                <c:pt idx="200">
                  <c:v>-0.5</c:v>
                </c:pt>
                <c:pt idx="201">
                  <c:v>-0.5</c:v>
                </c:pt>
                <c:pt idx="202">
                  <c:v>-0.5</c:v>
                </c:pt>
                <c:pt idx="203">
                  <c:v>-0.5</c:v>
                </c:pt>
                <c:pt idx="204">
                  <c:v>-0.5</c:v>
                </c:pt>
                <c:pt idx="205">
                  <c:v>-0.5</c:v>
                </c:pt>
                <c:pt idx="206">
                  <c:v>-0.5</c:v>
                </c:pt>
                <c:pt idx="207">
                  <c:v>-0.5</c:v>
                </c:pt>
                <c:pt idx="208">
                  <c:v>-0.5</c:v>
                </c:pt>
                <c:pt idx="209">
                  <c:v>-0.5</c:v>
                </c:pt>
                <c:pt idx="210">
                  <c:v>-0.5</c:v>
                </c:pt>
                <c:pt idx="211">
                  <c:v>-0.5</c:v>
                </c:pt>
                <c:pt idx="212">
                  <c:v>-0.5</c:v>
                </c:pt>
                <c:pt idx="213">
                  <c:v>-0.5</c:v>
                </c:pt>
                <c:pt idx="214">
                  <c:v>-0.5</c:v>
                </c:pt>
                <c:pt idx="215">
                  <c:v>-0.5</c:v>
                </c:pt>
                <c:pt idx="216">
                  <c:v>-0.5</c:v>
                </c:pt>
                <c:pt idx="217">
                  <c:v>-0.5</c:v>
                </c:pt>
                <c:pt idx="218">
                  <c:v>-0.5</c:v>
                </c:pt>
                <c:pt idx="219">
                  <c:v>-0.5</c:v>
                </c:pt>
                <c:pt idx="220">
                  <c:v>-0.5</c:v>
                </c:pt>
                <c:pt idx="221">
                  <c:v>-0.5</c:v>
                </c:pt>
                <c:pt idx="222">
                  <c:v>-0.5</c:v>
                </c:pt>
                <c:pt idx="223">
                  <c:v>-0.5</c:v>
                </c:pt>
                <c:pt idx="224">
                  <c:v>-0.5</c:v>
                </c:pt>
                <c:pt idx="225">
                  <c:v>-0.5</c:v>
                </c:pt>
                <c:pt idx="226">
                  <c:v>-0.5</c:v>
                </c:pt>
                <c:pt idx="227">
                  <c:v>-0.5</c:v>
                </c:pt>
                <c:pt idx="228">
                  <c:v>-0.5</c:v>
                </c:pt>
                <c:pt idx="229">
                  <c:v>-0.5</c:v>
                </c:pt>
                <c:pt idx="230">
                  <c:v>-0.5</c:v>
                </c:pt>
                <c:pt idx="231">
                  <c:v>-0.5</c:v>
                </c:pt>
                <c:pt idx="232">
                  <c:v>-0.5</c:v>
                </c:pt>
                <c:pt idx="233">
                  <c:v>-0.5</c:v>
                </c:pt>
                <c:pt idx="234">
                  <c:v>-0.5</c:v>
                </c:pt>
                <c:pt idx="235">
                  <c:v>-0.5</c:v>
                </c:pt>
                <c:pt idx="236">
                  <c:v>-0.5</c:v>
                </c:pt>
                <c:pt idx="237">
                  <c:v>-0.5</c:v>
                </c:pt>
                <c:pt idx="238">
                  <c:v>-0.5</c:v>
                </c:pt>
                <c:pt idx="239">
                  <c:v>-0.5</c:v>
                </c:pt>
                <c:pt idx="240">
                  <c:v>-0.5</c:v>
                </c:pt>
                <c:pt idx="241">
                  <c:v>-0.5</c:v>
                </c:pt>
                <c:pt idx="242">
                  <c:v>-0.5</c:v>
                </c:pt>
                <c:pt idx="243">
                  <c:v>-0.5</c:v>
                </c:pt>
                <c:pt idx="244">
                  <c:v>-0.5</c:v>
                </c:pt>
                <c:pt idx="245">
                  <c:v>-0.5</c:v>
                </c:pt>
                <c:pt idx="246">
                  <c:v>-0.5</c:v>
                </c:pt>
                <c:pt idx="247">
                  <c:v>-0.5</c:v>
                </c:pt>
                <c:pt idx="248">
                  <c:v>-0.5</c:v>
                </c:pt>
                <c:pt idx="249">
                  <c:v>-0.5</c:v>
                </c:pt>
                <c:pt idx="250">
                  <c:v>-0.5</c:v>
                </c:pt>
                <c:pt idx="251">
                  <c:v>-0.5</c:v>
                </c:pt>
                <c:pt idx="252">
                  <c:v>-0.5</c:v>
                </c:pt>
                <c:pt idx="253">
                  <c:v>-0.5</c:v>
                </c:pt>
                <c:pt idx="254">
                  <c:v>-0.5</c:v>
                </c:pt>
                <c:pt idx="255">
                  <c:v>-0.5</c:v>
                </c:pt>
                <c:pt idx="256">
                  <c:v>-0.5</c:v>
                </c:pt>
                <c:pt idx="257">
                  <c:v>-0.5</c:v>
                </c:pt>
                <c:pt idx="258">
                  <c:v>-0.5</c:v>
                </c:pt>
                <c:pt idx="259">
                  <c:v>-0.5</c:v>
                </c:pt>
                <c:pt idx="260">
                  <c:v>-0.5</c:v>
                </c:pt>
                <c:pt idx="261">
                  <c:v>-0.5</c:v>
                </c:pt>
                <c:pt idx="262">
                  <c:v>-0.5</c:v>
                </c:pt>
                <c:pt idx="263">
                  <c:v>-0.5</c:v>
                </c:pt>
                <c:pt idx="264">
                  <c:v>-0.5</c:v>
                </c:pt>
                <c:pt idx="265">
                  <c:v>-0.5</c:v>
                </c:pt>
                <c:pt idx="266">
                  <c:v>-0.5</c:v>
                </c:pt>
                <c:pt idx="267">
                  <c:v>-0.5</c:v>
                </c:pt>
                <c:pt idx="268">
                  <c:v>-0.5</c:v>
                </c:pt>
                <c:pt idx="269">
                  <c:v>-0.5</c:v>
                </c:pt>
                <c:pt idx="270">
                  <c:v>-0.5</c:v>
                </c:pt>
                <c:pt idx="271">
                  <c:v>-0.5</c:v>
                </c:pt>
                <c:pt idx="272">
                  <c:v>-0.5</c:v>
                </c:pt>
                <c:pt idx="273">
                  <c:v>-0.5</c:v>
                </c:pt>
                <c:pt idx="274">
                  <c:v>-0.5</c:v>
                </c:pt>
                <c:pt idx="275">
                  <c:v>-0.5</c:v>
                </c:pt>
                <c:pt idx="276">
                  <c:v>-0.5</c:v>
                </c:pt>
                <c:pt idx="277">
                  <c:v>-0.5</c:v>
                </c:pt>
                <c:pt idx="278">
                  <c:v>-0.5</c:v>
                </c:pt>
                <c:pt idx="279">
                  <c:v>-0.5</c:v>
                </c:pt>
                <c:pt idx="280">
                  <c:v>-0.5</c:v>
                </c:pt>
                <c:pt idx="281">
                  <c:v>-0.5</c:v>
                </c:pt>
                <c:pt idx="282">
                  <c:v>-0.5</c:v>
                </c:pt>
                <c:pt idx="283">
                  <c:v>-0.5</c:v>
                </c:pt>
                <c:pt idx="284">
                  <c:v>-0.5</c:v>
                </c:pt>
                <c:pt idx="285">
                  <c:v>-0.5</c:v>
                </c:pt>
                <c:pt idx="286">
                  <c:v>-0.5</c:v>
                </c:pt>
                <c:pt idx="287">
                  <c:v>-0.5</c:v>
                </c:pt>
                <c:pt idx="288">
                  <c:v>-0.5</c:v>
                </c:pt>
                <c:pt idx="289">
                  <c:v>-0.5</c:v>
                </c:pt>
                <c:pt idx="290">
                  <c:v>-0.5</c:v>
                </c:pt>
                <c:pt idx="291">
                  <c:v>-0.5</c:v>
                </c:pt>
                <c:pt idx="292">
                  <c:v>-0.5</c:v>
                </c:pt>
                <c:pt idx="293">
                  <c:v>-0.5</c:v>
                </c:pt>
                <c:pt idx="294">
                  <c:v>-0.5</c:v>
                </c:pt>
                <c:pt idx="295">
                  <c:v>-0.5</c:v>
                </c:pt>
                <c:pt idx="296">
                  <c:v>-0.5</c:v>
                </c:pt>
                <c:pt idx="297">
                  <c:v>-0.5</c:v>
                </c:pt>
                <c:pt idx="298">
                  <c:v>-0.5</c:v>
                </c:pt>
                <c:pt idx="299">
                  <c:v>-0.5</c:v>
                </c:pt>
                <c:pt idx="300">
                  <c:v>-0.5</c:v>
                </c:pt>
                <c:pt idx="301">
                  <c:v>-0.5</c:v>
                </c:pt>
                <c:pt idx="302">
                  <c:v>-0.5</c:v>
                </c:pt>
                <c:pt idx="303">
                  <c:v>-0.5</c:v>
                </c:pt>
                <c:pt idx="304">
                  <c:v>-0.5</c:v>
                </c:pt>
                <c:pt idx="305">
                  <c:v>-0.5</c:v>
                </c:pt>
                <c:pt idx="306">
                  <c:v>-0.5</c:v>
                </c:pt>
                <c:pt idx="307">
                  <c:v>-0.5</c:v>
                </c:pt>
                <c:pt idx="308">
                  <c:v>-0.5</c:v>
                </c:pt>
                <c:pt idx="309">
                  <c:v>-0.5</c:v>
                </c:pt>
                <c:pt idx="310">
                  <c:v>-0.5</c:v>
                </c:pt>
                <c:pt idx="311">
                  <c:v>-0.5</c:v>
                </c:pt>
                <c:pt idx="312">
                  <c:v>-0.5</c:v>
                </c:pt>
                <c:pt idx="313">
                  <c:v>-0.5</c:v>
                </c:pt>
                <c:pt idx="314">
                  <c:v>-0.5</c:v>
                </c:pt>
                <c:pt idx="315">
                  <c:v>-0.5</c:v>
                </c:pt>
                <c:pt idx="316">
                  <c:v>-0.5</c:v>
                </c:pt>
                <c:pt idx="317">
                  <c:v>-0.5</c:v>
                </c:pt>
                <c:pt idx="318">
                  <c:v>-0.5</c:v>
                </c:pt>
                <c:pt idx="319">
                  <c:v>-0.5</c:v>
                </c:pt>
                <c:pt idx="320">
                  <c:v>-0.5</c:v>
                </c:pt>
                <c:pt idx="321">
                  <c:v>-0.5</c:v>
                </c:pt>
                <c:pt idx="322">
                  <c:v>-0.5</c:v>
                </c:pt>
                <c:pt idx="323">
                  <c:v>-0.5</c:v>
                </c:pt>
                <c:pt idx="324">
                  <c:v>-0.5</c:v>
                </c:pt>
                <c:pt idx="325">
                  <c:v>-0.5</c:v>
                </c:pt>
                <c:pt idx="326">
                  <c:v>-0.5</c:v>
                </c:pt>
                <c:pt idx="327">
                  <c:v>-0.5</c:v>
                </c:pt>
                <c:pt idx="328">
                  <c:v>-0.5</c:v>
                </c:pt>
                <c:pt idx="329">
                  <c:v>-0.5</c:v>
                </c:pt>
                <c:pt idx="330">
                  <c:v>-0.5</c:v>
                </c:pt>
                <c:pt idx="331">
                  <c:v>-0.5</c:v>
                </c:pt>
                <c:pt idx="332">
                  <c:v>-0.5</c:v>
                </c:pt>
                <c:pt idx="333">
                  <c:v>-0.5</c:v>
                </c:pt>
                <c:pt idx="334">
                  <c:v>-0.5</c:v>
                </c:pt>
                <c:pt idx="335">
                  <c:v>-0.5</c:v>
                </c:pt>
                <c:pt idx="336">
                  <c:v>-0.5</c:v>
                </c:pt>
                <c:pt idx="337">
                  <c:v>-0.5</c:v>
                </c:pt>
                <c:pt idx="338">
                  <c:v>-0.5</c:v>
                </c:pt>
                <c:pt idx="339">
                  <c:v>-0.5</c:v>
                </c:pt>
                <c:pt idx="340">
                  <c:v>-0.5</c:v>
                </c:pt>
                <c:pt idx="341">
                  <c:v>-0.5</c:v>
                </c:pt>
                <c:pt idx="342">
                  <c:v>-0.5</c:v>
                </c:pt>
                <c:pt idx="343">
                  <c:v>-0.5</c:v>
                </c:pt>
                <c:pt idx="344">
                  <c:v>-0.5</c:v>
                </c:pt>
                <c:pt idx="345">
                  <c:v>-0.5</c:v>
                </c:pt>
                <c:pt idx="346">
                  <c:v>-0.5</c:v>
                </c:pt>
                <c:pt idx="347">
                  <c:v>-0.5</c:v>
                </c:pt>
                <c:pt idx="348">
                  <c:v>-0.5</c:v>
                </c:pt>
                <c:pt idx="349">
                  <c:v>-0.5</c:v>
                </c:pt>
                <c:pt idx="350">
                  <c:v>-0.5</c:v>
                </c:pt>
                <c:pt idx="351">
                  <c:v>-0.5</c:v>
                </c:pt>
                <c:pt idx="352">
                  <c:v>-0.5</c:v>
                </c:pt>
                <c:pt idx="353">
                  <c:v>-0.5</c:v>
                </c:pt>
                <c:pt idx="354">
                  <c:v>-0.5</c:v>
                </c:pt>
                <c:pt idx="355">
                  <c:v>-0.5</c:v>
                </c:pt>
                <c:pt idx="356">
                  <c:v>-0.5</c:v>
                </c:pt>
                <c:pt idx="357">
                  <c:v>-0.5</c:v>
                </c:pt>
                <c:pt idx="358">
                  <c:v>-0.5</c:v>
                </c:pt>
                <c:pt idx="359">
                  <c:v>-0.5</c:v>
                </c:pt>
                <c:pt idx="360">
                  <c:v>-0.5</c:v>
                </c:pt>
                <c:pt idx="361">
                  <c:v>-0.5</c:v>
                </c:pt>
                <c:pt idx="362">
                  <c:v>-0.5</c:v>
                </c:pt>
                <c:pt idx="363">
                  <c:v>-0.5</c:v>
                </c:pt>
                <c:pt idx="364">
                  <c:v>-0.5</c:v>
                </c:pt>
                <c:pt idx="365">
                  <c:v>-0.5</c:v>
                </c:pt>
                <c:pt idx="366">
                  <c:v>-0.5</c:v>
                </c:pt>
                <c:pt idx="367">
                  <c:v>-0.5</c:v>
                </c:pt>
                <c:pt idx="368">
                  <c:v>-0.5</c:v>
                </c:pt>
                <c:pt idx="369">
                  <c:v>-0.5</c:v>
                </c:pt>
                <c:pt idx="370">
                  <c:v>-0.5</c:v>
                </c:pt>
                <c:pt idx="371">
                  <c:v>-0.5</c:v>
                </c:pt>
                <c:pt idx="372">
                  <c:v>-0.5</c:v>
                </c:pt>
                <c:pt idx="373">
                  <c:v>-0.5</c:v>
                </c:pt>
                <c:pt idx="374">
                  <c:v>-0.5</c:v>
                </c:pt>
                <c:pt idx="375">
                  <c:v>-0.5</c:v>
                </c:pt>
                <c:pt idx="376">
                  <c:v>-0.5</c:v>
                </c:pt>
                <c:pt idx="377">
                  <c:v>-0.5</c:v>
                </c:pt>
                <c:pt idx="378">
                  <c:v>-0.5</c:v>
                </c:pt>
                <c:pt idx="379">
                  <c:v>-0.5</c:v>
                </c:pt>
                <c:pt idx="380">
                  <c:v>-0.5</c:v>
                </c:pt>
                <c:pt idx="381">
                  <c:v>-0.5</c:v>
                </c:pt>
                <c:pt idx="382">
                  <c:v>-0.5</c:v>
                </c:pt>
                <c:pt idx="383">
                  <c:v>-0.5</c:v>
                </c:pt>
                <c:pt idx="384">
                  <c:v>-0.5</c:v>
                </c:pt>
                <c:pt idx="385">
                  <c:v>-0.5</c:v>
                </c:pt>
                <c:pt idx="386">
                  <c:v>-0.5</c:v>
                </c:pt>
                <c:pt idx="387">
                  <c:v>-0.5</c:v>
                </c:pt>
                <c:pt idx="388">
                  <c:v>-0.5</c:v>
                </c:pt>
                <c:pt idx="389">
                  <c:v>-0.5</c:v>
                </c:pt>
                <c:pt idx="390">
                  <c:v>-0.5</c:v>
                </c:pt>
                <c:pt idx="391">
                  <c:v>-0.5</c:v>
                </c:pt>
                <c:pt idx="392">
                  <c:v>-0.5</c:v>
                </c:pt>
                <c:pt idx="393">
                  <c:v>-0.5</c:v>
                </c:pt>
                <c:pt idx="394">
                  <c:v>-0.5</c:v>
                </c:pt>
                <c:pt idx="395">
                  <c:v>-0.5</c:v>
                </c:pt>
                <c:pt idx="396">
                  <c:v>-0.5</c:v>
                </c:pt>
                <c:pt idx="397">
                  <c:v>-0.5</c:v>
                </c:pt>
                <c:pt idx="398">
                  <c:v>-0.5</c:v>
                </c:pt>
                <c:pt idx="399">
                  <c:v>-0.5</c:v>
                </c:pt>
                <c:pt idx="400">
                  <c:v>-0.5</c:v>
                </c:pt>
                <c:pt idx="401">
                  <c:v>-0.5</c:v>
                </c:pt>
                <c:pt idx="402">
                  <c:v>-0.5</c:v>
                </c:pt>
                <c:pt idx="403">
                  <c:v>-0.5</c:v>
                </c:pt>
                <c:pt idx="404">
                  <c:v>-0.5</c:v>
                </c:pt>
                <c:pt idx="405">
                  <c:v>-0.5</c:v>
                </c:pt>
                <c:pt idx="406">
                  <c:v>-0.5</c:v>
                </c:pt>
                <c:pt idx="407">
                  <c:v>-0.5</c:v>
                </c:pt>
                <c:pt idx="408">
                  <c:v>-0.5</c:v>
                </c:pt>
                <c:pt idx="409">
                  <c:v>-0.5</c:v>
                </c:pt>
                <c:pt idx="410">
                  <c:v>-0.5</c:v>
                </c:pt>
                <c:pt idx="411">
                  <c:v>-0.5</c:v>
                </c:pt>
                <c:pt idx="412">
                  <c:v>-0.5</c:v>
                </c:pt>
                <c:pt idx="413">
                  <c:v>-0.5</c:v>
                </c:pt>
                <c:pt idx="414">
                  <c:v>-0.5</c:v>
                </c:pt>
                <c:pt idx="415">
                  <c:v>-0.5</c:v>
                </c:pt>
                <c:pt idx="416">
                  <c:v>-0.5</c:v>
                </c:pt>
                <c:pt idx="417">
                  <c:v>-0.5</c:v>
                </c:pt>
                <c:pt idx="418">
                  <c:v>-0.5</c:v>
                </c:pt>
                <c:pt idx="419">
                  <c:v>-0.5</c:v>
                </c:pt>
                <c:pt idx="420">
                  <c:v>-0.5</c:v>
                </c:pt>
                <c:pt idx="421">
                  <c:v>-0.5</c:v>
                </c:pt>
                <c:pt idx="422">
                  <c:v>-0.5</c:v>
                </c:pt>
                <c:pt idx="423">
                  <c:v>-0.5</c:v>
                </c:pt>
                <c:pt idx="424">
                  <c:v>-0.5</c:v>
                </c:pt>
                <c:pt idx="425">
                  <c:v>-0.5</c:v>
                </c:pt>
                <c:pt idx="426">
                  <c:v>-0.5</c:v>
                </c:pt>
                <c:pt idx="427">
                  <c:v>-0.5</c:v>
                </c:pt>
                <c:pt idx="428">
                  <c:v>-0.5</c:v>
                </c:pt>
                <c:pt idx="429">
                  <c:v>-0.5</c:v>
                </c:pt>
                <c:pt idx="430">
                  <c:v>-0.5</c:v>
                </c:pt>
                <c:pt idx="431">
                  <c:v>-0.5</c:v>
                </c:pt>
                <c:pt idx="432">
                  <c:v>-0.5</c:v>
                </c:pt>
                <c:pt idx="433">
                  <c:v>-0.5</c:v>
                </c:pt>
                <c:pt idx="434">
                  <c:v>-0.5</c:v>
                </c:pt>
                <c:pt idx="435">
                  <c:v>-0.5</c:v>
                </c:pt>
                <c:pt idx="436">
                  <c:v>-0.5</c:v>
                </c:pt>
                <c:pt idx="437">
                  <c:v>-0.5</c:v>
                </c:pt>
                <c:pt idx="438">
                  <c:v>-0.5</c:v>
                </c:pt>
                <c:pt idx="439">
                  <c:v>-0.5</c:v>
                </c:pt>
                <c:pt idx="440">
                  <c:v>-0.5</c:v>
                </c:pt>
                <c:pt idx="441">
                  <c:v>-0.5</c:v>
                </c:pt>
                <c:pt idx="442">
                  <c:v>-0.5</c:v>
                </c:pt>
                <c:pt idx="443">
                  <c:v>-0.5</c:v>
                </c:pt>
                <c:pt idx="444">
                  <c:v>-0.5</c:v>
                </c:pt>
                <c:pt idx="445">
                  <c:v>-0.5</c:v>
                </c:pt>
                <c:pt idx="446">
                  <c:v>-0.5</c:v>
                </c:pt>
                <c:pt idx="447">
                  <c:v>-0.5</c:v>
                </c:pt>
                <c:pt idx="448">
                  <c:v>-0.5</c:v>
                </c:pt>
                <c:pt idx="449">
                  <c:v>-0.5</c:v>
                </c:pt>
                <c:pt idx="450">
                  <c:v>-0.5</c:v>
                </c:pt>
                <c:pt idx="451">
                  <c:v>-0.5</c:v>
                </c:pt>
                <c:pt idx="452">
                  <c:v>-0.5</c:v>
                </c:pt>
                <c:pt idx="453">
                  <c:v>-0.5</c:v>
                </c:pt>
                <c:pt idx="454">
                  <c:v>-0.5</c:v>
                </c:pt>
                <c:pt idx="455">
                  <c:v>-0.5</c:v>
                </c:pt>
                <c:pt idx="456">
                  <c:v>-0.5</c:v>
                </c:pt>
                <c:pt idx="457">
                  <c:v>-0.5</c:v>
                </c:pt>
                <c:pt idx="458">
                  <c:v>-0.5</c:v>
                </c:pt>
                <c:pt idx="459">
                  <c:v>-0.5</c:v>
                </c:pt>
                <c:pt idx="460">
                  <c:v>-0.5</c:v>
                </c:pt>
                <c:pt idx="461">
                  <c:v>-0.5</c:v>
                </c:pt>
                <c:pt idx="462">
                  <c:v>-0.5</c:v>
                </c:pt>
                <c:pt idx="463">
                  <c:v>-0.5</c:v>
                </c:pt>
                <c:pt idx="464">
                  <c:v>-0.5</c:v>
                </c:pt>
                <c:pt idx="465">
                  <c:v>-0.5</c:v>
                </c:pt>
                <c:pt idx="466">
                  <c:v>-0.5</c:v>
                </c:pt>
                <c:pt idx="467">
                  <c:v>-0.5</c:v>
                </c:pt>
                <c:pt idx="468">
                  <c:v>-0.5</c:v>
                </c:pt>
                <c:pt idx="469">
                  <c:v>-0.5</c:v>
                </c:pt>
                <c:pt idx="470">
                  <c:v>-0.5</c:v>
                </c:pt>
                <c:pt idx="471">
                  <c:v>-0.5</c:v>
                </c:pt>
                <c:pt idx="472">
                  <c:v>-0.5</c:v>
                </c:pt>
                <c:pt idx="473">
                  <c:v>-0.5</c:v>
                </c:pt>
                <c:pt idx="474">
                  <c:v>-0.5</c:v>
                </c:pt>
                <c:pt idx="475">
                  <c:v>-0.5</c:v>
                </c:pt>
                <c:pt idx="476">
                  <c:v>-0.5</c:v>
                </c:pt>
                <c:pt idx="477">
                  <c:v>-0.5</c:v>
                </c:pt>
                <c:pt idx="478">
                  <c:v>-0.5</c:v>
                </c:pt>
                <c:pt idx="479">
                  <c:v>-0.5</c:v>
                </c:pt>
                <c:pt idx="480">
                  <c:v>-0.5</c:v>
                </c:pt>
                <c:pt idx="481">
                  <c:v>-0.5</c:v>
                </c:pt>
                <c:pt idx="482">
                  <c:v>-0.5</c:v>
                </c:pt>
                <c:pt idx="483">
                  <c:v>-0.5</c:v>
                </c:pt>
                <c:pt idx="484">
                  <c:v>-0.5</c:v>
                </c:pt>
                <c:pt idx="485">
                  <c:v>-0.5</c:v>
                </c:pt>
                <c:pt idx="486">
                  <c:v>-0.5</c:v>
                </c:pt>
                <c:pt idx="487">
                  <c:v>-0.5</c:v>
                </c:pt>
                <c:pt idx="488">
                  <c:v>-0.5</c:v>
                </c:pt>
                <c:pt idx="489">
                  <c:v>-0.5</c:v>
                </c:pt>
                <c:pt idx="490">
                  <c:v>-0.5</c:v>
                </c:pt>
                <c:pt idx="491">
                  <c:v>-0.5</c:v>
                </c:pt>
                <c:pt idx="492">
                  <c:v>-0.5</c:v>
                </c:pt>
                <c:pt idx="493">
                  <c:v>-0.5</c:v>
                </c:pt>
                <c:pt idx="494">
                  <c:v>-0.5</c:v>
                </c:pt>
                <c:pt idx="495">
                  <c:v>-0.5</c:v>
                </c:pt>
                <c:pt idx="496">
                  <c:v>-0.5</c:v>
                </c:pt>
                <c:pt idx="497">
                  <c:v>-0.5</c:v>
                </c:pt>
                <c:pt idx="498">
                  <c:v>-0.5</c:v>
                </c:pt>
                <c:pt idx="499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3F-4D1F-9AD0-B349A85400BD}"/>
            </c:ext>
          </c:extLst>
        </c:ser>
        <c:ser>
          <c:idx val="1"/>
          <c:order val="1"/>
          <c:tx>
            <c:v>Upper Camber</c:v>
          </c:tx>
          <c:spPr>
            <a:ln w="127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Data5!$G$1:$G$501</c:f>
              <c:numCache>
                <c:formatCode>0.00000</c:formatCode>
                <c:ptCount val="501"/>
                <c:pt idx="0">
                  <c:v>0</c:v>
                </c:pt>
                <c:pt idx="1">
                  <c:v>9.9091688398611488E-6</c:v>
                </c:pt>
                <c:pt idx="2">
                  <c:v>3.9636282592903083E-5</c:v>
                </c:pt>
                <c:pt idx="3">
                  <c:v>8.9180162975155408E-5</c:v>
                </c:pt>
                <c:pt idx="4">
                  <c:v>1.5853884623195924E-4</c:v>
                </c:pt>
                <c:pt idx="5">
                  <c:v>2.4770958321568282E-4</c:v>
                </c:pt>
                <c:pt idx="6">
                  <c:v>3.566888394948009E-4</c:v>
                </c:pt>
                <c:pt idx="7">
                  <c:v>4.8547229549383841E-4</c:v>
                </c:pt>
                <c:pt idx="8">
                  <c:v>6.3405484666484435E-4</c:v>
                </c:pt>
                <c:pt idx="9">
                  <c:v>8.0243060368939689E-4</c:v>
                </c:pt>
                <c:pt idx="10">
                  <c:v>9.9059289271236084E-4</c:v>
                </c:pt>
                <c:pt idx="11">
                  <c:v>1.1985342556060652E-3</c:v>
                </c:pt>
                <c:pt idx="12">
                  <c:v>1.4262464502662886E-3</c:v>
                </c:pt>
                <c:pt idx="13">
                  <c:v>1.6737204509387205E-3</c:v>
                </c:pt>
                <c:pt idx="14">
                  <c:v>1.9409464485766748E-3</c:v>
                </c:pt>
                <c:pt idx="15">
                  <c:v>2.2279138512300567E-3</c:v>
                </c:pt>
                <c:pt idx="16">
                  <c:v>2.534611284465027E-3</c:v>
                </c:pt>
                <c:pt idx="17">
                  <c:v>2.8610265918151412E-3</c:v>
                </c:pt>
                <c:pt idx="18">
                  <c:v>3.2071468352626864E-3</c:v>
                </c:pt>
                <c:pt idx="19">
                  <c:v>3.5729582957520489E-3</c:v>
                </c:pt>
                <c:pt idx="20">
                  <c:v>3.9584464737330016E-3</c:v>
                </c:pt>
                <c:pt idx="21">
                  <c:v>4.3635960897359105E-3</c:v>
                </c:pt>
                <c:pt idx="22">
                  <c:v>4.7883910849768618E-3</c:v>
                </c:pt>
                <c:pt idx="23">
                  <c:v>5.232814621994597E-3</c:v>
                </c:pt>
                <c:pt idx="24">
                  <c:v>5.6968490853176457E-3</c:v>
                </c:pt>
                <c:pt idx="25">
                  <c:v>6.1804760821626559E-3</c:v>
                </c:pt>
                <c:pt idx="26">
                  <c:v>6.6836764431632556E-3</c:v>
                </c:pt>
                <c:pt idx="27">
                  <c:v>7.2064302231302224E-3</c:v>
                </c:pt>
                <c:pt idx="28">
                  <c:v>7.7487167018416292E-3</c:v>
                </c:pt>
                <c:pt idx="29">
                  <c:v>8.3105143848644092E-3</c:v>
                </c:pt>
                <c:pt idx="30">
                  <c:v>8.8918010044061191E-3</c:v>
                </c:pt>
                <c:pt idx="31">
                  <c:v>9.4925535201977329E-3</c:v>
                </c:pt>
                <c:pt idx="32">
                  <c:v>1.0112748120406856E-2</c:v>
                </c:pt>
                <c:pt idx="33">
                  <c:v>1.075236022258147E-2</c:v>
                </c:pt>
                <c:pt idx="34">
                  <c:v>1.1411364474624264E-2</c:v>
                </c:pt>
                <c:pt idx="35">
                  <c:v>1.2089734755797665E-2</c:v>
                </c:pt>
                <c:pt idx="36">
                  <c:v>1.2787444177759066E-2</c:v>
                </c:pt>
                <c:pt idx="37">
                  <c:v>1.3504465085626582E-2</c:v>
                </c:pt>
                <c:pt idx="38">
                  <c:v>1.4240769059075342E-2</c:v>
                </c:pt>
                <c:pt idx="39">
                  <c:v>1.4996326913463753E-2</c:v>
                </c:pt>
                <c:pt idx="40">
                  <c:v>1.5771108700990411E-2</c:v>
                </c:pt>
                <c:pt idx="41">
                  <c:v>1.656508371188109E-2</c:v>
                </c:pt>
                <c:pt idx="42">
                  <c:v>1.737822047560611E-2</c:v>
                </c:pt>
                <c:pt idx="43">
                  <c:v>1.8210486762127498E-2</c:v>
                </c:pt>
                <c:pt idx="44">
                  <c:v>1.9061849583176638E-2</c:v>
                </c:pt>
                <c:pt idx="45">
                  <c:v>1.9932275193561888E-2</c:v>
                </c:pt>
                <c:pt idx="46">
                  <c:v>2.0821729092505736E-2</c:v>
                </c:pt>
                <c:pt idx="47">
                  <c:v>2.1730176025012815E-2</c:v>
                </c:pt>
                <c:pt idx="48">
                  <c:v>2.2657579983267062E-2</c:v>
                </c:pt>
                <c:pt idx="49">
                  <c:v>2.360390420805869E-2</c:v>
                </c:pt>
                <c:pt idx="50">
                  <c:v>2.4569111190241799E-2</c:v>
                </c:pt>
                <c:pt idx="51">
                  <c:v>2.5553162672220409E-2</c:v>
                </c:pt>
                <c:pt idx="52">
                  <c:v>2.6556019649465523E-2</c:v>
                </c:pt>
                <c:pt idx="53">
                  <c:v>2.7577642372060673E-2</c:v>
                </c:pt>
                <c:pt idx="54">
                  <c:v>2.86179903462776E-2</c:v>
                </c:pt>
                <c:pt idx="55">
                  <c:v>2.9677022336181469E-2</c:v>
                </c:pt>
                <c:pt idx="56">
                  <c:v>3.0754696365265011E-2</c:v>
                </c:pt>
                <c:pt idx="57">
                  <c:v>3.1850969718112687E-2</c:v>
                </c:pt>
                <c:pt idx="58">
                  <c:v>3.2965798942093449E-2</c:v>
                </c:pt>
                <c:pt idx="59">
                  <c:v>3.4099139849083304E-2</c:v>
                </c:pt>
                <c:pt idx="60">
                  <c:v>3.525094751721658E-2</c:v>
                </c:pt>
                <c:pt idx="61">
                  <c:v>3.6421176292666779E-2</c:v>
                </c:pt>
                <c:pt idx="62">
                  <c:v>3.7609779791455689E-2</c:v>
                </c:pt>
                <c:pt idx="63">
                  <c:v>3.8816710901292406E-2</c:v>
                </c:pt>
                <c:pt idx="64">
                  <c:v>4.0041921783440293E-2</c:v>
                </c:pt>
                <c:pt idx="65">
                  <c:v>4.1285363874613346E-2</c:v>
                </c:pt>
                <c:pt idx="66">
                  <c:v>4.2546987888901155E-2</c:v>
                </c:pt>
                <c:pt idx="67">
                  <c:v>4.382674381972218E-2</c:v>
                </c:pt>
                <c:pt idx="68">
                  <c:v>4.5124580941806103E-2</c:v>
                </c:pt>
                <c:pt idx="69">
                  <c:v>4.6440447813204166E-2</c:v>
                </c:pt>
                <c:pt idx="70">
                  <c:v>4.7774292277328378E-2</c:v>
                </c:pt>
                <c:pt idx="71">
                  <c:v>4.9126061465018855E-2</c:v>
                </c:pt>
                <c:pt idx="72">
                  <c:v>5.0495701796638981E-2</c:v>
                </c:pt>
                <c:pt idx="73">
                  <c:v>5.1883158984199651E-2</c:v>
                </c:pt>
                <c:pt idx="74">
                  <c:v>5.3288378033510775E-2</c:v>
                </c:pt>
                <c:pt idx="75">
                  <c:v>5.4711303246361032E-2</c:v>
                </c:pt>
                <c:pt idx="76">
                  <c:v>5.6151878222725771E-2</c:v>
                </c:pt>
                <c:pt idx="77">
                  <c:v>5.7610045863002224E-2</c:v>
                </c:pt>
                <c:pt idx="78">
                  <c:v>5.9085748370273083E-2</c:v>
                </c:pt>
                <c:pt idx="79">
                  <c:v>6.0578927252597115E-2</c:v>
                </c:pt>
                <c:pt idx="80">
                  <c:v>6.2089523325327745E-2</c:v>
                </c:pt>
                <c:pt idx="81">
                  <c:v>6.3617476713458798E-2</c:v>
                </c:pt>
                <c:pt idx="82">
                  <c:v>6.5162726853997877E-2</c:v>
                </c:pt>
                <c:pt idx="83">
                  <c:v>6.672521249836677E-2</c:v>
                </c:pt>
                <c:pt idx="84">
                  <c:v>6.8304871714829296E-2</c:v>
                </c:pt>
                <c:pt idx="85">
                  <c:v>6.9901641890945942E-2</c:v>
                </c:pt>
                <c:pt idx="86">
                  <c:v>7.1515459736055498E-2</c:v>
                </c:pt>
                <c:pt idx="87">
                  <c:v>7.3146261283784042E-2</c:v>
                </c:pt>
                <c:pt idx="88">
                  <c:v>7.4793981894580031E-2</c:v>
                </c:pt>
                <c:pt idx="89">
                  <c:v>7.6458556258276578E-2</c:v>
                </c:pt>
                <c:pt idx="90">
                  <c:v>7.8139918396679942E-2</c:v>
                </c:pt>
                <c:pt idx="91">
                  <c:v>7.9838001666184821E-2</c:v>
                </c:pt>
                <c:pt idx="92">
                  <c:v>8.1552738760416077E-2</c:v>
                </c:pt>
                <c:pt idx="93">
                  <c:v>8.3284061712896151E-2</c:v>
                </c:pt>
                <c:pt idx="94">
                  <c:v>8.5031901899739193E-2</c:v>
                </c:pt>
                <c:pt idx="95">
                  <c:v>8.6796190042371102E-2</c:v>
                </c:pt>
                <c:pt idx="96">
                  <c:v>8.8576856210275556E-2</c:v>
                </c:pt>
                <c:pt idx="97">
                  <c:v>9.0373829823765794E-2</c:v>
                </c:pt>
                <c:pt idx="98">
                  <c:v>9.2187039656781988E-2</c:v>
                </c:pt>
                <c:pt idx="99">
                  <c:v>9.4016413839714708E-2</c:v>
                </c:pt>
                <c:pt idx="100">
                  <c:v>9.5861879862253307E-2</c:v>
                </c:pt>
                <c:pt idx="101">
                  <c:v>9.7723364576260074E-2</c:v>
                </c:pt>
                <c:pt idx="102">
                  <c:v>9.9600794198669851E-2</c:v>
                </c:pt>
                <c:pt idx="103">
                  <c:v>0.1014940943144142</c:v>
                </c:pt>
                <c:pt idx="104">
                  <c:v>0.10340318987937097</c:v>
                </c:pt>
                <c:pt idx="105">
                  <c:v>0.10532800522333907</c:v>
                </c:pt>
                <c:pt idx="106">
                  <c:v>0.10726846405303753</c:v>
                </c:pt>
                <c:pt idx="107">
                  <c:v>0.10922448945512975</c:v>
                </c:pt>
                <c:pt idx="108">
                  <c:v>0.11119600389927187</c:v>
                </c:pt>
                <c:pt idx="109">
                  <c:v>0.11318292924118578</c:v>
                </c:pt>
                <c:pt idx="110">
                  <c:v>0.11518518672575695</c:v>
                </c:pt>
                <c:pt idx="111">
                  <c:v>0.11720269699015529</c:v>
                </c:pt>
                <c:pt idx="112">
                  <c:v>0.11923538006698148</c:v>
                </c:pt>
                <c:pt idx="113">
                  <c:v>0.12128315538743634</c:v>
                </c:pt>
                <c:pt idx="114">
                  <c:v>0.12334594178451425</c:v>
                </c:pt>
                <c:pt idx="115">
                  <c:v>0.12542365749622042</c:v>
                </c:pt>
                <c:pt idx="116">
                  <c:v>0.12751622016881176</c:v>
                </c:pt>
                <c:pt idx="117">
                  <c:v>0.12962354686006083</c:v>
                </c:pt>
                <c:pt idx="118">
                  <c:v>0.13174555404254384</c:v>
                </c:pt>
                <c:pt idx="119">
                  <c:v>0.13388215760695088</c:v>
                </c:pt>
                <c:pt idx="120">
                  <c:v>0.13603327286542016</c:v>
                </c:pt>
                <c:pt idx="121">
                  <c:v>0.13819881455489452</c:v>
                </c:pt>
                <c:pt idx="122">
                  <c:v>0.14037869684050097</c:v>
                </c:pt>
                <c:pt idx="123">
                  <c:v>0.1425728333189531</c:v>
                </c:pt>
                <c:pt idx="124">
                  <c:v>0.14478113702197559</c:v>
                </c:pt>
                <c:pt idx="125">
                  <c:v>0.14700352041975151</c:v>
                </c:pt>
                <c:pt idx="126">
                  <c:v>0.14923989542439159</c:v>
                </c:pt>
                <c:pt idx="127">
                  <c:v>0.15149017339342569</c:v>
                </c:pt>
                <c:pt idx="128">
                  <c:v>0.15375426513331653</c:v>
                </c:pt>
                <c:pt idx="129">
                  <c:v>0.15603208090299492</c:v>
                </c:pt>
                <c:pt idx="130">
                  <c:v>0.15832353041741654</c:v>
                </c:pt>
                <c:pt idx="131">
                  <c:v>0.1606285228511411</c:v>
                </c:pt>
                <c:pt idx="132">
                  <c:v>0.1629469668419315</c:v>
                </c:pt>
                <c:pt idx="133">
                  <c:v>0.16527877049437611</c:v>
                </c:pt>
                <c:pt idx="134">
                  <c:v>0.16762384138353059</c:v>
                </c:pt>
                <c:pt idx="135">
                  <c:v>0.16998208655858127</c:v>
                </c:pt>
                <c:pt idx="136">
                  <c:v>0.17235341254652992</c:v>
                </c:pt>
                <c:pt idx="137">
                  <c:v>0.17473772535589804</c:v>
                </c:pt>
                <c:pt idx="138">
                  <c:v>0.17713493048045287</c:v>
                </c:pt>
                <c:pt idx="139">
                  <c:v>0.17954493290295315</c:v>
                </c:pt>
                <c:pt idx="140">
                  <c:v>0.18196763709891517</c:v>
                </c:pt>
                <c:pt idx="141">
                  <c:v>0.18440294704039933</c:v>
                </c:pt>
                <c:pt idx="142">
                  <c:v>0.18685076619981611</c:v>
                </c:pt>
                <c:pt idx="143">
                  <c:v>0.18931099755375197</c:v>
                </c:pt>
                <c:pt idx="144">
                  <c:v>0.19178354358681554</c:v>
                </c:pt>
                <c:pt idx="145">
                  <c:v>0.1942683062955024</c:v>
                </c:pt>
                <c:pt idx="146">
                  <c:v>0.19676518719207969</c:v>
                </c:pt>
                <c:pt idx="147">
                  <c:v>0.19927408730849</c:v>
                </c:pt>
                <c:pt idx="148">
                  <c:v>0.20179490720027371</c:v>
                </c:pt>
                <c:pt idx="149">
                  <c:v>0.20432754695051125</c:v>
                </c:pt>
                <c:pt idx="150">
                  <c:v>0.20687190617378309</c:v>
                </c:pt>
                <c:pt idx="151">
                  <c:v>0.20942788402014861</c:v>
                </c:pt>
                <c:pt idx="152">
                  <c:v>0.21199537917914374</c:v>
                </c:pt>
                <c:pt idx="153">
                  <c:v>0.21457428988379634</c:v>
                </c:pt>
                <c:pt idx="154">
                  <c:v>0.21716451391466002</c:v>
                </c:pt>
                <c:pt idx="155">
                  <c:v>0.21976594860386583</c:v>
                </c:pt>
                <c:pt idx="156">
                  <c:v>0.22237849083919142</c:v>
                </c:pt>
                <c:pt idx="157">
                  <c:v>0.22500203706814847</c:v>
                </c:pt>
                <c:pt idx="158">
                  <c:v>0.22763648330208675</c:v>
                </c:pt>
                <c:pt idx="159">
                  <c:v>0.23028172512031608</c:v>
                </c:pt>
                <c:pt idx="160">
                  <c:v>0.23293765767424529</c:v>
                </c:pt>
                <c:pt idx="161">
                  <c:v>0.23560417569153802</c:v>
                </c:pt>
                <c:pt idx="162">
                  <c:v>0.23828117348028521</c:v>
                </c:pt>
                <c:pt idx="163">
                  <c:v>0.24096854493319464</c:v>
                </c:pt>
                <c:pt idx="164">
                  <c:v>0.24366618353179648</c:v>
                </c:pt>
                <c:pt idx="165">
                  <c:v>0.24637398235066521</c:v>
                </c:pt>
                <c:pt idx="166">
                  <c:v>0.2490918340616583</c:v>
                </c:pt>
                <c:pt idx="167">
                  <c:v>0.25181963093816961</c:v>
                </c:pt>
                <c:pt idx="168">
                  <c:v>0.25455726485940006</c:v>
                </c:pt>
                <c:pt idx="169">
                  <c:v>0.25730462731464265</c:v>
                </c:pt>
                <c:pt idx="170">
                  <c:v>0.26006160940758349</c:v>
                </c:pt>
                <c:pt idx="171">
                  <c:v>0.26282810186061856</c:v>
                </c:pt>
                <c:pt idx="172">
                  <c:v>0.26560399501918452</c:v>
                </c:pt>
                <c:pt idx="173">
                  <c:v>0.26838917885610541</c:v>
                </c:pt>
                <c:pt idx="174">
                  <c:v>0.27118354297595382</c:v>
                </c:pt>
                <c:pt idx="175">
                  <c:v>0.27398697661942611</c:v>
                </c:pt>
                <c:pt idx="176">
                  <c:v>0.27679936866773314</c:v>
                </c:pt>
                <c:pt idx="177">
                  <c:v>0.27962060764700436</c:v>
                </c:pt>
                <c:pt idx="178">
                  <c:v>0.2824505817327061</c:v>
                </c:pt>
                <c:pt idx="179">
                  <c:v>0.28528917875407439</c:v>
                </c:pt>
                <c:pt idx="180">
                  <c:v>0.28813628619856047</c:v>
                </c:pt>
                <c:pt idx="181">
                  <c:v>0.29099179121629093</c:v>
                </c:pt>
                <c:pt idx="182">
                  <c:v>0.29385558062454042</c:v>
                </c:pt>
                <c:pt idx="183">
                  <c:v>0.29672754091221787</c:v>
                </c:pt>
                <c:pt idx="184">
                  <c:v>0.29960755824436569</c:v>
                </c:pt>
                <c:pt idx="185">
                  <c:v>0.30249551846667189</c:v>
                </c:pt>
                <c:pt idx="186">
                  <c:v>0.30539130710999463</c:v>
                </c:pt>
                <c:pt idx="187">
                  <c:v>0.30829480939489962</c:v>
                </c:pt>
                <c:pt idx="188">
                  <c:v>0.31120591023620925</c:v>
                </c:pt>
                <c:pt idx="189">
                  <c:v>0.31412449424756461</c:v>
                </c:pt>
                <c:pt idx="190">
                  <c:v>0.31705044574599883</c:v>
                </c:pt>
                <c:pt idx="191">
                  <c:v>0.31998364875652208</c:v>
                </c:pt>
                <c:pt idx="192">
                  <c:v>0.32292398701671898</c:v>
                </c:pt>
                <c:pt idx="193">
                  <c:v>0.32587134398135642</c:v>
                </c:pt>
                <c:pt idx="194">
                  <c:v>0.32882560282700324</c:v>
                </c:pt>
                <c:pt idx="195">
                  <c:v>0.33178664645666067</c:v>
                </c:pt>
                <c:pt idx="196">
                  <c:v>0.33475435750440363</c:v>
                </c:pt>
                <c:pt idx="197">
                  <c:v>0.33772861834003265</c:v>
                </c:pt>
                <c:pt idx="198">
                  <c:v>0.34070931107373681</c:v>
                </c:pt>
                <c:pt idx="199">
                  <c:v>0.34369631756076557</c:v>
                </c:pt>
                <c:pt idx="200">
                  <c:v>0.34668951940611281</c:v>
                </c:pt>
                <c:pt idx="201">
                  <c:v>0.34968879796920838</c:v>
                </c:pt>
                <c:pt idx="202">
                  <c:v>0.35269403436862179</c:v>
                </c:pt>
                <c:pt idx="203">
                  <c:v>0.35570510948677336</c:v>
                </c:pt>
                <c:pt idx="204">
                  <c:v>0.35872190397465631</c:v>
                </c:pt>
                <c:pt idx="205">
                  <c:v>0.36174429825656684</c:v>
                </c:pt>
                <c:pt idx="206">
                  <c:v>0.3647721725348439</c:v>
                </c:pt>
                <c:pt idx="207">
                  <c:v>0.36780540679461771</c:v>
                </c:pt>
                <c:pt idx="208">
                  <c:v>0.37084388080856684</c:v>
                </c:pt>
                <c:pt idx="209">
                  <c:v>0.37388747414168289</c:v>
                </c:pt>
                <c:pt idx="210">
                  <c:v>0.37693606615604525</c:v>
                </c:pt>
                <c:pt idx="211">
                  <c:v>0.37998953601560176</c:v>
                </c:pt>
                <c:pt idx="212">
                  <c:v>0.38304776269095892</c:v>
                </c:pt>
                <c:pt idx="213">
                  <c:v>0.38611062496417881</c:v>
                </c:pt>
                <c:pt idx="214">
                  <c:v>0.38917800143358394</c:v>
                </c:pt>
                <c:pt idx="215">
                  <c:v>0.39224977051856891</c:v>
                </c:pt>
                <c:pt idx="216">
                  <c:v>0.39532581046441984</c:v>
                </c:pt>
                <c:pt idx="217">
                  <c:v>0.39840599934713983</c:v>
                </c:pt>
                <c:pt idx="218">
                  <c:v>0.40149021507828209</c:v>
                </c:pt>
                <c:pt idx="219">
                  <c:v>0.40457833540978921</c:v>
                </c:pt>
                <c:pt idx="220">
                  <c:v>0.40767023793883778</c:v>
                </c:pt>
                <c:pt idx="221">
                  <c:v>0.41076580011269126</c:v>
                </c:pt>
                <c:pt idx="222">
                  <c:v>0.41386489923355663</c:v>
                </c:pt>
                <c:pt idx="223">
                  <c:v>0.41696741246344804</c:v>
                </c:pt>
                <c:pt idx="224">
                  <c:v>0.42007321682905585</c:v>
                </c:pt>
                <c:pt idx="225">
                  <c:v>0.42318218922662082</c:v>
                </c:pt>
                <c:pt idx="226">
                  <c:v>0.42629420642681332</c:v>
                </c:pt>
                <c:pt idx="227">
                  <c:v>0.42940914507961764</c:v>
                </c:pt>
                <c:pt idx="228">
                  <c:v>0.43252688171922182</c:v>
                </c:pt>
                <c:pt idx="229">
                  <c:v>0.43564729276891079</c:v>
                </c:pt>
                <c:pt idx="230">
                  <c:v>0.43877025454596486</c:v>
                </c:pt>
                <c:pt idx="231">
                  <c:v>0.44189564326656183</c:v>
                </c:pt>
                <c:pt idx="232">
                  <c:v>0.44502333505068348</c:v>
                </c:pt>
                <c:pt idx="233">
                  <c:v>0.44815320592702612</c:v>
                </c:pt>
                <c:pt idx="234">
                  <c:v>0.4512851318379138</c:v>
                </c:pt>
                <c:pt idx="235">
                  <c:v>0.45441898864421604</c:v>
                </c:pt>
                <c:pt idx="236">
                  <c:v>0.45755465213026802</c:v>
                </c:pt>
                <c:pt idx="237">
                  <c:v>0.46069199800879396</c:v>
                </c:pt>
                <c:pt idx="238">
                  <c:v>0.46383090192583382</c:v>
                </c:pt>
                <c:pt idx="239">
                  <c:v>0.46697123946567209</c:v>
                </c:pt>
                <c:pt idx="240">
                  <c:v>0.47011288615576918</c:v>
                </c:pt>
                <c:pt idx="241">
                  <c:v>0.47325571747169526</c:v>
                </c:pt>
                <c:pt idx="242">
                  <c:v>0.47639960884206567</c:v>
                </c:pt>
                <c:pt idx="243">
                  <c:v>0.4795444356534786</c:v>
                </c:pt>
                <c:pt idx="244">
                  <c:v>0.48269007325545488</c:v>
                </c:pt>
                <c:pt idx="245">
                  <c:v>0.48583639696537795</c:v>
                </c:pt>
                <c:pt idx="246">
                  <c:v>0.4889832820734365</c:v>
                </c:pt>
                <c:pt idx="247">
                  <c:v>0.49213060384756707</c:v>
                </c:pt>
                <c:pt idx="248">
                  <c:v>0.49527823753839817</c:v>
                </c:pt>
                <c:pt idx="249">
                  <c:v>0.49842605838419507</c:v>
                </c:pt>
                <c:pt idx="250">
                  <c:v>0.50157394161580482</c:v>
                </c:pt>
                <c:pt idx="251">
                  <c:v>0.50472176246160183</c:v>
                </c:pt>
                <c:pt idx="252">
                  <c:v>0.50786939615243298</c:v>
                </c:pt>
                <c:pt idx="253">
                  <c:v>0.51101671792656345</c:v>
                </c:pt>
                <c:pt idx="254">
                  <c:v>0.51416360303462194</c:v>
                </c:pt>
                <c:pt idx="255">
                  <c:v>0.51730992674454512</c:v>
                </c:pt>
                <c:pt idx="256">
                  <c:v>0.52045556434652129</c:v>
                </c:pt>
                <c:pt idx="257">
                  <c:v>0.52360039115793444</c:v>
                </c:pt>
                <c:pt idx="258">
                  <c:v>0.52674428252830463</c:v>
                </c:pt>
                <c:pt idx="259">
                  <c:v>0.5298871138442306</c:v>
                </c:pt>
                <c:pt idx="260">
                  <c:v>0.53302876053432768</c:v>
                </c:pt>
                <c:pt idx="261">
                  <c:v>0.53616909807416602</c:v>
                </c:pt>
                <c:pt idx="262">
                  <c:v>0.5393080019912061</c:v>
                </c:pt>
                <c:pt idx="263">
                  <c:v>0.54244534786973198</c:v>
                </c:pt>
                <c:pt idx="264">
                  <c:v>0.54558101135578396</c:v>
                </c:pt>
                <c:pt idx="265">
                  <c:v>0.54871486816208614</c:v>
                </c:pt>
                <c:pt idx="266">
                  <c:v>0.55184679407297388</c:v>
                </c:pt>
                <c:pt idx="267">
                  <c:v>0.55497666494931641</c:v>
                </c:pt>
                <c:pt idx="268">
                  <c:v>0.55810435673343828</c:v>
                </c:pt>
                <c:pt idx="269">
                  <c:v>0.56122974545403514</c:v>
                </c:pt>
                <c:pt idx="270">
                  <c:v>0.5643527072310891</c:v>
                </c:pt>
                <c:pt idx="271">
                  <c:v>0.56747311828077796</c:v>
                </c:pt>
                <c:pt idx="272">
                  <c:v>0.57059085492038231</c:v>
                </c:pt>
                <c:pt idx="273">
                  <c:v>0.57370579357318674</c:v>
                </c:pt>
                <c:pt idx="274">
                  <c:v>0.57681781077337912</c:v>
                </c:pt>
                <c:pt idx="275">
                  <c:v>0.57992678317094404</c:v>
                </c:pt>
                <c:pt idx="276">
                  <c:v>0.58303258753655196</c:v>
                </c:pt>
                <c:pt idx="277">
                  <c:v>0.58613510076644337</c:v>
                </c:pt>
                <c:pt idx="278">
                  <c:v>0.58923419988730874</c:v>
                </c:pt>
                <c:pt idx="279">
                  <c:v>0.59232976206116217</c:v>
                </c:pt>
                <c:pt idx="280">
                  <c:v>0.59542166459021073</c:v>
                </c:pt>
                <c:pt idx="281">
                  <c:v>0.59850978492171769</c:v>
                </c:pt>
                <c:pt idx="282">
                  <c:v>0.60159400065285995</c:v>
                </c:pt>
                <c:pt idx="283">
                  <c:v>0.60467418953558016</c:v>
                </c:pt>
                <c:pt idx="284">
                  <c:v>0.60775022948143098</c:v>
                </c:pt>
                <c:pt idx="285">
                  <c:v>0.61082199856641595</c:v>
                </c:pt>
                <c:pt idx="286">
                  <c:v>0.61388937503582108</c:v>
                </c:pt>
                <c:pt idx="287">
                  <c:v>0.61695223730904103</c:v>
                </c:pt>
                <c:pt idx="288">
                  <c:v>0.6200104639843983</c:v>
                </c:pt>
                <c:pt idx="289">
                  <c:v>0.62306393384395475</c:v>
                </c:pt>
                <c:pt idx="290">
                  <c:v>0.626112525858317</c:v>
                </c:pt>
                <c:pt idx="291">
                  <c:v>0.62915611919143311</c:v>
                </c:pt>
                <c:pt idx="292">
                  <c:v>0.63219459320538207</c:v>
                </c:pt>
                <c:pt idx="293">
                  <c:v>0.63522782746515594</c:v>
                </c:pt>
                <c:pt idx="294">
                  <c:v>0.63825570174343316</c:v>
                </c:pt>
                <c:pt idx="295">
                  <c:v>0.64127809602534369</c:v>
                </c:pt>
                <c:pt idx="296">
                  <c:v>0.64429489051322653</c:v>
                </c:pt>
                <c:pt idx="297">
                  <c:v>0.64730596563137821</c:v>
                </c:pt>
                <c:pt idx="298">
                  <c:v>0.65031120203079151</c:v>
                </c:pt>
                <c:pt idx="299">
                  <c:v>0.65331048059388719</c:v>
                </c:pt>
                <c:pt idx="300">
                  <c:v>0.65630368243923431</c:v>
                </c:pt>
                <c:pt idx="301">
                  <c:v>0.65929068892626308</c:v>
                </c:pt>
                <c:pt idx="302">
                  <c:v>0.66227138165996713</c:v>
                </c:pt>
                <c:pt idx="303">
                  <c:v>0.66524564249559626</c:v>
                </c:pt>
                <c:pt idx="304">
                  <c:v>0.66821335354333922</c:v>
                </c:pt>
                <c:pt idx="305">
                  <c:v>0.67117439717299676</c:v>
                </c:pt>
                <c:pt idx="306">
                  <c:v>0.67412865601864358</c:v>
                </c:pt>
                <c:pt idx="307">
                  <c:v>0.67707601298328102</c:v>
                </c:pt>
                <c:pt idx="308">
                  <c:v>0.68001635124347781</c:v>
                </c:pt>
                <c:pt idx="309">
                  <c:v>0.68294955425400117</c:v>
                </c:pt>
                <c:pt idx="310">
                  <c:v>0.68587550575243539</c:v>
                </c:pt>
                <c:pt idx="311">
                  <c:v>0.68879408976379075</c:v>
                </c:pt>
                <c:pt idx="312">
                  <c:v>0.69170519060510038</c:v>
                </c:pt>
                <c:pt idx="313">
                  <c:v>0.69460869289000526</c:v>
                </c:pt>
                <c:pt idx="314">
                  <c:v>0.697504481533328</c:v>
                </c:pt>
                <c:pt idx="315">
                  <c:v>0.70039244175563431</c:v>
                </c:pt>
                <c:pt idx="316">
                  <c:v>0.70327245908778213</c:v>
                </c:pt>
                <c:pt idx="317">
                  <c:v>0.70614441937545946</c:v>
                </c:pt>
                <c:pt idx="318">
                  <c:v>0.70900820878370907</c:v>
                </c:pt>
                <c:pt idx="319">
                  <c:v>0.71186371380143942</c:v>
                </c:pt>
                <c:pt idx="320">
                  <c:v>0.71471082124592566</c:v>
                </c:pt>
                <c:pt idx="321">
                  <c:v>0.71754941826729379</c:v>
                </c:pt>
                <c:pt idx="322">
                  <c:v>0.72037939235299564</c:v>
                </c:pt>
                <c:pt idx="323">
                  <c:v>0.72320063133226686</c:v>
                </c:pt>
                <c:pt idx="324">
                  <c:v>0.72601302338057372</c:v>
                </c:pt>
                <c:pt idx="325">
                  <c:v>0.72881645702404607</c:v>
                </c:pt>
                <c:pt idx="326">
                  <c:v>0.73161082114389431</c:v>
                </c:pt>
                <c:pt idx="327">
                  <c:v>0.73439600498081559</c:v>
                </c:pt>
                <c:pt idx="328">
                  <c:v>0.73717189813938133</c:v>
                </c:pt>
                <c:pt idx="329">
                  <c:v>0.73993839059241651</c:v>
                </c:pt>
                <c:pt idx="330">
                  <c:v>0.74269537268535735</c:v>
                </c:pt>
                <c:pt idx="331">
                  <c:v>0.74544273514059989</c:v>
                </c:pt>
                <c:pt idx="332">
                  <c:v>0.74818036906183039</c:v>
                </c:pt>
                <c:pt idx="333">
                  <c:v>0.75090816593834164</c:v>
                </c:pt>
                <c:pt idx="334">
                  <c:v>0.75362601764933479</c:v>
                </c:pt>
                <c:pt idx="335">
                  <c:v>0.75633381646820341</c:v>
                </c:pt>
                <c:pt idx="336">
                  <c:v>0.75903145506680525</c:v>
                </c:pt>
                <c:pt idx="337">
                  <c:v>0.76171882651971456</c:v>
                </c:pt>
                <c:pt idx="338">
                  <c:v>0.76439582430846209</c:v>
                </c:pt>
                <c:pt idx="339">
                  <c:v>0.76706234232575465</c:v>
                </c:pt>
                <c:pt idx="340">
                  <c:v>0.76971827487968403</c:v>
                </c:pt>
                <c:pt idx="341">
                  <c:v>0.77236351669791325</c:v>
                </c:pt>
                <c:pt idx="342">
                  <c:v>0.77499796293185153</c:v>
                </c:pt>
                <c:pt idx="343">
                  <c:v>0.77762150916080852</c:v>
                </c:pt>
                <c:pt idx="344">
                  <c:v>0.78023405139613411</c:v>
                </c:pt>
                <c:pt idx="345">
                  <c:v>0.78283548608533993</c:v>
                </c:pt>
                <c:pt idx="346">
                  <c:v>0.78542571011620343</c:v>
                </c:pt>
                <c:pt idx="347">
                  <c:v>0.78800462082085621</c:v>
                </c:pt>
                <c:pt idx="348">
                  <c:v>0.79057211597985133</c:v>
                </c:pt>
                <c:pt idx="349">
                  <c:v>0.79312809382621685</c:v>
                </c:pt>
                <c:pt idx="350">
                  <c:v>0.79567245304948864</c:v>
                </c:pt>
                <c:pt idx="351">
                  <c:v>0.79820509279972629</c:v>
                </c:pt>
                <c:pt idx="352">
                  <c:v>0.80072591269150994</c:v>
                </c:pt>
                <c:pt idx="353">
                  <c:v>0.80323481280792031</c:v>
                </c:pt>
                <c:pt idx="354">
                  <c:v>0.8057316937044976</c:v>
                </c:pt>
                <c:pt idx="355">
                  <c:v>0.8082164564131844</c:v>
                </c:pt>
                <c:pt idx="356">
                  <c:v>0.81068900244624797</c:v>
                </c:pt>
                <c:pt idx="357">
                  <c:v>0.81314923380018378</c:v>
                </c:pt>
                <c:pt idx="358">
                  <c:v>0.81559705295960072</c:v>
                </c:pt>
                <c:pt idx="359">
                  <c:v>0.81803236290108483</c:v>
                </c:pt>
                <c:pt idx="360">
                  <c:v>0.82045506709704696</c:v>
                </c:pt>
                <c:pt idx="361">
                  <c:v>0.82286506951954708</c:v>
                </c:pt>
                <c:pt idx="362">
                  <c:v>0.82526227464410196</c:v>
                </c:pt>
                <c:pt idx="363">
                  <c:v>0.82764658745347019</c:v>
                </c:pt>
                <c:pt idx="364">
                  <c:v>0.83001791344141862</c:v>
                </c:pt>
                <c:pt idx="365">
                  <c:v>0.83237615861646941</c:v>
                </c:pt>
                <c:pt idx="366">
                  <c:v>0.83472122950562377</c:v>
                </c:pt>
                <c:pt idx="367">
                  <c:v>0.83705303315806845</c:v>
                </c:pt>
                <c:pt idx="368">
                  <c:v>0.83937147714885874</c:v>
                </c:pt>
                <c:pt idx="369">
                  <c:v>0.84167646958258346</c:v>
                </c:pt>
                <c:pt idx="370">
                  <c:v>0.84396791909700508</c:v>
                </c:pt>
                <c:pt idx="371">
                  <c:v>0.84624573486668342</c:v>
                </c:pt>
                <c:pt idx="372">
                  <c:v>0.84850982660657426</c:v>
                </c:pt>
                <c:pt idx="373">
                  <c:v>0.85076010457560836</c:v>
                </c:pt>
                <c:pt idx="374">
                  <c:v>0.85299647958024849</c:v>
                </c:pt>
                <c:pt idx="375">
                  <c:v>0.8552188629780243</c:v>
                </c:pt>
                <c:pt idx="376">
                  <c:v>0.8574271666810469</c:v>
                </c:pt>
                <c:pt idx="377">
                  <c:v>0.85962130315949881</c:v>
                </c:pt>
                <c:pt idx="378">
                  <c:v>0.86180118544510542</c:v>
                </c:pt>
                <c:pt idx="379">
                  <c:v>0.86396672713457978</c:v>
                </c:pt>
                <c:pt idx="380">
                  <c:v>0.86611784239304912</c:v>
                </c:pt>
                <c:pt idx="381">
                  <c:v>0.86825444595745616</c:v>
                </c:pt>
                <c:pt idx="382">
                  <c:v>0.87037645313993917</c:v>
                </c:pt>
                <c:pt idx="383">
                  <c:v>0.87248377983118819</c:v>
                </c:pt>
                <c:pt idx="384">
                  <c:v>0.87457634250377958</c:v>
                </c:pt>
                <c:pt idx="385">
                  <c:v>0.87665405821548581</c:v>
                </c:pt>
                <c:pt idx="386">
                  <c:v>0.8787168446125635</c:v>
                </c:pt>
                <c:pt idx="387">
                  <c:v>0.88076461993301847</c:v>
                </c:pt>
                <c:pt idx="388">
                  <c:v>0.8827973030098446</c:v>
                </c:pt>
                <c:pt idx="389">
                  <c:v>0.88481481327424305</c:v>
                </c:pt>
                <c:pt idx="390">
                  <c:v>0.88681707075881411</c:v>
                </c:pt>
                <c:pt idx="391">
                  <c:v>0.88880399610072813</c:v>
                </c:pt>
                <c:pt idx="392">
                  <c:v>0.89077551054487025</c:v>
                </c:pt>
                <c:pt idx="393">
                  <c:v>0.89273153594696253</c:v>
                </c:pt>
                <c:pt idx="394">
                  <c:v>0.89467199477666082</c:v>
                </c:pt>
                <c:pt idx="395">
                  <c:v>0.89659681012062897</c:v>
                </c:pt>
                <c:pt idx="396">
                  <c:v>0.89850590568558575</c:v>
                </c:pt>
                <c:pt idx="397">
                  <c:v>0.90039920580133004</c:v>
                </c:pt>
                <c:pt idx="398">
                  <c:v>0.90227663542373993</c:v>
                </c:pt>
                <c:pt idx="399">
                  <c:v>0.90413812013774664</c:v>
                </c:pt>
                <c:pt idx="400">
                  <c:v>0.9059835861602854</c:v>
                </c:pt>
                <c:pt idx="401">
                  <c:v>0.9078129603432179</c:v>
                </c:pt>
                <c:pt idx="402">
                  <c:v>0.90962617017623426</c:v>
                </c:pt>
                <c:pt idx="403">
                  <c:v>0.91142314378972433</c:v>
                </c:pt>
                <c:pt idx="404">
                  <c:v>0.91320380995762895</c:v>
                </c:pt>
                <c:pt idx="405">
                  <c:v>0.91496809810026081</c:v>
                </c:pt>
                <c:pt idx="406">
                  <c:v>0.91671593828710374</c:v>
                </c:pt>
                <c:pt idx="407">
                  <c:v>0.91844726123958387</c:v>
                </c:pt>
                <c:pt idx="408">
                  <c:v>0.92016199833381507</c:v>
                </c:pt>
                <c:pt idx="409">
                  <c:v>0.92186008160332</c:v>
                </c:pt>
                <c:pt idx="410">
                  <c:v>0.92354144374172342</c:v>
                </c:pt>
                <c:pt idx="411">
                  <c:v>0.92520601810542002</c:v>
                </c:pt>
                <c:pt idx="412">
                  <c:v>0.9268537387162159</c:v>
                </c:pt>
                <c:pt idx="413">
                  <c:v>0.92848454026394456</c:v>
                </c:pt>
                <c:pt idx="414">
                  <c:v>0.93009835810905406</c:v>
                </c:pt>
                <c:pt idx="415">
                  <c:v>0.93169512828517065</c:v>
                </c:pt>
                <c:pt idx="416">
                  <c:v>0.93327478750163317</c:v>
                </c:pt>
                <c:pt idx="417">
                  <c:v>0.93483727314600207</c:v>
                </c:pt>
                <c:pt idx="418">
                  <c:v>0.93638252328654126</c:v>
                </c:pt>
                <c:pt idx="419">
                  <c:v>0.9379104766746722</c:v>
                </c:pt>
                <c:pt idx="420">
                  <c:v>0.93942107274740294</c:v>
                </c:pt>
                <c:pt idx="421">
                  <c:v>0.94091425162972686</c:v>
                </c:pt>
                <c:pt idx="422">
                  <c:v>0.94238995413699778</c:v>
                </c:pt>
                <c:pt idx="423">
                  <c:v>0.94384812177727417</c:v>
                </c:pt>
                <c:pt idx="424">
                  <c:v>0.94528869675363891</c:v>
                </c:pt>
                <c:pt idx="425">
                  <c:v>0.94671162196648917</c:v>
                </c:pt>
                <c:pt idx="426">
                  <c:v>0.94811684101580029</c:v>
                </c:pt>
                <c:pt idx="427">
                  <c:v>0.94950429820336102</c:v>
                </c:pt>
                <c:pt idx="428">
                  <c:v>0.95087393853498114</c:v>
                </c:pt>
                <c:pt idx="429">
                  <c:v>0.95222570772267157</c:v>
                </c:pt>
                <c:pt idx="430">
                  <c:v>0.95355955218679578</c:v>
                </c:pt>
                <c:pt idx="431">
                  <c:v>0.95487541905819395</c:v>
                </c:pt>
                <c:pt idx="432">
                  <c:v>0.95617325618027782</c:v>
                </c:pt>
                <c:pt idx="433">
                  <c:v>0.9574530121110989</c:v>
                </c:pt>
                <c:pt idx="434">
                  <c:v>0.95871463612538665</c:v>
                </c:pt>
                <c:pt idx="435">
                  <c:v>0.95995807821655976</c:v>
                </c:pt>
                <c:pt idx="436">
                  <c:v>0.96118328909870754</c:v>
                </c:pt>
                <c:pt idx="437">
                  <c:v>0.96239022020854426</c:v>
                </c:pt>
                <c:pt idx="438">
                  <c:v>0.96357882370733328</c:v>
                </c:pt>
                <c:pt idx="439">
                  <c:v>0.96474905248278331</c:v>
                </c:pt>
                <c:pt idx="440">
                  <c:v>0.9659008601509167</c:v>
                </c:pt>
                <c:pt idx="441">
                  <c:v>0.9670342010579065</c:v>
                </c:pt>
                <c:pt idx="442">
                  <c:v>0.96814903028188737</c:v>
                </c:pt>
                <c:pt idx="443">
                  <c:v>0.96924530363473493</c:v>
                </c:pt>
                <c:pt idx="444">
                  <c:v>0.97032297766381859</c:v>
                </c:pt>
                <c:pt idx="445">
                  <c:v>0.97138200965372234</c:v>
                </c:pt>
                <c:pt idx="446">
                  <c:v>0.97242235762793938</c:v>
                </c:pt>
                <c:pt idx="447">
                  <c:v>0.97344398035053437</c:v>
                </c:pt>
                <c:pt idx="448">
                  <c:v>0.97444683732777948</c:v>
                </c:pt>
                <c:pt idx="449">
                  <c:v>0.97543088880975826</c:v>
                </c:pt>
                <c:pt idx="450">
                  <c:v>0.97639609579194131</c:v>
                </c:pt>
                <c:pt idx="451">
                  <c:v>0.97734242001673288</c:v>
                </c:pt>
                <c:pt idx="452">
                  <c:v>0.97826982397498718</c:v>
                </c:pt>
                <c:pt idx="453">
                  <c:v>0.97917827090749432</c:v>
                </c:pt>
                <c:pt idx="454">
                  <c:v>0.98006772480643811</c:v>
                </c:pt>
                <c:pt idx="455">
                  <c:v>0.98093815041682331</c:v>
                </c:pt>
                <c:pt idx="456">
                  <c:v>0.98178951323787245</c:v>
                </c:pt>
                <c:pt idx="457">
                  <c:v>0.98262177952439389</c:v>
                </c:pt>
                <c:pt idx="458">
                  <c:v>0.98343491628811885</c:v>
                </c:pt>
                <c:pt idx="459">
                  <c:v>0.98422889129900959</c:v>
                </c:pt>
                <c:pt idx="460">
                  <c:v>0.98500367308653625</c:v>
                </c:pt>
                <c:pt idx="461">
                  <c:v>0.98575923094092466</c:v>
                </c:pt>
                <c:pt idx="462">
                  <c:v>0.98649553491437336</c:v>
                </c:pt>
                <c:pt idx="463">
                  <c:v>0.98721255582224088</c:v>
                </c:pt>
                <c:pt idx="464">
                  <c:v>0.98791026524420245</c:v>
                </c:pt>
                <c:pt idx="465">
                  <c:v>0.98858863552537568</c:v>
                </c:pt>
                <c:pt idx="466">
                  <c:v>0.98924763977741859</c:v>
                </c:pt>
                <c:pt idx="467">
                  <c:v>0.98988725187959314</c:v>
                </c:pt>
                <c:pt idx="468">
                  <c:v>0.99050744647980227</c:v>
                </c:pt>
                <c:pt idx="469">
                  <c:v>0.99110819899559388</c:v>
                </c:pt>
                <c:pt idx="470">
                  <c:v>0.99168948561513559</c:v>
                </c:pt>
                <c:pt idx="471">
                  <c:v>0.99225128329815826</c:v>
                </c:pt>
                <c:pt idx="472">
                  <c:v>0.99279356977686972</c:v>
                </c:pt>
                <c:pt idx="473">
                  <c:v>0.99331632355683674</c:v>
                </c:pt>
                <c:pt idx="474">
                  <c:v>0.99381952391783734</c:v>
                </c:pt>
                <c:pt idx="475">
                  <c:v>0.99430315091468235</c:v>
                </c:pt>
                <c:pt idx="476">
                  <c:v>0.99476718537800535</c:v>
                </c:pt>
                <c:pt idx="477">
                  <c:v>0.99521160891502314</c:v>
                </c:pt>
                <c:pt idx="478">
                  <c:v>0.99563640391026409</c:v>
                </c:pt>
                <c:pt idx="479">
                  <c:v>0.996041553526267</c:v>
                </c:pt>
                <c:pt idx="480">
                  <c:v>0.99642704170424801</c:v>
                </c:pt>
                <c:pt idx="481">
                  <c:v>0.9967928531647372</c:v>
                </c:pt>
                <c:pt idx="482">
                  <c:v>0.9971389734081848</c:v>
                </c:pt>
                <c:pt idx="483">
                  <c:v>0.99746538871553492</c:v>
                </c:pt>
                <c:pt idx="484">
                  <c:v>0.99777208614877</c:v>
                </c:pt>
                <c:pt idx="485">
                  <c:v>0.99805905355142333</c:v>
                </c:pt>
                <c:pt idx="486">
                  <c:v>0.99832627954906128</c:v>
                </c:pt>
                <c:pt idx="487">
                  <c:v>0.99857375354973366</c:v>
                </c:pt>
                <c:pt idx="488">
                  <c:v>0.99880146574439399</c:v>
                </c:pt>
                <c:pt idx="489">
                  <c:v>0.99900940710728769</c:v>
                </c:pt>
                <c:pt idx="490">
                  <c:v>0.99919756939631066</c:v>
                </c:pt>
                <c:pt idx="491">
                  <c:v>0.99936594515333521</c:v>
                </c:pt>
                <c:pt idx="492">
                  <c:v>0.99951452770450611</c:v>
                </c:pt>
                <c:pt idx="493">
                  <c:v>0.9996433111605052</c:v>
                </c:pt>
                <c:pt idx="494">
                  <c:v>0.99975229041678437</c:v>
                </c:pt>
                <c:pt idx="495">
                  <c:v>0.99984146115376804</c:v>
                </c:pt>
                <c:pt idx="496">
                  <c:v>0.99991081983702479</c:v>
                </c:pt>
                <c:pt idx="497">
                  <c:v>0.99996036371740704</c:v>
                </c:pt>
                <c:pt idx="498">
                  <c:v>0.99999009083116008</c:v>
                </c:pt>
                <c:pt idx="499">
                  <c:v>1</c:v>
                </c:pt>
                <c:pt idx="500">
                  <c:v>1</c:v>
                </c:pt>
              </c:numCache>
            </c:numRef>
          </c:xVal>
          <c:yVal>
            <c:numRef>
              <c:f>Data5!$H$1:$H$501</c:f>
              <c:numCache>
                <c:formatCode>0.00000</c:formatCode>
                <c:ptCount val="501"/>
                <c:pt idx="0">
                  <c:v>0</c:v>
                </c:pt>
                <c:pt idx="1">
                  <c:v>3.7355811981606724E-4</c:v>
                </c:pt>
                <c:pt idx="2">
                  <c:v>7.4654355508817541E-4</c:v>
                </c:pt>
                <c:pt idx="3">
                  <c:v>1.1189526177777208E-3</c:v>
                </c:pt>
                <c:pt idx="4">
                  <c:v>1.4907816307790059E-3</c:v>
                </c:pt>
                <c:pt idx="5">
                  <c:v>1.8620269278414763E-3</c:v>
                </c:pt>
                <c:pt idx="6">
                  <c:v>2.232684853447678E-3</c:v>
                </c:pt>
                <c:pt idx="7">
                  <c:v>2.6027517626444709E-3</c:v>
                </c:pt>
                <c:pt idx="8">
                  <c:v>2.9722240208303612E-3</c:v>
                </c:pt>
                <c:pt idx="9">
                  <c:v>3.3410980034959126E-3</c:v>
                </c:pt>
                <c:pt idx="10">
                  <c:v>3.7093700959209526E-3</c:v>
                </c:pt>
                <c:pt idx="11">
                  <c:v>4.0770366928253726E-3</c:v>
                </c:pt>
                <c:pt idx="12">
                  <c:v>4.4440941979768589E-3</c:v>
                </c:pt>
                <c:pt idx="13">
                  <c:v>4.8105390237530793E-3</c:v>
                </c:pt>
                <c:pt idx="14">
                  <c:v>5.1763675906602658E-3</c:v>
                </c:pt>
                <c:pt idx="15">
                  <c:v>5.5415763268082561E-3</c:v>
                </c:pt>
                <c:pt idx="16">
                  <c:v>5.9061616673416273E-3</c:v>
                </c:pt>
                <c:pt idx="17">
                  <c:v>6.2701200538282627E-3</c:v>
                </c:pt>
                <c:pt idx="18">
                  <c:v>6.6334479336042475E-3</c:v>
                </c:pt>
                <c:pt idx="19">
                  <c:v>6.9961417590776202E-3</c:v>
                </c:pt>
                <c:pt idx="20">
                  <c:v>7.3581979869890351E-3</c:v>
                </c:pt>
                <c:pt idx="21">
                  <c:v>7.7196130776319271E-3</c:v>
                </c:pt>
                <c:pt idx="22">
                  <c:v>8.0803834940307018E-3</c:v>
                </c:pt>
                <c:pt idx="23">
                  <c:v>8.4405057010791991E-3</c:v>
                </c:pt>
                <c:pt idx="24">
                  <c:v>8.7999761646385555E-3</c:v>
                </c:pt>
                <c:pt idx="25">
                  <c:v>9.1587913505958643E-3</c:v>
                </c:pt>
                <c:pt idx="26">
                  <c:v>9.5169477238836765E-3</c:v>
                </c:pt>
                <c:pt idx="27">
                  <c:v>9.8744417474615313E-3</c:v>
                </c:pt>
                <c:pt idx="28">
                  <c:v>1.0231269881259169E-2</c:v>
                </c:pt>
                <c:pt idx="29">
                  <c:v>1.058742858108312E-2</c:v>
                </c:pt>
                <c:pt idx="30">
                  <c:v>1.0942914297486478E-2</c:v>
                </c:pt>
                <c:pt idx="31">
                  <c:v>1.1297723474603094E-2</c:v>
                </c:pt>
                <c:pt idx="32">
                  <c:v>1.1651852548946559E-2</c:v>
                </c:pt>
                <c:pt idx="33">
                  <c:v>1.2005297948174721E-2</c:v>
                </c:pt>
                <c:pt idx="34">
                  <c:v>1.2358056089820596E-2</c:v>
                </c:pt>
                <c:pt idx="35">
                  <c:v>1.2710123379990421E-2</c:v>
                </c:pt>
                <c:pt idx="36">
                  <c:v>1.3061496212029502E-2</c:v>
                </c:pt>
                <c:pt idx="37">
                  <c:v>1.3412170965156685E-2</c:v>
                </c:pt>
                <c:pt idx="38">
                  <c:v>1.3762144003068468E-2</c:v>
                </c:pt>
                <c:pt idx="39">
                  <c:v>1.4111411672513159E-2</c:v>
                </c:pt>
                <c:pt idx="40">
                  <c:v>1.4459970301836426E-2</c:v>
                </c:pt>
                <c:pt idx="41">
                  <c:v>1.4807816199498804E-2</c:v>
                </c:pt>
                <c:pt idx="42">
                  <c:v>1.5154945652566157E-2</c:v>
                </c:pt>
                <c:pt idx="43">
                  <c:v>1.5501354925173865E-2</c:v>
                </c:pt>
                <c:pt idx="44">
                  <c:v>1.5847040256965938E-2</c:v>
                </c:pt>
                <c:pt idx="45">
                  <c:v>1.6191997861509769E-2</c:v>
                </c:pt>
                <c:pt idx="46">
                  <c:v>1.6536223924687381E-2</c:v>
                </c:pt>
                <c:pt idx="47">
                  <c:v>1.6879714603064727E-2</c:v>
                </c:pt>
                <c:pt idx="48">
                  <c:v>1.722246602223923E-2</c:v>
                </c:pt>
                <c:pt idx="49">
                  <c:v>1.7564474275167063E-2</c:v>
                </c:pt>
                <c:pt idx="50">
                  <c:v>1.7905735420471344E-2</c:v>
                </c:pt>
                <c:pt idx="51">
                  <c:v>1.8246245480731605E-2</c:v>
                </c:pt>
                <c:pt idx="52">
                  <c:v>1.8586000440756496E-2</c:v>
                </c:pt>
                <c:pt idx="53">
                  <c:v>1.8924996245839869E-2</c:v>
                </c:pt>
                <c:pt idx="54">
                  <c:v>1.9263228800002082E-2</c:v>
                </c:pt>
                <c:pt idx="55">
                  <c:v>1.9600693964217156E-2</c:v>
                </c:pt>
                <c:pt idx="56">
                  <c:v>1.9937387554627036E-2</c:v>
                </c:pt>
                <c:pt idx="57">
                  <c:v>2.0273305340744133E-2</c:v>
                </c:pt>
                <c:pt idx="58">
                  <c:v>2.0608443043643111E-2</c:v>
                </c:pt>
                <c:pt idx="59">
                  <c:v>2.094279633414324E-2</c:v>
                </c:pt>
                <c:pt idx="60">
                  <c:v>2.1276360830982312E-2</c:v>
                </c:pt>
                <c:pt idx="61">
                  <c:v>2.1609132098983422E-2</c:v>
                </c:pt>
                <c:pt idx="62">
                  <c:v>2.1941105647215589E-2</c:v>
                </c:pt>
                <c:pt idx="63">
                  <c:v>2.227227692714967E-2</c:v>
                </c:pt>
                <c:pt idx="64">
                  <c:v>2.2602641330810424E-2</c:v>
                </c:pt>
                <c:pt idx="65">
                  <c:v>2.2932194188926187E-2</c:v>
                </c:pt>
                <c:pt idx="66">
                  <c:v>2.3260930769077311E-2</c:v>
                </c:pt>
                <c:pt idx="67">
                  <c:v>2.3588846273844322E-2</c:v>
                </c:pt>
                <c:pt idx="68">
                  <c:v>2.3915935838957462E-2</c:v>
                </c:pt>
                <c:pt idx="69">
                  <c:v>2.4242194531448404E-2</c:v>
                </c:pt>
                <c:pt idx="70">
                  <c:v>2.4567617347805628E-2</c:v>
                </c:pt>
                <c:pt idx="71">
                  <c:v>2.4892199212134637E-2</c:v>
                </c:pt>
                <c:pt idx="72">
                  <c:v>2.5215934974324058E-2</c:v>
                </c:pt>
                <c:pt idx="73">
                  <c:v>2.5538819408219299E-2</c:v>
                </c:pt>
                <c:pt idx="74">
                  <c:v>2.586084720980443E-2</c:v>
                </c:pt>
                <c:pt idx="75">
                  <c:v>2.6182012995394063E-2</c:v>
                </c:pt>
                <c:pt idx="76">
                  <c:v>2.6502311299836122E-2</c:v>
                </c:pt>
                <c:pt idx="77">
                  <c:v>2.68217365747269E-2</c:v>
                </c:pt>
                <c:pt idx="78">
                  <c:v>2.7140283186639667E-2</c:v>
                </c:pt>
                <c:pt idx="79">
                  <c:v>2.7457945415367994E-2</c:v>
                </c:pt>
                <c:pt idx="80">
                  <c:v>2.7774717452185092E-2</c:v>
                </c:pt>
                <c:pt idx="81">
                  <c:v>2.8090593398120384E-2</c:v>
                </c:pt>
                <c:pt idx="82">
                  <c:v>2.8405567262254645E-2</c:v>
                </c:pt>
                <c:pt idx="83">
                  <c:v>2.8719632960034852E-2</c:v>
                </c:pt>
                <c:pt idx="84">
                  <c:v>2.9032784311610001E-2</c:v>
                </c:pt>
                <c:pt idx="85">
                  <c:v>2.9345015040189139E-2</c:v>
                </c:pt>
                <c:pt idx="86">
                  <c:v>2.9656318770422966E-2</c:v>
                </c:pt>
                <c:pt idx="87">
                  <c:v>2.9966689026810059E-2</c:v>
                </c:pt>
                <c:pt idx="88">
                  <c:v>3.0276119232128983E-2</c:v>
                </c:pt>
                <c:pt idx="89">
                  <c:v>3.0584602705897648E-2</c:v>
                </c:pt>
                <c:pt idx="90">
                  <c:v>3.0892132662860936E-2</c:v>
                </c:pt>
                <c:pt idx="91">
                  <c:v>3.1198702211508004E-2</c:v>
                </c:pt>
                <c:pt idx="92">
                  <c:v>3.150430435262034E-2</c:v>
                </c:pt>
                <c:pt idx="93">
                  <c:v>3.1808931977851715E-2</c:v>
                </c:pt>
                <c:pt idx="94">
                  <c:v>3.2112577868341381E-2</c:v>
                </c:pt>
                <c:pt idx="95">
                  <c:v>3.2415234693361647E-2</c:v>
                </c:pt>
                <c:pt idx="96">
                  <c:v>3.2716895009000907E-2</c:v>
                </c:pt>
                <c:pt idx="97">
                  <c:v>3.3017551256883423E-2</c:v>
                </c:pt>
                <c:pt idx="98">
                  <c:v>3.3317195762926806E-2</c:v>
                </c:pt>
                <c:pt idx="99">
                  <c:v>3.3615820736138717E-2</c:v>
                </c:pt>
                <c:pt idx="100">
                  <c:v>3.3913418267453407E-2</c:v>
                </c:pt>
                <c:pt idx="101">
                  <c:v>3.4209980328609675E-2</c:v>
                </c:pt>
                <c:pt idx="102">
                  <c:v>3.450549877107114E-2</c:v>
                </c:pt>
                <c:pt idx="103">
                  <c:v>3.4799965324989857E-2</c:v>
                </c:pt>
                <c:pt idx="104">
                  <c:v>3.5093371598214511E-2</c:v>
                </c:pt>
                <c:pt idx="105">
                  <c:v>3.5385709075344211E-2</c:v>
                </c:pt>
                <c:pt idx="106">
                  <c:v>3.5676969116828883E-2</c:v>
                </c:pt>
                <c:pt idx="107">
                  <c:v>3.5967142958117357E-2</c:v>
                </c:pt>
                <c:pt idx="108">
                  <c:v>3.6256221708854168E-2</c:v>
                </c:pt>
                <c:pt idx="109">
                  <c:v>3.6544196352126017E-2</c:v>
                </c:pt>
                <c:pt idx="110">
                  <c:v>3.6831057743759055E-2</c:v>
                </c:pt>
                <c:pt idx="111">
                  <c:v>3.7116796611667634E-2</c:v>
                </c:pt>
                <c:pt idx="112">
                  <c:v>3.7401403555255966E-2</c:v>
                </c:pt>
                <c:pt idx="113">
                  <c:v>3.7684869044873164E-2</c:v>
                </c:pt>
                <c:pt idx="114">
                  <c:v>3.7967183421322832E-2</c:v>
                </c:pt>
                <c:pt idx="115">
                  <c:v>3.8248336895428149E-2</c:v>
                </c:pt>
                <c:pt idx="116">
                  <c:v>3.8528319547653143E-2</c:v>
                </c:pt>
                <c:pt idx="117">
                  <c:v>3.8807121327781212E-2</c:v>
                </c:pt>
                <c:pt idx="118">
                  <c:v>3.9084732054651607E-2</c:v>
                </c:pt>
                <c:pt idx="119">
                  <c:v>3.9361141415954766E-2</c:v>
                </c:pt>
                <c:pt idx="120">
                  <c:v>3.9636338968087333E-2</c:v>
                </c:pt>
                <c:pt idx="121">
                  <c:v>3.991031413606759E-2</c:v>
                </c:pt>
                <c:pt idx="122">
                  <c:v>4.0183056213512029E-2</c:v>
                </c:pt>
                <c:pt idx="123">
                  <c:v>4.0454554362673999E-2</c:v>
                </c:pt>
                <c:pt idx="124">
                  <c:v>4.0724797614544908E-2</c:v>
                </c:pt>
                <c:pt idx="125">
                  <c:v>4.0993774869018763E-2</c:v>
                </c:pt>
                <c:pt idx="126">
                  <c:v>4.12614748951209E-2</c:v>
                </c:pt>
                <c:pt idx="127">
                  <c:v>4.1527886331301229E-2</c:v>
                </c:pt>
                <c:pt idx="128">
                  <c:v>4.1792997685792893E-2</c:v>
                </c:pt>
                <c:pt idx="129">
                  <c:v>4.2056797337036871E-2</c:v>
                </c:pt>
                <c:pt idx="130">
                  <c:v>4.2319273534172926E-2</c:v>
                </c:pt>
                <c:pt idx="131">
                  <c:v>4.2580414397597868E-2</c:v>
                </c:pt>
                <c:pt idx="132">
                  <c:v>4.2840207919591103E-2</c:v>
                </c:pt>
                <c:pt idx="133">
                  <c:v>4.3098641965008552E-2</c:v>
                </c:pt>
                <c:pt idx="134">
                  <c:v>4.3355704272044993E-2</c:v>
                </c:pt>
                <c:pt idx="135">
                  <c:v>4.3611382453065325E-2</c:v>
                </c:pt>
                <c:pt idx="136">
                  <c:v>4.3865663995505601E-2</c:v>
                </c:pt>
                <c:pt idx="137">
                  <c:v>4.4118536262843559E-2</c:v>
                </c:pt>
                <c:pt idx="138">
                  <c:v>4.4369986495639627E-2</c:v>
                </c:pt>
                <c:pt idx="139">
                  <c:v>4.4620001812648351E-2</c:v>
                </c:pt>
                <c:pt idx="140">
                  <c:v>4.4868569212000824E-2</c:v>
                </c:pt>
                <c:pt idx="141">
                  <c:v>4.5115675572458228E-2</c:v>
                </c:pt>
                <c:pt idx="142">
                  <c:v>4.5361307654736803E-2</c:v>
                </c:pt>
                <c:pt idx="143">
                  <c:v>4.5605452102904571E-2</c:v>
                </c:pt>
                <c:pt idx="144">
                  <c:v>4.5848095445849946E-2</c:v>
                </c:pt>
                <c:pt idx="145">
                  <c:v>4.6089224098822337E-2</c:v>
                </c:pt>
                <c:pt idx="146">
                  <c:v>4.6328824365045006E-2</c:v>
                </c:pt>
                <c:pt idx="147">
                  <c:v>4.6566882437400391E-2</c:v>
                </c:pt>
                <c:pt idx="148">
                  <c:v>4.6803384400187609E-2</c:v>
                </c:pt>
                <c:pt idx="149">
                  <c:v>4.7038316230952705E-2</c:v>
                </c:pt>
                <c:pt idx="150">
                  <c:v>4.7271663802391402E-2</c:v>
                </c:pt>
                <c:pt idx="151">
                  <c:v>4.7503412884324137E-2</c:v>
                </c:pt>
                <c:pt idx="152">
                  <c:v>4.7733549145744049E-2</c:v>
                </c:pt>
                <c:pt idx="153">
                  <c:v>4.7962058156937035E-2</c:v>
                </c:pt>
                <c:pt idx="154">
                  <c:v>4.8188925391674381E-2</c:v>
                </c:pt>
                <c:pt idx="155">
                  <c:v>4.8414136229477718E-2</c:v>
                </c:pt>
                <c:pt idx="156">
                  <c:v>4.8637675957955859E-2</c:v>
                </c:pt>
                <c:pt idx="157">
                  <c:v>4.8859529775213927E-2</c:v>
                </c:pt>
                <c:pt idx="158">
                  <c:v>4.9079682792333941E-2</c:v>
                </c:pt>
                <c:pt idx="159">
                  <c:v>4.9298120035927033E-2</c:v>
                </c:pt>
                <c:pt idx="160">
                  <c:v>4.9514826450756971E-2</c:v>
                </c:pt>
                <c:pt idx="161">
                  <c:v>4.9729786902434597E-2</c:v>
                </c:pt>
                <c:pt idx="162">
                  <c:v>4.9942986180182884E-2</c:v>
                </c:pt>
                <c:pt idx="163">
                  <c:v>5.0154408999672301E-2</c:v>
                </c:pt>
                <c:pt idx="164">
                  <c:v>5.0364040005926126E-2</c:v>
                </c:pt>
                <c:pt idx="165">
                  <c:v>5.0571863776295141E-2</c:v>
                </c:pt>
                <c:pt idx="166">
                  <c:v>5.0777864823501453E-2</c:v>
                </c:pt>
                <c:pt idx="167">
                  <c:v>5.0982027598750992E-2</c:v>
                </c:pt>
                <c:pt idx="168">
                  <c:v>5.1184336494913815E-2</c:v>
                </c:pt>
                <c:pt idx="169">
                  <c:v>5.1384775849772205E-2</c:v>
                </c:pt>
                <c:pt idx="170">
                  <c:v>5.1583329949335628E-2</c:v>
                </c:pt>
                <c:pt idx="171">
                  <c:v>5.1779983031222047E-2</c:v>
                </c:pt>
                <c:pt idx="172">
                  <c:v>5.1974719288105133E-2</c:v>
                </c:pt>
                <c:pt idx="173">
                  <c:v>5.2167522871226411E-2</c:v>
                </c:pt>
                <c:pt idx="174">
                  <c:v>5.2358377893971998E-2</c:v>
                </c:pt>
                <c:pt idx="175">
                  <c:v>5.2547268435512905E-2</c:v>
                </c:pt>
                <c:pt idx="176">
                  <c:v>5.2734178544508521E-2</c:v>
                </c:pt>
                <c:pt idx="177">
                  <c:v>5.2919092242872119E-2</c:v>
                </c:pt>
                <c:pt idx="178">
                  <c:v>5.3101993529597838E-2</c:v>
                </c:pt>
                <c:pt idx="179">
                  <c:v>5.3282866384648402E-2</c:v>
                </c:pt>
                <c:pt idx="180">
                  <c:v>5.3461694772902295E-2</c:v>
                </c:pt>
                <c:pt idx="181">
                  <c:v>5.3638462648160079E-2</c:v>
                </c:pt>
                <c:pt idx="182">
                  <c:v>5.3813153957208461E-2</c:v>
                </c:pt>
                <c:pt idx="183">
                  <c:v>5.3985752643941544E-2</c:v>
                </c:pt>
                <c:pt idx="184">
                  <c:v>5.4156242653537877E-2</c:v>
                </c:pt>
                <c:pt idx="185">
                  <c:v>5.4324607936692873E-2</c:v>
                </c:pt>
                <c:pt idx="186">
                  <c:v>5.4490832453905021E-2</c:v>
                </c:pt>
                <c:pt idx="187">
                  <c:v>5.4654900179815183E-2</c:v>
                </c:pt>
                <c:pt idx="188">
                  <c:v>5.4816795107597842E-2</c:v>
                </c:pt>
                <c:pt idx="189">
                  <c:v>5.4976501253403087E-2</c:v>
                </c:pt>
                <c:pt idx="190">
                  <c:v>5.5134002660848398E-2</c:v>
                </c:pt>
                <c:pt idx="191">
                  <c:v>5.5289283405558838E-2</c:v>
                </c:pt>
                <c:pt idx="192">
                  <c:v>5.5442327599754836E-2</c:v>
                </c:pt>
                <c:pt idx="193">
                  <c:v>5.5593119396885944E-2</c:v>
                </c:pt>
                <c:pt idx="194">
                  <c:v>5.5741642996309633E-2</c:v>
                </c:pt>
                <c:pt idx="195">
                  <c:v>5.5887882648013781E-2</c:v>
                </c:pt>
                <c:pt idx="196">
                  <c:v>5.6031822657381679E-2</c:v>
                </c:pt>
                <c:pt idx="197">
                  <c:v>5.6173447389997973E-2</c:v>
                </c:pt>
                <c:pt idx="198">
                  <c:v>5.6312741276494688E-2</c:v>
                </c:pt>
                <c:pt idx="199">
                  <c:v>5.6449688817435492E-2</c:v>
                </c:pt>
                <c:pt idx="200">
                  <c:v>5.658427458823731E-2</c:v>
                </c:pt>
                <c:pt idx="201">
                  <c:v>5.6716483244127418E-2</c:v>
                </c:pt>
                <c:pt idx="202">
                  <c:v>5.6846299525135098E-2</c:v>
                </c:pt>
                <c:pt idx="203">
                  <c:v>5.6973708261116071E-2</c:v>
                </c:pt>
                <c:pt idx="204">
                  <c:v>5.7098694376808451E-2</c:v>
                </c:pt>
                <c:pt idx="205">
                  <c:v>5.7221242896918517E-2</c:v>
                </c:pt>
                <c:pt idx="206">
                  <c:v>5.7341338951235332E-2</c:v>
                </c:pt>
                <c:pt idx="207">
                  <c:v>5.7458967779771941E-2</c:v>
                </c:pt>
                <c:pt idx="208">
                  <c:v>5.757411473793235E-2</c:v>
                </c:pt>
                <c:pt idx="209">
                  <c:v>5.7686765301702296E-2</c:v>
                </c:pt>
                <c:pt idx="210">
                  <c:v>5.7796905072862448E-2</c:v>
                </c:pt>
                <c:pt idx="211">
                  <c:v>5.79045197842223E-2</c:v>
                </c:pt>
                <c:pt idx="212">
                  <c:v>5.8009595304873332E-2</c:v>
                </c:pt>
                <c:pt idx="213">
                  <c:v>5.8112117645459815E-2</c:v>
                </c:pt>
                <c:pt idx="214">
                  <c:v>5.8212072963465346E-2</c:v>
                </c:pt>
                <c:pt idx="215">
                  <c:v>5.8309447568514042E-2</c:v>
                </c:pt>
                <c:pt idx="216">
                  <c:v>5.8404227927684058E-2</c:v>
                </c:pt>
                <c:pt idx="217">
                  <c:v>5.8496400670832234E-2</c:v>
                </c:pt>
                <c:pt idx="218">
                  <c:v>5.8585952595928172E-2</c:v>
                </c:pt>
                <c:pt idx="219">
                  <c:v>5.867287067439568E-2</c:v>
                </c:pt>
                <c:pt idx="220">
                  <c:v>5.8757142056460251E-2</c:v>
                </c:pt>
                <c:pt idx="221">
                  <c:v>5.8838754076500722E-2</c:v>
                </c:pt>
                <c:pt idx="222">
                  <c:v>5.8917694258403368E-2</c:v>
                </c:pt>
                <c:pt idx="223">
                  <c:v>5.8993950320916588E-2</c:v>
                </c:pt>
                <c:pt idx="224">
                  <c:v>5.9067510183004775E-2</c:v>
                </c:pt>
                <c:pt idx="225">
                  <c:v>5.9138361969199089E-2</c:v>
                </c:pt>
                <c:pt idx="226">
                  <c:v>5.9206494014943822E-2</c:v>
                </c:pt>
                <c:pt idx="227">
                  <c:v>5.9271894871936376E-2</c:v>
                </c:pt>
                <c:pt idx="228">
                  <c:v>5.9334553313459028E-2</c:v>
                </c:pt>
                <c:pt idx="229">
                  <c:v>5.9394458339700737E-2</c:v>
                </c:pt>
                <c:pt idx="230">
                  <c:v>5.9451599183067319E-2</c:v>
                </c:pt>
                <c:pt idx="231">
                  <c:v>5.9505965313477883E-2</c:v>
                </c:pt>
                <c:pt idx="232">
                  <c:v>5.9557546443645935E-2</c:v>
                </c:pt>
                <c:pt idx="233">
                  <c:v>5.9606332534343505E-2</c:v>
                </c:pt>
                <c:pt idx="234">
                  <c:v>5.9652313799645862E-2</c:v>
                </c:pt>
                <c:pt idx="235">
                  <c:v>5.9695480712155767E-2</c:v>
                </c:pt>
                <c:pt idx="236">
                  <c:v>5.9735824008204708E-2</c:v>
                </c:pt>
                <c:pt idx="237">
                  <c:v>5.9773334693030054E-2</c:v>
                </c:pt>
                <c:pt idx="238">
                  <c:v>5.9808004045925386E-2</c:v>
                </c:pt>
                <c:pt idx="239">
                  <c:v>5.9839823625363067E-2</c:v>
                </c:pt>
                <c:pt idx="240">
                  <c:v>5.9868785274086574E-2</c:v>
                </c:pt>
                <c:pt idx="241">
                  <c:v>5.9894881124171059E-2</c:v>
                </c:pt>
                <c:pt idx="242">
                  <c:v>5.9918103602050243E-2</c:v>
                </c:pt>
                <c:pt idx="243">
                  <c:v>5.9938445433507855E-2</c:v>
                </c:pt>
                <c:pt idx="244">
                  <c:v>5.9955899648631711E-2</c:v>
                </c:pt>
                <c:pt idx="245">
                  <c:v>5.9970459586728531E-2</c:v>
                </c:pt>
                <c:pt idx="246">
                  <c:v>5.9982118901197895E-2</c:v>
                </c:pt>
                <c:pt idx="247">
                  <c:v>5.999087156436346E-2</c:v>
                </c:pt>
                <c:pt idx="248">
                  <c:v>5.9996711872259467E-2</c:v>
                </c:pt>
                <c:pt idx="249">
                  <c:v>5.9999634449370717E-2</c:v>
                </c:pt>
                <c:pt idx="250">
                  <c:v>5.9999633668545195E-2</c:v>
                </c:pt>
                <c:pt idx="251">
                  <c:v>5.9996690808351724E-2</c:v>
                </c:pt>
                <c:pt idx="252">
                  <c:v>5.999077413595133E-2</c:v>
                </c:pt>
                <c:pt idx="253">
                  <c:v>5.998185181625959E-2</c:v>
                </c:pt>
                <c:pt idx="254">
                  <c:v>5.99698925102101E-2</c:v>
                </c:pt>
                <c:pt idx="255">
                  <c:v>5.9954865387508903E-2</c:v>
                </c:pt>
                <c:pt idx="256">
                  <c:v>5.9936740139298832E-2</c:v>
                </c:pt>
                <c:pt idx="257">
                  <c:v>5.9915486990729669E-2</c:v>
                </c:pt>
                <c:pt idx="258">
                  <c:v>5.989107671342906E-2</c:v>
                </c:pt>
                <c:pt idx="259">
                  <c:v>5.9863480637869823E-2</c:v>
                </c:pt>
                <c:pt idx="260">
                  <c:v>5.9832670665628918E-2</c:v>
                </c:pt>
                <c:pt idx="261">
                  <c:v>5.979861928153371E-2</c:v>
                </c:pt>
                <c:pt idx="262">
                  <c:v>5.9761299565691095E-2</c:v>
                </c:pt>
                <c:pt idx="263">
                  <c:v>5.9720685205394378E-2</c:v>
                </c:pt>
                <c:pt idx="264">
                  <c:v>5.9676750506904484E-2</c:v>
                </c:pt>
                <c:pt idx="265">
                  <c:v>5.9629470407100031E-2</c:v>
                </c:pt>
                <c:pt idx="266">
                  <c:v>5.9578820484992634E-2</c:v>
                </c:pt>
                <c:pt idx="267">
                  <c:v>5.9524776973102683E-2</c:v>
                </c:pt>
                <c:pt idx="268">
                  <c:v>5.9467316768691249E-2</c:v>
                </c:pt>
                <c:pt idx="269">
                  <c:v>5.940641744484422E-2</c:v>
                </c:pt>
                <c:pt idx="270">
                  <c:v>5.9342057261403833E-2</c:v>
                </c:pt>
                <c:pt idx="271">
                  <c:v>5.9274215175743883E-2</c:v>
                </c:pt>
                <c:pt idx="272">
                  <c:v>5.9202870853384305E-2</c:v>
                </c:pt>
                <c:pt idx="273">
                  <c:v>5.9128004678440746E-2</c:v>
                </c:pt>
                <c:pt idx="274">
                  <c:v>5.9049597763905476E-2</c:v>
                </c:pt>
                <c:pt idx="275">
                  <c:v>5.896763196175521E-2</c:v>
                </c:pt>
                <c:pt idx="276">
                  <c:v>5.8882089872882216E-2</c:v>
                </c:pt>
                <c:pt idx="277">
                  <c:v>5.8792954856844298E-2</c:v>
                </c:pt>
                <c:pt idx="278">
                  <c:v>5.8700211041430403E-2</c:v>
                </c:pt>
                <c:pt idx="279">
                  <c:v>5.8603843332037317E-2</c:v>
                </c:pt>
                <c:pt idx="280">
                  <c:v>5.8503837420854347E-2</c:v>
                </c:pt>
                <c:pt idx="281">
                  <c:v>5.8400179795851569E-2</c:v>
                </c:pt>
                <c:pt idx="282">
                  <c:v>5.8292857749568702E-2</c:v>
                </c:pt>
                <c:pt idx="283">
                  <c:v>5.8181859387700346E-2</c:v>
                </c:pt>
                <c:pt idx="284">
                  <c:v>5.8067173637474503E-2</c:v>
                </c:pt>
                <c:pt idx="285">
                  <c:v>5.7948790255820476E-2</c:v>
                </c:pt>
                <c:pt idx="286">
                  <c:v>5.7826699837323206E-2</c:v>
                </c:pt>
                <c:pt idx="287">
                  <c:v>5.7700893821960211E-2</c:v>
                </c:pt>
                <c:pt idx="288">
                  <c:v>5.7571364502618079E-2</c:v>
                </c:pt>
                <c:pt idx="289">
                  <c:v>5.7438105032385278E-2</c:v>
                </c:pt>
                <c:pt idx="290">
                  <c:v>5.7301109431617848E-2</c:v>
                </c:pt>
                <c:pt idx="291">
                  <c:v>5.7160372594775424E-2</c:v>
                </c:pt>
                <c:pt idx="292">
                  <c:v>5.7015890297023822E-2</c:v>
                </c:pt>
                <c:pt idx="293">
                  <c:v>5.6867659200601897E-2</c:v>
                </c:pt>
                <c:pt idx="294">
                  <c:v>5.6715676860949332E-2</c:v>
                </c:pt>
                <c:pt idx="295">
                  <c:v>5.6559941732592815E-2</c:v>
                </c:pt>
                <c:pt idx="296">
                  <c:v>5.6400453174787604E-2</c:v>
                </c:pt>
                <c:pt idx="297">
                  <c:v>5.6237211456912066E-2</c:v>
                </c:pt>
                <c:pt idx="298">
                  <c:v>5.6070217763612436E-2</c:v>
                </c:pt>
                <c:pt idx="299">
                  <c:v>5.58994741996953E-2</c:v>
                </c:pt>
                <c:pt idx="300">
                  <c:v>5.5724983794765405E-2</c:v>
                </c:pt>
                <c:pt idx="301">
                  <c:v>5.5546750507606428E-2</c:v>
                </c:pt>
                <c:pt idx="302">
                  <c:v>5.5364779230302322E-2</c:v>
                </c:pt>
                <c:pt idx="303">
                  <c:v>5.517907579209725E-2</c:v>
                </c:pt>
                <c:pt idx="304">
                  <c:v>5.4989646962991759E-2</c:v>
                </c:pt>
                <c:pt idx="305">
                  <c:v>5.4796500457073224E-2</c:v>
                </c:pt>
                <c:pt idx="306">
                  <c:v>5.4599644935578832E-2</c:v>
                </c:pt>
                <c:pt idx="307">
                  <c:v>5.4399090009688816E-2</c:v>
                </c:pt>
                <c:pt idx="308">
                  <c:v>5.4194846243048572E-2</c:v>
                </c:pt>
                <c:pt idx="309">
                  <c:v>5.398692515401763E-2</c:v>
                </c:pt>
                <c:pt idx="310">
                  <c:v>5.3775339217644123E-2</c:v>
                </c:pt>
                <c:pt idx="311">
                  <c:v>5.3560101867363097E-2</c:v>
                </c:pt>
                <c:pt idx="312">
                  <c:v>5.334122749641719E-2</c:v>
                </c:pt>
                <c:pt idx="313">
                  <c:v>5.3118731458998467E-2</c:v>
                </c:pt>
                <c:pt idx="314">
                  <c:v>5.2892630071110024E-2</c:v>
                </c:pt>
                <c:pt idx="315">
                  <c:v>5.2662940611146257E-2</c:v>
                </c:pt>
                <c:pt idx="316">
                  <c:v>5.2429681320190727E-2</c:v>
                </c:pt>
                <c:pt idx="317">
                  <c:v>5.2192871402030626E-2</c:v>
                </c:pt>
                <c:pt idx="318">
                  <c:v>5.195253102288673E-2</c:v>
                </c:pt>
                <c:pt idx="319">
                  <c:v>5.1708681310858665E-2</c:v>
                </c:pt>
                <c:pt idx="320">
                  <c:v>5.1461344355083739E-2</c:v>
                </c:pt>
                <c:pt idx="321">
                  <c:v>5.1210543204609986E-2</c:v>
                </c:pt>
                <c:pt idx="322">
                  <c:v>5.09563018669816E-2</c:v>
                </c:pt>
                <c:pt idx="323">
                  <c:v>5.0698645306537504E-2</c:v>
                </c:pt>
                <c:pt idx="324">
                  <c:v>5.0437599442421654E-2</c:v>
                </c:pt>
                <c:pt idx="325">
                  <c:v>5.0173191146305772E-2</c:v>
                </c:pt>
                <c:pt idx="326">
                  <c:v>4.9905448239823624E-2</c:v>
                </c:pt>
                <c:pt idx="327">
                  <c:v>4.963439949171717E-2</c:v>
                </c:pt>
                <c:pt idx="328">
                  <c:v>4.9360074614694736E-2</c:v>
                </c:pt>
                <c:pt idx="329">
                  <c:v>4.9082504262000566E-2</c:v>
                </c:pt>
                <c:pt idx="330">
                  <c:v>4.880172002369728E-2</c:v>
                </c:pt>
                <c:pt idx="331">
                  <c:v>4.8517754422660202E-2</c:v>
                </c:pt>
                <c:pt idx="332">
                  <c:v>4.8230640910284936E-2</c:v>
                </c:pt>
                <c:pt idx="333">
                  <c:v>4.7940413861908227E-2</c:v>
                </c:pt>
                <c:pt idx="334">
                  <c:v>4.7647108571942799E-2</c:v>
                </c:pt>
                <c:pt idx="335">
                  <c:v>4.7350761248727051E-2</c:v>
                </c:pt>
                <c:pt idx="336">
                  <c:v>4.7051409009089967E-2</c:v>
                </c:pt>
                <c:pt idx="337">
                  <c:v>4.6749089872632793E-2</c:v>
                </c:pt>
                <c:pt idx="338">
                  <c:v>4.6443842755727667E-2</c:v>
                </c:pt>
                <c:pt idx="339">
                  <c:v>4.613570746523514E-2</c:v>
                </c:pt>
                <c:pt idx="340">
                  <c:v>4.5824724691940738E-2</c:v>
                </c:pt>
                <c:pt idx="341">
                  <c:v>4.5510936003713039E-2</c:v>
                </c:pt>
                <c:pt idx="342">
                  <c:v>4.5194383838383319E-2</c:v>
                </c:pt>
                <c:pt idx="343">
                  <c:v>4.4875111496349492E-2</c:v>
                </c:pt>
                <c:pt idx="344">
                  <c:v>4.4553163132904736E-2</c:v>
                </c:pt>
                <c:pt idx="345">
                  <c:v>4.4228583750293322E-2</c:v>
                </c:pt>
                <c:pt idx="346">
                  <c:v>4.3901419189494847E-2</c:v>
                </c:pt>
                <c:pt idx="347">
                  <c:v>4.3571716121738803E-2</c:v>
                </c:pt>
                <c:pt idx="348">
                  <c:v>4.3239522039751746E-2</c:v>
                </c:pt>
                <c:pt idx="349">
                  <c:v>4.2904885248738284E-2</c:v>
                </c:pt>
                <c:pt idx="350">
                  <c:v>4.2567854857098873E-2</c:v>
                </c:pt>
                <c:pt idx="351">
                  <c:v>4.2228480766885866E-2</c:v>
                </c:pt>
                <c:pt idx="352">
                  <c:v>4.1886813664000676E-2</c:v>
                </c:pt>
                <c:pt idx="353">
                  <c:v>4.1542905008133714E-2</c:v>
                </c:pt>
                <c:pt idx="354">
                  <c:v>4.1196807022450488E-2</c:v>
                </c:pt>
                <c:pt idx="355">
                  <c:v>4.084857268302524E-2</c:v>
                </c:pt>
                <c:pt idx="356">
                  <c:v>4.0498255708025808E-2</c:v>
                </c:pt>
                <c:pt idx="357">
                  <c:v>4.01459105466518E-2</c:v>
                </c:pt>
                <c:pt idx="358">
                  <c:v>3.9791592367828803E-2</c:v>
                </c:pt>
                <c:pt idx="359">
                  <c:v>3.9435357048662197E-2</c:v>
                </c:pt>
                <c:pt idx="360">
                  <c:v>3.9077261162652407E-2</c:v>
                </c:pt>
                <c:pt idx="361">
                  <c:v>3.8717361967675799E-2</c:v>
                </c:pt>
                <c:pt idx="362">
                  <c:v>3.83557173937333E-2</c:v>
                </c:pt>
                <c:pt idx="363">
                  <c:v>3.7992386030470879E-2</c:v>
                </c:pt>
                <c:pt idx="364">
                  <c:v>3.7627427114474456E-2</c:v>
                </c:pt>
                <c:pt idx="365">
                  <c:v>3.7260900516342621E-2</c:v>
                </c:pt>
                <c:pt idx="366">
                  <c:v>3.6892866727541336E-2</c:v>
                </c:pt>
                <c:pt idx="367">
                  <c:v>3.6523386847043052E-2</c:v>
                </c:pt>
                <c:pt idx="368">
                  <c:v>3.6152522567754759E-2</c:v>
                </c:pt>
                <c:pt idx="369">
                  <c:v>3.5780336162737847E-2</c:v>
                </c:pt>
                <c:pt idx="370">
                  <c:v>3.5406890471224382E-2</c:v>
                </c:pt>
                <c:pt idx="371">
                  <c:v>3.5032248884432488E-2</c:v>
                </c:pt>
                <c:pt idx="372">
                  <c:v>3.4656475331185745E-2</c:v>
                </c:pt>
                <c:pt idx="373">
                  <c:v>3.4279634263339957E-2</c:v>
                </c:pt>
                <c:pt idx="374">
                  <c:v>3.3901790641021411E-2</c:v>
                </c:pt>
                <c:pt idx="375">
                  <c:v>3.3523009917680799E-2</c:v>
                </c:pt>
                <c:pt idx="376">
                  <c:v>3.31433580249667E-2</c:v>
                </c:pt>
                <c:pt idx="377">
                  <c:v>3.2762901357423366E-2</c:v>
                </c:pt>
                <c:pt idx="378">
                  <c:v>3.2381706757016009E-2</c:v>
                </c:pt>
                <c:pt idx="379">
                  <c:v>3.1999841497489613E-2</c:v>
                </c:pt>
                <c:pt idx="380">
                  <c:v>3.161737326856362E-2</c:v>
                </c:pt>
                <c:pt idx="381">
                  <c:v>3.1234370159968706E-2</c:v>
                </c:pt>
                <c:pt idx="382">
                  <c:v>3.085090064532902E-2</c:v>
                </c:pt>
                <c:pt idx="383">
                  <c:v>3.0467033565895075E-2</c:v>
                </c:pt>
                <c:pt idx="384">
                  <c:v>3.008283811413142E-2</c:v>
                </c:pt>
                <c:pt idx="385">
                  <c:v>2.9698383817164345E-2</c:v>
                </c:pt>
                <c:pt idx="386">
                  <c:v>2.9313740520093737E-2</c:v>
                </c:pt>
                <c:pt idx="387">
                  <c:v>2.8928978369174026E-2</c:v>
                </c:pt>
                <c:pt idx="388">
                  <c:v>2.8544167794869704E-2</c:v>
                </c:pt>
                <c:pt idx="389">
                  <c:v>2.8159379494788899E-2</c:v>
                </c:pt>
                <c:pt idx="390">
                  <c:v>2.7774684416501511E-2</c:v>
                </c:pt>
                <c:pt idx="391">
                  <c:v>2.7390153740245466E-2</c:v>
                </c:pt>
                <c:pt idx="392">
                  <c:v>2.7005858861527132E-2</c:v>
                </c:pt>
                <c:pt idx="393">
                  <c:v>2.6621871373620272E-2</c:v>
                </c:pt>
                <c:pt idx="394">
                  <c:v>2.6238263049968982E-2</c:v>
                </c:pt>
                <c:pt idx="395">
                  <c:v>2.585510582649932E-2</c:v>
                </c:pt>
                <c:pt idx="396">
                  <c:v>2.5472471783845575E-2</c:v>
                </c:pt>
                <c:pt idx="397">
                  <c:v>2.5090433129495292E-2</c:v>
                </c:pt>
                <c:pt idx="398">
                  <c:v>2.4709062179859066E-2</c:v>
                </c:pt>
                <c:pt idx="399">
                  <c:v>2.432843134227022E-2</c:v>
                </c:pt>
                <c:pt idx="400">
                  <c:v>2.3948613096919084E-2</c:v>
                </c:pt>
                <c:pt idx="401">
                  <c:v>2.3569679978728404E-2</c:v>
                </c:pt>
                <c:pt idx="402">
                  <c:v>2.3191704559173312E-2</c:v>
                </c:pt>
                <c:pt idx="403">
                  <c:v>2.2814759428053666E-2</c:v>
                </c:pt>
                <c:pt idx="404">
                  <c:v>2.2438917175221493E-2</c:v>
                </c:pt>
                <c:pt idx="405">
                  <c:v>2.2064250372271377E-2</c:v>
                </c:pt>
                <c:pt idx="406">
                  <c:v>2.1690831554197192E-2</c:v>
                </c:pt>
                <c:pt idx="407">
                  <c:v>2.1318733201022011E-2</c:v>
                </c:pt>
                <c:pt idx="408">
                  <c:v>2.0948027719406129E-2</c:v>
                </c:pt>
                <c:pt idx="409">
                  <c:v>2.057878742423826E-2</c:v>
                </c:pt>
                <c:pt idx="410">
                  <c:v>2.0211084520216263E-2</c:v>
                </c:pt>
                <c:pt idx="411">
                  <c:v>1.9844991083422123E-2</c:v>
                </c:pt>
                <c:pt idx="412">
                  <c:v>1.9480579042897128E-2</c:v>
                </c:pt>
                <c:pt idx="413">
                  <c:v>1.9117920162222257E-2</c:v>
                </c:pt>
                <c:pt idx="414">
                  <c:v>1.8757086021110179E-2</c:v>
                </c:pt>
                <c:pt idx="415">
                  <c:v>1.839814799701316E-2</c:v>
                </c:pt>
                <c:pt idx="416">
                  <c:v>1.8041177246753491E-2</c:v>
                </c:pt>
                <c:pt idx="417">
                  <c:v>1.7686244688181266E-2</c:v>
                </c:pt>
                <c:pt idx="418">
                  <c:v>1.733342098186523E-2</c:v>
                </c:pt>
                <c:pt idx="419">
                  <c:v>1.6982776512822356E-2</c:v>
                </c:pt>
                <c:pt idx="420">
                  <c:v>1.663438137229109E-2</c:v>
                </c:pt>
                <c:pt idx="421">
                  <c:v>1.6288305339554807E-2</c:v>
                </c:pt>
                <c:pt idx="422">
                  <c:v>1.5944617863819427E-2</c:v>
                </c:pt>
                <c:pt idx="423">
                  <c:v>1.5603388046152439E-2</c:v>
                </c:pt>
                <c:pt idx="424">
                  <c:v>1.5264684621487064E-2</c:v>
                </c:pt>
                <c:pt idx="425">
                  <c:v>1.4928575940698387E-2</c:v>
                </c:pt>
                <c:pt idx="426">
                  <c:v>1.4595129952755899E-2</c:v>
                </c:pt>
                <c:pt idx="427">
                  <c:v>1.426441418695848E-2</c:v>
                </c:pt>
                <c:pt idx="428">
                  <c:v>1.3936495735256847E-2</c:v>
                </c:pt>
                <c:pt idx="429">
                  <c:v>1.3611441234668915E-2</c:v>
                </c:pt>
                <c:pt idx="430">
                  <c:v>1.3289316849793549E-2</c:v>
                </c:pt>
                <c:pt idx="431">
                  <c:v>1.2970188255427761E-2</c:v>
                </c:pt>
                <c:pt idx="432">
                  <c:v>1.2654120619292979E-2</c:v>
                </c:pt>
                <c:pt idx="433">
                  <c:v>1.2341178584875075E-2</c:v>
                </c:pt>
                <c:pt idx="434">
                  <c:v>1.2031426254384147E-2</c:v>
                </c:pt>
                <c:pt idx="435">
                  <c:v>1.1724927171838456E-2</c:v>
                </c:pt>
                <c:pt idx="436">
                  <c:v>1.1421744306278353E-2</c:v>
                </c:pt>
                <c:pt idx="437">
                  <c:v>1.1121940035114674E-2</c:v>
                </c:pt>
                <c:pt idx="438">
                  <c:v>1.0825576127617368E-2</c:v>
                </c:pt>
                <c:pt idx="439">
                  <c:v>1.0532713728548831E-2</c:v>
                </c:pt>
                <c:pt idx="440">
                  <c:v>1.0243413341946955E-2</c:v>
                </c:pt>
                <c:pt idx="441">
                  <c:v>9.9577348150636288E-3</c:v>
                </c:pt>
                <c:pt idx="442">
                  <c:v>9.6757373224623348E-3</c:v>
                </c:pt>
                <c:pt idx="443">
                  <c:v>9.3974793502810145E-3</c:v>
                </c:pt>
                <c:pt idx="444">
                  <c:v>9.1230186806637668E-3</c:v>
                </c:pt>
                <c:pt idx="445">
                  <c:v>8.852412376367488E-3</c:v>
                </c:pt>
                <c:pt idx="446">
                  <c:v>8.5857167655467286E-3</c:v>
                </c:pt>
                <c:pt idx="447">
                  <c:v>8.3229874267229022E-3</c:v>
                </c:pt>
                <c:pt idx="448">
                  <c:v>8.0642791739409525E-3</c:v>
                </c:pt>
                <c:pt idx="449">
                  <c:v>7.809646042119504E-3</c:v>
                </c:pt>
                <c:pt idx="450">
                  <c:v>7.5591412725979435E-3</c:v>
                </c:pt>
                <c:pt idx="451">
                  <c:v>7.3128172988851424E-3</c:v>
                </c:pt>
                <c:pt idx="452">
                  <c:v>7.0707257326144152E-3</c:v>
                </c:pt>
                <c:pt idx="453">
                  <c:v>6.8329173497091149E-3</c:v>
                </c:pt>
                <c:pt idx="454">
                  <c:v>6.5994420767624693E-3</c:v>
                </c:pt>
                <c:pt idx="455">
                  <c:v>6.3703489776365139E-3</c:v>
                </c:pt>
                <c:pt idx="456">
                  <c:v>6.1456862402841468E-3</c:v>
                </c:pt>
                <c:pt idx="457">
                  <c:v>5.9255011637979506E-3</c:v>
                </c:pt>
                <c:pt idx="458">
                  <c:v>5.7098401456903659E-3</c:v>
                </c:pt>
                <c:pt idx="459">
                  <c:v>5.4987486694084839E-3</c:v>
                </c:pt>
                <c:pt idx="460">
                  <c:v>5.2922712920880277E-3</c:v>
                </c:pt>
                <c:pt idx="461">
                  <c:v>5.0904516325496326E-3</c:v>
                </c:pt>
                <c:pt idx="462">
                  <c:v>4.8933323595415929E-3</c:v>
                </c:pt>
                <c:pt idx="463">
                  <c:v>4.7009551802324086E-3</c:v>
                </c:pt>
                <c:pt idx="464">
                  <c:v>4.5133608289569093E-3</c:v>
                </c:pt>
                <c:pt idx="465">
                  <c:v>4.3305890562195084E-3</c:v>
                </c:pt>
                <c:pt idx="466">
                  <c:v>4.1526786179571212E-3</c:v>
                </c:pt>
                <c:pt idx="467">
                  <c:v>3.9796672650668271E-3</c:v>
                </c:pt>
                <c:pt idx="468">
                  <c:v>3.8115917331994218E-3</c:v>
                </c:pt>
                <c:pt idx="469">
                  <c:v>3.6484877328236808E-3</c:v>
                </c:pt>
                <c:pt idx="470">
                  <c:v>3.4903899395634817E-3</c:v>
                </c:pt>
                <c:pt idx="471">
                  <c:v>3.3373319848111825E-3</c:v>
                </c:pt>
                <c:pt idx="472">
                  <c:v>3.1893464466198553E-3</c:v>
                </c:pt>
                <c:pt idx="473">
                  <c:v>3.0464648408776761E-3</c:v>
                </c:pt>
                <c:pt idx="474">
                  <c:v>2.9087176127666247E-3</c:v>
                </c:pt>
                <c:pt idx="475">
                  <c:v>2.7761341285084356E-3</c:v>
                </c:pt>
                <c:pt idx="476">
                  <c:v>2.6487426674005857E-3</c:v>
                </c:pt>
                <c:pt idx="477">
                  <c:v>2.5265704141441787E-3</c:v>
                </c:pt>
                <c:pt idx="478">
                  <c:v>2.4096434514668487E-3</c:v>
                </c:pt>
                <c:pt idx="479">
                  <c:v>2.2979867530421951E-3</c:v>
                </c:pt>
                <c:pt idx="480">
                  <c:v>2.1916241767086608E-3</c:v>
                </c:pt>
                <c:pt idx="481">
                  <c:v>2.0905784579894559E-3</c:v>
                </c:pt>
                <c:pt idx="482">
                  <c:v>1.9948712039155932E-3</c:v>
                </c:pt>
                <c:pt idx="483">
                  <c:v>1.9045228871544724E-3</c:v>
                </c:pt>
                <c:pt idx="484">
                  <c:v>1.8195528404449865E-3</c:v>
                </c:pt>
                <c:pt idx="485">
                  <c:v>1.7399792513415921E-3</c:v>
                </c:pt>
                <c:pt idx="486">
                  <c:v>1.6658191572684925E-3</c:v>
                </c:pt>
                <c:pt idx="487">
                  <c:v>1.5970884408859408E-3</c:v>
                </c:pt>
                <c:pt idx="488">
                  <c:v>1.5338018257695541E-3</c:v>
                </c:pt>
                <c:pt idx="489">
                  <c:v>1.4759728724045846E-3</c:v>
                </c:pt>
                <c:pt idx="490">
                  <c:v>1.4236139744956474E-3</c:v>
                </c:pt>
                <c:pt idx="491">
                  <c:v>1.3767363555939138E-3</c:v>
                </c:pt>
                <c:pt idx="492">
                  <c:v>1.3353500660420702E-3</c:v>
                </c:pt>
                <c:pt idx="493">
                  <c:v>1.2994639802383584E-3</c:v>
                </c:pt>
                <c:pt idx="494">
                  <c:v>1.2690857942206689E-3</c:v>
                </c:pt>
                <c:pt idx="495">
                  <c:v>1.2442220235710647E-3</c:v>
                </c:pt>
                <c:pt idx="496">
                  <c:v>1.2248780016415033E-3</c:v>
                </c:pt>
                <c:pt idx="497">
                  <c:v>1.2110578781016231E-3</c:v>
                </c:pt>
                <c:pt idx="498">
                  <c:v>1.2027646178086636E-3</c:v>
                </c:pt>
                <c:pt idx="499">
                  <c:v>1.1999999999999999E-3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F-4D1F-9AD0-B349A85400BD}"/>
            </c:ext>
          </c:extLst>
        </c:ser>
        <c:ser>
          <c:idx val="2"/>
          <c:order val="2"/>
          <c:tx>
            <c:v>Lower Camber</c:v>
          </c:tx>
          <c:spPr>
            <a:ln w="1270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Data5!$I$1:$I$501</c:f>
              <c:numCache>
                <c:formatCode>0.00000</c:formatCode>
                <c:ptCount val="501"/>
                <c:pt idx="0">
                  <c:v>0</c:v>
                </c:pt>
                <c:pt idx="1">
                  <c:v>9.9091688398611488E-6</c:v>
                </c:pt>
                <c:pt idx="2">
                  <c:v>3.9636282592903083E-5</c:v>
                </c:pt>
                <c:pt idx="3">
                  <c:v>8.9180162975155408E-5</c:v>
                </c:pt>
                <c:pt idx="4">
                  <c:v>1.5853884623195924E-4</c:v>
                </c:pt>
                <c:pt idx="5">
                  <c:v>2.4770958321568282E-4</c:v>
                </c:pt>
                <c:pt idx="6">
                  <c:v>3.566888394948009E-4</c:v>
                </c:pt>
                <c:pt idx="7">
                  <c:v>4.8547229549383841E-4</c:v>
                </c:pt>
                <c:pt idx="8">
                  <c:v>6.3405484666484435E-4</c:v>
                </c:pt>
                <c:pt idx="9">
                  <c:v>8.0243060368939689E-4</c:v>
                </c:pt>
                <c:pt idx="10">
                  <c:v>9.9059289271236084E-4</c:v>
                </c:pt>
                <c:pt idx="11">
                  <c:v>1.1985342556060652E-3</c:v>
                </c:pt>
                <c:pt idx="12">
                  <c:v>1.4262464502662886E-3</c:v>
                </c:pt>
                <c:pt idx="13">
                  <c:v>1.6737204509387205E-3</c:v>
                </c:pt>
                <c:pt idx="14">
                  <c:v>1.9409464485766748E-3</c:v>
                </c:pt>
                <c:pt idx="15">
                  <c:v>2.2279138512300567E-3</c:v>
                </c:pt>
                <c:pt idx="16">
                  <c:v>2.534611284465027E-3</c:v>
                </c:pt>
                <c:pt idx="17">
                  <c:v>2.8610265918151412E-3</c:v>
                </c:pt>
                <c:pt idx="18">
                  <c:v>3.2071468352626864E-3</c:v>
                </c:pt>
                <c:pt idx="19">
                  <c:v>3.5729582957520489E-3</c:v>
                </c:pt>
                <c:pt idx="20">
                  <c:v>3.9584464737330016E-3</c:v>
                </c:pt>
                <c:pt idx="21">
                  <c:v>4.3635960897359105E-3</c:v>
                </c:pt>
                <c:pt idx="22">
                  <c:v>4.7883910849768618E-3</c:v>
                </c:pt>
                <c:pt idx="23">
                  <c:v>5.232814621994597E-3</c:v>
                </c:pt>
                <c:pt idx="24">
                  <c:v>5.6968490853176457E-3</c:v>
                </c:pt>
                <c:pt idx="25">
                  <c:v>6.1804760821626559E-3</c:v>
                </c:pt>
                <c:pt idx="26">
                  <c:v>6.6836764431632556E-3</c:v>
                </c:pt>
                <c:pt idx="27">
                  <c:v>7.2064302231302224E-3</c:v>
                </c:pt>
                <c:pt idx="28">
                  <c:v>7.7487167018416292E-3</c:v>
                </c:pt>
                <c:pt idx="29">
                  <c:v>8.3105143848644092E-3</c:v>
                </c:pt>
                <c:pt idx="30">
                  <c:v>8.8918010044061191E-3</c:v>
                </c:pt>
                <c:pt idx="31">
                  <c:v>9.4925535201977329E-3</c:v>
                </c:pt>
                <c:pt idx="32">
                  <c:v>1.0112748120406856E-2</c:v>
                </c:pt>
                <c:pt idx="33">
                  <c:v>1.075236022258147E-2</c:v>
                </c:pt>
                <c:pt idx="34">
                  <c:v>1.1411364474624264E-2</c:v>
                </c:pt>
                <c:pt idx="35">
                  <c:v>1.2089734755797665E-2</c:v>
                </c:pt>
                <c:pt idx="36">
                  <c:v>1.2787444177759066E-2</c:v>
                </c:pt>
                <c:pt idx="37">
                  <c:v>1.3504465085626582E-2</c:v>
                </c:pt>
                <c:pt idx="38">
                  <c:v>1.4240769059075342E-2</c:v>
                </c:pt>
                <c:pt idx="39">
                  <c:v>1.4996326913463753E-2</c:v>
                </c:pt>
                <c:pt idx="40">
                  <c:v>1.5771108700990411E-2</c:v>
                </c:pt>
                <c:pt idx="41">
                  <c:v>1.656508371188109E-2</c:v>
                </c:pt>
                <c:pt idx="42">
                  <c:v>1.737822047560611E-2</c:v>
                </c:pt>
                <c:pt idx="43">
                  <c:v>1.8210486762127498E-2</c:v>
                </c:pt>
                <c:pt idx="44">
                  <c:v>1.9061849583176638E-2</c:v>
                </c:pt>
                <c:pt idx="45">
                  <c:v>1.9932275193561888E-2</c:v>
                </c:pt>
                <c:pt idx="46">
                  <c:v>2.0821729092505736E-2</c:v>
                </c:pt>
                <c:pt idx="47">
                  <c:v>2.1730176025012815E-2</c:v>
                </c:pt>
                <c:pt idx="48">
                  <c:v>2.2657579983267062E-2</c:v>
                </c:pt>
                <c:pt idx="49">
                  <c:v>2.360390420805869E-2</c:v>
                </c:pt>
                <c:pt idx="50">
                  <c:v>2.4569111190241799E-2</c:v>
                </c:pt>
                <c:pt idx="51">
                  <c:v>2.5553162672220409E-2</c:v>
                </c:pt>
                <c:pt idx="52">
                  <c:v>2.6556019649465523E-2</c:v>
                </c:pt>
                <c:pt idx="53">
                  <c:v>2.7577642372060673E-2</c:v>
                </c:pt>
                <c:pt idx="54">
                  <c:v>2.86179903462776E-2</c:v>
                </c:pt>
                <c:pt idx="55">
                  <c:v>2.9677022336181469E-2</c:v>
                </c:pt>
                <c:pt idx="56">
                  <c:v>3.0754696365265011E-2</c:v>
                </c:pt>
                <c:pt idx="57">
                  <c:v>3.1850969718112687E-2</c:v>
                </c:pt>
                <c:pt idx="58">
                  <c:v>3.2965798942093449E-2</c:v>
                </c:pt>
                <c:pt idx="59">
                  <c:v>3.4099139849083304E-2</c:v>
                </c:pt>
                <c:pt idx="60">
                  <c:v>3.525094751721658E-2</c:v>
                </c:pt>
                <c:pt idx="61">
                  <c:v>3.6421176292666779E-2</c:v>
                </c:pt>
                <c:pt idx="62">
                  <c:v>3.7609779791455689E-2</c:v>
                </c:pt>
                <c:pt idx="63">
                  <c:v>3.8816710901292406E-2</c:v>
                </c:pt>
                <c:pt idx="64">
                  <c:v>4.0041921783440293E-2</c:v>
                </c:pt>
                <c:pt idx="65">
                  <c:v>4.1285363874613346E-2</c:v>
                </c:pt>
                <c:pt idx="66">
                  <c:v>4.2546987888901155E-2</c:v>
                </c:pt>
                <c:pt idx="67">
                  <c:v>4.382674381972218E-2</c:v>
                </c:pt>
                <c:pt idx="68">
                  <c:v>4.5124580941806103E-2</c:v>
                </c:pt>
                <c:pt idx="69">
                  <c:v>4.6440447813204166E-2</c:v>
                </c:pt>
                <c:pt idx="70">
                  <c:v>4.7774292277328378E-2</c:v>
                </c:pt>
                <c:pt idx="71">
                  <c:v>4.9126061465018855E-2</c:v>
                </c:pt>
                <c:pt idx="72">
                  <c:v>5.0495701796638981E-2</c:v>
                </c:pt>
                <c:pt idx="73">
                  <c:v>5.1883158984199651E-2</c:v>
                </c:pt>
                <c:pt idx="74">
                  <c:v>5.3288378033510775E-2</c:v>
                </c:pt>
                <c:pt idx="75">
                  <c:v>5.4711303246361032E-2</c:v>
                </c:pt>
                <c:pt idx="76">
                  <c:v>5.6151878222725771E-2</c:v>
                </c:pt>
                <c:pt idx="77">
                  <c:v>5.7610045863002224E-2</c:v>
                </c:pt>
                <c:pt idx="78">
                  <c:v>5.9085748370273083E-2</c:v>
                </c:pt>
                <c:pt idx="79">
                  <c:v>6.0578927252597115E-2</c:v>
                </c:pt>
                <c:pt idx="80">
                  <c:v>6.2089523325327745E-2</c:v>
                </c:pt>
                <c:pt idx="81">
                  <c:v>6.3617476713458798E-2</c:v>
                </c:pt>
                <c:pt idx="82">
                  <c:v>6.5162726853997877E-2</c:v>
                </c:pt>
                <c:pt idx="83">
                  <c:v>6.672521249836677E-2</c:v>
                </c:pt>
                <c:pt idx="84">
                  <c:v>6.8304871714829296E-2</c:v>
                </c:pt>
                <c:pt idx="85">
                  <c:v>6.9901641890945942E-2</c:v>
                </c:pt>
                <c:pt idx="86">
                  <c:v>7.1515459736055498E-2</c:v>
                </c:pt>
                <c:pt idx="87">
                  <c:v>7.3146261283784042E-2</c:v>
                </c:pt>
                <c:pt idx="88">
                  <c:v>7.4793981894580031E-2</c:v>
                </c:pt>
                <c:pt idx="89">
                  <c:v>7.6458556258276578E-2</c:v>
                </c:pt>
                <c:pt idx="90">
                  <c:v>7.8139918396679942E-2</c:v>
                </c:pt>
                <c:pt idx="91">
                  <c:v>7.9838001666184821E-2</c:v>
                </c:pt>
                <c:pt idx="92">
                  <c:v>8.1552738760416077E-2</c:v>
                </c:pt>
                <c:pt idx="93">
                  <c:v>8.3284061712896151E-2</c:v>
                </c:pt>
                <c:pt idx="94">
                  <c:v>8.5031901899739193E-2</c:v>
                </c:pt>
                <c:pt idx="95">
                  <c:v>8.6796190042371102E-2</c:v>
                </c:pt>
                <c:pt idx="96">
                  <c:v>8.8576856210275556E-2</c:v>
                </c:pt>
                <c:pt idx="97">
                  <c:v>9.0373829823765794E-2</c:v>
                </c:pt>
                <c:pt idx="98">
                  <c:v>9.2187039656781988E-2</c:v>
                </c:pt>
                <c:pt idx="99">
                  <c:v>9.4016413839714708E-2</c:v>
                </c:pt>
                <c:pt idx="100">
                  <c:v>9.5861879862253307E-2</c:v>
                </c:pt>
                <c:pt idx="101">
                  <c:v>9.7723364576260074E-2</c:v>
                </c:pt>
                <c:pt idx="102">
                  <c:v>9.9600794198669851E-2</c:v>
                </c:pt>
                <c:pt idx="103">
                  <c:v>0.1014940943144142</c:v>
                </c:pt>
                <c:pt idx="104">
                  <c:v>0.10340318987937097</c:v>
                </c:pt>
                <c:pt idx="105">
                  <c:v>0.10532800522333907</c:v>
                </c:pt>
                <c:pt idx="106">
                  <c:v>0.10726846405303753</c:v>
                </c:pt>
                <c:pt idx="107">
                  <c:v>0.10922448945512975</c:v>
                </c:pt>
                <c:pt idx="108">
                  <c:v>0.11119600389927187</c:v>
                </c:pt>
                <c:pt idx="109">
                  <c:v>0.11318292924118578</c:v>
                </c:pt>
                <c:pt idx="110">
                  <c:v>0.11518518672575695</c:v>
                </c:pt>
                <c:pt idx="111">
                  <c:v>0.11720269699015529</c:v>
                </c:pt>
                <c:pt idx="112">
                  <c:v>0.11923538006698148</c:v>
                </c:pt>
                <c:pt idx="113">
                  <c:v>0.12128315538743634</c:v>
                </c:pt>
                <c:pt idx="114">
                  <c:v>0.12334594178451425</c:v>
                </c:pt>
                <c:pt idx="115">
                  <c:v>0.12542365749622042</c:v>
                </c:pt>
                <c:pt idx="116">
                  <c:v>0.12751622016881176</c:v>
                </c:pt>
                <c:pt idx="117">
                  <c:v>0.12962354686006083</c:v>
                </c:pt>
                <c:pt idx="118">
                  <c:v>0.13174555404254384</c:v>
                </c:pt>
                <c:pt idx="119">
                  <c:v>0.13388215760695088</c:v>
                </c:pt>
                <c:pt idx="120">
                  <c:v>0.13603327286542016</c:v>
                </c:pt>
                <c:pt idx="121">
                  <c:v>0.13819881455489452</c:v>
                </c:pt>
                <c:pt idx="122">
                  <c:v>0.14037869684050097</c:v>
                </c:pt>
                <c:pt idx="123">
                  <c:v>0.1425728333189531</c:v>
                </c:pt>
                <c:pt idx="124">
                  <c:v>0.14478113702197559</c:v>
                </c:pt>
                <c:pt idx="125">
                  <c:v>0.14700352041975151</c:v>
                </c:pt>
                <c:pt idx="126">
                  <c:v>0.14923989542439159</c:v>
                </c:pt>
                <c:pt idx="127">
                  <c:v>0.15149017339342569</c:v>
                </c:pt>
                <c:pt idx="128">
                  <c:v>0.15375426513331653</c:v>
                </c:pt>
                <c:pt idx="129">
                  <c:v>0.15603208090299492</c:v>
                </c:pt>
                <c:pt idx="130">
                  <c:v>0.15832353041741654</c:v>
                </c:pt>
                <c:pt idx="131">
                  <c:v>0.1606285228511411</c:v>
                </c:pt>
                <c:pt idx="132">
                  <c:v>0.1629469668419315</c:v>
                </c:pt>
                <c:pt idx="133">
                  <c:v>0.16527877049437611</c:v>
                </c:pt>
                <c:pt idx="134">
                  <c:v>0.16762384138353059</c:v>
                </c:pt>
                <c:pt idx="135">
                  <c:v>0.16998208655858127</c:v>
                </c:pt>
                <c:pt idx="136">
                  <c:v>0.17235341254652992</c:v>
                </c:pt>
                <c:pt idx="137">
                  <c:v>0.17473772535589804</c:v>
                </c:pt>
                <c:pt idx="138">
                  <c:v>0.17713493048045287</c:v>
                </c:pt>
                <c:pt idx="139">
                  <c:v>0.17954493290295315</c:v>
                </c:pt>
                <c:pt idx="140">
                  <c:v>0.18196763709891517</c:v>
                </c:pt>
                <c:pt idx="141">
                  <c:v>0.18440294704039933</c:v>
                </c:pt>
                <c:pt idx="142">
                  <c:v>0.18685076619981611</c:v>
                </c:pt>
                <c:pt idx="143">
                  <c:v>0.18931099755375197</c:v>
                </c:pt>
                <c:pt idx="144">
                  <c:v>0.19178354358681554</c:v>
                </c:pt>
                <c:pt idx="145">
                  <c:v>0.1942683062955024</c:v>
                </c:pt>
                <c:pt idx="146">
                  <c:v>0.19676518719207969</c:v>
                </c:pt>
                <c:pt idx="147">
                  <c:v>0.19927408730849</c:v>
                </c:pt>
                <c:pt idx="148">
                  <c:v>0.20179490720027371</c:v>
                </c:pt>
                <c:pt idx="149">
                  <c:v>0.20432754695051125</c:v>
                </c:pt>
                <c:pt idx="150">
                  <c:v>0.20687190617378309</c:v>
                </c:pt>
                <c:pt idx="151">
                  <c:v>0.20942788402014861</c:v>
                </c:pt>
                <c:pt idx="152">
                  <c:v>0.21199537917914374</c:v>
                </c:pt>
                <c:pt idx="153">
                  <c:v>0.21457428988379634</c:v>
                </c:pt>
                <c:pt idx="154">
                  <c:v>0.21716451391466002</c:v>
                </c:pt>
                <c:pt idx="155">
                  <c:v>0.21976594860386583</c:v>
                </c:pt>
                <c:pt idx="156">
                  <c:v>0.22237849083919142</c:v>
                </c:pt>
                <c:pt idx="157">
                  <c:v>0.22500203706814847</c:v>
                </c:pt>
                <c:pt idx="158">
                  <c:v>0.22763648330208675</c:v>
                </c:pt>
                <c:pt idx="159">
                  <c:v>0.23028172512031608</c:v>
                </c:pt>
                <c:pt idx="160">
                  <c:v>0.23293765767424529</c:v>
                </c:pt>
                <c:pt idx="161">
                  <c:v>0.23560417569153802</c:v>
                </c:pt>
                <c:pt idx="162">
                  <c:v>0.23828117348028521</c:v>
                </c:pt>
                <c:pt idx="163">
                  <c:v>0.24096854493319464</c:v>
                </c:pt>
                <c:pt idx="164">
                  <c:v>0.24366618353179648</c:v>
                </c:pt>
                <c:pt idx="165">
                  <c:v>0.24637398235066521</c:v>
                </c:pt>
                <c:pt idx="166">
                  <c:v>0.2490918340616583</c:v>
                </c:pt>
                <c:pt idx="167">
                  <c:v>0.25181963093816961</c:v>
                </c:pt>
                <c:pt idx="168">
                  <c:v>0.25455726485940006</c:v>
                </c:pt>
                <c:pt idx="169">
                  <c:v>0.25730462731464265</c:v>
                </c:pt>
                <c:pt idx="170">
                  <c:v>0.26006160940758349</c:v>
                </c:pt>
                <c:pt idx="171">
                  <c:v>0.26282810186061856</c:v>
                </c:pt>
                <c:pt idx="172">
                  <c:v>0.26560399501918452</c:v>
                </c:pt>
                <c:pt idx="173">
                  <c:v>0.26838917885610541</c:v>
                </c:pt>
                <c:pt idx="174">
                  <c:v>0.27118354297595382</c:v>
                </c:pt>
                <c:pt idx="175">
                  <c:v>0.27398697661942611</c:v>
                </c:pt>
                <c:pt idx="176">
                  <c:v>0.27679936866773314</c:v>
                </c:pt>
                <c:pt idx="177">
                  <c:v>0.27962060764700436</c:v>
                </c:pt>
                <c:pt idx="178">
                  <c:v>0.2824505817327061</c:v>
                </c:pt>
                <c:pt idx="179">
                  <c:v>0.28528917875407439</c:v>
                </c:pt>
                <c:pt idx="180">
                  <c:v>0.28813628619856047</c:v>
                </c:pt>
                <c:pt idx="181">
                  <c:v>0.29099179121629093</c:v>
                </c:pt>
                <c:pt idx="182">
                  <c:v>0.29385558062454042</c:v>
                </c:pt>
                <c:pt idx="183">
                  <c:v>0.29672754091221787</c:v>
                </c:pt>
                <c:pt idx="184">
                  <c:v>0.29960755824436569</c:v>
                </c:pt>
                <c:pt idx="185">
                  <c:v>0.30249551846667189</c:v>
                </c:pt>
                <c:pt idx="186">
                  <c:v>0.30539130710999463</c:v>
                </c:pt>
                <c:pt idx="187">
                  <c:v>0.30829480939489962</c:v>
                </c:pt>
                <c:pt idx="188">
                  <c:v>0.31120591023620925</c:v>
                </c:pt>
                <c:pt idx="189">
                  <c:v>0.31412449424756461</c:v>
                </c:pt>
                <c:pt idx="190">
                  <c:v>0.31705044574599883</c:v>
                </c:pt>
                <c:pt idx="191">
                  <c:v>0.31998364875652208</c:v>
                </c:pt>
                <c:pt idx="192">
                  <c:v>0.32292398701671898</c:v>
                </c:pt>
                <c:pt idx="193">
                  <c:v>0.32587134398135642</c:v>
                </c:pt>
                <c:pt idx="194">
                  <c:v>0.32882560282700324</c:v>
                </c:pt>
                <c:pt idx="195">
                  <c:v>0.33178664645666067</c:v>
                </c:pt>
                <c:pt idx="196">
                  <c:v>0.33475435750440363</c:v>
                </c:pt>
                <c:pt idx="197">
                  <c:v>0.33772861834003265</c:v>
                </c:pt>
                <c:pt idx="198">
                  <c:v>0.34070931107373681</c:v>
                </c:pt>
                <c:pt idx="199">
                  <c:v>0.34369631756076557</c:v>
                </c:pt>
                <c:pt idx="200">
                  <c:v>0.34668951940611281</c:v>
                </c:pt>
                <c:pt idx="201">
                  <c:v>0.34968879796920838</c:v>
                </c:pt>
                <c:pt idx="202">
                  <c:v>0.35269403436862179</c:v>
                </c:pt>
                <c:pt idx="203">
                  <c:v>0.35570510948677336</c:v>
                </c:pt>
                <c:pt idx="204">
                  <c:v>0.35872190397465631</c:v>
                </c:pt>
                <c:pt idx="205">
                  <c:v>0.36174429825656684</c:v>
                </c:pt>
                <c:pt idx="206">
                  <c:v>0.3647721725348439</c:v>
                </c:pt>
                <c:pt idx="207">
                  <c:v>0.36780540679461771</c:v>
                </c:pt>
                <c:pt idx="208">
                  <c:v>0.37084388080856684</c:v>
                </c:pt>
                <c:pt idx="209">
                  <c:v>0.37388747414168289</c:v>
                </c:pt>
                <c:pt idx="210">
                  <c:v>0.37693606615604525</c:v>
                </c:pt>
                <c:pt idx="211">
                  <c:v>0.37998953601560176</c:v>
                </c:pt>
                <c:pt idx="212">
                  <c:v>0.38304776269095892</c:v>
                </c:pt>
                <c:pt idx="213">
                  <c:v>0.38611062496417881</c:v>
                </c:pt>
                <c:pt idx="214">
                  <c:v>0.38917800143358394</c:v>
                </c:pt>
                <c:pt idx="215">
                  <c:v>0.39224977051856891</c:v>
                </c:pt>
                <c:pt idx="216">
                  <c:v>0.39532581046441984</c:v>
                </c:pt>
                <c:pt idx="217">
                  <c:v>0.39840599934713983</c:v>
                </c:pt>
                <c:pt idx="218">
                  <c:v>0.40149021507828209</c:v>
                </c:pt>
                <c:pt idx="219">
                  <c:v>0.40457833540978921</c:v>
                </c:pt>
                <c:pt idx="220">
                  <c:v>0.40767023793883778</c:v>
                </c:pt>
                <c:pt idx="221">
                  <c:v>0.41076580011269126</c:v>
                </c:pt>
                <c:pt idx="222">
                  <c:v>0.41386489923355663</c:v>
                </c:pt>
                <c:pt idx="223">
                  <c:v>0.41696741246344804</c:v>
                </c:pt>
                <c:pt idx="224">
                  <c:v>0.42007321682905585</c:v>
                </c:pt>
                <c:pt idx="225">
                  <c:v>0.42318218922662082</c:v>
                </c:pt>
                <c:pt idx="226">
                  <c:v>0.42629420642681332</c:v>
                </c:pt>
                <c:pt idx="227">
                  <c:v>0.42940914507961764</c:v>
                </c:pt>
                <c:pt idx="228">
                  <c:v>0.43252688171922182</c:v>
                </c:pt>
                <c:pt idx="229">
                  <c:v>0.43564729276891079</c:v>
                </c:pt>
                <c:pt idx="230">
                  <c:v>0.43877025454596486</c:v>
                </c:pt>
                <c:pt idx="231">
                  <c:v>0.44189564326656183</c:v>
                </c:pt>
                <c:pt idx="232">
                  <c:v>0.44502333505068348</c:v>
                </c:pt>
                <c:pt idx="233">
                  <c:v>0.44815320592702612</c:v>
                </c:pt>
                <c:pt idx="234">
                  <c:v>0.4512851318379138</c:v>
                </c:pt>
                <c:pt idx="235">
                  <c:v>0.45441898864421604</c:v>
                </c:pt>
                <c:pt idx="236">
                  <c:v>0.45755465213026802</c:v>
                </c:pt>
                <c:pt idx="237">
                  <c:v>0.46069199800879396</c:v>
                </c:pt>
                <c:pt idx="238">
                  <c:v>0.46383090192583382</c:v>
                </c:pt>
                <c:pt idx="239">
                  <c:v>0.46697123946567209</c:v>
                </c:pt>
                <c:pt idx="240">
                  <c:v>0.47011288615576918</c:v>
                </c:pt>
                <c:pt idx="241">
                  <c:v>0.47325571747169526</c:v>
                </c:pt>
                <c:pt idx="242">
                  <c:v>0.47639960884206567</c:v>
                </c:pt>
                <c:pt idx="243">
                  <c:v>0.4795444356534786</c:v>
                </c:pt>
                <c:pt idx="244">
                  <c:v>0.48269007325545488</c:v>
                </c:pt>
                <c:pt idx="245">
                  <c:v>0.48583639696537795</c:v>
                </c:pt>
                <c:pt idx="246">
                  <c:v>0.4889832820734365</c:v>
                </c:pt>
                <c:pt idx="247">
                  <c:v>0.49213060384756707</c:v>
                </c:pt>
                <c:pt idx="248">
                  <c:v>0.49527823753839817</c:v>
                </c:pt>
                <c:pt idx="249">
                  <c:v>0.49842605838419507</c:v>
                </c:pt>
                <c:pt idx="250">
                  <c:v>0.50157394161580482</c:v>
                </c:pt>
                <c:pt idx="251">
                  <c:v>0.50472176246160183</c:v>
                </c:pt>
                <c:pt idx="252">
                  <c:v>0.50786939615243298</c:v>
                </c:pt>
                <c:pt idx="253">
                  <c:v>0.51101671792656345</c:v>
                </c:pt>
                <c:pt idx="254">
                  <c:v>0.51416360303462194</c:v>
                </c:pt>
                <c:pt idx="255">
                  <c:v>0.51730992674454512</c:v>
                </c:pt>
                <c:pt idx="256">
                  <c:v>0.52045556434652129</c:v>
                </c:pt>
                <c:pt idx="257">
                  <c:v>0.52360039115793444</c:v>
                </c:pt>
                <c:pt idx="258">
                  <c:v>0.52674428252830463</c:v>
                </c:pt>
                <c:pt idx="259">
                  <c:v>0.5298871138442306</c:v>
                </c:pt>
                <c:pt idx="260">
                  <c:v>0.53302876053432768</c:v>
                </c:pt>
                <c:pt idx="261">
                  <c:v>0.53616909807416602</c:v>
                </c:pt>
                <c:pt idx="262">
                  <c:v>0.5393080019912061</c:v>
                </c:pt>
                <c:pt idx="263">
                  <c:v>0.54244534786973198</c:v>
                </c:pt>
                <c:pt idx="264">
                  <c:v>0.54558101135578396</c:v>
                </c:pt>
                <c:pt idx="265">
                  <c:v>0.54871486816208614</c:v>
                </c:pt>
                <c:pt idx="266">
                  <c:v>0.55184679407297388</c:v>
                </c:pt>
                <c:pt idx="267">
                  <c:v>0.55497666494931641</c:v>
                </c:pt>
                <c:pt idx="268">
                  <c:v>0.55810435673343828</c:v>
                </c:pt>
                <c:pt idx="269">
                  <c:v>0.56122974545403514</c:v>
                </c:pt>
                <c:pt idx="270">
                  <c:v>0.5643527072310891</c:v>
                </c:pt>
                <c:pt idx="271">
                  <c:v>0.56747311828077796</c:v>
                </c:pt>
                <c:pt idx="272">
                  <c:v>0.57059085492038231</c:v>
                </c:pt>
                <c:pt idx="273">
                  <c:v>0.57370579357318674</c:v>
                </c:pt>
                <c:pt idx="274">
                  <c:v>0.57681781077337912</c:v>
                </c:pt>
                <c:pt idx="275">
                  <c:v>0.57992678317094404</c:v>
                </c:pt>
                <c:pt idx="276">
                  <c:v>0.58303258753655196</c:v>
                </c:pt>
                <c:pt idx="277">
                  <c:v>0.58613510076644337</c:v>
                </c:pt>
                <c:pt idx="278">
                  <c:v>0.58923419988730874</c:v>
                </c:pt>
                <c:pt idx="279">
                  <c:v>0.59232976206116217</c:v>
                </c:pt>
                <c:pt idx="280">
                  <c:v>0.59542166459021073</c:v>
                </c:pt>
                <c:pt idx="281">
                  <c:v>0.59850978492171769</c:v>
                </c:pt>
                <c:pt idx="282">
                  <c:v>0.60159400065285995</c:v>
                </c:pt>
                <c:pt idx="283">
                  <c:v>0.60467418953558016</c:v>
                </c:pt>
                <c:pt idx="284">
                  <c:v>0.60775022948143098</c:v>
                </c:pt>
                <c:pt idx="285">
                  <c:v>0.61082199856641595</c:v>
                </c:pt>
                <c:pt idx="286">
                  <c:v>0.61388937503582108</c:v>
                </c:pt>
                <c:pt idx="287">
                  <c:v>0.61695223730904103</c:v>
                </c:pt>
                <c:pt idx="288">
                  <c:v>0.6200104639843983</c:v>
                </c:pt>
                <c:pt idx="289">
                  <c:v>0.62306393384395475</c:v>
                </c:pt>
                <c:pt idx="290">
                  <c:v>0.626112525858317</c:v>
                </c:pt>
                <c:pt idx="291">
                  <c:v>0.62915611919143311</c:v>
                </c:pt>
                <c:pt idx="292">
                  <c:v>0.63219459320538207</c:v>
                </c:pt>
                <c:pt idx="293">
                  <c:v>0.63522782746515594</c:v>
                </c:pt>
                <c:pt idx="294">
                  <c:v>0.63825570174343316</c:v>
                </c:pt>
                <c:pt idx="295">
                  <c:v>0.64127809602534369</c:v>
                </c:pt>
                <c:pt idx="296">
                  <c:v>0.64429489051322653</c:v>
                </c:pt>
                <c:pt idx="297">
                  <c:v>0.64730596563137821</c:v>
                </c:pt>
                <c:pt idx="298">
                  <c:v>0.65031120203079151</c:v>
                </c:pt>
                <c:pt idx="299">
                  <c:v>0.65331048059388719</c:v>
                </c:pt>
                <c:pt idx="300">
                  <c:v>0.65630368243923431</c:v>
                </c:pt>
                <c:pt idx="301">
                  <c:v>0.65929068892626308</c:v>
                </c:pt>
                <c:pt idx="302">
                  <c:v>0.66227138165996713</c:v>
                </c:pt>
                <c:pt idx="303">
                  <c:v>0.66524564249559626</c:v>
                </c:pt>
                <c:pt idx="304">
                  <c:v>0.66821335354333922</c:v>
                </c:pt>
                <c:pt idx="305">
                  <c:v>0.67117439717299676</c:v>
                </c:pt>
                <c:pt idx="306">
                  <c:v>0.67412865601864358</c:v>
                </c:pt>
                <c:pt idx="307">
                  <c:v>0.67707601298328102</c:v>
                </c:pt>
                <c:pt idx="308">
                  <c:v>0.68001635124347781</c:v>
                </c:pt>
                <c:pt idx="309">
                  <c:v>0.68294955425400117</c:v>
                </c:pt>
                <c:pt idx="310">
                  <c:v>0.68587550575243539</c:v>
                </c:pt>
                <c:pt idx="311">
                  <c:v>0.68879408976379075</c:v>
                </c:pt>
                <c:pt idx="312">
                  <c:v>0.69170519060510038</c:v>
                </c:pt>
                <c:pt idx="313">
                  <c:v>0.69460869289000526</c:v>
                </c:pt>
                <c:pt idx="314">
                  <c:v>0.697504481533328</c:v>
                </c:pt>
                <c:pt idx="315">
                  <c:v>0.70039244175563431</c:v>
                </c:pt>
                <c:pt idx="316">
                  <c:v>0.70327245908778213</c:v>
                </c:pt>
                <c:pt idx="317">
                  <c:v>0.70614441937545946</c:v>
                </c:pt>
                <c:pt idx="318">
                  <c:v>0.70900820878370907</c:v>
                </c:pt>
                <c:pt idx="319">
                  <c:v>0.71186371380143942</c:v>
                </c:pt>
                <c:pt idx="320">
                  <c:v>0.71471082124592566</c:v>
                </c:pt>
                <c:pt idx="321">
                  <c:v>0.71754941826729379</c:v>
                </c:pt>
                <c:pt idx="322">
                  <c:v>0.72037939235299564</c:v>
                </c:pt>
                <c:pt idx="323">
                  <c:v>0.72320063133226686</c:v>
                </c:pt>
                <c:pt idx="324">
                  <c:v>0.72601302338057372</c:v>
                </c:pt>
                <c:pt idx="325">
                  <c:v>0.72881645702404607</c:v>
                </c:pt>
                <c:pt idx="326">
                  <c:v>0.73161082114389431</c:v>
                </c:pt>
                <c:pt idx="327">
                  <c:v>0.73439600498081559</c:v>
                </c:pt>
                <c:pt idx="328">
                  <c:v>0.73717189813938133</c:v>
                </c:pt>
                <c:pt idx="329">
                  <c:v>0.73993839059241651</c:v>
                </c:pt>
                <c:pt idx="330">
                  <c:v>0.74269537268535735</c:v>
                </c:pt>
                <c:pt idx="331">
                  <c:v>0.74544273514059989</c:v>
                </c:pt>
                <c:pt idx="332">
                  <c:v>0.74818036906183039</c:v>
                </c:pt>
                <c:pt idx="333">
                  <c:v>0.75090816593834164</c:v>
                </c:pt>
                <c:pt idx="334">
                  <c:v>0.75362601764933479</c:v>
                </c:pt>
                <c:pt idx="335">
                  <c:v>0.75633381646820341</c:v>
                </c:pt>
                <c:pt idx="336">
                  <c:v>0.75903145506680525</c:v>
                </c:pt>
                <c:pt idx="337">
                  <c:v>0.76171882651971456</c:v>
                </c:pt>
                <c:pt idx="338">
                  <c:v>0.76439582430846209</c:v>
                </c:pt>
                <c:pt idx="339">
                  <c:v>0.76706234232575465</c:v>
                </c:pt>
                <c:pt idx="340">
                  <c:v>0.76971827487968403</c:v>
                </c:pt>
                <c:pt idx="341">
                  <c:v>0.77236351669791325</c:v>
                </c:pt>
                <c:pt idx="342">
                  <c:v>0.77499796293185153</c:v>
                </c:pt>
                <c:pt idx="343">
                  <c:v>0.77762150916080852</c:v>
                </c:pt>
                <c:pt idx="344">
                  <c:v>0.78023405139613411</c:v>
                </c:pt>
                <c:pt idx="345">
                  <c:v>0.78283548608533993</c:v>
                </c:pt>
                <c:pt idx="346">
                  <c:v>0.78542571011620343</c:v>
                </c:pt>
                <c:pt idx="347">
                  <c:v>0.78800462082085621</c:v>
                </c:pt>
                <c:pt idx="348">
                  <c:v>0.79057211597985133</c:v>
                </c:pt>
                <c:pt idx="349">
                  <c:v>0.79312809382621685</c:v>
                </c:pt>
                <c:pt idx="350">
                  <c:v>0.79567245304948864</c:v>
                </c:pt>
                <c:pt idx="351">
                  <c:v>0.79820509279972629</c:v>
                </c:pt>
                <c:pt idx="352">
                  <c:v>0.80072591269150994</c:v>
                </c:pt>
                <c:pt idx="353">
                  <c:v>0.80323481280792031</c:v>
                </c:pt>
                <c:pt idx="354">
                  <c:v>0.8057316937044976</c:v>
                </c:pt>
                <c:pt idx="355">
                  <c:v>0.8082164564131844</c:v>
                </c:pt>
                <c:pt idx="356">
                  <c:v>0.81068900244624797</c:v>
                </c:pt>
                <c:pt idx="357">
                  <c:v>0.81314923380018378</c:v>
                </c:pt>
                <c:pt idx="358">
                  <c:v>0.81559705295960072</c:v>
                </c:pt>
                <c:pt idx="359">
                  <c:v>0.81803236290108483</c:v>
                </c:pt>
                <c:pt idx="360">
                  <c:v>0.82045506709704696</c:v>
                </c:pt>
                <c:pt idx="361">
                  <c:v>0.82286506951954708</c:v>
                </c:pt>
                <c:pt idx="362">
                  <c:v>0.82526227464410196</c:v>
                </c:pt>
                <c:pt idx="363">
                  <c:v>0.82764658745347019</c:v>
                </c:pt>
                <c:pt idx="364">
                  <c:v>0.83001791344141862</c:v>
                </c:pt>
                <c:pt idx="365">
                  <c:v>0.83237615861646941</c:v>
                </c:pt>
                <c:pt idx="366">
                  <c:v>0.83472122950562377</c:v>
                </c:pt>
                <c:pt idx="367">
                  <c:v>0.83705303315806845</c:v>
                </c:pt>
                <c:pt idx="368">
                  <c:v>0.83937147714885874</c:v>
                </c:pt>
                <c:pt idx="369">
                  <c:v>0.84167646958258346</c:v>
                </c:pt>
                <c:pt idx="370">
                  <c:v>0.84396791909700508</c:v>
                </c:pt>
                <c:pt idx="371">
                  <c:v>0.84624573486668342</c:v>
                </c:pt>
                <c:pt idx="372">
                  <c:v>0.84850982660657426</c:v>
                </c:pt>
                <c:pt idx="373">
                  <c:v>0.85076010457560836</c:v>
                </c:pt>
                <c:pt idx="374">
                  <c:v>0.85299647958024849</c:v>
                </c:pt>
                <c:pt idx="375">
                  <c:v>0.8552188629780243</c:v>
                </c:pt>
                <c:pt idx="376">
                  <c:v>0.8574271666810469</c:v>
                </c:pt>
                <c:pt idx="377">
                  <c:v>0.85962130315949881</c:v>
                </c:pt>
                <c:pt idx="378">
                  <c:v>0.86180118544510542</c:v>
                </c:pt>
                <c:pt idx="379">
                  <c:v>0.86396672713457978</c:v>
                </c:pt>
                <c:pt idx="380">
                  <c:v>0.86611784239304912</c:v>
                </c:pt>
                <c:pt idx="381">
                  <c:v>0.86825444595745616</c:v>
                </c:pt>
                <c:pt idx="382">
                  <c:v>0.87037645313993917</c:v>
                </c:pt>
                <c:pt idx="383">
                  <c:v>0.87248377983118819</c:v>
                </c:pt>
                <c:pt idx="384">
                  <c:v>0.87457634250377958</c:v>
                </c:pt>
                <c:pt idx="385">
                  <c:v>0.87665405821548581</c:v>
                </c:pt>
                <c:pt idx="386">
                  <c:v>0.8787168446125635</c:v>
                </c:pt>
                <c:pt idx="387">
                  <c:v>0.88076461993301847</c:v>
                </c:pt>
                <c:pt idx="388">
                  <c:v>0.8827973030098446</c:v>
                </c:pt>
                <c:pt idx="389">
                  <c:v>0.88481481327424305</c:v>
                </c:pt>
                <c:pt idx="390">
                  <c:v>0.88681707075881411</c:v>
                </c:pt>
                <c:pt idx="391">
                  <c:v>0.88880399610072813</c:v>
                </c:pt>
                <c:pt idx="392">
                  <c:v>0.89077551054487025</c:v>
                </c:pt>
                <c:pt idx="393">
                  <c:v>0.89273153594696253</c:v>
                </c:pt>
                <c:pt idx="394">
                  <c:v>0.89467199477666082</c:v>
                </c:pt>
                <c:pt idx="395">
                  <c:v>0.89659681012062897</c:v>
                </c:pt>
                <c:pt idx="396">
                  <c:v>0.89850590568558575</c:v>
                </c:pt>
                <c:pt idx="397">
                  <c:v>0.90039920580133004</c:v>
                </c:pt>
                <c:pt idx="398">
                  <c:v>0.90227663542373993</c:v>
                </c:pt>
                <c:pt idx="399">
                  <c:v>0.90413812013774664</c:v>
                </c:pt>
                <c:pt idx="400">
                  <c:v>0.9059835861602854</c:v>
                </c:pt>
                <c:pt idx="401">
                  <c:v>0.9078129603432179</c:v>
                </c:pt>
                <c:pt idx="402">
                  <c:v>0.90962617017623426</c:v>
                </c:pt>
                <c:pt idx="403">
                  <c:v>0.91142314378972433</c:v>
                </c:pt>
                <c:pt idx="404">
                  <c:v>0.91320380995762895</c:v>
                </c:pt>
                <c:pt idx="405">
                  <c:v>0.91496809810026081</c:v>
                </c:pt>
                <c:pt idx="406">
                  <c:v>0.91671593828710374</c:v>
                </c:pt>
                <c:pt idx="407">
                  <c:v>0.91844726123958387</c:v>
                </c:pt>
                <c:pt idx="408">
                  <c:v>0.92016199833381507</c:v>
                </c:pt>
                <c:pt idx="409">
                  <c:v>0.92186008160332</c:v>
                </c:pt>
                <c:pt idx="410">
                  <c:v>0.92354144374172342</c:v>
                </c:pt>
                <c:pt idx="411">
                  <c:v>0.92520601810542002</c:v>
                </c:pt>
                <c:pt idx="412">
                  <c:v>0.9268537387162159</c:v>
                </c:pt>
                <c:pt idx="413">
                  <c:v>0.92848454026394456</c:v>
                </c:pt>
                <c:pt idx="414">
                  <c:v>0.93009835810905406</c:v>
                </c:pt>
                <c:pt idx="415">
                  <c:v>0.93169512828517065</c:v>
                </c:pt>
                <c:pt idx="416">
                  <c:v>0.93327478750163317</c:v>
                </c:pt>
                <c:pt idx="417">
                  <c:v>0.93483727314600207</c:v>
                </c:pt>
                <c:pt idx="418">
                  <c:v>0.93638252328654126</c:v>
                </c:pt>
                <c:pt idx="419">
                  <c:v>0.9379104766746722</c:v>
                </c:pt>
                <c:pt idx="420">
                  <c:v>0.93942107274740294</c:v>
                </c:pt>
                <c:pt idx="421">
                  <c:v>0.94091425162972686</c:v>
                </c:pt>
                <c:pt idx="422">
                  <c:v>0.94238995413699778</c:v>
                </c:pt>
                <c:pt idx="423">
                  <c:v>0.94384812177727417</c:v>
                </c:pt>
                <c:pt idx="424">
                  <c:v>0.94528869675363891</c:v>
                </c:pt>
                <c:pt idx="425">
                  <c:v>0.94671162196648917</c:v>
                </c:pt>
                <c:pt idx="426">
                  <c:v>0.94811684101580029</c:v>
                </c:pt>
                <c:pt idx="427">
                  <c:v>0.94950429820336102</c:v>
                </c:pt>
                <c:pt idx="428">
                  <c:v>0.95087393853498114</c:v>
                </c:pt>
                <c:pt idx="429">
                  <c:v>0.95222570772267157</c:v>
                </c:pt>
                <c:pt idx="430">
                  <c:v>0.95355955218679578</c:v>
                </c:pt>
                <c:pt idx="431">
                  <c:v>0.95487541905819395</c:v>
                </c:pt>
                <c:pt idx="432">
                  <c:v>0.95617325618027782</c:v>
                </c:pt>
                <c:pt idx="433">
                  <c:v>0.9574530121110989</c:v>
                </c:pt>
                <c:pt idx="434">
                  <c:v>0.95871463612538665</c:v>
                </c:pt>
                <c:pt idx="435">
                  <c:v>0.95995807821655976</c:v>
                </c:pt>
                <c:pt idx="436">
                  <c:v>0.96118328909870754</c:v>
                </c:pt>
                <c:pt idx="437">
                  <c:v>0.96239022020854426</c:v>
                </c:pt>
                <c:pt idx="438">
                  <c:v>0.96357882370733328</c:v>
                </c:pt>
                <c:pt idx="439">
                  <c:v>0.96474905248278331</c:v>
                </c:pt>
                <c:pt idx="440">
                  <c:v>0.9659008601509167</c:v>
                </c:pt>
                <c:pt idx="441">
                  <c:v>0.9670342010579065</c:v>
                </c:pt>
                <c:pt idx="442">
                  <c:v>0.96814903028188737</c:v>
                </c:pt>
                <c:pt idx="443">
                  <c:v>0.96924530363473493</c:v>
                </c:pt>
                <c:pt idx="444">
                  <c:v>0.97032297766381859</c:v>
                </c:pt>
                <c:pt idx="445">
                  <c:v>0.97138200965372234</c:v>
                </c:pt>
                <c:pt idx="446">
                  <c:v>0.97242235762793938</c:v>
                </c:pt>
                <c:pt idx="447">
                  <c:v>0.97344398035053437</c:v>
                </c:pt>
                <c:pt idx="448">
                  <c:v>0.97444683732777948</c:v>
                </c:pt>
                <c:pt idx="449">
                  <c:v>0.97543088880975826</c:v>
                </c:pt>
                <c:pt idx="450">
                  <c:v>0.97639609579194131</c:v>
                </c:pt>
                <c:pt idx="451">
                  <c:v>0.97734242001673288</c:v>
                </c:pt>
                <c:pt idx="452">
                  <c:v>0.97826982397498718</c:v>
                </c:pt>
                <c:pt idx="453">
                  <c:v>0.97917827090749432</c:v>
                </c:pt>
                <c:pt idx="454">
                  <c:v>0.98006772480643811</c:v>
                </c:pt>
                <c:pt idx="455">
                  <c:v>0.98093815041682331</c:v>
                </c:pt>
                <c:pt idx="456">
                  <c:v>0.98178951323787245</c:v>
                </c:pt>
                <c:pt idx="457">
                  <c:v>0.98262177952439389</c:v>
                </c:pt>
                <c:pt idx="458">
                  <c:v>0.98343491628811885</c:v>
                </c:pt>
                <c:pt idx="459">
                  <c:v>0.98422889129900959</c:v>
                </c:pt>
                <c:pt idx="460">
                  <c:v>0.98500367308653625</c:v>
                </c:pt>
                <c:pt idx="461">
                  <c:v>0.98575923094092466</c:v>
                </c:pt>
                <c:pt idx="462">
                  <c:v>0.98649553491437336</c:v>
                </c:pt>
                <c:pt idx="463">
                  <c:v>0.98721255582224088</c:v>
                </c:pt>
                <c:pt idx="464">
                  <c:v>0.98791026524420245</c:v>
                </c:pt>
                <c:pt idx="465">
                  <c:v>0.98858863552537568</c:v>
                </c:pt>
                <c:pt idx="466">
                  <c:v>0.98924763977741859</c:v>
                </c:pt>
                <c:pt idx="467">
                  <c:v>0.98988725187959314</c:v>
                </c:pt>
                <c:pt idx="468">
                  <c:v>0.99050744647980227</c:v>
                </c:pt>
                <c:pt idx="469">
                  <c:v>0.99110819899559388</c:v>
                </c:pt>
                <c:pt idx="470">
                  <c:v>0.99168948561513559</c:v>
                </c:pt>
                <c:pt idx="471">
                  <c:v>0.99225128329815826</c:v>
                </c:pt>
                <c:pt idx="472">
                  <c:v>0.99279356977686972</c:v>
                </c:pt>
                <c:pt idx="473">
                  <c:v>0.99331632355683674</c:v>
                </c:pt>
                <c:pt idx="474">
                  <c:v>0.99381952391783734</c:v>
                </c:pt>
                <c:pt idx="475">
                  <c:v>0.99430315091468235</c:v>
                </c:pt>
                <c:pt idx="476">
                  <c:v>0.99476718537800535</c:v>
                </c:pt>
                <c:pt idx="477">
                  <c:v>0.99521160891502314</c:v>
                </c:pt>
                <c:pt idx="478">
                  <c:v>0.99563640391026409</c:v>
                </c:pt>
                <c:pt idx="479">
                  <c:v>0.996041553526267</c:v>
                </c:pt>
                <c:pt idx="480">
                  <c:v>0.99642704170424801</c:v>
                </c:pt>
                <c:pt idx="481">
                  <c:v>0.9967928531647372</c:v>
                </c:pt>
                <c:pt idx="482">
                  <c:v>0.9971389734081848</c:v>
                </c:pt>
                <c:pt idx="483">
                  <c:v>0.99746538871553492</c:v>
                </c:pt>
                <c:pt idx="484">
                  <c:v>0.99777208614877</c:v>
                </c:pt>
                <c:pt idx="485">
                  <c:v>0.99805905355142333</c:v>
                </c:pt>
                <c:pt idx="486">
                  <c:v>0.99832627954906128</c:v>
                </c:pt>
                <c:pt idx="487">
                  <c:v>0.99857375354973366</c:v>
                </c:pt>
                <c:pt idx="488">
                  <c:v>0.99880146574439399</c:v>
                </c:pt>
                <c:pt idx="489">
                  <c:v>0.99900940710728769</c:v>
                </c:pt>
                <c:pt idx="490">
                  <c:v>0.99919756939631066</c:v>
                </c:pt>
                <c:pt idx="491">
                  <c:v>0.99936594515333521</c:v>
                </c:pt>
                <c:pt idx="492">
                  <c:v>0.99951452770450611</c:v>
                </c:pt>
                <c:pt idx="493">
                  <c:v>0.9996433111605052</c:v>
                </c:pt>
                <c:pt idx="494">
                  <c:v>0.99975229041678437</c:v>
                </c:pt>
                <c:pt idx="495">
                  <c:v>0.99984146115376804</c:v>
                </c:pt>
                <c:pt idx="496">
                  <c:v>0.99991081983702479</c:v>
                </c:pt>
                <c:pt idx="497">
                  <c:v>0.99996036371740704</c:v>
                </c:pt>
                <c:pt idx="498">
                  <c:v>0.99999009083116008</c:v>
                </c:pt>
                <c:pt idx="499">
                  <c:v>1</c:v>
                </c:pt>
                <c:pt idx="500">
                  <c:v>1</c:v>
                </c:pt>
              </c:numCache>
            </c:numRef>
          </c:xVal>
          <c:yVal>
            <c:numRef>
              <c:f>Data5!$J$1:$J$501</c:f>
              <c:numCache>
                <c:formatCode>0.00000</c:formatCode>
                <c:ptCount val="501"/>
                <c:pt idx="0">
                  <c:v>0</c:v>
                </c:pt>
                <c:pt idx="1">
                  <c:v>-3.7355811981606724E-4</c:v>
                </c:pt>
                <c:pt idx="2">
                  <c:v>-7.4654355508817541E-4</c:v>
                </c:pt>
                <c:pt idx="3">
                  <c:v>-1.1189526177777208E-3</c:v>
                </c:pt>
                <c:pt idx="4">
                  <c:v>-1.4907816307790059E-3</c:v>
                </c:pt>
                <c:pt idx="5">
                  <c:v>-1.8620269278414763E-3</c:v>
                </c:pt>
                <c:pt idx="6">
                  <c:v>-2.232684853447678E-3</c:v>
                </c:pt>
                <c:pt idx="7">
                  <c:v>-2.6027517626444709E-3</c:v>
                </c:pt>
                <c:pt idx="8">
                  <c:v>-2.9722240208303612E-3</c:v>
                </c:pt>
                <c:pt idx="9">
                  <c:v>-3.3410980034959126E-3</c:v>
                </c:pt>
                <c:pt idx="10">
                  <c:v>-3.7093700959209526E-3</c:v>
                </c:pt>
                <c:pt idx="11">
                  <c:v>-4.0770366928253726E-3</c:v>
                </c:pt>
                <c:pt idx="12">
                  <c:v>-4.4440941979768589E-3</c:v>
                </c:pt>
                <c:pt idx="13">
                  <c:v>-4.8105390237530793E-3</c:v>
                </c:pt>
                <c:pt idx="14">
                  <c:v>-5.1763675906602658E-3</c:v>
                </c:pt>
                <c:pt idx="15">
                  <c:v>-5.5415763268082561E-3</c:v>
                </c:pt>
                <c:pt idx="16">
                  <c:v>-5.9061616673416273E-3</c:v>
                </c:pt>
                <c:pt idx="17">
                  <c:v>-6.2701200538282627E-3</c:v>
                </c:pt>
                <c:pt idx="18">
                  <c:v>-6.6334479336042475E-3</c:v>
                </c:pt>
                <c:pt idx="19">
                  <c:v>-6.9961417590776202E-3</c:v>
                </c:pt>
                <c:pt idx="20">
                  <c:v>-7.3581979869890351E-3</c:v>
                </c:pt>
                <c:pt idx="21">
                  <c:v>-7.7196130776319271E-3</c:v>
                </c:pt>
                <c:pt idx="22">
                  <c:v>-8.0803834940307018E-3</c:v>
                </c:pt>
                <c:pt idx="23">
                  <c:v>-8.4405057010791991E-3</c:v>
                </c:pt>
                <c:pt idx="24">
                  <c:v>-8.7999761646385555E-3</c:v>
                </c:pt>
                <c:pt idx="25">
                  <c:v>-9.1587913505958643E-3</c:v>
                </c:pt>
                <c:pt idx="26">
                  <c:v>-9.5169477238836765E-3</c:v>
                </c:pt>
                <c:pt idx="27">
                  <c:v>-9.8744417474615313E-3</c:v>
                </c:pt>
                <c:pt idx="28">
                  <c:v>-1.0231269881259169E-2</c:v>
                </c:pt>
                <c:pt idx="29">
                  <c:v>-1.058742858108312E-2</c:v>
                </c:pt>
                <c:pt idx="30">
                  <c:v>-1.0942914297486478E-2</c:v>
                </c:pt>
                <c:pt idx="31">
                  <c:v>-1.1297723474603094E-2</c:v>
                </c:pt>
                <c:pt idx="32">
                  <c:v>-1.1651852548946559E-2</c:v>
                </c:pt>
                <c:pt idx="33">
                  <c:v>-1.2005297948174721E-2</c:v>
                </c:pt>
                <c:pt idx="34">
                  <c:v>-1.2358056089820596E-2</c:v>
                </c:pt>
                <c:pt idx="35">
                  <c:v>-1.2710123379990421E-2</c:v>
                </c:pt>
                <c:pt idx="36">
                  <c:v>-1.3061496212029502E-2</c:v>
                </c:pt>
                <c:pt idx="37">
                  <c:v>-1.3412170965156685E-2</c:v>
                </c:pt>
                <c:pt idx="38">
                  <c:v>-1.3762144003068468E-2</c:v>
                </c:pt>
                <c:pt idx="39">
                  <c:v>-1.4111411672513159E-2</c:v>
                </c:pt>
                <c:pt idx="40">
                  <c:v>-1.4459970301836426E-2</c:v>
                </c:pt>
                <c:pt idx="41">
                  <c:v>-1.4807816199498804E-2</c:v>
                </c:pt>
                <c:pt idx="42">
                  <c:v>-1.5154945652566157E-2</c:v>
                </c:pt>
                <c:pt idx="43">
                  <c:v>-1.5501354925173865E-2</c:v>
                </c:pt>
                <c:pt idx="44">
                  <c:v>-1.5847040256965938E-2</c:v>
                </c:pt>
                <c:pt idx="45">
                  <c:v>-1.6191997861509769E-2</c:v>
                </c:pt>
                <c:pt idx="46">
                  <c:v>-1.6536223924687381E-2</c:v>
                </c:pt>
                <c:pt idx="47">
                  <c:v>-1.6879714603064727E-2</c:v>
                </c:pt>
                <c:pt idx="48">
                  <c:v>-1.722246602223923E-2</c:v>
                </c:pt>
                <c:pt idx="49">
                  <c:v>-1.7564474275167063E-2</c:v>
                </c:pt>
                <c:pt idx="50">
                  <c:v>-1.7905735420471344E-2</c:v>
                </c:pt>
                <c:pt idx="51">
                  <c:v>-1.8246245480731605E-2</c:v>
                </c:pt>
                <c:pt idx="52">
                  <c:v>-1.8586000440756496E-2</c:v>
                </c:pt>
                <c:pt idx="53">
                  <c:v>-1.8924996245839869E-2</c:v>
                </c:pt>
                <c:pt idx="54">
                  <c:v>-1.9263228800002082E-2</c:v>
                </c:pt>
                <c:pt idx="55">
                  <c:v>-1.9600693964217156E-2</c:v>
                </c:pt>
                <c:pt idx="56">
                  <c:v>-1.9937387554627036E-2</c:v>
                </c:pt>
                <c:pt idx="57">
                  <c:v>-2.0273305340744133E-2</c:v>
                </c:pt>
                <c:pt idx="58">
                  <c:v>-2.0608443043643111E-2</c:v>
                </c:pt>
                <c:pt idx="59">
                  <c:v>-2.094279633414324E-2</c:v>
                </c:pt>
                <c:pt idx="60">
                  <c:v>-2.1276360830982312E-2</c:v>
                </c:pt>
                <c:pt idx="61">
                  <c:v>-2.1609132098983422E-2</c:v>
                </c:pt>
                <c:pt idx="62">
                  <c:v>-2.1941105647215589E-2</c:v>
                </c:pt>
                <c:pt idx="63">
                  <c:v>-2.227227692714967E-2</c:v>
                </c:pt>
                <c:pt idx="64">
                  <c:v>-2.2602641330810424E-2</c:v>
                </c:pt>
                <c:pt idx="65">
                  <c:v>-2.2932194188926187E-2</c:v>
                </c:pt>
                <c:pt idx="66">
                  <c:v>-2.3260930769077311E-2</c:v>
                </c:pt>
                <c:pt idx="67">
                  <c:v>-2.3588846273844322E-2</c:v>
                </c:pt>
                <c:pt idx="68">
                  <c:v>-2.3915935838957462E-2</c:v>
                </c:pt>
                <c:pt idx="69">
                  <c:v>-2.4242194531448404E-2</c:v>
                </c:pt>
                <c:pt idx="70">
                  <c:v>-2.4567617347805628E-2</c:v>
                </c:pt>
                <c:pt idx="71">
                  <c:v>-2.4892199212134637E-2</c:v>
                </c:pt>
                <c:pt idx="72">
                  <c:v>-2.5215934974324058E-2</c:v>
                </c:pt>
                <c:pt idx="73">
                  <c:v>-2.5538819408219299E-2</c:v>
                </c:pt>
                <c:pt idx="74">
                  <c:v>-2.586084720980443E-2</c:v>
                </c:pt>
                <c:pt idx="75">
                  <c:v>-2.6182012995394063E-2</c:v>
                </c:pt>
                <c:pt idx="76">
                  <c:v>-2.6502311299836122E-2</c:v>
                </c:pt>
                <c:pt idx="77">
                  <c:v>-2.68217365747269E-2</c:v>
                </c:pt>
                <c:pt idx="78">
                  <c:v>-2.7140283186639667E-2</c:v>
                </c:pt>
                <c:pt idx="79">
                  <c:v>-2.7457945415367994E-2</c:v>
                </c:pt>
                <c:pt idx="80">
                  <c:v>-2.7774717452185092E-2</c:v>
                </c:pt>
                <c:pt idx="81">
                  <c:v>-2.8090593398120384E-2</c:v>
                </c:pt>
                <c:pt idx="82">
                  <c:v>-2.8405567262254645E-2</c:v>
                </c:pt>
                <c:pt idx="83">
                  <c:v>-2.8719632960034852E-2</c:v>
                </c:pt>
                <c:pt idx="84">
                  <c:v>-2.9032784311610001E-2</c:v>
                </c:pt>
                <c:pt idx="85">
                  <c:v>-2.9345015040189139E-2</c:v>
                </c:pt>
                <c:pt idx="86">
                  <c:v>-2.9656318770422966E-2</c:v>
                </c:pt>
                <c:pt idx="87">
                  <c:v>-2.9966689026810059E-2</c:v>
                </c:pt>
                <c:pt idx="88">
                  <c:v>-3.0276119232128983E-2</c:v>
                </c:pt>
                <c:pt idx="89">
                  <c:v>-3.0584602705897648E-2</c:v>
                </c:pt>
                <c:pt idx="90">
                  <c:v>-3.0892132662860936E-2</c:v>
                </c:pt>
                <c:pt idx="91">
                  <c:v>-3.1198702211508004E-2</c:v>
                </c:pt>
                <c:pt idx="92">
                  <c:v>-3.150430435262034E-2</c:v>
                </c:pt>
                <c:pt idx="93">
                  <c:v>-3.1808931977851715E-2</c:v>
                </c:pt>
                <c:pt idx="94">
                  <c:v>-3.2112577868341381E-2</c:v>
                </c:pt>
                <c:pt idx="95">
                  <c:v>-3.2415234693361647E-2</c:v>
                </c:pt>
                <c:pt idx="96">
                  <c:v>-3.2716895009000907E-2</c:v>
                </c:pt>
                <c:pt idx="97">
                  <c:v>-3.3017551256883423E-2</c:v>
                </c:pt>
                <c:pt idx="98">
                  <c:v>-3.3317195762926806E-2</c:v>
                </c:pt>
                <c:pt idx="99">
                  <c:v>-3.3615820736138717E-2</c:v>
                </c:pt>
                <c:pt idx="100">
                  <c:v>-3.3913418267453407E-2</c:v>
                </c:pt>
                <c:pt idx="101">
                  <c:v>-3.4209980328609675E-2</c:v>
                </c:pt>
                <c:pt idx="102">
                  <c:v>-3.450549877107114E-2</c:v>
                </c:pt>
                <c:pt idx="103">
                  <c:v>-3.4799965324989857E-2</c:v>
                </c:pt>
                <c:pt idx="104">
                  <c:v>-3.5093371598214511E-2</c:v>
                </c:pt>
                <c:pt idx="105">
                  <c:v>-3.5385709075344211E-2</c:v>
                </c:pt>
                <c:pt idx="106">
                  <c:v>-3.5676969116828883E-2</c:v>
                </c:pt>
                <c:pt idx="107">
                  <c:v>-3.5967142958117357E-2</c:v>
                </c:pt>
                <c:pt idx="108">
                  <c:v>-3.6256221708854168E-2</c:v>
                </c:pt>
                <c:pt idx="109">
                  <c:v>-3.6544196352126017E-2</c:v>
                </c:pt>
                <c:pt idx="110">
                  <c:v>-3.6831057743759055E-2</c:v>
                </c:pt>
                <c:pt idx="111">
                  <c:v>-3.7116796611667634E-2</c:v>
                </c:pt>
                <c:pt idx="112">
                  <c:v>-3.7401403555255966E-2</c:v>
                </c:pt>
                <c:pt idx="113">
                  <c:v>-3.7684869044873164E-2</c:v>
                </c:pt>
                <c:pt idx="114">
                  <c:v>-3.7967183421322832E-2</c:v>
                </c:pt>
                <c:pt idx="115">
                  <c:v>-3.8248336895428149E-2</c:v>
                </c:pt>
                <c:pt idx="116">
                  <c:v>-3.8528319547653143E-2</c:v>
                </c:pt>
                <c:pt idx="117">
                  <c:v>-3.8807121327781212E-2</c:v>
                </c:pt>
                <c:pt idx="118">
                  <c:v>-3.9084732054651607E-2</c:v>
                </c:pt>
                <c:pt idx="119">
                  <c:v>-3.9361141415954766E-2</c:v>
                </c:pt>
                <c:pt idx="120">
                  <c:v>-3.9636338968087333E-2</c:v>
                </c:pt>
                <c:pt idx="121">
                  <c:v>-3.991031413606759E-2</c:v>
                </c:pt>
                <c:pt idx="122">
                  <c:v>-4.0183056213512029E-2</c:v>
                </c:pt>
                <c:pt idx="123">
                  <c:v>-4.0454554362673999E-2</c:v>
                </c:pt>
                <c:pt idx="124">
                  <c:v>-4.0724797614544908E-2</c:v>
                </c:pt>
                <c:pt idx="125">
                  <c:v>-4.0993774869018763E-2</c:v>
                </c:pt>
                <c:pt idx="126">
                  <c:v>-4.12614748951209E-2</c:v>
                </c:pt>
                <c:pt idx="127">
                  <c:v>-4.1527886331301229E-2</c:v>
                </c:pt>
                <c:pt idx="128">
                  <c:v>-4.1792997685792893E-2</c:v>
                </c:pt>
                <c:pt idx="129">
                  <c:v>-4.2056797337036871E-2</c:v>
                </c:pt>
                <c:pt idx="130">
                  <c:v>-4.2319273534172926E-2</c:v>
                </c:pt>
                <c:pt idx="131">
                  <c:v>-4.2580414397597868E-2</c:v>
                </c:pt>
                <c:pt idx="132">
                  <c:v>-4.2840207919591103E-2</c:v>
                </c:pt>
                <c:pt idx="133">
                  <c:v>-4.3098641965008552E-2</c:v>
                </c:pt>
                <c:pt idx="134">
                  <c:v>-4.3355704272044993E-2</c:v>
                </c:pt>
                <c:pt idx="135">
                  <c:v>-4.3611382453065325E-2</c:v>
                </c:pt>
                <c:pt idx="136">
                  <c:v>-4.3865663995505601E-2</c:v>
                </c:pt>
                <c:pt idx="137">
                  <c:v>-4.4118536262843559E-2</c:v>
                </c:pt>
                <c:pt idx="138">
                  <c:v>-4.4369986495639627E-2</c:v>
                </c:pt>
                <c:pt idx="139">
                  <c:v>-4.4620001812648351E-2</c:v>
                </c:pt>
                <c:pt idx="140">
                  <c:v>-4.4868569212000824E-2</c:v>
                </c:pt>
                <c:pt idx="141">
                  <c:v>-4.5115675572458228E-2</c:v>
                </c:pt>
                <c:pt idx="142">
                  <c:v>-4.5361307654736803E-2</c:v>
                </c:pt>
                <c:pt idx="143">
                  <c:v>-4.5605452102904571E-2</c:v>
                </c:pt>
                <c:pt idx="144">
                  <c:v>-4.5848095445849946E-2</c:v>
                </c:pt>
                <c:pt idx="145">
                  <c:v>-4.6089224098822337E-2</c:v>
                </c:pt>
                <c:pt idx="146">
                  <c:v>-4.6328824365045006E-2</c:v>
                </c:pt>
                <c:pt idx="147">
                  <c:v>-4.6566882437400391E-2</c:v>
                </c:pt>
                <c:pt idx="148">
                  <c:v>-4.6803384400187609E-2</c:v>
                </c:pt>
                <c:pt idx="149">
                  <c:v>-4.7038316230952705E-2</c:v>
                </c:pt>
                <c:pt idx="150">
                  <c:v>-4.7271663802391402E-2</c:v>
                </c:pt>
                <c:pt idx="151">
                  <c:v>-4.7503412884324137E-2</c:v>
                </c:pt>
                <c:pt idx="152">
                  <c:v>-4.7733549145744049E-2</c:v>
                </c:pt>
                <c:pt idx="153">
                  <c:v>-4.7962058156937035E-2</c:v>
                </c:pt>
                <c:pt idx="154">
                  <c:v>-4.8188925391674381E-2</c:v>
                </c:pt>
                <c:pt idx="155">
                  <c:v>-4.8414136229477718E-2</c:v>
                </c:pt>
                <c:pt idx="156">
                  <c:v>-4.8637675957955859E-2</c:v>
                </c:pt>
                <c:pt idx="157">
                  <c:v>-4.8859529775213927E-2</c:v>
                </c:pt>
                <c:pt idx="158">
                  <c:v>-4.9079682792333941E-2</c:v>
                </c:pt>
                <c:pt idx="159">
                  <c:v>-4.9298120035927033E-2</c:v>
                </c:pt>
                <c:pt idx="160">
                  <c:v>-4.9514826450756971E-2</c:v>
                </c:pt>
                <c:pt idx="161">
                  <c:v>-4.9729786902434597E-2</c:v>
                </c:pt>
                <c:pt idx="162">
                  <c:v>-4.9942986180182884E-2</c:v>
                </c:pt>
                <c:pt idx="163">
                  <c:v>-5.0154408999672301E-2</c:v>
                </c:pt>
                <c:pt idx="164">
                  <c:v>-5.0364040005926126E-2</c:v>
                </c:pt>
                <c:pt idx="165">
                  <c:v>-5.0571863776295141E-2</c:v>
                </c:pt>
                <c:pt idx="166">
                  <c:v>-5.0777864823501453E-2</c:v>
                </c:pt>
                <c:pt idx="167">
                  <c:v>-5.0982027598750992E-2</c:v>
                </c:pt>
                <c:pt idx="168">
                  <c:v>-5.1184336494913815E-2</c:v>
                </c:pt>
                <c:pt idx="169">
                  <c:v>-5.1384775849772205E-2</c:v>
                </c:pt>
                <c:pt idx="170">
                  <c:v>-5.1583329949335628E-2</c:v>
                </c:pt>
                <c:pt idx="171">
                  <c:v>-5.1779983031222047E-2</c:v>
                </c:pt>
                <c:pt idx="172">
                  <c:v>-5.1974719288105133E-2</c:v>
                </c:pt>
                <c:pt idx="173">
                  <c:v>-5.2167522871226411E-2</c:v>
                </c:pt>
                <c:pt idx="174">
                  <c:v>-5.2358377893971998E-2</c:v>
                </c:pt>
                <c:pt idx="175">
                  <c:v>-5.2547268435512905E-2</c:v>
                </c:pt>
                <c:pt idx="176">
                  <c:v>-5.2734178544508521E-2</c:v>
                </c:pt>
                <c:pt idx="177">
                  <c:v>-5.2919092242872119E-2</c:v>
                </c:pt>
                <c:pt idx="178">
                  <c:v>-5.3101993529597838E-2</c:v>
                </c:pt>
                <c:pt idx="179">
                  <c:v>-5.3282866384648402E-2</c:v>
                </c:pt>
                <c:pt idx="180">
                  <c:v>-5.3461694772902295E-2</c:v>
                </c:pt>
                <c:pt idx="181">
                  <c:v>-5.3638462648160079E-2</c:v>
                </c:pt>
                <c:pt idx="182">
                  <c:v>-5.3813153957208461E-2</c:v>
                </c:pt>
                <c:pt idx="183">
                  <c:v>-5.3985752643941544E-2</c:v>
                </c:pt>
                <c:pt idx="184">
                  <c:v>-5.4156242653537877E-2</c:v>
                </c:pt>
                <c:pt idx="185">
                  <c:v>-5.4324607936692873E-2</c:v>
                </c:pt>
                <c:pt idx="186">
                  <c:v>-5.4490832453905021E-2</c:v>
                </c:pt>
                <c:pt idx="187">
                  <c:v>-5.4654900179815183E-2</c:v>
                </c:pt>
                <c:pt idx="188">
                  <c:v>-5.4816795107597842E-2</c:v>
                </c:pt>
                <c:pt idx="189">
                  <c:v>-5.4976501253403087E-2</c:v>
                </c:pt>
                <c:pt idx="190">
                  <c:v>-5.5134002660848398E-2</c:v>
                </c:pt>
                <c:pt idx="191">
                  <c:v>-5.5289283405558838E-2</c:v>
                </c:pt>
                <c:pt idx="192">
                  <c:v>-5.5442327599754836E-2</c:v>
                </c:pt>
                <c:pt idx="193">
                  <c:v>-5.5593119396885944E-2</c:v>
                </c:pt>
                <c:pt idx="194">
                  <c:v>-5.5741642996309633E-2</c:v>
                </c:pt>
                <c:pt idx="195">
                  <c:v>-5.5887882648013781E-2</c:v>
                </c:pt>
                <c:pt idx="196">
                  <c:v>-5.6031822657381679E-2</c:v>
                </c:pt>
                <c:pt idx="197">
                  <c:v>-5.6173447389997973E-2</c:v>
                </c:pt>
                <c:pt idx="198">
                  <c:v>-5.6312741276494688E-2</c:v>
                </c:pt>
                <c:pt idx="199">
                  <c:v>-5.6449688817435492E-2</c:v>
                </c:pt>
                <c:pt idx="200">
                  <c:v>-5.658427458823731E-2</c:v>
                </c:pt>
                <c:pt idx="201">
                  <c:v>-5.6716483244127418E-2</c:v>
                </c:pt>
                <c:pt idx="202">
                  <c:v>-5.6846299525135098E-2</c:v>
                </c:pt>
                <c:pt idx="203">
                  <c:v>-5.6973708261116071E-2</c:v>
                </c:pt>
                <c:pt idx="204">
                  <c:v>-5.7098694376808451E-2</c:v>
                </c:pt>
                <c:pt idx="205">
                  <c:v>-5.7221242896918517E-2</c:v>
                </c:pt>
                <c:pt idx="206">
                  <c:v>-5.7341338951235332E-2</c:v>
                </c:pt>
                <c:pt idx="207">
                  <c:v>-5.7458967779771941E-2</c:v>
                </c:pt>
                <c:pt idx="208">
                  <c:v>-5.757411473793235E-2</c:v>
                </c:pt>
                <c:pt idx="209">
                  <c:v>-5.7686765301702296E-2</c:v>
                </c:pt>
                <c:pt idx="210">
                  <c:v>-5.7796905072862448E-2</c:v>
                </c:pt>
                <c:pt idx="211">
                  <c:v>-5.79045197842223E-2</c:v>
                </c:pt>
                <c:pt idx="212">
                  <c:v>-5.8009595304873332E-2</c:v>
                </c:pt>
                <c:pt idx="213">
                  <c:v>-5.8112117645459815E-2</c:v>
                </c:pt>
                <c:pt idx="214">
                  <c:v>-5.8212072963465346E-2</c:v>
                </c:pt>
                <c:pt idx="215">
                  <c:v>-5.8309447568514042E-2</c:v>
                </c:pt>
                <c:pt idx="216">
                  <c:v>-5.8404227927684058E-2</c:v>
                </c:pt>
                <c:pt idx="217">
                  <c:v>-5.8496400670832234E-2</c:v>
                </c:pt>
                <c:pt idx="218">
                  <c:v>-5.8585952595928172E-2</c:v>
                </c:pt>
                <c:pt idx="219">
                  <c:v>-5.867287067439568E-2</c:v>
                </c:pt>
                <c:pt idx="220">
                  <c:v>-5.8757142056460251E-2</c:v>
                </c:pt>
                <c:pt idx="221">
                  <c:v>-5.8838754076500722E-2</c:v>
                </c:pt>
                <c:pt idx="222">
                  <c:v>-5.8917694258403368E-2</c:v>
                </c:pt>
                <c:pt idx="223">
                  <c:v>-5.8993950320916588E-2</c:v>
                </c:pt>
                <c:pt idx="224">
                  <c:v>-5.9067510183004775E-2</c:v>
                </c:pt>
                <c:pt idx="225">
                  <c:v>-5.9138361969199089E-2</c:v>
                </c:pt>
                <c:pt idx="226">
                  <c:v>-5.9206494014943822E-2</c:v>
                </c:pt>
                <c:pt idx="227">
                  <c:v>-5.9271894871936376E-2</c:v>
                </c:pt>
                <c:pt idx="228">
                  <c:v>-5.9334553313459028E-2</c:v>
                </c:pt>
                <c:pt idx="229">
                  <c:v>-5.9394458339700737E-2</c:v>
                </c:pt>
                <c:pt idx="230">
                  <c:v>-5.9451599183067319E-2</c:v>
                </c:pt>
                <c:pt idx="231">
                  <c:v>-5.9505965313477883E-2</c:v>
                </c:pt>
                <c:pt idx="232">
                  <c:v>-5.9557546443645935E-2</c:v>
                </c:pt>
                <c:pt idx="233">
                  <c:v>-5.9606332534343505E-2</c:v>
                </c:pt>
                <c:pt idx="234">
                  <c:v>-5.9652313799645862E-2</c:v>
                </c:pt>
                <c:pt idx="235">
                  <c:v>-5.9695480712155767E-2</c:v>
                </c:pt>
                <c:pt idx="236">
                  <c:v>-5.9735824008204708E-2</c:v>
                </c:pt>
                <c:pt idx="237">
                  <c:v>-5.9773334693030054E-2</c:v>
                </c:pt>
                <c:pt idx="238">
                  <c:v>-5.9808004045925386E-2</c:v>
                </c:pt>
                <c:pt idx="239">
                  <c:v>-5.9839823625363067E-2</c:v>
                </c:pt>
                <c:pt idx="240">
                  <c:v>-5.9868785274086574E-2</c:v>
                </c:pt>
                <c:pt idx="241">
                  <c:v>-5.9894881124171059E-2</c:v>
                </c:pt>
                <c:pt idx="242">
                  <c:v>-5.9918103602050243E-2</c:v>
                </c:pt>
                <c:pt idx="243">
                  <c:v>-5.9938445433507855E-2</c:v>
                </c:pt>
                <c:pt idx="244">
                  <c:v>-5.9955899648631711E-2</c:v>
                </c:pt>
                <c:pt idx="245">
                  <c:v>-5.9970459586728531E-2</c:v>
                </c:pt>
                <c:pt idx="246">
                  <c:v>-5.9982118901197895E-2</c:v>
                </c:pt>
                <c:pt idx="247">
                  <c:v>-5.999087156436346E-2</c:v>
                </c:pt>
                <c:pt idx="248">
                  <c:v>-5.9996711872259467E-2</c:v>
                </c:pt>
                <c:pt idx="249">
                  <c:v>-5.9999634449370717E-2</c:v>
                </c:pt>
                <c:pt idx="250">
                  <c:v>-5.9999633668545195E-2</c:v>
                </c:pt>
                <c:pt idx="251">
                  <c:v>-5.9996690808351724E-2</c:v>
                </c:pt>
                <c:pt idx="252">
                  <c:v>-5.999077413595133E-2</c:v>
                </c:pt>
                <c:pt idx="253">
                  <c:v>-5.998185181625959E-2</c:v>
                </c:pt>
                <c:pt idx="254">
                  <c:v>-5.99698925102101E-2</c:v>
                </c:pt>
                <c:pt idx="255">
                  <c:v>-5.9954865387508903E-2</c:v>
                </c:pt>
                <c:pt idx="256">
                  <c:v>-5.9936740139298832E-2</c:v>
                </c:pt>
                <c:pt idx="257">
                  <c:v>-5.9915486990729669E-2</c:v>
                </c:pt>
                <c:pt idx="258">
                  <c:v>-5.989107671342906E-2</c:v>
                </c:pt>
                <c:pt idx="259">
                  <c:v>-5.9863480637869823E-2</c:v>
                </c:pt>
                <c:pt idx="260">
                  <c:v>-5.9832670665628918E-2</c:v>
                </c:pt>
                <c:pt idx="261">
                  <c:v>-5.979861928153371E-2</c:v>
                </c:pt>
                <c:pt idx="262">
                  <c:v>-5.9761299565691095E-2</c:v>
                </c:pt>
                <c:pt idx="263">
                  <c:v>-5.9720685205394378E-2</c:v>
                </c:pt>
                <c:pt idx="264">
                  <c:v>-5.9676750506904484E-2</c:v>
                </c:pt>
                <c:pt idx="265">
                  <c:v>-5.9629470407100031E-2</c:v>
                </c:pt>
                <c:pt idx="266">
                  <c:v>-5.9578820484992634E-2</c:v>
                </c:pt>
                <c:pt idx="267">
                  <c:v>-5.9524776973102683E-2</c:v>
                </c:pt>
                <c:pt idx="268">
                  <c:v>-5.9467316768691249E-2</c:v>
                </c:pt>
                <c:pt idx="269">
                  <c:v>-5.940641744484422E-2</c:v>
                </c:pt>
                <c:pt idx="270">
                  <c:v>-5.9342057261403833E-2</c:v>
                </c:pt>
                <c:pt idx="271">
                  <c:v>-5.9274215175743883E-2</c:v>
                </c:pt>
                <c:pt idx="272">
                  <c:v>-5.9202870853384305E-2</c:v>
                </c:pt>
                <c:pt idx="273">
                  <c:v>-5.9128004678440746E-2</c:v>
                </c:pt>
                <c:pt idx="274">
                  <c:v>-5.9049597763905476E-2</c:v>
                </c:pt>
                <c:pt idx="275">
                  <c:v>-5.896763196175521E-2</c:v>
                </c:pt>
                <c:pt idx="276">
                  <c:v>-5.8882089872882216E-2</c:v>
                </c:pt>
                <c:pt idx="277">
                  <c:v>-5.8792954856844298E-2</c:v>
                </c:pt>
                <c:pt idx="278">
                  <c:v>-5.8700211041430403E-2</c:v>
                </c:pt>
                <c:pt idx="279">
                  <c:v>-5.8603843332037317E-2</c:v>
                </c:pt>
                <c:pt idx="280">
                  <c:v>-5.8503837420854347E-2</c:v>
                </c:pt>
                <c:pt idx="281">
                  <c:v>-5.8400179795851569E-2</c:v>
                </c:pt>
                <c:pt idx="282">
                  <c:v>-5.8292857749568702E-2</c:v>
                </c:pt>
                <c:pt idx="283">
                  <c:v>-5.8181859387700346E-2</c:v>
                </c:pt>
                <c:pt idx="284">
                  <c:v>-5.8067173637474503E-2</c:v>
                </c:pt>
                <c:pt idx="285">
                  <c:v>-5.7948790255820476E-2</c:v>
                </c:pt>
                <c:pt idx="286">
                  <c:v>-5.7826699837323206E-2</c:v>
                </c:pt>
                <c:pt idx="287">
                  <c:v>-5.7700893821960211E-2</c:v>
                </c:pt>
                <c:pt idx="288">
                  <c:v>-5.7571364502618079E-2</c:v>
                </c:pt>
                <c:pt idx="289">
                  <c:v>-5.7438105032385278E-2</c:v>
                </c:pt>
                <c:pt idx="290">
                  <c:v>-5.7301109431617848E-2</c:v>
                </c:pt>
                <c:pt idx="291">
                  <c:v>-5.7160372594775424E-2</c:v>
                </c:pt>
                <c:pt idx="292">
                  <c:v>-5.7015890297023822E-2</c:v>
                </c:pt>
                <c:pt idx="293">
                  <c:v>-5.6867659200601897E-2</c:v>
                </c:pt>
                <c:pt idx="294">
                  <c:v>-5.6715676860949332E-2</c:v>
                </c:pt>
                <c:pt idx="295">
                  <c:v>-5.6559941732592815E-2</c:v>
                </c:pt>
                <c:pt idx="296">
                  <c:v>-5.6400453174787604E-2</c:v>
                </c:pt>
                <c:pt idx="297">
                  <c:v>-5.6237211456912066E-2</c:v>
                </c:pt>
                <c:pt idx="298">
                  <c:v>-5.6070217763612436E-2</c:v>
                </c:pt>
                <c:pt idx="299">
                  <c:v>-5.58994741996953E-2</c:v>
                </c:pt>
                <c:pt idx="300">
                  <c:v>-5.5724983794765405E-2</c:v>
                </c:pt>
                <c:pt idx="301">
                  <c:v>-5.5546750507606428E-2</c:v>
                </c:pt>
                <c:pt idx="302">
                  <c:v>-5.5364779230302322E-2</c:v>
                </c:pt>
                <c:pt idx="303">
                  <c:v>-5.517907579209725E-2</c:v>
                </c:pt>
                <c:pt idx="304">
                  <c:v>-5.4989646962991759E-2</c:v>
                </c:pt>
                <c:pt idx="305">
                  <c:v>-5.4796500457073224E-2</c:v>
                </c:pt>
                <c:pt idx="306">
                  <c:v>-5.4599644935578832E-2</c:v>
                </c:pt>
                <c:pt idx="307">
                  <c:v>-5.4399090009688816E-2</c:v>
                </c:pt>
                <c:pt idx="308">
                  <c:v>-5.4194846243048572E-2</c:v>
                </c:pt>
                <c:pt idx="309">
                  <c:v>-5.398692515401763E-2</c:v>
                </c:pt>
                <c:pt idx="310">
                  <c:v>-5.3775339217644123E-2</c:v>
                </c:pt>
                <c:pt idx="311">
                  <c:v>-5.3560101867363097E-2</c:v>
                </c:pt>
                <c:pt idx="312">
                  <c:v>-5.334122749641719E-2</c:v>
                </c:pt>
                <c:pt idx="313">
                  <c:v>-5.3118731458998467E-2</c:v>
                </c:pt>
                <c:pt idx="314">
                  <c:v>-5.2892630071110024E-2</c:v>
                </c:pt>
                <c:pt idx="315">
                  <c:v>-5.2662940611146257E-2</c:v>
                </c:pt>
                <c:pt idx="316">
                  <c:v>-5.2429681320190727E-2</c:v>
                </c:pt>
                <c:pt idx="317">
                  <c:v>-5.2192871402030626E-2</c:v>
                </c:pt>
                <c:pt idx="318">
                  <c:v>-5.195253102288673E-2</c:v>
                </c:pt>
                <c:pt idx="319">
                  <c:v>-5.1708681310858665E-2</c:v>
                </c:pt>
                <c:pt idx="320">
                  <c:v>-5.1461344355083739E-2</c:v>
                </c:pt>
                <c:pt idx="321">
                  <c:v>-5.1210543204609986E-2</c:v>
                </c:pt>
                <c:pt idx="322">
                  <c:v>-5.09563018669816E-2</c:v>
                </c:pt>
                <c:pt idx="323">
                  <c:v>-5.0698645306537504E-2</c:v>
                </c:pt>
                <c:pt idx="324">
                  <c:v>-5.0437599442421654E-2</c:v>
                </c:pt>
                <c:pt idx="325">
                  <c:v>-5.0173191146305772E-2</c:v>
                </c:pt>
                <c:pt idx="326">
                  <c:v>-4.9905448239823624E-2</c:v>
                </c:pt>
                <c:pt idx="327">
                  <c:v>-4.963439949171717E-2</c:v>
                </c:pt>
                <c:pt idx="328">
                  <c:v>-4.9360074614694736E-2</c:v>
                </c:pt>
                <c:pt idx="329">
                  <c:v>-4.9082504262000566E-2</c:v>
                </c:pt>
                <c:pt idx="330">
                  <c:v>-4.880172002369728E-2</c:v>
                </c:pt>
                <c:pt idx="331">
                  <c:v>-4.8517754422660202E-2</c:v>
                </c:pt>
                <c:pt idx="332">
                  <c:v>-4.8230640910284936E-2</c:v>
                </c:pt>
                <c:pt idx="333">
                  <c:v>-4.7940413861908227E-2</c:v>
                </c:pt>
                <c:pt idx="334">
                  <c:v>-4.7647108571942799E-2</c:v>
                </c:pt>
                <c:pt idx="335">
                  <c:v>-4.7350761248727051E-2</c:v>
                </c:pt>
                <c:pt idx="336">
                  <c:v>-4.7051409009089967E-2</c:v>
                </c:pt>
                <c:pt idx="337">
                  <c:v>-4.6749089872632793E-2</c:v>
                </c:pt>
                <c:pt idx="338">
                  <c:v>-4.6443842755727667E-2</c:v>
                </c:pt>
                <c:pt idx="339">
                  <c:v>-4.613570746523514E-2</c:v>
                </c:pt>
                <c:pt idx="340">
                  <c:v>-4.5824724691940738E-2</c:v>
                </c:pt>
                <c:pt idx="341">
                  <c:v>-4.5510936003713039E-2</c:v>
                </c:pt>
                <c:pt idx="342">
                  <c:v>-4.5194383838383319E-2</c:v>
                </c:pt>
                <c:pt idx="343">
                  <c:v>-4.4875111496349492E-2</c:v>
                </c:pt>
                <c:pt idx="344">
                  <c:v>-4.4553163132904736E-2</c:v>
                </c:pt>
                <c:pt idx="345">
                  <c:v>-4.4228583750293322E-2</c:v>
                </c:pt>
                <c:pt idx="346">
                  <c:v>-4.3901419189494847E-2</c:v>
                </c:pt>
                <c:pt idx="347">
                  <c:v>-4.3571716121738803E-2</c:v>
                </c:pt>
                <c:pt idx="348">
                  <c:v>-4.3239522039751746E-2</c:v>
                </c:pt>
                <c:pt idx="349">
                  <c:v>-4.2904885248738284E-2</c:v>
                </c:pt>
                <c:pt idx="350">
                  <c:v>-4.2567854857098873E-2</c:v>
                </c:pt>
                <c:pt idx="351">
                  <c:v>-4.2228480766885866E-2</c:v>
                </c:pt>
                <c:pt idx="352">
                  <c:v>-4.1886813664000676E-2</c:v>
                </c:pt>
                <c:pt idx="353">
                  <c:v>-4.1542905008133714E-2</c:v>
                </c:pt>
                <c:pt idx="354">
                  <c:v>-4.1196807022450488E-2</c:v>
                </c:pt>
                <c:pt idx="355">
                  <c:v>-4.084857268302524E-2</c:v>
                </c:pt>
                <c:pt idx="356">
                  <c:v>-4.0498255708025808E-2</c:v>
                </c:pt>
                <c:pt idx="357">
                  <c:v>-4.01459105466518E-2</c:v>
                </c:pt>
                <c:pt idx="358">
                  <c:v>-3.9791592367828803E-2</c:v>
                </c:pt>
                <c:pt idx="359">
                  <c:v>-3.9435357048662197E-2</c:v>
                </c:pt>
                <c:pt idx="360">
                  <c:v>-3.9077261162652407E-2</c:v>
                </c:pt>
                <c:pt idx="361">
                  <c:v>-3.8717361967675799E-2</c:v>
                </c:pt>
                <c:pt idx="362">
                  <c:v>-3.83557173937333E-2</c:v>
                </c:pt>
                <c:pt idx="363">
                  <c:v>-3.7992386030470879E-2</c:v>
                </c:pt>
                <c:pt idx="364">
                  <c:v>-3.7627427114474456E-2</c:v>
                </c:pt>
                <c:pt idx="365">
                  <c:v>-3.7260900516342621E-2</c:v>
                </c:pt>
                <c:pt idx="366">
                  <c:v>-3.6892866727541336E-2</c:v>
                </c:pt>
                <c:pt idx="367">
                  <c:v>-3.6523386847043052E-2</c:v>
                </c:pt>
                <c:pt idx="368">
                  <c:v>-3.6152522567754759E-2</c:v>
                </c:pt>
                <c:pt idx="369">
                  <c:v>-3.5780336162737847E-2</c:v>
                </c:pt>
                <c:pt idx="370">
                  <c:v>-3.5406890471224382E-2</c:v>
                </c:pt>
                <c:pt idx="371">
                  <c:v>-3.5032248884432488E-2</c:v>
                </c:pt>
                <c:pt idx="372">
                  <c:v>-3.4656475331185745E-2</c:v>
                </c:pt>
                <c:pt idx="373">
                  <c:v>-3.4279634263339957E-2</c:v>
                </c:pt>
                <c:pt idx="374">
                  <c:v>-3.3901790641021411E-2</c:v>
                </c:pt>
                <c:pt idx="375">
                  <c:v>-3.3523009917680799E-2</c:v>
                </c:pt>
                <c:pt idx="376">
                  <c:v>-3.31433580249667E-2</c:v>
                </c:pt>
                <c:pt idx="377">
                  <c:v>-3.2762901357423366E-2</c:v>
                </c:pt>
                <c:pt idx="378">
                  <c:v>-3.2381706757016009E-2</c:v>
                </c:pt>
                <c:pt idx="379">
                  <c:v>-3.1999841497489613E-2</c:v>
                </c:pt>
                <c:pt idx="380">
                  <c:v>-3.161737326856362E-2</c:v>
                </c:pt>
                <c:pt idx="381">
                  <c:v>-3.1234370159968706E-2</c:v>
                </c:pt>
                <c:pt idx="382">
                  <c:v>-3.085090064532902E-2</c:v>
                </c:pt>
                <c:pt idx="383">
                  <c:v>-3.0467033565895075E-2</c:v>
                </c:pt>
                <c:pt idx="384">
                  <c:v>-3.008283811413142E-2</c:v>
                </c:pt>
                <c:pt idx="385">
                  <c:v>-2.9698383817164345E-2</c:v>
                </c:pt>
                <c:pt idx="386">
                  <c:v>-2.9313740520093737E-2</c:v>
                </c:pt>
                <c:pt idx="387">
                  <c:v>-2.8928978369174026E-2</c:v>
                </c:pt>
                <c:pt idx="388">
                  <c:v>-2.8544167794869704E-2</c:v>
                </c:pt>
                <c:pt idx="389">
                  <c:v>-2.8159379494788899E-2</c:v>
                </c:pt>
                <c:pt idx="390">
                  <c:v>-2.7774684416501511E-2</c:v>
                </c:pt>
                <c:pt idx="391">
                  <c:v>-2.7390153740245466E-2</c:v>
                </c:pt>
                <c:pt idx="392">
                  <c:v>-2.7005858861527132E-2</c:v>
                </c:pt>
                <c:pt idx="393">
                  <c:v>-2.6621871373620272E-2</c:v>
                </c:pt>
                <c:pt idx="394">
                  <c:v>-2.6238263049968982E-2</c:v>
                </c:pt>
                <c:pt idx="395">
                  <c:v>-2.585510582649932E-2</c:v>
                </c:pt>
                <c:pt idx="396">
                  <c:v>-2.5472471783845575E-2</c:v>
                </c:pt>
                <c:pt idx="397">
                  <c:v>-2.5090433129495292E-2</c:v>
                </c:pt>
                <c:pt idx="398">
                  <c:v>-2.4709062179859066E-2</c:v>
                </c:pt>
                <c:pt idx="399">
                  <c:v>-2.432843134227022E-2</c:v>
                </c:pt>
                <c:pt idx="400">
                  <c:v>-2.3948613096919084E-2</c:v>
                </c:pt>
                <c:pt idx="401">
                  <c:v>-2.3569679978728404E-2</c:v>
                </c:pt>
                <c:pt idx="402">
                  <c:v>-2.3191704559173312E-2</c:v>
                </c:pt>
                <c:pt idx="403">
                  <c:v>-2.2814759428053666E-2</c:v>
                </c:pt>
                <c:pt idx="404">
                  <c:v>-2.2438917175221493E-2</c:v>
                </c:pt>
                <c:pt idx="405">
                  <c:v>-2.2064250372271377E-2</c:v>
                </c:pt>
                <c:pt idx="406">
                  <c:v>-2.1690831554197192E-2</c:v>
                </c:pt>
                <c:pt idx="407">
                  <c:v>-2.1318733201022011E-2</c:v>
                </c:pt>
                <c:pt idx="408">
                  <c:v>-2.0948027719406129E-2</c:v>
                </c:pt>
                <c:pt idx="409">
                  <c:v>-2.057878742423826E-2</c:v>
                </c:pt>
                <c:pt idx="410">
                  <c:v>-2.0211084520216263E-2</c:v>
                </c:pt>
                <c:pt idx="411">
                  <c:v>-1.9844991083422123E-2</c:v>
                </c:pt>
                <c:pt idx="412">
                  <c:v>-1.9480579042897128E-2</c:v>
                </c:pt>
                <c:pt idx="413">
                  <c:v>-1.9117920162222257E-2</c:v>
                </c:pt>
                <c:pt idx="414">
                  <c:v>-1.8757086021110179E-2</c:v>
                </c:pt>
                <c:pt idx="415">
                  <c:v>-1.839814799701316E-2</c:v>
                </c:pt>
                <c:pt idx="416">
                  <c:v>-1.8041177246753491E-2</c:v>
                </c:pt>
                <c:pt idx="417">
                  <c:v>-1.7686244688181266E-2</c:v>
                </c:pt>
                <c:pt idx="418">
                  <c:v>-1.733342098186523E-2</c:v>
                </c:pt>
                <c:pt idx="419">
                  <c:v>-1.6982776512822356E-2</c:v>
                </c:pt>
                <c:pt idx="420">
                  <c:v>-1.663438137229109E-2</c:v>
                </c:pt>
                <c:pt idx="421">
                  <c:v>-1.6288305339554807E-2</c:v>
                </c:pt>
                <c:pt idx="422">
                  <c:v>-1.5944617863819427E-2</c:v>
                </c:pt>
                <c:pt idx="423">
                  <c:v>-1.5603388046152439E-2</c:v>
                </c:pt>
                <c:pt idx="424">
                  <c:v>-1.5264684621487064E-2</c:v>
                </c:pt>
                <c:pt idx="425">
                  <c:v>-1.4928575940698387E-2</c:v>
                </c:pt>
                <c:pt idx="426">
                  <c:v>-1.4595129952755899E-2</c:v>
                </c:pt>
                <c:pt idx="427">
                  <c:v>-1.426441418695848E-2</c:v>
                </c:pt>
                <c:pt idx="428">
                  <c:v>-1.3936495735256847E-2</c:v>
                </c:pt>
                <c:pt idx="429">
                  <c:v>-1.3611441234668915E-2</c:v>
                </c:pt>
                <c:pt idx="430">
                  <c:v>-1.3289316849793549E-2</c:v>
                </c:pt>
                <c:pt idx="431">
                  <c:v>-1.2970188255427761E-2</c:v>
                </c:pt>
                <c:pt idx="432">
                  <c:v>-1.2654120619292979E-2</c:v>
                </c:pt>
                <c:pt idx="433">
                  <c:v>-1.2341178584875075E-2</c:v>
                </c:pt>
                <c:pt idx="434">
                  <c:v>-1.2031426254384147E-2</c:v>
                </c:pt>
                <c:pt idx="435">
                  <c:v>-1.1724927171838456E-2</c:v>
                </c:pt>
                <c:pt idx="436">
                  <c:v>-1.1421744306278353E-2</c:v>
                </c:pt>
                <c:pt idx="437">
                  <c:v>-1.1121940035114674E-2</c:v>
                </c:pt>
                <c:pt idx="438">
                  <c:v>-1.0825576127617368E-2</c:v>
                </c:pt>
                <c:pt idx="439">
                  <c:v>-1.0532713728548831E-2</c:v>
                </c:pt>
                <c:pt idx="440">
                  <c:v>-1.0243413341946955E-2</c:v>
                </c:pt>
                <c:pt idx="441">
                  <c:v>-9.9577348150636288E-3</c:v>
                </c:pt>
                <c:pt idx="442">
                  <c:v>-9.6757373224623348E-3</c:v>
                </c:pt>
                <c:pt idx="443">
                  <c:v>-9.3974793502810145E-3</c:v>
                </c:pt>
                <c:pt idx="444">
                  <c:v>-9.1230186806637668E-3</c:v>
                </c:pt>
                <c:pt idx="445">
                  <c:v>-8.852412376367488E-3</c:v>
                </c:pt>
                <c:pt idx="446">
                  <c:v>-8.5857167655467286E-3</c:v>
                </c:pt>
                <c:pt idx="447">
                  <c:v>-8.3229874267229022E-3</c:v>
                </c:pt>
                <c:pt idx="448">
                  <c:v>-8.0642791739409525E-3</c:v>
                </c:pt>
                <c:pt idx="449">
                  <c:v>-7.809646042119504E-3</c:v>
                </c:pt>
                <c:pt idx="450">
                  <c:v>-7.5591412725979435E-3</c:v>
                </c:pt>
                <c:pt idx="451">
                  <c:v>-7.3128172988851424E-3</c:v>
                </c:pt>
                <c:pt idx="452">
                  <c:v>-7.0707257326144152E-3</c:v>
                </c:pt>
                <c:pt idx="453">
                  <c:v>-6.8329173497091149E-3</c:v>
                </c:pt>
                <c:pt idx="454">
                  <c:v>-6.5994420767624693E-3</c:v>
                </c:pt>
                <c:pt idx="455">
                  <c:v>-6.3703489776365139E-3</c:v>
                </c:pt>
                <c:pt idx="456">
                  <c:v>-6.1456862402841468E-3</c:v>
                </c:pt>
                <c:pt idx="457">
                  <c:v>-5.9255011637979506E-3</c:v>
                </c:pt>
                <c:pt idx="458">
                  <c:v>-5.7098401456903659E-3</c:v>
                </c:pt>
                <c:pt idx="459">
                  <c:v>-5.4987486694084839E-3</c:v>
                </c:pt>
                <c:pt idx="460">
                  <c:v>-5.2922712920880277E-3</c:v>
                </c:pt>
                <c:pt idx="461">
                  <c:v>-5.0904516325496326E-3</c:v>
                </c:pt>
                <c:pt idx="462">
                  <c:v>-4.8933323595415929E-3</c:v>
                </c:pt>
                <c:pt idx="463">
                  <c:v>-4.7009551802324086E-3</c:v>
                </c:pt>
                <c:pt idx="464">
                  <c:v>-4.5133608289569093E-3</c:v>
                </c:pt>
                <c:pt idx="465">
                  <c:v>-4.3305890562195084E-3</c:v>
                </c:pt>
                <c:pt idx="466">
                  <c:v>-4.1526786179571212E-3</c:v>
                </c:pt>
                <c:pt idx="467">
                  <c:v>-3.9796672650668271E-3</c:v>
                </c:pt>
                <c:pt idx="468">
                  <c:v>-3.8115917331994218E-3</c:v>
                </c:pt>
                <c:pt idx="469">
                  <c:v>-3.6484877328236808E-3</c:v>
                </c:pt>
                <c:pt idx="470">
                  <c:v>-3.4903899395634817E-3</c:v>
                </c:pt>
                <c:pt idx="471">
                  <c:v>-3.3373319848111825E-3</c:v>
                </c:pt>
                <c:pt idx="472">
                  <c:v>-3.1893464466198553E-3</c:v>
                </c:pt>
                <c:pt idx="473">
                  <c:v>-3.0464648408776761E-3</c:v>
                </c:pt>
                <c:pt idx="474">
                  <c:v>-2.9087176127666247E-3</c:v>
                </c:pt>
                <c:pt idx="475">
                  <c:v>-2.7761341285084356E-3</c:v>
                </c:pt>
                <c:pt idx="476">
                  <c:v>-2.6487426674005857E-3</c:v>
                </c:pt>
                <c:pt idx="477">
                  <c:v>-2.5265704141441787E-3</c:v>
                </c:pt>
                <c:pt idx="478">
                  <c:v>-2.4096434514668487E-3</c:v>
                </c:pt>
                <c:pt idx="479">
                  <c:v>-2.2979867530421951E-3</c:v>
                </c:pt>
                <c:pt idx="480">
                  <c:v>-2.1916241767086608E-3</c:v>
                </c:pt>
                <c:pt idx="481">
                  <c:v>-2.0905784579894559E-3</c:v>
                </c:pt>
                <c:pt idx="482">
                  <c:v>-1.9948712039155932E-3</c:v>
                </c:pt>
                <c:pt idx="483">
                  <c:v>-1.9045228871544724E-3</c:v>
                </c:pt>
                <c:pt idx="484">
                  <c:v>-1.8195528404449865E-3</c:v>
                </c:pt>
                <c:pt idx="485">
                  <c:v>-1.7399792513415921E-3</c:v>
                </c:pt>
                <c:pt idx="486">
                  <c:v>-1.6658191572684925E-3</c:v>
                </c:pt>
                <c:pt idx="487">
                  <c:v>-1.5970884408859408E-3</c:v>
                </c:pt>
                <c:pt idx="488">
                  <c:v>-1.5338018257695541E-3</c:v>
                </c:pt>
                <c:pt idx="489">
                  <c:v>-1.4759728724045846E-3</c:v>
                </c:pt>
                <c:pt idx="490">
                  <c:v>-1.4236139744956474E-3</c:v>
                </c:pt>
                <c:pt idx="491">
                  <c:v>-1.3767363555939138E-3</c:v>
                </c:pt>
                <c:pt idx="492">
                  <c:v>-1.3353500660420702E-3</c:v>
                </c:pt>
                <c:pt idx="493">
                  <c:v>-1.2994639802383584E-3</c:v>
                </c:pt>
                <c:pt idx="494">
                  <c:v>-1.2690857942206689E-3</c:v>
                </c:pt>
                <c:pt idx="495">
                  <c:v>-1.2442220235710647E-3</c:v>
                </c:pt>
                <c:pt idx="496">
                  <c:v>-1.2248780016415033E-3</c:v>
                </c:pt>
                <c:pt idx="497">
                  <c:v>-1.2110578781016231E-3</c:v>
                </c:pt>
                <c:pt idx="498">
                  <c:v>-1.2027646178086636E-3</c:v>
                </c:pt>
                <c:pt idx="499">
                  <c:v>-1.1999999999999999E-3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3F-4D1F-9AD0-B349A85400BD}"/>
            </c:ext>
          </c:extLst>
        </c:ser>
        <c:ser>
          <c:idx val="3"/>
          <c:order val="3"/>
          <c:tx>
            <c:v>Chord line</c:v>
          </c:tx>
          <c:spPr>
            <a:ln w="31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Data5!$B$1:$B$500</c:f>
              <c:numCache>
                <c:formatCode>0.00000</c:formatCode>
                <c:ptCount val="500"/>
                <c:pt idx="0">
                  <c:v>0</c:v>
                </c:pt>
                <c:pt idx="1">
                  <c:v>9.9091688398611488E-6</c:v>
                </c:pt>
                <c:pt idx="2">
                  <c:v>3.9636282592903083E-5</c:v>
                </c:pt>
                <c:pt idx="3">
                  <c:v>8.9180162975155408E-5</c:v>
                </c:pt>
                <c:pt idx="4">
                  <c:v>1.5853884623195924E-4</c:v>
                </c:pt>
                <c:pt idx="5">
                  <c:v>2.4770958321568282E-4</c:v>
                </c:pt>
                <c:pt idx="6">
                  <c:v>3.566888394948009E-4</c:v>
                </c:pt>
                <c:pt idx="7">
                  <c:v>4.8547229549383841E-4</c:v>
                </c:pt>
                <c:pt idx="8">
                  <c:v>6.3405484666484435E-4</c:v>
                </c:pt>
                <c:pt idx="9">
                  <c:v>8.0243060368939689E-4</c:v>
                </c:pt>
                <c:pt idx="10">
                  <c:v>9.9059289271236084E-4</c:v>
                </c:pt>
                <c:pt idx="11">
                  <c:v>1.1985342556060652E-3</c:v>
                </c:pt>
                <c:pt idx="12">
                  <c:v>1.4262464502662886E-3</c:v>
                </c:pt>
                <c:pt idx="13">
                  <c:v>1.6737204509387205E-3</c:v>
                </c:pt>
                <c:pt idx="14">
                  <c:v>1.9409464485766748E-3</c:v>
                </c:pt>
                <c:pt idx="15">
                  <c:v>2.2279138512300567E-3</c:v>
                </c:pt>
                <c:pt idx="16">
                  <c:v>2.534611284465027E-3</c:v>
                </c:pt>
                <c:pt idx="17">
                  <c:v>2.8610265918151412E-3</c:v>
                </c:pt>
                <c:pt idx="18">
                  <c:v>3.2071468352626864E-3</c:v>
                </c:pt>
                <c:pt idx="19">
                  <c:v>3.5729582957520489E-3</c:v>
                </c:pt>
                <c:pt idx="20">
                  <c:v>3.9584464737330016E-3</c:v>
                </c:pt>
                <c:pt idx="21">
                  <c:v>4.3635960897359105E-3</c:v>
                </c:pt>
                <c:pt idx="22">
                  <c:v>4.7883910849768618E-3</c:v>
                </c:pt>
                <c:pt idx="23">
                  <c:v>5.232814621994597E-3</c:v>
                </c:pt>
                <c:pt idx="24">
                  <c:v>5.6968490853176457E-3</c:v>
                </c:pt>
                <c:pt idx="25">
                  <c:v>6.1804760821626559E-3</c:v>
                </c:pt>
                <c:pt idx="26">
                  <c:v>6.6836764431632556E-3</c:v>
                </c:pt>
                <c:pt idx="27">
                  <c:v>7.2064302231302224E-3</c:v>
                </c:pt>
                <c:pt idx="28">
                  <c:v>7.7487167018416292E-3</c:v>
                </c:pt>
                <c:pt idx="29">
                  <c:v>8.3105143848644092E-3</c:v>
                </c:pt>
                <c:pt idx="30">
                  <c:v>8.8918010044061191E-3</c:v>
                </c:pt>
                <c:pt idx="31">
                  <c:v>9.4925535201977329E-3</c:v>
                </c:pt>
                <c:pt idx="32">
                  <c:v>1.0112748120406856E-2</c:v>
                </c:pt>
                <c:pt idx="33">
                  <c:v>1.075236022258147E-2</c:v>
                </c:pt>
                <c:pt idx="34">
                  <c:v>1.1411364474624264E-2</c:v>
                </c:pt>
                <c:pt idx="35">
                  <c:v>1.2089734755797665E-2</c:v>
                </c:pt>
                <c:pt idx="36">
                  <c:v>1.2787444177759066E-2</c:v>
                </c:pt>
                <c:pt idx="37">
                  <c:v>1.3504465085626582E-2</c:v>
                </c:pt>
                <c:pt idx="38">
                  <c:v>1.4240769059075342E-2</c:v>
                </c:pt>
                <c:pt idx="39">
                  <c:v>1.4996326913463753E-2</c:v>
                </c:pt>
                <c:pt idx="40">
                  <c:v>1.5771108700990411E-2</c:v>
                </c:pt>
                <c:pt idx="41">
                  <c:v>1.656508371188109E-2</c:v>
                </c:pt>
                <c:pt idx="42">
                  <c:v>1.737822047560611E-2</c:v>
                </c:pt>
                <c:pt idx="43">
                  <c:v>1.8210486762127498E-2</c:v>
                </c:pt>
                <c:pt idx="44">
                  <c:v>1.9061849583176638E-2</c:v>
                </c:pt>
                <c:pt idx="45">
                  <c:v>1.9932275193561888E-2</c:v>
                </c:pt>
                <c:pt idx="46">
                  <c:v>2.0821729092505736E-2</c:v>
                </c:pt>
                <c:pt idx="47">
                  <c:v>2.1730176025012815E-2</c:v>
                </c:pt>
                <c:pt idx="48">
                  <c:v>2.2657579983267062E-2</c:v>
                </c:pt>
                <c:pt idx="49">
                  <c:v>2.360390420805869E-2</c:v>
                </c:pt>
                <c:pt idx="50">
                  <c:v>2.4569111190241799E-2</c:v>
                </c:pt>
                <c:pt idx="51">
                  <c:v>2.5553162672220409E-2</c:v>
                </c:pt>
                <c:pt idx="52">
                  <c:v>2.6556019649465523E-2</c:v>
                </c:pt>
                <c:pt idx="53">
                  <c:v>2.7577642372060673E-2</c:v>
                </c:pt>
                <c:pt idx="54">
                  <c:v>2.86179903462776E-2</c:v>
                </c:pt>
                <c:pt idx="55">
                  <c:v>2.9677022336181469E-2</c:v>
                </c:pt>
                <c:pt idx="56">
                  <c:v>3.0754696365265011E-2</c:v>
                </c:pt>
                <c:pt idx="57">
                  <c:v>3.1850969718112687E-2</c:v>
                </c:pt>
                <c:pt idx="58">
                  <c:v>3.2965798942093449E-2</c:v>
                </c:pt>
                <c:pt idx="59">
                  <c:v>3.4099139849083304E-2</c:v>
                </c:pt>
                <c:pt idx="60">
                  <c:v>3.525094751721658E-2</c:v>
                </c:pt>
                <c:pt idx="61">
                  <c:v>3.6421176292666779E-2</c:v>
                </c:pt>
                <c:pt idx="62">
                  <c:v>3.7609779791455689E-2</c:v>
                </c:pt>
                <c:pt idx="63">
                  <c:v>3.8816710901292406E-2</c:v>
                </c:pt>
                <c:pt idx="64">
                  <c:v>4.0041921783440293E-2</c:v>
                </c:pt>
                <c:pt idx="65">
                  <c:v>4.1285363874613346E-2</c:v>
                </c:pt>
                <c:pt idx="66">
                  <c:v>4.2546987888901155E-2</c:v>
                </c:pt>
                <c:pt idx="67">
                  <c:v>4.382674381972218E-2</c:v>
                </c:pt>
                <c:pt idx="68">
                  <c:v>4.5124580941806103E-2</c:v>
                </c:pt>
                <c:pt idx="69">
                  <c:v>4.6440447813204166E-2</c:v>
                </c:pt>
                <c:pt idx="70">
                  <c:v>4.7774292277328378E-2</c:v>
                </c:pt>
                <c:pt idx="71">
                  <c:v>4.9126061465018855E-2</c:v>
                </c:pt>
                <c:pt idx="72">
                  <c:v>5.0495701796638981E-2</c:v>
                </c:pt>
                <c:pt idx="73">
                  <c:v>5.1883158984199651E-2</c:v>
                </c:pt>
                <c:pt idx="74">
                  <c:v>5.3288378033510775E-2</c:v>
                </c:pt>
                <c:pt idx="75">
                  <c:v>5.4711303246361032E-2</c:v>
                </c:pt>
                <c:pt idx="76">
                  <c:v>5.6151878222725771E-2</c:v>
                </c:pt>
                <c:pt idx="77">
                  <c:v>5.7610045863002224E-2</c:v>
                </c:pt>
                <c:pt idx="78">
                  <c:v>5.9085748370273083E-2</c:v>
                </c:pt>
                <c:pt idx="79">
                  <c:v>6.0578927252597115E-2</c:v>
                </c:pt>
                <c:pt idx="80">
                  <c:v>6.2089523325327745E-2</c:v>
                </c:pt>
                <c:pt idx="81">
                  <c:v>6.3617476713458798E-2</c:v>
                </c:pt>
                <c:pt idx="82">
                  <c:v>6.5162726853997877E-2</c:v>
                </c:pt>
                <c:pt idx="83">
                  <c:v>6.672521249836677E-2</c:v>
                </c:pt>
                <c:pt idx="84">
                  <c:v>6.8304871714829296E-2</c:v>
                </c:pt>
                <c:pt idx="85">
                  <c:v>6.9901641890945942E-2</c:v>
                </c:pt>
                <c:pt idx="86">
                  <c:v>7.1515459736055498E-2</c:v>
                </c:pt>
                <c:pt idx="87">
                  <c:v>7.3146261283784042E-2</c:v>
                </c:pt>
                <c:pt idx="88">
                  <c:v>7.4793981894580031E-2</c:v>
                </c:pt>
                <c:pt idx="89">
                  <c:v>7.6458556258276578E-2</c:v>
                </c:pt>
                <c:pt idx="90">
                  <c:v>7.8139918396679942E-2</c:v>
                </c:pt>
                <c:pt idx="91">
                  <c:v>7.9838001666184821E-2</c:v>
                </c:pt>
                <c:pt idx="92">
                  <c:v>8.1552738760416077E-2</c:v>
                </c:pt>
                <c:pt idx="93">
                  <c:v>8.3284061712896151E-2</c:v>
                </c:pt>
                <c:pt idx="94">
                  <c:v>8.5031901899739193E-2</c:v>
                </c:pt>
                <c:pt idx="95">
                  <c:v>8.6796190042371102E-2</c:v>
                </c:pt>
                <c:pt idx="96">
                  <c:v>8.8576856210275556E-2</c:v>
                </c:pt>
                <c:pt idx="97">
                  <c:v>9.0373829823765794E-2</c:v>
                </c:pt>
                <c:pt idx="98">
                  <c:v>9.2187039656781988E-2</c:v>
                </c:pt>
                <c:pt idx="99">
                  <c:v>9.4016413839714708E-2</c:v>
                </c:pt>
                <c:pt idx="100">
                  <c:v>9.5861879862253307E-2</c:v>
                </c:pt>
                <c:pt idx="101">
                  <c:v>9.7723364576260074E-2</c:v>
                </c:pt>
                <c:pt idx="102">
                  <c:v>9.9600794198669851E-2</c:v>
                </c:pt>
                <c:pt idx="103">
                  <c:v>0.1014940943144142</c:v>
                </c:pt>
                <c:pt idx="104">
                  <c:v>0.10340318987937097</c:v>
                </c:pt>
                <c:pt idx="105">
                  <c:v>0.10532800522333907</c:v>
                </c:pt>
                <c:pt idx="106">
                  <c:v>0.10726846405303753</c:v>
                </c:pt>
                <c:pt idx="107">
                  <c:v>0.10922448945512975</c:v>
                </c:pt>
                <c:pt idx="108">
                  <c:v>0.11119600389927187</c:v>
                </c:pt>
                <c:pt idx="109">
                  <c:v>0.11318292924118578</c:v>
                </c:pt>
                <c:pt idx="110">
                  <c:v>0.11518518672575695</c:v>
                </c:pt>
                <c:pt idx="111">
                  <c:v>0.11720269699015529</c:v>
                </c:pt>
                <c:pt idx="112">
                  <c:v>0.11923538006698148</c:v>
                </c:pt>
                <c:pt idx="113">
                  <c:v>0.12128315538743634</c:v>
                </c:pt>
                <c:pt idx="114">
                  <c:v>0.12334594178451425</c:v>
                </c:pt>
                <c:pt idx="115">
                  <c:v>0.12542365749622042</c:v>
                </c:pt>
                <c:pt idx="116">
                  <c:v>0.12751622016881176</c:v>
                </c:pt>
                <c:pt idx="117">
                  <c:v>0.12962354686006083</c:v>
                </c:pt>
                <c:pt idx="118">
                  <c:v>0.13174555404254384</c:v>
                </c:pt>
                <c:pt idx="119">
                  <c:v>0.13388215760695088</c:v>
                </c:pt>
                <c:pt idx="120">
                  <c:v>0.13603327286542016</c:v>
                </c:pt>
                <c:pt idx="121">
                  <c:v>0.13819881455489452</c:v>
                </c:pt>
                <c:pt idx="122">
                  <c:v>0.14037869684050097</c:v>
                </c:pt>
                <c:pt idx="123">
                  <c:v>0.1425728333189531</c:v>
                </c:pt>
                <c:pt idx="124">
                  <c:v>0.14478113702197559</c:v>
                </c:pt>
                <c:pt idx="125">
                  <c:v>0.14700352041975151</c:v>
                </c:pt>
                <c:pt idx="126">
                  <c:v>0.14923989542439159</c:v>
                </c:pt>
                <c:pt idx="127">
                  <c:v>0.15149017339342569</c:v>
                </c:pt>
                <c:pt idx="128">
                  <c:v>0.15375426513331653</c:v>
                </c:pt>
                <c:pt idx="129">
                  <c:v>0.15603208090299492</c:v>
                </c:pt>
                <c:pt idx="130">
                  <c:v>0.15832353041741654</c:v>
                </c:pt>
                <c:pt idx="131">
                  <c:v>0.1606285228511411</c:v>
                </c:pt>
                <c:pt idx="132">
                  <c:v>0.1629469668419315</c:v>
                </c:pt>
                <c:pt idx="133">
                  <c:v>0.16527877049437611</c:v>
                </c:pt>
                <c:pt idx="134">
                  <c:v>0.16762384138353059</c:v>
                </c:pt>
                <c:pt idx="135">
                  <c:v>0.16998208655858127</c:v>
                </c:pt>
                <c:pt idx="136">
                  <c:v>0.17235341254652992</c:v>
                </c:pt>
                <c:pt idx="137">
                  <c:v>0.17473772535589804</c:v>
                </c:pt>
                <c:pt idx="138">
                  <c:v>0.17713493048045287</c:v>
                </c:pt>
                <c:pt idx="139">
                  <c:v>0.17954493290295315</c:v>
                </c:pt>
                <c:pt idx="140">
                  <c:v>0.18196763709891517</c:v>
                </c:pt>
                <c:pt idx="141">
                  <c:v>0.18440294704039933</c:v>
                </c:pt>
                <c:pt idx="142">
                  <c:v>0.18685076619981611</c:v>
                </c:pt>
                <c:pt idx="143">
                  <c:v>0.18931099755375197</c:v>
                </c:pt>
                <c:pt idx="144">
                  <c:v>0.19178354358681554</c:v>
                </c:pt>
                <c:pt idx="145">
                  <c:v>0.1942683062955024</c:v>
                </c:pt>
                <c:pt idx="146">
                  <c:v>0.19676518719207969</c:v>
                </c:pt>
                <c:pt idx="147">
                  <c:v>0.19927408730849</c:v>
                </c:pt>
                <c:pt idx="148">
                  <c:v>0.20179490720027371</c:v>
                </c:pt>
                <c:pt idx="149">
                  <c:v>0.20432754695051125</c:v>
                </c:pt>
                <c:pt idx="150">
                  <c:v>0.20687190617378309</c:v>
                </c:pt>
                <c:pt idx="151">
                  <c:v>0.20942788402014861</c:v>
                </c:pt>
                <c:pt idx="152">
                  <c:v>0.21199537917914374</c:v>
                </c:pt>
                <c:pt idx="153">
                  <c:v>0.21457428988379634</c:v>
                </c:pt>
                <c:pt idx="154">
                  <c:v>0.21716451391466002</c:v>
                </c:pt>
                <c:pt idx="155">
                  <c:v>0.21976594860386583</c:v>
                </c:pt>
                <c:pt idx="156">
                  <c:v>0.22237849083919142</c:v>
                </c:pt>
                <c:pt idx="157">
                  <c:v>0.22500203706814847</c:v>
                </c:pt>
                <c:pt idx="158">
                  <c:v>0.22763648330208675</c:v>
                </c:pt>
                <c:pt idx="159">
                  <c:v>0.23028172512031608</c:v>
                </c:pt>
                <c:pt idx="160">
                  <c:v>0.23293765767424529</c:v>
                </c:pt>
                <c:pt idx="161">
                  <c:v>0.23560417569153802</c:v>
                </c:pt>
                <c:pt idx="162">
                  <c:v>0.23828117348028521</c:v>
                </c:pt>
                <c:pt idx="163">
                  <c:v>0.24096854493319464</c:v>
                </c:pt>
                <c:pt idx="164">
                  <c:v>0.24366618353179648</c:v>
                </c:pt>
                <c:pt idx="165">
                  <c:v>0.24637398235066521</c:v>
                </c:pt>
                <c:pt idx="166">
                  <c:v>0.2490918340616583</c:v>
                </c:pt>
                <c:pt idx="167">
                  <c:v>0.25181963093816961</c:v>
                </c:pt>
                <c:pt idx="168">
                  <c:v>0.25455726485940006</c:v>
                </c:pt>
                <c:pt idx="169">
                  <c:v>0.25730462731464265</c:v>
                </c:pt>
                <c:pt idx="170">
                  <c:v>0.26006160940758349</c:v>
                </c:pt>
                <c:pt idx="171">
                  <c:v>0.26282810186061856</c:v>
                </c:pt>
                <c:pt idx="172">
                  <c:v>0.26560399501918452</c:v>
                </c:pt>
                <c:pt idx="173">
                  <c:v>0.26838917885610541</c:v>
                </c:pt>
                <c:pt idx="174">
                  <c:v>0.27118354297595382</c:v>
                </c:pt>
                <c:pt idx="175">
                  <c:v>0.27398697661942611</c:v>
                </c:pt>
                <c:pt idx="176">
                  <c:v>0.27679936866773314</c:v>
                </c:pt>
                <c:pt idx="177">
                  <c:v>0.27962060764700436</c:v>
                </c:pt>
                <c:pt idx="178">
                  <c:v>0.2824505817327061</c:v>
                </c:pt>
                <c:pt idx="179">
                  <c:v>0.28528917875407439</c:v>
                </c:pt>
                <c:pt idx="180">
                  <c:v>0.28813628619856047</c:v>
                </c:pt>
                <c:pt idx="181">
                  <c:v>0.29099179121629093</c:v>
                </c:pt>
                <c:pt idx="182">
                  <c:v>0.29385558062454042</c:v>
                </c:pt>
                <c:pt idx="183">
                  <c:v>0.29672754091221787</c:v>
                </c:pt>
                <c:pt idx="184">
                  <c:v>0.29960755824436569</c:v>
                </c:pt>
                <c:pt idx="185">
                  <c:v>0.30249551846667189</c:v>
                </c:pt>
                <c:pt idx="186">
                  <c:v>0.30539130710999463</c:v>
                </c:pt>
                <c:pt idx="187">
                  <c:v>0.30829480939489962</c:v>
                </c:pt>
                <c:pt idx="188">
                  <c:v>0.31120591023620925</c:v>
                </c:pt>
                <c:pt idx="189">
                  <c:v>0.31412449424756461</c:v>
                </c:pt>
                <c:pt idx="190">
                  <c:v>0.31705044574599883</c:v>
                </c:pt>
                <c:pt idx="191">
                  <c:v>0.31998364875652208</c:v>
                </c:pt>
                <c:pt idx="192">
                  <c:v>0.32292398701671898</c:v>
                </c:pt>
                <c:pt idx="193">
                  <c:v>0.32587134398135642</c:v>
                </c:pt>
                <c:pt idx="194">
                  <c:v>0.32882560282700324</c:v>
                </c:pt>
                <c:pt idx="195">
                  <c:v>0.33178664645666067</c:v>
                </c:pt>
                <c:pt idx="196">
                  <c:v>0.33475435750440363</c:v>
                </c:pt>
                <c:pt idx="197">
                  <c:v>0.33772861834003265</c:v>
                </c:pt>
                <c:pt idx="198">
                  <c:v>0.34070931107373681</c:v>
                </c:pt>
                <c:pt idx="199">
                  <c:v>0.34369631756076557</c:v>
                </c:pt>
                <c:pt idx="200">
                  <c:v>0.34668951940611281</c:v>
                </c:pt>
                <c:pt idx="201">
                  <c:v>0.34968879796920838</c:v>
                </c:pt>
                <c:pt idx="202">
                  <c:v>0.35269403436862179</c:v>
                </c:pt>
                <c:pt idx="203">
                  <c:v>0.35570510948677336</c:v>
                </c:pt>
                <c:pt idx="204">
                  <c:v>0.35872190397465631</c:v>
                </c:pt>
                <c:pt idx="205">
                  <c:v>0.36174429825656684</c:v>
                </c:pt>
                <c:pt idx="206">
                  <c:v>0.3647721725348439</c:v>
                </c:pt>
                <c:pt idx="207">
                  <c:v>0.36780540679461771</c:v>
                </c:pt>
                <c:pt idx="208">
                  <c:v>0.37084388080856684</c:v>
                </c:pt>
                <c:pt idx="209">
                  <c:v>0.37388747414168289</c:v>
                </c:pt>
                <c:pt idx="210">
                  <c:v>0.37693606615604525</c:v>
                </c:pt>
                <c:pt idx="211">
                  <c:v>0.37998953601560176</c:v>
                </c:pt>
                <c:pt idx="212">
                  <c:v>0.38304776269095892</c:v>
                </c:pt>
                <c:pt idx="213">
                  <c:v>0.38611062496417881</c:v>
                </c:pt>
                <c:pt idx="214">
                  <c:v>0.38917800143358394</c:v>
                </c:pt>
                <c:pt idx="215">
                  <c:v>0.39224977051856891</c:v>
                </c:pt>
                <c:pt idx="216">
                  <c:v>0.39532581046441984</c:v>
                </c:pt>
                <c:pt idx="217">
                  <c:v>0.39840599934713983</c:v>
                </c:pt>
                <c:pt idx="218">
                  <c:v>0.40149021507828209</c:v>
                </c:pt>
                <c:pt idx="219">
                  <c:v>0.40457833540978921</c:v>
                </c:pt>
                <c:pt idx="220">
                  <c:v>0.40767023793883778</c:v>
                </c:pt>
                <c:pt idx="221">
                  <c:v>0.41076580011269126</c:v>
                </c:pt>
                <c:pt idx="222">
                  <c:v>0.41386489923355663</c:v>
                </c:pt>
                <c:pt idx="223">
                  <c:v>0.41696741246344804</c:v>
                </c:pt>
                <c:pt idx="224">
                  <c:v>0.42007321682905585</c:v>
                </c:pt>
                <c:pt idx="225">
                  <c:v>0.42318218922662082</c:v>
                </c:pt>
                <c:pt idx="226">
                  <c:v>0.42629420642681332</c:v>
                </c:pt>
                <c:pt idx="227">
                  <c:v>0.42940914507961764</c:v>
                </c:pt>
                <c:pt idx="228">
                  <c:v>0.43252688171922182</c:v>
                </c:pt>
                <c:pt idx="229">
                  <c:v>0.43564729276891079</c:v>
                </c:pt>
                <c:pt idx="230">
                  <c:v>0.43877025454596486</c:v>
                </c:pt>
                <c:pt idx="231">
                  <c:v>0.44189564326656183</c:v>
                </c:pt>
                <c:pt idx="232">
                  <c:v>0.44502333505068348</c:v>
                </c:pt>
                <c:pt idx="233">
                  <c:v>0.44815320592702612</c:v>
                </c:pt>
                <c:pt idx="234">
                  <c:v>0.4512851318379138</c:v>
                </c:pt>
                <c:pt idx="235">
                  <c:v>0.45441898864421604</c:v>
                </c:pt>
                <c:pt idx="236">
                  <c:v>0.45755465213026802</c:v>
                </c:pt>
                <c:pt idx="237">
                  <c:v>0.46069199800879396</c:v>
                </c:pt>
                <c:pt idx="238">
                  <c:v>0.46383090192583382</c:v>
                </c:pt>
                <c:pt idx="239">
                  <c:v>0.46697123946567209</c:v>
                </c:pt>
                <c:pt idx="240">
                  <c:v>0.47011288615576918</c:v>
                </c:pt>
                <c:pt idx="241">
                  <c:v>0.47325571747169526</c:v>
                </c:pt>
                <c:pt idx="242">
                  <c:v>0.47639960884206567</c:v>
                </c:pt>
                <c:pt idx="243">
                  <c:v>0.4795444356534786</c:v>
                </c:pt>
                <c:pt idx="244">
                  <c:v>0.48269007325545488</c:v>
                </c:pt>
                <c:pt idx="245">
                  <c:v>0.48583639696537795</c:v>
                </c:pt>
                <c:pt idx="246">
                  <c:v>0.4889832820734365</c:v>
                </c:pt>
                <c:pt idx="247">
                  <c:v>0.49213060384756707</c:v>
                </c:pt>
                <c:pt idx="248">
                  <c:v>0.49527823753839817</c:v>
                </c:pt>
                <c:pt idx="249">
                  <c:v>0.49842605838419507</c:v>
                </c:pt>
                <c:pt idx="250">
                  <c:v>0.50157394161580482</c:v>
                </c:pt>
                <c:pt idx="251">
                  <c:v>0.50472176246160183</c:v>
                </c:pt>
                <c:pt idx="252">
                  <c:v>0.50786939615243298</c:v>
                </c:pt>
                <c:pt idx="253">
                  <c:v>0.51101671792656345</c:v>
                </c:pt>
                <c:pt idx="254">
                  <c:v>0.51416360303462194</c:v>
                </c:pt>
                <c:pt idx="255">
                  <c:v>0.51730992674454512</c:v>
                </c:pt>
                <c:pt idx="256">
                  <c:v>0.52045556434652129</c:v>
                </c:pt>
                <c:pt idx="257">
                  <c:v>0.52360039115793444</c:v>
                </c:pt>
                <c:pt idx="258">
                  <c:v>0.52674428252830463</c:v>
                </c:pt>
                <c:pt idx="259">
                  <c:v>0.5298871138442306</c:v>
                </c:pt>
                <c:pt idx="260">
                  <c:v>0.53302876053432768</c:v>
                </c:pt>
                <c:pt idx="261">
                  <c:v>0.53616909807416602</c:v>
                </c:pt>
                <c:pt idx="262">
                  <c:v>0.5393080019912061</c:v>
                </c:pt>
                <c:pt idx="263">
                  <c:v>0.54244534786973198</c:v>
                </c:pt>
                <c:pt idx="264">
                  <c:v>0.54558101135578396</c:v>
                </c:pt>
                <c:pt idx="265">
                  <c:v>0.54871486816208614</c:v>
                </c:pt>
                <c:pt idx="266">
                  <c:v>0.55184679407297388</c:v>
                </c:pt>
                <c:pt idx="267">
                  <c:v>0.55497666494931641</c:v>
                </c:pt>
                <c:pt idx="268">
                  <c:v>0.55810435673343828</c:v>
                </c:pt>
                <c:pt idx="269">
                  <c:v>0.56122974545403514</c:v>
                </c:pt>
                <c:pt idx="270">
                  <c:v>0.5643527072310891</c:v>
                </c:pt>
                <c:pt idx="271">
                  <c:v>0.56747311828077796</c:v>
                </c:pt>
                <c:pt idx="272">
                  <c:v>0.57059085492038231</c:v>
                </c:pt>
                <c:pt idx="273">
                  <c:v>0.57370579357318674</c:v>
                </c:pt>
                <c:pt idx="274">
                  <c:v>0.57681781077337912</c:v>
                </c:pt>
                <c:pt idx="275">
                  <c:v>0.57992678317094404</c:v>
                </c:pt>
                <c:pt idx="276">
                  <c:v>0.58303258753655196</c:v>
                </c:pt>
                <c:pt idx="277">
                  <c:v>0.58613510076644337</c:v>
                </c:pt>
                <c:pt idx="278">
                  <c:v>0.58923419988730874</c:v>
                </c:pt>
                <c:pt idx="279">
                  <c:v>0.59232976206116217</c:v>
                </c:pt>
                <c:pt idx="280">
                  <c:v>0.59542166459021073</c:v>
                </c:pt>
                <c:pt idx="281">
                  <c:v>0.59850978492171769</c:v>
                </c:pt>
                <c:pt idx="282">
                  <c:v>0.60159400065285995</c:v>
                </c:pt>
                <c:pt idx="283">
                  <c:v>0.60467418953558016</c:v>
                </c:pt>
                <c:pt idx="284">
                  <c:v>0.60775022948143098</c:v>
                </c:pt>
                <c:pt idx="285">
                  <c:v>0.61082199856641595</c:v>
                </c:pt>
                <c:pt idx="286">
                  <c:v>0.61388937503582108</c:v>
                </c:pt>
                <c:pt idx="287">
                  <c:v>0.61695223730904103</c:v>
                </c:pt>
                <c:pt idx="288">
                  <c:v>0.6200104639843983</c:v>
                </c:pt>
                <c:pt idx="289">
                  <c:v>0.62306393384395475</c:v>
                </c:pt>
                <c:pt idx="290">
                  <c:v>0.626112525858317</c:v>
                </c:pt>
                <c:pt idx="291">
                  <c:v>0.62915611919143311</c:v>
                </c:pt>
                <c:pt idx="292">
                  <c:v>0.63219459320538207</c:v>
                </c:pt>
                <c:pt idx="293">
                  <c:v>0.63522782746515594</c:v>
                </c:pt>
                <c:pt idx="294">
                  <c:v>0.63825570174343316</c:v>
                </c:pt>
                <c:pt idx="295">
                  <c:v>0.64127809602534369</c:v>
                </c:pt>
                <c:pt idx="296">
                  <c:v>0.64429489051322653</c:v>
                </c:pt>
                <c:pt idx="297">
                  <c:v>0.64730596563137821</c:v>
                </c:pt>
                <c:pt idx="298">
                  <c:v>0.65031120203079151</c:v>
                </c:pt>
                <c:pt idx="299">
                  <c:v>0.65331048059388719</c:v>
                </c:pt>
                <c:pt idx="300">
                  <c:v>0.65630368243923431</c:v>
                </c:pt>
                <c:pt idx="301">
                  <c:v>0.65929068892626308</c:v>
                </c:pt>
                <c:pt idx="302">
                  <c:v>0.66227138165996713</c:v>
                </c:pt>
                <c:pt idx="303">
                  <c:v>0.66524564249559626</c:v>
                </c:pt>
                <c:pt idx="304">
                  <c:v>0.66821335354333922</c:v>
                </c:pt>
                <c:pt idx="305">
                  <c:v>0.67117439717299676</c:v>
                </c:pt>
                <c:pt idx="306">
                  <c:v>0.67412865601864358</c:v>
                </c:pt>
                <c:pt idx="307">
                  <c:v>0.67707601298328102</c:v>
                </c:pt>
                <c:pt idx="308">
                  <c:v>0.68001635124347781</c:v>
                </c:pt>
                <c:pt idx="309">
                  <c:v>0.68294955425400117</c:v>
                </c:pt>
                <c:pt idx="310">
                  <c:v>0.68587550575243539</c:v>
                </c:pt>
                <c:pt idx="311">
                  <c:v>0.68879408976379075</c:v>
                </c:pt>
                <c:pt idx="312">
                  <c:v>0.69170519060510038</c:v>
                </c:pt>
                <c:pt idx="313">
                  <c:v>0.69460869289000526</c:v>
                </c:pt>
                <c:pt idx="314">
                  <c:v>0.697504481533328</c:v>
                </c:pt>
                <c:pt idx="315">
                  <c:v>0.70039244175563431</c:v>
                </c:pt>
                <c:pt idx="316">
                  <c:v>0.70327245908778213</c:v>
                </c:pt>
                <c:pt idx="317">
                  <c:v>0.70614441937545946</c:v>
                </c:pt>
                <c:pt idx="318">
                  <c:v>0.70900820878370907</c:v>
                </c:pt>
                <c:pt idx="319">
                  <c:v>0.71186371380143942</c:v>
                </c:pt>
                <c:pt idx="320">
                  <c:v>0.71471082124592566</c:v>
                </c:pt>
                <c:pt idx="321">
                  <c:v>0.71754941826729379</c:v>
                </c:pt>
                <c:pt idx="322">
                  <c:v>0.72037939235299564</c:v>
                </c:pt>
                <c:pt idx="323">
                  <c:v>0.72320063133226686</c:v>
                </c:pt>
                <c:pt idx="324">
                  <c:v>0.72601302338057372</c:v>
                </c:pt>
                <c:pt idx="325">
                  <c:v>0.72881645702404607</c:v>
                </c:pt>
                <c:pt idx="326">
                  <c:v>0.73161082114389431</c:v>
                </c:pt>
                <c:pt idx="327">
                  <c:v>0.73439600498081559</c:v>
                </c:pt>
                <c:pt idx="328">
                  <c:v>0.73717189813938133</c:v>
                </c:pt>
                <c:pt idx="329">
                  <c:v>0.73993839059241651</c:v>
                </c:pt>
                <c:pt idx="330">
                  <c:v>0.74269537268535735</c:v>
                </c:pt>
                <c:pt idx="331">
                  <c:v>0.74544273514059989</c:v>
                </c:pt>
                <c:pt idx="332">
                  <c:v>0.74818036906183039</c:v>
                </c:pt>
                <c:pt idx="333">
                  <c:v>0.75090816593834164</c:v>
                </c:pt>
                <c:pt idx="334">
                  <c:v>0.75362601764933479</c:v>
                </c:pt>
                <c:pt idx="335">
                  <c:v>0.75633381646820341</c:v>
                </c:pt>
                <c:pt idx="336">
                  <c:v>0.75903145506680525</c:v>
                </c:pt>
                <c:pt idx="337">
                  <c:v>0.76171882651971456</c:v>
                </c:pt>
                <c:pt idx="338">
                  <c:v>0.76439582430846209</c:v>
                </c:pt>
                <c:pt idx="339">
                  <c:v>0.76706234232575465</c:v>
                </c:pt>
                <c:pt idx="340">
                  <c:v>0.76971827487968403</c:v>
                </c:pt>
                <c:pt idx="341">
                  <c:v>0.77236351669791325</c:v>
                </c:pt>
                <c:pt idx="342">
                  <c:v>0.77499796293185153</c:v>
                </c:pt>
                <c:pt idx="343">
                  <c:v>0.77762150916080852</c:v>
                </c:pt>
                <c:pt idx="344">
                  <c:v>0.78023405139613411</c:v>
                </c:pt>
                <c:pt idx="345">
                  <c:v>0.78283548608533993</c:v>
                </c:pt>
                <c:pt idx="346">
                  <c:v>0.78542571011620343</c:v>
                </c:pt>
                <c:pt idx="347">
                  <c:v>0.78800462082085621</c:v>
                </c:pt>
                <c:pt idx="348">
                  <c:v>0.79057211597985133</c:v>
                </c:pt>
                <c:pt idx="349">
                  <c:v>0.79312809382621685</c:v>
                </c:pt>
                <c:pt idx="350">
                  <c:v>0.79567245304948864</c:v>
                </c:pt>
                <c:pt idx="351">
                  <c:v>0.79820509279972629</c:v>
                </c:pt>
                <c:pt idx="352">
                  <c:v>0.80072591269150994</c:v>
                </c:pt>
                <c:pt idx="353">
                  <c:v>0.80323481280792031</c:v>
                </c:pt>
                <c:pt idx="354">
                  <c:v>0.8057316937044976</c:v>
                </c:pt>
                <c:pt idx="355">
                  <c:v>0.8082164564131844</c:v>
                </c:pt>
                <c:pt idx="356">
                  <c:v>0.81068900244624797</c:v>
                </c:pt>
                <c:pt idx="357">
                  <c:v>0.81314923380018378</c:v>
                </c:pt>
                <c:pt idx="358">
                  <c:v>0.81559705295960072</c:v>
                </c:pt>
                <c:pt idx="359">
                  <c:v>0.81803236290108483</c:v>
                </c:pt>
                <c:pt idx="360">
                  <c:v>0.82045506709704696</c:v>
                </c:pt>
                <c:pt idx="361">
                  <c:v>0.82286506951954708</c:v>
                </c:pt>
                <c:pt idx="362">
                  <c:v>0.82526227464410196</c:v>
                </c:pt>
                <c:pt idx="363">
                  <c:v>0.82764658745347019</c:v>
                </c:pt>
                <c:pt idx="364">
                  <c:v>0.83001791344141862</c:v>
                </c:pt>
                <c:pt idx="365">
                  <c:v>0.83237615861646941</c:v>
                </c:pt>
                <c:pt idx="366">
                  <c:v>0.83472122950562377</c:v>
                </c:pt>
                <c:pt idx="367">
                  <c:v>0.83705303315806845</c:v>
                </c:pt>
                <c:pt idx="368">
                  <c:v>0.83937147714885874</c:v>
                </c:pt>
                <c:pt idx="369">
                  <c:v>0.84167646958258346</c:v>
                </c:pt>
                <c:pt idx="370">
                  <c:v>0.84396791909700508</c:v>
                </c:pt>
                <c:pt idx="371">
                  <c:v>0.84624573486668342</c:v>
                </c:pt>
                <c:pt idx="372">
                  <c:v>0.84850982660657426</c:v>
                </c:pt>
                <c:pt idx="373">
                  <c:v>0.85076010457560836</c:v>
                </c:pt>
                <c:pt idx="374">
                  <c:v>0.85299647958024849</c:v>
                </c:pt>
                <c:pt idx="375">
                  <c:v>0.8552188629780243</c:v>
                </c:pt>
                <c:pt idx="376">
                  <c:v>0.8574271666810469</c:v>
                </c:pt>
                <c:pt idx="377">
                  <c:v>0.85962130315949881</c:v>
                </c:pt>
                <c:pt idx="378">
                  <c:v>0.86180118544510542</c:v>
                </c:pt>
                <c:pt idx="379">
                  <c:v>0.86396672713457978</c:v>
                </c:pt>
                <c:pt idx="380">
                  <c:v>0.86611784239304912</c:v>
                </c:pt>
                <c:pt idx="381">
                  <c:v>0.86825444595745616</c:v>
                </c:pt>
                <c:pt idx="382">
                  <c:v>0.87037645313993917</c:v>
                </c:pt>
                <c:pt idx="383">
                  <c:v>0.87248377983118819</c:v>
                </c:pt>
                <c:pt idx="384">
                  <c:v>0.87457634250377958</c:v>
                </c:pt>
                <c:pt idx="385">
                  <c:v>0.87665405821548581</c:v>
                </c:pt>
                <c:pt idx="386">
                  <c:v>0.8787168446125635</c:v>
                </c:pt>
                <c:pt idx="387">
                  <c:v>0.88076461993301847</c:v>
                </c:pt>
                <c:pt idx="388">
                  <c:v>0.8827973030098446</c:v>
                </c:pt>
                <c:pt idx="389">
                  <c:v>0.88481481327424305</c:v>
                </c:pt>
                <c:pt idx="390">
                  <c:v>0.88681707075881411</c:v>
                </c:pt>
                <c:pt idx="391">
                  <c:v>0.88880399610072813</c:v>
                </c:pt>
                <c:pt idx="392">
                  <c:v>0.89077551054487025</c:v>
                </c:pt>
                <c:pt idx="393">
                  <c:v>0.89273153594696253</c:v>
                </c:pt>
                <c:pt idx="394">
                  <c:v>0.89467199477666082</c:v>
                </c:pt>
                <c:pt idx="395">
                  <c:v>0.89659681012062897</c:v>
                </c:pt>
                <c:pt idx="396">
                  <c:v>0.89850590568558575</c:v>
                </c:pt>
                <c:pt idx="397">
                  <c:v>0.90039920580133004</c:v>
                </c:pt>
                <c:pt idx="398">
                  <c:v>0.90227663542373993</c:v>
                </c:pt>
                <c:pt idx="399">
                  <c:v>0.90413812013774664</c:v>
                </c:pt>
                <c:pt idx="400">
                  <c:v>0.9059835861602854</c:v>
                </c:pt>
                <c:pt idx="401">
                  <c:v>0.9078129603432179</c:v>
                </c:pt>
                <c:pt idx="402">
                  <c:v>0.90962617017623426</c:v>
                </c:pt>
                <c:pt idx="403">
                  <c:v>0.91142314378972433</c:v>
                </c:pt>
                <c:pt idx="404">
                  <c:v>0.91320380995762895</c:v>
                </c:pt>
                <c:pt idx="405">
                  <c:v>0.91496809810026081</c:v>
                </c:pt>
                <c:pt idx="406">
                  <c:v>0.91671593828710374</c:v>
                </c:pt>
                <c:pt idx="407">
                  <c:v>0.91844726123958387</c:v>
                </c:pt>
                <c:pt idx="408">
                  <c:v>0.92016199833381507</c:v>
                </c:pt>
                <c:pt idx="409">
                  <c:v>0.92186008160332</c:v>
                </c:pt>
                <c:pt idx="410">
                  <c:v>0.92354144374172342</c:v>
                </c:pt>
                <c:pt idx="411">
                  <c:v>0.92520601810542002</c:v>
                </c:pt>
                <c:pt idx="412">
                  <c:v>0.9268537387162159</c:v>
                </c:pt>
                <c:pt idx="413">
                  <c:v>0.92848454026394456</c:v>
                </c:pt>
                <c:pt idx="414">
                  <c:v>0.93009835810905406</c:v>
                </c:pt>
                <c:pt idx="415">
                  <c:v>0.93169512828517065</c:v>
                </c:pt>
                <c:pt idx="416">
                  <c:v>0.93327478750163317</c:v>
                </c:pt>
                <c:pt idx="417">
                  <c:v>0.93483727314600207</c:v>
                </c:pt>
                <c:pt idx="418">
                  <c:v>0.93638252328654126</c:v>
                </c:pt>
                <c:pt idx="419">
                  <c:v>0.9379104766746722</c:v>
                </c:pt>
                <c:pt idx="420">
                  <c:v>0.93942107274740294</c:v>
                </c:pt>
                <c:pt idx="421">
                  <c:v>0.94091425162972686</c:v>
                </c:pt>
                <c:pt idx="422">
                  <c:v>0.94238995413699778</c:v>
                </c:pt>
                <c:pt idx="423">
                  <c:v>0.94384812177727417</c:v>
                </c:pt>
                <c:pt idx="424">
                  <c:v>0.94528869675363891</c:v>
                </c:pt>
                <c:pt idx="425">
                  <c:v>0.94671162196648917</c:v>
                </c:pt>
                <c:pt idx="426">
                  <c:v>0.94811684101580029</c:v>
                </c:pt>
                <c:pt idx="427">
                  <c:v>0.94950429820336102</c:v>
                </c:pt>
                <c:pt idx="428">
                  <c:v>0.95087393853498114</c:v>
                </c:pt>
                <c:pt idx="429">
                  <c:v>0.95222570772267157</c:v>
                </c:pt>
                <c:pt idx="430">
                  <c:v>0.95355955218679578</c:v>
                </c:pt>
                <c:pt idx="431">
                  <c:v>0.95487541905819395</c:v>
                </c:pt>
                <c:pt idx="432">
                  <c:v>0.95617325618027782</c:v>
                </c:pt>
                <c:pt idx="433">
                  <c:v>0.9574530121110989</c:v>
                </c:pt>
                <c:pt idx="434">
                  <c:v>0.95871463612538665</c:v>
                </c:pt>
                <c:pt idx="435">
                  <c:v>0.95995807821655976</c:v>
                </c:pt>
                <c:pt idx="436">
                  <c:v>0.96118328909870754</c:v>
                </c:pt>
                <c:pt idx="437">
                  <c:v>0.96239022020854426</c:v>
                </c:pt>
                <c:pt idx="438">
                  <c:v>0.96357882370733328</c:v>
                </c:pt>
                <c:pt idx="439">
                  <c:v>0.96474905248278331</c:v>
                </c:pt>
                <c:pt idx="440">
                  <c:v>0.9659008601509167</c:v>
                </c:pt>
                <c:pt idx="441">
                  <c:v>0.9670342010579065</c:v>
                </c:pt>
                <c:pt idx="442">
                  <c:v>0.96814903028188737</c:v>
                </c:pt>
                <c:pt idx="443">
                  <c:v>0.96924530363473493</c:v>
                </c:pt>
                <c:pt idx="444">
                  <c:v>0.97032297766381859</c:v>
                </c:pt>
                <c:pt idx="445">
                  <c:v>0.97138200965372234</c:v>
                </c:pt>
                <c:pt idx="446">
                  <c:v>0.97242235762793938</c:v>
                </c:pt>
                <c:pt idx="447">
                  <c:v>0.97344398035053437</c:v>
                </c:pt>
                <c:pt idx="448">
                  <c:v>0.97444683732777948</c:v>
                </c:pt>
                <c:pt idx="449">
                  <c:v>0.97543088880975826</c:v>
                </c:pt>
                <c:pt idx="450">
                  <c:v>0.97639609579194131</c:v>
                </c:pt>
                <c:pt idx="451">
                  <c:v>0.97734242001673288</c:v>
                </c:pt>
                <c:pt idx="452">
                  <c:v>0.97826982397498718</c:v>
                </c:pt>
                <c:pt idx="453">
                  <c:v>0.97917827090749432</c:v>
                </c:pt>
                <c:pt idx="454">
                  <c:v>0.98006772480643811</c:v>
                </c:pt>
                <c:pt idx="455">
                  <c:v>0.98093815041682331</c:v>
                </c:pt>
                <c:pt idx="456">
                  <c:v>0.98178951323787245</c:v>
                </c:pt>
                <c:pt idx="457">
                  <c:v>0.98262177952439389</c:v>
                </c:pt>
                <c:pt idx="458">
                  <c:v>0.98343491628811885</c:v>
                </c:pt>
                <c:pt idx="459">
                  <c:v>0.98422889129900959</c:v>
                </c:pt>
                <c:pt idx="460">
                  <c:v>0.98500367308653625</c:v>
                </c:pt>
                <c:pt idx="461">
                  <c:v>0.98575923094092466</c:v>
                </c:pt>
                <c:pt idx="462">
                  <c:v>0.98649553491437336</c:v>
                </c:pt>
                <c:pt idx="463">
                  <c:v>0.98721255582224088</c:v>
                </c:pt>
                <c:pt idx="464">
                  <c:v>0.98791026524420245</c:v>
                </c:pt>
                <c:pt idx="465">
                  <c:v>0.98858863552537568</c:v>
                </c:pt>
                <c:pt idx="466">
                  <c:v>0.98924763977741859</c:v>
                </c:pt>
                <c:pt idx="467">
                  <c:v>0.98988725187959314</c:v>
                </c:pt>
                <c:pt idx="468">
                  <c:v>0.99050744647980227</c:v>
                </c:pt>
                <c:pt idx="469">
                  <c:v>0.99110819899559388</c:v>
                </c:pt>
                <c:pt idx="470">
                  <c:v>0.99168948561513559</c:v>
                </c:pt>
                <c:pt idx="471">
                  <c:v>0.99225128329815826</c:v>
                </c:pt>
                <c:pt idx="472">
                  <c:v>0.99279356977686972</c:v>
                </c:pt>
                <c:pt idx="473">
                  <c:v>0.99331632355683674</c:v>
                </c:pt>
                <c:pt idx="474">
                  <c:v>0.99381952391783734</c:v>
                </c:pt>
                <c:pt idx="475">
                  <c:v>0.99430315091468235</c:v>
                </c:pt>
                <c:pt idx="476">
                  <c:v>0.99476718537800535</c:v>
                </c:pt>
                <c:pt idx="477">
                  <c:v>0.99521160891502314</c:v>
                </c:pt>
                <c:pt idx="478">
                  <c:v>0.99563640391026409</c:v>
                </c:pt>
                <c:pt idx="479">
                  <c:v>0.996041553526267</c:v>
                </c:pt>
                <c:pt idx="480">
                  <c:v>0.99642704170424801</c:v>
                </c:pt>
                <c:pt idx="481">
                  <c:v>0.9967928531647372</c:v>
                </c:pt>
                <c:pt idx="482">
                  <c:v>0.9971389734081848</c:v>
                </c:pt>
                <c:pt idx="483">
                  <c:v>0.99746538871553492</c:v>
                </c:pt>
                <c:pt idx="484">
                  <c:v>0.99777208614877</c:v>
                </c:pt>
                <c:pt idx="485">
                  <c:v>0.99805905355142333</c:v>
                </c:pt>
                <c:pt idx="486">
                  <c:v>0.99832627954906128</c:v>
                </c:pt>
                <c:pt idx="487">
                  <c:v>0.99857375354973366</c:v>
                </c:pt>
                <c:pt idx="488">
                  <c:v>0.99880146574439399</c:v>
                </c:pt>
                <c:pt idx="489">
                  <c:v>0.99900940710728769</c:v>
                </c:pt>
                <c:pt idx="490">
                  <c:v>0.99919756939631066</c:v>
                </c:pt>
                <c:pt idx="491">
                  <c:v>0.99936594515333521</c:v>
                </c:pt>
                <c:pt idx="492">
                  <c:v>0.99951452770450611</c:v>
                </c:pt>
                <c:pt idx="493">
                  <c:v>0.9996433111605052</c:v>
                </c:pt>
                <c:pt idx="494">
                  <c:v>0.99975229041678437</c:v>
                </c:pt>
                <c:pt idx="495">
                  <c:v>0.99984146115376804</c:v>
                </c:pt>
                <c:pt idx="496">
                  <c:v>0.99991081983702479</c:v>
                </c:pt>
                <c:pt idx="497">
                  <c:v>0.99996036371740704</c:v>
                </c:pt>
                <c:pt idx="498">
                  <c:v>0.99999009083116008</c:v>
                </c:pt>
                <c:pt idx="499">
                  <c:v>1</c:v>
                </c:pt>
              </c:numCache>
            </c:numRef>
          </c:xVal>
          <c:yVal>
            <c:numRef>
              <c:f>Data5!$X$1:$X$500</c:f>
              <c:numCache>
                <c:formatCode>General</c:formatCode>
                <c:ptCount val="5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D3F-4D1F-9AD0-B349A85400BD}"/>
            </c:ext>
          </c:extLst>
        </c:ser>
        <c:ser>
          <c:idx val="4"/>
          <c:order val="4"/>
          <c:tx>
            <c:v>Leading-edge Radius</c:v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Data5!$AC$1:$AC$50</c:f>
              <c:numCache>
                <c:formatCode>0.0000</c:formatCode>
                <c:ptCount val="50"/>
                <c:pt idx="0">
                  <c:v>1.4103937599999998E-2</c:v>
                </c:pt>
                <c:pt idx="1">
                  <c:v>1.4046041033633098E-2</c:v>
                </c:pt>
                <c:pt idx="2">
                  <c:v>1.3873301994551506E-2</c:v>
                </c:pt>
                <c:pt idx="3">
                  <c:v>1.3588556853001314E-2</c:v>
                </c:pt>
                <c:pt idx="4">
                  <c:v>1.3196481116334572E-2</c:v>
                </c:pt>
                <c:pt idx="5">
                  <c:v>1.2703512657307828E-2</c:v>
                </c:pt>
                <c:pt idx="6">
                  <c:v>1.2117746004389451E-2</c:v>
                </c:pt>
                <c:pt idx="7">
                  <c:v>1.1448799429825971E-2</c:v>
                </c:pt>
                <c:pt idx="8">
                  <c:v>1.0707657017877691E-2</c:v>
                </c:pt>
                <c:pt idx="9">
                  <c:v>9.9064883064588164E-3</c:v>
                </c:pt>
                <c:pt idx="10">
                  <c:v>9.0584484636613387E-3</c:v>
                </c:pt>
                <c:pt idx="11">
                  <c:v>8.1774622802586669E-3</c:v>
                </c:pt>
                <c:pt idx="12">
                  <c:v>7.2779955250260962E-3</c:v>
                </c:pt>
                <c:pt idx="13">
                  <c:v>6.3748174172174408E-3</c:v>
                </c:pt>
                <c:pt idx="14">
                  <c:v>5.4827581163932144E-3</c:v>
                </c:pt>
                <c:pt idx="15">
                  <c:v>4.6164652116106406E-3</c:v>
                </c:pt>
                <c:pt idx="16">
                  <c:v>3.7901632084162886E-3</c:v>
                </c:pt>
                <c:pt idx="17">
                  <c:v>3.0174199628582588E-3</c:v>
                </c:pt>
                <c:pt idx="18">
                  <c:v>2.3109238976649739E-3</c:v>
                </c:pt>
                <c:pt idx="19">
                  <c:v>1.6822756586947689E-3</c:v>
                </c:pt>
                <c:pt idx="20">
                  <c:v>1.1417976326516157E-3</c:v>
                </c:pt>
                <c:pt idx="21">
                  <c:v>6.9836445378082177E-4</c:v>
                </c:pt>
                <c:pt idx="22">
                  <c:v>3.5925728262007381E-4</c:v>
                </c:pt>
                <c:pt idx="23">
                  <c:v>1.3004424954470698E-4</c:v>
                </c:pt>
                <c:pt idx="24">
                  <c:v>1.4489026220882754E-5</c:v>
                </c:pt>
                <c:pt idx="25">
                  <c:v>1.4489026220881189E-5</c:v>
                </c:pt>
                <c:pt idx="26">
                  <c:v>1.3004424954470305E-4</c:v>
                </c:pt>
                <c:pt idx="27">
                  <c:v>3.5925728262006833E-4</c:v>
                </c:pt>
                <c:pt idx="28">
                  <c:v>6.9836445378081396E-4</c:v>
                </c:pt>
                <c:pt idx="29">
                  <c:v>1.1417976326516062E-3</c:v>
                </c:pt>
                <c:pt idx="30">
                  <c:v>1.6822756586947572E-3</c:v>
                </c:pt>
                <c:pt idx="31">
                  <c:v>2.3109238976649613E-3</c:v>
                </c:pt>
                <c:pt idx="32">
                  <c:v>3.017419962858247E-3</c:v>
                </c:pt>
                <c:pt idx="33">
                  <c:v>3.7901632084162786E-3</c:v>
                </c:pt>
                <c:pt idx="34">
                  <c:v>4.6164652116106319E-3</c:v>
                </c:pt>
                <c:pt idx="35">
                  <c:v>5.4827581163932083E-3</c:v>
                </c:pt>
                <c:pt idx="36">
                  <c:v>6.3748174172174373E-3</c:v>
                </c:pt>
                <c:pt idx="37">
                  <c:v>7.2779955250260944E-3</c:v>
                </c:pt>
                <c:pt idx="38">
                  <c:v>8.1774622802586704E-3</c:v>
                </c:pt>
                <c:pt idx="39">
                  <c:v>9.0584484636613456E-3</c:v>
                </c:pt>
                <c:pt idx="40">
                  <c:v>9.9064883064588268E-3</c:v>
                </c:pt>
                <c:pt idx="41">
                  <c:v>1.0707657017877702E-2</c:v>
                </c:pt>
                <c:pt idx="42">
                  <c:v>1.1448799429825985E-2</c:v>
                </c:pt>
                <c:pt idx="43">
                  <c:v>1.2117746004389465E-2</c:v>
                </c:pt>
                <c:pt idx="44">
                  <c:v>1.270351265730784E-2</c:v>
                </c:pt>
                <c:pt idx="45">
                  <c:v>1.3196481116334584E-2</c:v>
                </c:pt>
                <c:pt idx="46">
                  <c:v>1.3588556853001326E-2</c:v>
                </c:pt>
                <c:pt idx="47">
                  <c:v>1.3873301994551515E-2</c:v>
                </c:pt>
                <c:pt idx="48">
                  <c:v>1.4046041033633102E-2</c:v>
                </c:pt>
                <c:pt idx="49">
                  <c:v>1.4103937599999998E-2</c:v>
                </c:pt>
              </c:numCache>
            </c:numRef>
          </c:xVal>
          <c:yVal>
            <c:numRef>
              <c:f>Data5!$AD$1:$AD$50</c:f>
              <c:numCache>
                <c:formatCode>0.0000</c:formatCode>
                <c:ptCount val="50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  <c:pt idx="4">
                  <c:v>-0.5</c:v>
                </c:pt>
                <c:pt idx="5">
                  <c:v>-0.5</c:v>
                </c:pt>
                <c:pt idx="6">
                  <c:v>-0.5</c:v>
                </c:pt>
                <c:pt idx="7">
                  <c:v>-0.5</c:v>
                </c:pt>
                <c:pt idx="8">
                  <c:v>-0.5</c:v>
                </c:pt>
                <c:pt idx="9">
                  <c:v>-0.5</c:v>
                </c:pt>
                <c:pt idx="10">
                  <c:v>-0.5</c:v>
                </c:pt>
                <c:pt idx="11">
                  <c:v>-0.5</c:v>
                </c:pt>
                <c:pt idx="12">
                  <c:v>-0.5</c:v>
                </c:pt>
                <c:pt idx="13">
                  <c:v>-0.5</c:v>
                </c:pt>
                <c:pt idx="14">
                  <c:v>-0.5</c:v>
                </c:pt>
                <c:pt idx="15">
                  <c:v>-0.5</c:v>
                </c:pt>
                <c:pt idx="16">
                  <c:v>-0.5</c:v>
                </c:pt>
                <c:pt idx="17">
                  <c:v>-0.5</c:v>
                </c:pt>
                <c:pt idx="18">
                  <c:v>-0.5</c:v>
                </c:pt>
                <c:pt idx="19">
                  <c:v>-0.5</c:v>
                </c:pt>
                <c:pt idx="20">
                  <c:v>-0.5</c:v>
                </c:pt>
                <c:pt idx="21">
                  <c:v>-0.5</c:v>
                </c:pt>
                <c:pt idx="22">
                  <c:v>-0.5</c:v>
                </c:pt>
                <c:pt idx="23">
                  <c:v>-0.5</c:v>
                </c:pt>
                <c:pt idx="24">
                  <c:v>-0.5</c:v>
                </c:pt>
                <c:pt idx="25">
                  <c:v>-0.5</c:v>
                </c:pt>
                <c:pt idx="26">
                  <c:v>-0.5</c:v>
                </c:pt>
                <c:pt idx="27">
                  <c:v>-0.5</c:v>
                </c:pt>
                <c:pt idx="28">
                  <c:v>-0.5</c:v>
                </c:pt>
                <c:pt idx="29">
                  <c:v>-0.5</c:v>
                </c:pt>
                <c:pt idx="30">
                  <c:v>-0.5</c:v>
                </c:pt>
                <c:pt idx="31">
                  <c:v>-0.5</c:v>
                </c:pt>
                <c:pt idx="32">
                  <c:v>-0.5</c:v>
                </c:pt>
                <c:pt idx="33">
                  <c:v>-0.5</c:v>
                </c:pt>
                <c:pt idx="34">
                  <c:v>-0.5</c:v>
                </c:pt>
                <c:pt idx="35">
                  <c:v>-0.5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D3F-4D1F-9AD0-B349A8540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132527"/>
        <c:axId val="1952133007"/>
      </c:scatterChart>
      <c:valAx>
        <c:axId val="1952132527"/>
        <c:scaling>
          <c:orientation val="minMax"/>
          <c:max val="1.1000000000000001"/>
          <c:min val="-0.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1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All dimensions are nomalized by the chord length c</a:t>
                </a:r>
              </a:p>
            </c:rich>
          </c:tx>
          <c:layout>
            <c:manualLayout>
              <c:xMode val="edge"/>
              <c:yMode val="edge"/>
              <c:x val="0.74078888701031143"/>
              <c:y val="0.9406703694738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one"/>
        <c:spPr>
          <a:solidFill>
            <a:schemeClr val="tx1"/>
          </a:solidFill>
          <a:ln w="3175" cap="flat" cmpd="sng" algn="ctr">
            <a:solidFill>
              <a:schemeClr val="bg2">
                <a:lumMod val="50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33007"/>
        <c:crosses val="autoZero"/>
        <c:crossBetween val="midCat"/>
        <c:majorUnit val="0.1"/>
        <c:minorUnit val="5.000000000000001E-2"/>
      </c:valAx>
      <c:valAx>
        <c:axId val="1952133007"/>
        <c:scaling>
          <c:orientation val="minMax"/>
          <c:max val="0.2"/>
          <c:min val="-0.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0.00" sourceLinked="0"/>
        <c:majorTickMark val="out"/>
        <c:minorTickMark val="none"/>
        <c:tickLblPos val="none"/>
        <c:spPr>
          <a:noFill/>
          <a:ln w="3175" cap="flat" cmpd="sng" algn="ctr">
            <a:solidFill>
              <a:schemeClr val="bg2">
                <a:lumMod val="50000"/>
              </a:scheme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32527"/>
        <c:crosses val="autoZero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Data1!$N$1" max="9" min="1" noThreeD="1" page="10" val="2"/>
</file>

<file path=xl/ctrlProps/ctrlProp2.xml><?xml version="1.0" encoding="utf-8"?>
<formControlPr xmlns="http://schemas.microsoft.com/office/spreadsheetml/2009/9/main" objectType="Spin" dx="26" fmlaLink="Data1!$N$2" max="9" min="1" noThreeD="1" page="10" val="4"/>
</file>

<file path=xl/ctrlProps/ctrlProp3.xml><?xml version="1.0" encoding="utf-8"?>
<formControlPr xmlns="http://schemas.microsoft.com/office/spreadsheetml/2009/9/main" objectType="Spin" dx="26" fmlaLink="Data1!O3" max="25" noThreeD="1" page="10" val="12"/>
</file>

<file path=xl/ctrlProps/ctrlProp4.xml><?xml version="1.0" encoding="utf-8"?>
<formControlPr xmlns="http://schemas.microsoft.com/office/spreadsheetml/2009/9/main" objectType="Radio" firstButton="1" fmlaLink="Data1!$P$1" lockText="1" noThreeD="1"/>
</file>

<file path=xl/ctrlProps/ctrlProp5.xml><?xml version="1.0" encoding="utf-8"?>
<formControlPr xmlns="http://schemas.microsoft.com/office/spreadsheetml/2009/9/main" objectType="Radio" checked="Checked" lockText="1" noThreeD="1"/>
</file>

<file path=xl/ctrlProps/ctrlProp6.xml><?xml version="1.0" encoding="utf-8"?>
<formControlPr xmlns="http://schemas.microsoft.com/office/spreadsheetml/2009/9/main" objectType="CheckBox" fmlaLink="Data1!Q1" lockText="1" noThreeD="1"/>
</file>

<file path=xl/ctrlProps/ctrlProp7.xml><?xml version="1.0" encoding="utf-8"?>
<formControlPr xmlns="http://schemas.microsoft.com/office/spreadsheetml/2009/9/main" objectType="CheckBox" fmlaLink="Data1!Q2" lockText="1" noThreeD="1"/>
</file>

<file path=xl/ctrlProps/ctrlProp8.xml><?xml version="1.0" encoding="utf-8"?>
<formControlPr xmlns="http://schemas.microsoft.com/office/spreadsheetml/2009/9/main" objectType="CheckBox" fmlaLink="Data1!Q3" lockText="1" noThreeD="1"/>
</file>

<file path=xl/ctrlProps/ctrlProp9.xml><?xml version="1.0" encoding="utf-8"?>
<formControlPr xmlns="http://schemas.microsoft.com/office/spreadsheetml/2009/9/main" objectType="Spin" dx="26" fmlaLink="Data2!A2" max="6" min="1" noThreeD="1" page="10" val="2"/>
</file>

<file path=xl/ctrlProps/ctrlProp10.xml><?xml version="1.0" encoding="utf-8"?>
<formControlPr xmlns="http://schemas.microsoft.com/office/spreadsheetml/2009/9/main" objectType="Spin" dx="26" fmlaLink="Data2!A3" max="5" min="1" noThreeD="1" page="10" val="3"/>
</file>

<file path=xl/ctrlProps/ctrlProp11.xml><?xml version="1.0" encoding="utf-8"?>
<formControlPr xmlns="http://schemas.microsoft.com/office/spreadsheetml/2009/9/main" objectType="Spin" dx="26" fmlaLink="Data2!A4" max="25" min="1" noThreeD="1" page="10" val="12"/>
</file>

<file path=xl/ctrlProps/ctrlProp12.xml><?xml version="1.0" encoding="utf-8"?>
<formControlPr xmlns="http://schemas.microsoft.com/office/spreadsheetml/2009/9/main" objectType="Radio" firstButton="1" fmlaLink="Data2!Q1" lockText="1" noThreeD="1"/>
</file>

<file path=xl/ctrlProps/ctrlProp13.xml><?xml version="1.0" encoding="utf-8"?>
<formControlPr xmlns="http://schemas.microsoft.com/office/spreadsheetml/2009/9/main" objectType="Radio" checked="Checked" lockText="1" noThreeD="1"/>
</file>

<file path=xl/ctrlProps/ctrlProp14.xml><?xml version="1.0" encoding="utf-8"?>
<formControlPr xmlns="http://schemas.microsoft.com/office/spreadsheetml/2009/9/main" objectType="CheckBox" fmlaLink="Data2!T1" lockText="1" noThreeD="1"/>
</file>

<file path=xl/ctrlProps/ctrlProp15.xml><?xml version="1.0" encoding="utf-8"?>
<formControlPr xmlns="http://schemas.microsoft.com/office/spreadsheetml/2009/9/main" objectType="CheckBox" fmlaLink="Data2!T2" lockText="1" noThreeD="1"/>
</file>

<file path=xl/ctrlProps/ctrlProp16.xml><?xml version="1.0" encoding="utf-8"?>
<formControlPr xmlns="http://schemas.microsoft.com/office/spreadsheetml/2009/9/main" objectType="CheckBox" fmlaLink="Data2!T3" lockText="1" noThreeD="1"/>
</file>

<file path=xl/ctrlProps/ctrlProp17.xml><?xml version="1.0" encoding="utf-8"?>
<formControlPr xmlns="http://schemas.microsoft.com/office/spreadsheetml/2009/9/main" objectType="Spin" dx="26" fmlaLink="Data3!A6" max="25" min="1" noThreeD="1" page="10" val="9"/>
</file>

<file path=xl/ctrlProps/ctrlProp18.xml><?xml version="1.0" encoding="utf-8"?>
<formControlPr xmlns="http://schemas.microsoft.com/office/spreadsheetml/2009/9/main" objectType="Spin" dx="26" fmlaLink="Data3!A5" max="9" min="1" noThreeD="1" page="10" val="5"/>
</file>

<file path=xl/ctrlProps/ctrlProp19.xml><?xml version="1.0" encoding="utf-8"?>
<formControlPr xmlns="http://schemas.microsoft.com/office/spreadsheetml/2009/9/main" objectType="Spin" dx="26" fmlaLink="Data3!A4" max="9" min="1" noThreeD="1" page="10"/>
</file>

<file path=xl/ctrlProps/ctrlProp20.xml><?xml version="1.0" encoding="utf-8"?>
<formControlPr xmlns="http://schemas.microsoft.com/office/spreadsheetml/2009/9/main" objectType="Spin" dx="26" fmlaLink="Data3!$M$1" max="9" noThreeD="1" page="10" val="6"/>
</file>

<file path=xl/ctrlProps/ctrlProp21.xml><?xml version="1.0" encoding="utf-8"?>
<formControlPr xmlns="http://schemas.microsoft.com/office/spreadsheetml/2009/9/main" objectType="Spin" dx="26" fmlaLink="Data3!$N$2" max="6" min="2" noThreeD="1" page="10" val="4"/>
</file>

<file path=xl/ctrlProps/ctrlProp22.xml><?xml version="1.0" encoding="utf-8"?>
<formControlPr xmlns="http://schemas.microsoft.com/office/spreadsheetml/2009/9/main" objectType="Radio" checked="Checked" firstButton="1" fmlaLink="Data3!L1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CheckBox" fmlaLink="Data3!Z1" lockText="1" noThreeD="1"/>
</file>

<file path=xl/ctrlProps/ctrlProp25.xml><?xml version="1.0" encoding="utf-8"?>
<formControlPr xmlns="http://schemas.microsoft.com/office/spreadsheetml/2009/9/main" objectType="CheckBox" fmlaLink="Data3!Z2" lockText="1" noThreeD="1"/>
</file>

<file path=xl/ctrlProps/ctrlProp26.xml><?xml version="1.0" encoding="utf-8"?>
<formControlPr xmlns="http://schemas.microsoft.com/office/spreadsheetml/2009/9/main" objectType="CheckBox" fmlaLink="Data3!Z3" lockText="1" noThreeD="1"/>
</file>

<file path=xl/ctrlProps/ctrlProp27.xml><?xml version="1.0" encoding="utf-8"?>
<formControlPr xmlns="http://schemas.microsoft.com/office/spreadsheetml/2009/9/main" objectType="Spin" dx="26" fmlaLink="Data4!N2" max="6" min="2" noThreeD="1" page="10" val="4"/>
</file>

<file path=xl/ctrlProps/ctrlProp28.xml><?xml version="1.0" encoding="utf-8"?>
<formControlPr xmlns="http://schemas.microsoft.com/office/spreadsheetml/2009/9/main" objectType="Spin" dx="26" fmlaLink="Data4!M1" max="9" noThreeD="1" page="10" val="6"/>
</file>

<file path=xl/ctrlProps/ctrlProp29.xml><?xml version="1.0" encoding="utf-8"?>
<formControlPr xmlns="http://schemas.microsoft.com/office/spreadsheetml/2009/9/main" objectType="Spin" dx="26" fmlaLink="Data4!A2" max="5" min="1" noThreeD="1" page="10" val="2"/>
</file>

<file path=xl/ctrlProps/ctrlProp30.xml><?xml version="1.0" encoding="utf-8"?>
<formControlPr xmlns="http://schemas.microsoft.com/office/spreadsheetml/2009/9/main" objectType="Spin" dx="26" fmlaLink="Data4!A3" max="5" min="1" noThreeD="1" page="10" val="3"/>
</file>

<file path=xl/ctrlProps/ctrlProp31.xml><?xml version="1.0" encoding="utf-8"?>
<formControlPr xmlns="http://schemas.microsoft.com/office/spreadsheetml/2009/9/main" objectType="Spin" dx="26" fmlaLink="Data4!A4" max="25" min="1" noThreeD="1" page="10" val="12"/>
</file>

<file path=xl/ctrlProps/ctrlProp32.xml><?xml version="1.0" encoding="utf-8"?>
<formControlPr xmlns="http://schemas.microsoft.com/office/spreadsheetml/2009/9/main" objectType="CheckBox" fmlaLink="Data4!Z1" lockText="1" noThreeD="1"/>
</file>

<file path=xl/ctrlProps/ctrlProp33.xml><?xml version="1.0" encoding="utf-8"?>
<formControlPr xmlns="http://schemas.microsoft.com/office/spreadsheetml/2009/9/main" objectType="CheckBox" fmlaLink="Data4!Z2" lockText="1" noThreeD="1"/>
</file>

<file path=xl/ctrlProps/ctrlProp34.xml><?xml version="1.0" encoding="utf-8"?>
<formControlPr xmlns="http://schemas.microsoft.com/office/spreadsheetml/2009/9/main" objectType="CheckBox" fmlaLink="Data4!Z3" lockText="1" noThreeD="1"/>
</file>

<file path=xl/ctrlProps/ctrlProp35.xml><?xml version="1.0" encoding="utf-8"?>
<formControlPr xmlns="http://schemas.microsoft.com/office/spreadsheetml/2009/9/main" objectType="Spin" dx="26" fmlaLink="Data5!A5" max="25" min="1" noThreeD="1" page="10" val="12"/>
</file>

<file path=xl/ctrlProps/ctrlProp36.xml><?xml version="1.0" encoding="utf-8"?>
<formControlPr xmlns="http://schemas.microsoft.com/office/spreadsheetml/2009/9/main" objectType="Spin" dx="26" fmlaLink="Data5!A4" max="10" noThreeD="1" page="10" val="0"/>
</file>

<file path=xl/ctrlProps/ctrlProp37.xml><?xml version="1.0" encoding="utf-8"?>
<formControlPr xmlns="http://schemas.microsoft.com/office/spreadsheetml/2009/9/main" objectType="CheckBox" fmlaLink="Data5!Z1" lockText="1" noThreeD="1"/>
</file>

<file path=xl/ctrlProps/ctrlProp38.xml><?xml version="1.0" encoding="utf-8"?>
<formControlPr xmlns="http://schemas.microsoft.com/office/spreadsheetml/2009/9/main" objectType="CheckBox" fmlaLink="Data5!Z2" lockText="1" noThreeD="1"/>
</file>

<file path=xl/ctrlProps/ctrlProp39.xml><?xml version="1.0" encoding="utf-8"?>
<formControlPr xmlns="http://schemas.microsoft.com/office/spreadsheetml/2009/9/main" objectType="CheckBox" fmlaLink="Data5!Z3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ACA_4mod!A1"/><Relationship Id="rId2" Type="http://schemas.openxmlformats.org/officeDocument/2006/relationships/hyperlink" Target="#'NACA_5-digit'!A1"/><Relationship Id="rId1" Type="http://schemas.openxmlformats.org/officeDocument/2006/relationships/hyperlink" Target="#'NACA_4-digit'!A1"/><Relationship Id="rId5" Type="http://schemas.openxmlformats.org/officeDocument/2006/relationships/hyperlink" Target="#'NACA_16-series'!A1"/><Relationship Id="rId4" Type="http://schemas.openxmlformats.org/officeDocument/2006/relationships/hyperlink" Target="#NACA_5mod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540327</xdr:colOff>
      <xdr:row>0</xdr:row>
      <xdr:rowOff>120533</xdr:rowOff>
    </xdr:from>
    <xdr:to>
      <xdr:col>15</xdr:col>
      <xdr:colOff>394854</xdr:colOff>
      <xdr:row>9</xdr:row>
      <xdr:rowOff>67193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588327" y="120533"/>
          <a:ext cx="5950527" cy="15676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18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200" b="1" baseline="0">
              <a:solidFill>
                <a:schemeClr val="bg1"/>
              </a:solidFill>
              <a:effectLst/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Geometric Formulation and Thickness Modeling of Classical NACA Airfoils</a:t>
          </a:r>
          <a:endParaRPr lang="en-GB" sz="2200" b="1" baseline="0">
            <a:solidFill>
              <a:schemeClr val="bg1"/>
            </a:solidFill>
            <a:effectLst/>
            <a:latin typeface="Cambria Math" panose="02040503050406030204" pitchFamily="18" charset="0"/>
            <a:ea typeface="Cambria Math" panose="02040503050406030204" pitchFamily="18" charset="0"/>
            <a:cs typeface="Segoe UI" panose="020B0502040204020203" pitchFamily="34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15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300" b="0" i="0">
              <a:solidFill>
                <a:schemeClr val="bg1"/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Tran</a:t>
          </a:r>
          <a:r>
            <a:rPr lang="en-GB" sz="1300" b="0" i="0" baseline="0">
              <a:solidFill>
                <a:schemeClr val="bg1"/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 Trung Nghia</a:t>
          </a:r>
          <a:endParaRPr lang="en-GB" sz="1300" b="0" i="0">
            <a:solidFill>
              <a:schemeClr val="bg1"/>
            </a:solidFill>
            <a:latin typeface="Cambria Math" panose="02040503050406030204" pitchFamily="18" charset="0"/>
            <a:ea typeface="Cambria Math" panose="02040503050406030204" pitchFamily="18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281250</xdr:colOff>
      <xdr:row>9</xdr:row>
      <xdr:rowOff>83815</xdr:rowOff>
    </xdr:from>
    <xdr:to>
      <xdr:col>13</xdr:col>
      <xdr:colOff>583650</xdr:colOff>
      <xdr:row>12</xdr:row>
      <xdr:rowOff>119488</xdr:rowOff>
    </xdr:to>
    <xdr:sp macro="" textlink="">
      <xdr:nvSpPr>
        <xdr:cNvPr id="7" name="Rectangl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548450" y="1704797"/>
          <a:ext cx="3960000" cy="5760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  <a:effectLst>
          <a:outerShdw blurRad="50800" dist="50800" dir="5400000" sx="2000" sy="2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 b="1">
              <a:solidFill>
                <a:schemeClr val="bg2">
                  <a:lumMod val="2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NACA 4-Digit</a:t>
          </a:r>
          <a:r>
            <a:rPr lang="en-GB" sz="1800" b="1" baseline="0">
              <a:solidFill>
                <a:schemeClr val="bg2">
                  <a:lumMod val="2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 Series</a:t>
          </a:r>
          <a:endParaRPr lang="en-GB" sz="1800" b="1">
            <a:solidFill>
              <a:schemeClr val="bg2">
                <a:lumMod val="25000"/>
              </a:schemeClr>
            </a:solidFill>
            <a:latin typeface="Cambria Math" panose="02040503050406030204" pitchFamily="18" charset="0"/>
            <a:ea typeface="Cambria Math" panose="02040503050406030204" pitchFamily="18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288179</xdr:colOff>
      <xdr:row>13</xdr:row>
      <xdr:rowOff>122600</xdr:rowOff>
    </xdr:from>
    <xdr:to>
      <xdr:col>13</xdr:col>
      <xdr:colOff>590579</xdr:colOff>
      <xdr:row>16</xdr:row>
      <xdr:rowOff>158273</xdr:rowOff>
    </xdr:to>
    <xdr:sp macro="" textlink="">
      <xdr:nvSpPr>
        <xdr:cNvPr id="8" name="Rectangl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555379" y="2464018"/>
          <a:ext cx="3960000" cy="5760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  <a:effectLst>
          <a:outerShdw blurRad="50800" dist="50800" dir="5400000" sx="2000" sy="2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 b="1">
              <a:solidFill>
                <a:schemeClr val="bg2">
                  <a:lumMod val="2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NACA 5-Digit</a:t>
          </a:r>
          <a:r>
            <a:rPr lang="en-GB" sz="1800" b="1" baseline="0">
              <a:solidFill>
                <a:schemeClr val="bg2">
                  <a:lumMod val="2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 Series</a:t>
          </a:r>
          <a:endParaRPr lang="en-GB" sz="1800" b="1">
            <a:solidFill>
              <a:schemeClr val="bg2">
                <a:lumMod val="25000"/>
              </a:schemeClr>
            </a:solidFill>
            <a:latin typeface="Cambria Math" panose="02040503050406030204" pitchFamily="18" charset="0"/>
            <a:ea typeface="Cambria Math" panose="02040503050406030204" pitchFamily="18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295117</xdr:colOff>
      <xdr:row>17</xdr:row>
      <xdr:rowOff>166944</xdr:rowOff>
    </xdr:from>
    <xdr:to>
      <xdr:col>13</xdr:col>
      <xdr:colOff>597517</xdr:colOff>
      <xdr:row>21</xdr:row>
      <xdr:rowOff>22508</xdr:rowOff>
    </xdr:to>
    <xdr:sp macro="" textlink="">
      <xdr:nvSpPr>
        <xdr:cNvPr id="9" name="Rectangle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562317" y="3228799"/>
          <a:ext cx="3960000" cy="5760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  <a:effectLst>
          <a:outerShdw blurRad="50800" dist="50800" dir="5400000" sx="2000" sy="2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 b="1">
              <a:solidFill>
                <a:schemeClr val="bg2">
                  <a:lumMod val="2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NACA 4-Digit</a:t>
          </a:r>
          <a:r>
            <a:rPr lang="en-GB" sz="1800" b="1" baseline="0">
              <a:solidFill>
                <a:schemeClr val="bg2">
                  <a:lumMod val="2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 Series Modified</a:t>
          </a:r>
          <a:endParaRPr lang="en-GB" sz="1800" b="1">
            <a:solidFill>
              <a:schemeClr val="bg2">
                <a:lumMod val="25000"/>
              </a:schemeClr>
            </a:solidFill>
            <a:latin typeface="Cambria Math" panose="02040503050406030204" pitchFamily="18" charset="0"/>
            <a:ea typeface="Cambria Math" panose="02040503050406030204" pitchFamily="18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302045</xdr:colOff>
      <xdr:row>22</xdr:row>
      <xdr:rowOff>32557</xdr:rowOff>
    </xdr:from>
    <xdr:to>
      <xdr:col>13</xdr:col>
      <xdr:colOff>604445</xdr:colOff>
      <xdr:row>25</xdr:row>
      <xdr:rowOff>68230</xdr:rowOff>
    </xdr:to>
    <xdr:sp macro="" textlink="">
      <xdr:nvSpPr>
        <xdr:cNvPr id="10" name="Rectangle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569245" y="3994957"/>
          <a:ext cx="3960000" cy="5760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  <a:effectLst>
          <a:outerShdw blurRad="50800" dist="50800" dir="5400000" sx="2000" sy="2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 b="1">
              <a:solidFill>
                <a:schemeClr val="bg2">
                  <a:lumMod val="2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NACA 5-Digit</a:t>
          </a:r>
          <a:r>
            <a:rPr lang="en-GB" sz="1800" b="1" baseline="0">
              <a:solidFill>
                <a:schemeClr val="bg2">
                  <a:lumMod val="2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 Series Modified</a:t>
          </a:r>
          <a:endParaRPr lang="en-GB" sz="1800" b="1">
            <a:solidFill>
              <a:schemeClr val="bg2">
                <a:lumMod val="25000"/>
              </a:schemeClr>
            </a:solidFill>
            <a:latin typeface="Cambria Math" panose="02040503050406030204" pitchFamily="18" charset="0"/>
            <a:ea typeface="Cambria Math" panose="02040503050406030204" pitchFamily="18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311727</xdr:colOff>
      <xdr:row>26</xdr:row>
      <xdr:rowOff>76198</xdr:rowOff>
    </xdr:from>
    <xdr:to>
      <xdr:col>14</xdr:col>
      <xdr:colOff>4527</xdr:colOff>
      <xdr:row>29</xdr:row>
      <xdr:rowOff>111870</xdr:rowOff>
    </xdr:to>
    <xdr:sp macro="" textlink="">
      <xdr:nvSpPr>
        <xdr:cNvPr id="2" name="Rectangle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578927" y="4759034"/>
          <a:ext cx="3960000" cy="57600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  <a:effectLst>
          <a:outerShdw blurRad="50800" dist="50800" dir="5400000" sx="2000" sy="2000" algn="ctr" rotWithShape="0">
            <a:srgbClr val="000000">
              <a:alpha val="43137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 b="1">
              <a:solidFill>
                <a:schemeClr val="bg2">
                  <a:lumMod val="2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NACA</a:t>
          </a:r>
          <a:r>
            <a:rPr lang="en-GB" sz="1800" b="1" baseline="0">
              <a:solidFill>
                <a:schemeClr val="bg2">
                  <a:lumMod val="2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Segoe UI" panose="020B0502040204020203" pitchFamily="34" charset="0"/>
            </a:rPr>
            <a:t> 16-Series </a:t>
          </a:r>
          <a:endParaRPr lang="en-GB" sz="1800" b="1">
            <a:solidFill>
              <a:schemeClr val="bg2">
                <a:lumMod val="25000"/>
              </a:schemeClr>
            </a:solidFill>
            <a:latin typeface="Cambria Math" panose="02040503050406030204" pitchFamily="18" charset="0"/>
            <a:ea typeface="Cambria Math" panose="02040503050406030204" pitchFamily="18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</xdr:row>
          <xdr:rowOff>22860</xdr:rowOff>
        </xdr:from>
        <xdr:to>
          <xdr:col>6</xdr:col>
          <xdr:colOff>144780</xdr:colOff>
          <xdr:row>1</xdr:row>
          <xdr:rowOff>312420</xdr:rowOff>
        </xdr:to>
        <xdr:sp macro="" textlink="">
          <xdr:nvSpPr>
            <xdr:cNvPr id="3076" name="Spinner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22860</xdr:rowOff>
        </xdr:from>
        <xdr:to>
          <xdr:col>6</xdr:col>
          <xdr:colOff>144780</xdr:colOff>
          <xdr:row>2</xdr:row>
          <xdr:rowOff>312420</xdr:rowOff>
        </xdr:to>
        <xdr:sp macro="" textlink="">
          <xdr:nvSpPr>
            <xdr:cNvPr id="3080" name="Spinner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3</xdr:row>
          <xdr:rowOff>22860</xdr:rowOff>
        </xdr:from>
        <xdr:to>
          <xdr:col>6</xdr:col>
          <xdr:colOff>144780</xdr:colOff>
          <xdr:row>3</xdr:row>
          <xdr:rowOff>312420</xdr:rowOff>
        </xdr:to>
        <xdr:sp macro="" textlink="">
          <xdr:nvSpPr>
            <xdr:cNvPr id="3081" name="Spinner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1</xdr:row>
          <xdr:rowOff>68580</xdr:rowOff>
        </xdr:from>
        <xdr:to>
          <xdr:col>2</xdr:col>
          <xdr:colOff>1158240</xdr:colOff>
          <xdr:row>2</xdr:row>
          <xdr:rowOff>0</xdr:rowOff>
        </xdr:to>
        <xdr:sp macro="" textlink="">
          <xdr:nvSpPr>
            <xdr:cNvPr id="3083" name="Option Button 11" descr="Symmetric Airfoil&#10;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317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Symmetrical Profile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1</xdr:row>
          <xdr:rowOff>327660</xdr:rowOff>
        </xdr:from>
        <xdr:to>
          <xdr:col>2</xdr:col>
          <xdr:colOff>1158240</xdr:colOff>
          <xdr:row>2</xdr:row>
          <xdr:rowOff>259080</xdr:rowOff>
        </xdr:to>
        <xdr:sp macro="" textlink="">
          <xdr:nvSpPr>
            <xdr:cNvPr id="3084" name="Option Button 12" descr="Cambered Airfoil&#10;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317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Cambered Profile</a:t>
              </a:r>
            </a:p>
          </xdr:txBody>
        </xdr:sp>
        <xdr:clientData fLocksWithSheet="0"/>
      </xdr:twoCellAnchor>
    </mc:Choice>
    <mc:Fallback/>
  </mc:AlternateContent>
  <xdr:twoCellAnchor editAs="oneCell">
    <xdr:from>
      <xdr:col>1</xdr:col>
      <xdr:colOff>566648</xdr:colOff>
      <xdr:row>4</xdr:row>
      <xdr:rowOff>21490</xdr:rowOff>
    </xdr:from>
    <xdr:to>
      <xdr:col>11</xdr:col>
      <xdr:colOff>699</xdr:colOff>
      <xdr:row>25</xdr:row>
      <xdr:rowOff>17584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129540</xdr:colOff>
          <xdr:row>1</xdr:row>
          <xdr:rowOff>30480</xdr:rowOff>
        </xdr:from>
        <xdr:to>
          <xdr:col>10</xdr:col>
          <xdr:colOff>1059180</xdr:colOff>
          <xdr:row>2</xdr:row>
          <xdr:rowOff>7620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mean line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129540</xdr:colOff>
          <xdr:row>1</xdr:row>
          <xdr:rowOff>350520</xdr:rowOff>
        </xdr:from>
        <xdr:to>
          <xdr:col>10</xdr:col>
          <xdr:colOff>1592580</xdr:colOff>
          <xdr:row>2</xdr:row>
          <xdr:rowOff>327660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leading-edge radius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129540</xdr:colOff>
          <xdr:row>2</xdr:row>
          <xdr:rowOff>297180</xdr:rowOff>
        </xdr:from>
        <xdr:to>
          <xdr:col>10</xdr:col>
          <xdr:colOff>1592580</xdr:colOff>
          <xdr:row>3</xdr:row>
          <xdr:rowOff>289560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Sharp trailing edge</a:t>
              </a:r>
            </a:p>
          </xdr:txBody>
        </xdr:sp>
        <xdr:clientData fLock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22860</xdr:rowOff>
        </xdr:from>
        <xdr:to>
          <xdr:col>6</xdr:col>
          <xdr:colOff>144780</xdr:colOff>
          <xdr:row>1</xdr:row>
          <xdr:rowOff>312420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30480</xdr:rowOff>
        </xdr:from>
        <xdr:to>
          <xdr:col>6</xdr:col>
          <xdr:colOff>144780</xdr:colOff>
          <xdr:row>2</xdr:row>
          <xdr:rowOff>320040</xdr:rowOff>
        </xdr:to>
        <xdr:sp macro="" textlink="">
          <xdr:nvSpPr>
            <xdr:cNvPr id="8194" name="Spinner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22860</xdr:rowOff>
        </xdr:from>
        <xdr:to>
          <xdr:col>6</xdr:col>
          <xdr:colOff>144780</xdr:colOff>
          <xdr:row>4</xdr:row>
          <xdr:rowOff>312420</xdr:rowOff>
        </xdr:to>
        <xdr:sp macro="" textlink="">
          <xdr:nvSpPr>
            <xdr:cNvPr id="8195" name="Spinner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4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1</xdr:row>
          <xdr:rowOff>68580</xdr:rowOff>
        </xdr:from>
        <xdr:to>
          <xdr:col>2</xdr:col>
          <xdr:colOff>1082040</xdr:colOff>
          <xdr:row>2</xdr:row>
          <xdr:rowOff>7620</xdr:rowOff>
        </xdr:to>
        <xdr:sp macro="" textlink="">
          <xdr:nvSpPr>
            <xdr:cNvPr id="8197" name="Option Button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4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6350">
                  <a:solidFill>
                    <a:srgbClr val="595959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Standard Camber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1</xdr:row>
          <xdr:rowOff>327660</xdr:rowOff>
        </xdr:from>
        <xdr:to>
          <xdr:col>2</xdr:col>
          <xdr:colOff>1051560</xdr:colOff>
          <xdr:row>2</xdr:row>
          <xdr:rowOff>266700</xdr:rowOff>
        </xdr:to>
        <xdr:sp macro="" textlink="">
          <xdr:nvSpPr>
            <xdr:cNvPr id="8198" name="Option Button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4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6350">
                  <a:solidFill>
                    <a:srgbClr val="595959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Reflexed Camber</a:t>
              </a:r>
            </a:p>
          </xdr:txBody>
        </xdr:sp>
        <xdr:clientData fLocksWithSheet="0"/>
      </xdr:twoCellAnchor>
    </mc:Choice>
    <mc:Fallback/>
  </mc:AlternateContent>
  <xdr:twoCellAnchor editAs="absolute">
    <xdr:from>
      <xdr:col>2</xdr:col>
      <xdr:colOff>15742</xdr:colOff>
      <xdr:row>5</xdr:row>
      <xdr:rowOff>24369</xdr:rowOff>
    </xdr:from>
    <xdr:to>
      <xdr:col>11</xdr:col>
      <xdr:colOff>17586</xdr:colOff>
      <xdr:row>26</xdr:row>
      <xdr:rowOff>35168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99060</xdr:colOff>
          <xdr:row>1</xdr:row>
          <xdr:rowOff>60960</xdr:rowOff>
        </xdr:from>
        <xdr:to>
          <xdr:col>10</xdr:col>
          <xdr:colOff>1028700</xdr:colOff>
          <xdr:row>2</xdr:row>
          <xdr:rowOff>45720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4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mean line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99060</xdr:colOff>
          <xdr:row>2</xdr:row>
          <xdr:rowOff>0</xdr:rowOff>
        </xdr:from>
        <xdr:to>
          <xdr:col>10</xdr:col>
          <xdr:colOff>1569720</xdr:colOff>
          <xdr:row>2</xdr:row>
          <xdr:rowOff>335280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4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leading-edge radius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99060</xdr:colOff>
          <xdr:row>2</xdr:row>
          <xdr:rowOff>289560</xdr:rowOff>
        </xdr:from>
        <xdr:to>
          <xdr:col>10</xdr:col>
          <xdr:colOff>1569720</xdr:colOff>
          <xdr:row>3</xdr:row>
          <xdr:rowOff>274320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Sharp trailing edge</a:t>
              </a:r>
            </a:p>
          </xdr:txBody>
        </xdr:sp>
        <xdr:clientData fLock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7533</xdr:colOff>
      <xdr:row>6</xdr:row>
      <xdr:rowOff>17933</xdr:rowOff>
    </xdr:from>
    <xdr:to>
      <xdr:col>11</xdr:col>
      <xdr:colOff>9003</xdr:colOff>
      <xdr:row>26</xdr:row>
      <xdr:rowOff>146538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7620</xdr:rowOff>
        </xdr:from>
        <xdr:to>
          <xdr:col>6</xdr:col>
          <xdr:colOff>144780</xdr:colOff>
          <xdr:row>3</xdr:row>
          <xdr:rowOff>297180</xdr:rowOff>
        </xdr:to>
        <xdr:sp macro="" textlink="">
          <xdr:nvSpPr>
            <xdr:cNvPr id="14337" name="Spinner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6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7620</xdr:rowOff>
        </xdr:from>
        <xdr:to>
          <xdr:col>6</xdr:col>
          <xdr:colOff>144780</xdr:colOff>
          <xdr:row>2</xdr:row>
          <xdr:rowOff>297180</xdr:rowOff>
        </xdr:to>
        <xdr:sp macro="" textlink="">
          <xdr:nvSpPr>
            <xdr:cNvPr id="14338" name="Spinner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6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15240</xdr:rowOff>
        </xdr:from>
        <xdr:to>
          <xdr:col>6</xdr:col>
          <xdr:colOff>144780</xdr:colOff>
          <xdr:row>1</xdr:row>
          <xdr:rowOff>304800</xdr:rowOff>
        </xdr:to>
        <xdr:sp macro="" textlink="">
          <xdr:nvSpPr>
            <xdr:cNvPr id="14339" name="Spinner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6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1501140</xdr:colOff>
          <xdr:row>4</xdr:row>
          <xdr:rowOff>7620</xdr:rowOff>
        </xdr:from>
        <xdr:to>
          <xdr:col>6</xdr:col>
          <xdr:colOff>144780</xdr:colOff>
          <xdr:row>4</xdr:row>
          <xdr:rowOff>297180</xdr:rowOff>
        </xdr:to>
        <xdr:sp macro="" textlink="">
          <xdr:nvSpPr>
            <xdr:cNvPr id="14343" name="Spinner 7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0000000-0008-0000-0600-00000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7620</xdr:rowOff>
        </xdr:from>
        <xdr:to>
          <xdr:col>6</xdr:col>
          <xdr:colOff>144780</xdr:colOff>
          <xdr:row>5</xdr:row>
          <xdr:rowOff>297180</xdr:rowOff>
        </xdr:to>
        <xdr:sp macro="" textlink="">
          <xdr:nvSpPr>
            <xdr:cNvPr id="14345" name="Spinner 9" hidden="1">
              <a:extLst>
                <a:ext uri="{63B3BB69-23CF-44E3-9099-C40C66FF867C}">
                  <a14:compatExt spid="_x0000_s14345"/>
                </a:ext>
                <a:ext uri="{FF2B5EF4-FFF2-40B4-BE49-F238E27FC236}">
                  <a16:creationId xmlns:a16="http://schemas.microsoft.com/office/drawing/2014/main" id="{00000000-0008-0000-0600-00000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60960</xdr:rowOff>
        </xdr:from>
        <xdr:to>
          <xdr:col>2</xdr:col>
          <xdr:colOff>1188720</xdr:colOff>
          <xdr:row>1</xdr:row>
          <xdr:rowOff>350520</xdr:rowOff>
        </xdr:to>
        <xdr:sp macro="" textlink="">
          <xdr:nvSpPr>
            <xdr:cNvPr id="14354" name="Option Button 18" descr="Symmetrical Airfoil&#10;" hidden="1">
              <a:extLst>
                <a:ext uri="{63B3BB69-23CF-44E3-9099-C40C66FF867C}">
                  <a14:compatExt spid="_x0000_s14354"/>
                </a:ext>
                <a:ext uri="{FF2B5EF4-FFF2-40B4-BE49-F238E27FC236}">
                  <a16:creationId xmlns:a16="http://schemas.microsoft.com/office/drawing/2014/main" id="{00000000-0008-0000-0600-00001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317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Symmetrical Profile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121920</xdr:colOff>
          <xdr:row>1</xdr:row>
          <xdr:rowOff>327660</xdr:rowOff>
        </xdr:from>
        <xdr:to>
          <xdr:col>2</xdr:col>
          <xdr:colOff>1203960</xdr:colOff>
          <xdr:row>2</xdr:row>
          <xdr:rowOff>259080</xdr:rowOff>
        </xdr:to>
        <xdr:sp macro="" textlink="">
          <xdr:nvSpPr>
            <xdr:cNvPr id="14355" name="Option Button 19" descr="Cambered Airfoil&#10;" hidden="1">
              <a:extLst>
                <a:ext uri="{63B3BB69-23CF-44E3-9099-C40C66FF867C}">
                  <a14:compatExt spid="_x0000_s14355"/>
                </a:ext>
                <a:ext uri="{FF2B5EF4-FFF2-40B4-BE49-F238E27FC236}">
                  <a16:creationId xmlns:a16="http://schemas.microsoft.com/office/drawing/2014/main" id="{00000000-0008-0000-0600-00001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317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Cambered Profile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38100</xdr:rowOff>
        </xdr:from>
        <xdr:to>
          <xdr:col>10</xdr:col>
          <xdr:colOff>1043940</xdr:colOff>
          <xdr:row>2</xdr:row>
          <xdr:rowOff>15240</xdr:rowOff>
        </xdr:to>
        <xdr:sp macro="" textlink="">
          <xdr:nvSpPr>
            <xdr:cNvPr id="14357" name="Check Box 21" hidden="1">
              <a:extLst>
                <a:ext uri="{63B3BB69-23CF-44E3-9099-C40C66FF867C}">
                  <a14:compatExt spid="_x0000_s14357"/>
                </a:ext>
                <a:ext uri="{FF2B5EF4-FFF2-40B4-BE49-F238E27FC236}">
                  <a16:creationId xmlns:a16="http://schemas.microsoft.com/office/drawing/2014/main" id="{00000000-0008-0000-0600-00001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mean line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342900</xdr:rowOff>
        </xdr:from>
        <xdr:to>
          <xdr:col>10</xdr:col>
          <xdr:colOff>1584960</xdr:colOff>
          <xdr:row>2</xdr:row>
          <xdr:rowOff>312420</xdr:rowOff>
        </xdr:to>
        <xdr:sp macro="" textlink="">
          <xdr:nvSpPr>
            <xdr:cNvPr id="14358" name="Check Box 22" hidden="1">
              <a:extLst>
                <a:ext uri="{63B3BB69-23CF-44E3-9099-C40C66FF867C}">
                  <a14:compatExt spid="_x0000_s14358"/>
                </a:ext>
                <a:ext uri="{FF2B5EF4-FFF2-40B4-BE49-F238E27FC236}">
                  <a16:creationId xmlns:a16="http://schemas.microsoft.com/office/drawing/2014/main" id="{00000000-0008-0000-0600-00001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leading-edge radius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281940</xdr:rowOff>
        </xdr:from>
        <xdr:to>
          <xdr:col>10</xdr:col>
          <xdr:colOff>1584960</xdr:colOff>
          <xdr:row>3</xdr:row>
          <xdr:rowOff>281940</xdr:rowOff>
        </xdr:to>
        <xdr:sp macro="" textlink="">
          <xdr:nvSpPr>
            <xdr:cNvPr id="14359" name="Check Box 23" hidden="1">
              <a:extLst>
                <a:ext uri="{63B3BB69-23CF-44E3-9099-C40C66FF867C}">
                  <a14:compatExt spid="_x0000_s14359"/>
                </a:ext>
                <a:ext uri="{FF2B5EF4-FFF2-40B4-BE49-F238E27FC236}">
                  <a16:creationId xmlns:a16="http://schemas.microsoft.com/office/drawing/2014/main" id="{00000000-0008-0000-0600-00001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Sharp trailing edge</a:t>
              </a:r>
            </a:p>
          </xdr:txBody>
        </xdr:sp>
        <xdr:clientData fLock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1157</xdr:colOff>
      <xdr:row>6</xdr:row>
      <xdr:rowOff>20022</xdr:rowOff>
    </xdr:from>
    <xdr:to>
      <xdr:col>9</xdr:col>
      <xdr:colOff>5861</xdr:colOff>
      <xdr:row>27</xdr:row>
      <xdr:rowOff>11722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5</xdr:row>
          <xdr:rowOff>30480</xdr:rowOff>
        </xdr:from>
        <xdr:to>
          <xdr:col>4</xdr:col>
          <xdr:colOff>144780</xdr:colOff>
          <xdr:row>5</xdr:row>
          <xdr:rowOff>320040</xdr:rowOff>
        </xdr:to>
        <xdr:sp macro="" textlink="">
          <xdr:nvSpPr>
            <xdr:cNvPr id="18443" name="Spinner 11" hidden="1">
              <a:extLst>
                <a:ext uri="{63B3BB69-23CF-44E3-9099-C40C66FF867C}">
                  <a14:compatExt spid="_x0000_s18443"/>
                </a:ext>
                <a:ext uri="{FF2B5EF4-FFF2-40B4-BE49-F238E27FC236}">
                  <a16:creationId xmlns:a16="http://schemas.microsoft.com/office/drawing/2014/main" id="{00000000-0008-0000-0800-00000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4</xdr:row>
          <xdr:rowOff>15240</xdr:rowOff>
        </xdr:from>
        <xdr:to>
          <xdr:col>4</xdr:col>
          <xdr:colOff>144780</xdr:colOff>
          <xdr:row>4</xdr:row>
          <xdr:rowOff>304800</xdr:rowOff>
        </xdr:to>
        <xdr:sp macro="" textlink="">
          <xdr:nvSpPr>
            <xdr:cNvPr id="18444" name="Spinner 12" hidden="1">
              <a:extLst>
                <a:ext uri="{63B3BB69-23CF-44E3-9099-C40C66FF867C}">
                  <a14:compatExt spid="_x0000_s18444"/>
                </a:ext>
                <a:ext uri="{FF2B5EF4-FFF2-40B4-BE49-F238E27FC236}">
                  <a16:creationId xmlns:a16="http://schemas.microsoft.com/office/drawing/2014/main" id="{00000000-0008-0000-0800-00000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</xdr:row>
          <xdr:rowOff>7620</xdr:rowOff>
        </xdr:from>
        <xdr:to>
          <xdr:col>4</xdr:col>
          <xdr:colOff>144780</xdr:colOff>
          <xdr:row>1</xdr:row>
          <xdr:rowOff>297180</xdr:rowOff>
        </xdr:to>
        <xdr:sp macro="" textlink="">
          <xdr:nvSpPr>
            <xdr:cNvPr id="18445" name="Spinner 13" hidden="1">
              <a:extLst>
                <a:ext uri="{63B3BB69-23CF-44E3-9099-C40C66FF867C}">
                  <a14:compatExt spid="_x0000_s18445"/>
                </a:ext>
                <a:ext uri="{FF2B5EF4-FFF2-40B4-BE49-F238E27FC236}">
                  <a16:creationId xmlns:a16="http://schemas.microsoft.com/office/drawing/2014/main" id="{00000000-0008-0000-0800-00000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</xdr:row>
          <xdr:rowOff>15240</xdr:rowOff>
        </xdr:from>
        <xdr:to>
          <xdr:col>4</xdr:col>
          <xdr:colOff>144780</xdr:colOff>
          <xdr:row>2</xdr:row>
          <xdr:rowOff>297180</xdr:rowOff>
        </xdr:to>
        <xdr:sp macro="" textlink="">
          <xdr:nvSpPr>
            <xdr:cNvPr id="18446" name="Spinner 14" hidden="1">
              <a:extLst>
                <a:ext uri="{63B3BB69-23CF-44E3-9099-C40C66FF867C}">
                  <a14:compatExt spid="_x0000_s18446"/>
                </a:ext>
                <a:ext uri="{FF2B5EF4-FFF2-40B4-BE49-F238E27FC236}">
                  <a16:creationId xmlns:a16="http://schemas.microsoft.com/office/drawing/2014/main" id="{00000000-0008-0000-0800-00000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</xdr:row>
          <xdr:rowOff>15240</xdr:rowOff>
        </xdr:from>
        <xdr:to>
          <xdr:col>4</xdr:col>
          <xdr:colOff>144780</xdr:colOff>
          <xdr:row>3</xdr:row>
          <xdr:rowOff>297180</xdr:rowOff>
        </xdr:to>
        <xdr:sp macro="" textlink="">
          <xdr:nvSpPr>
            <xdr:cNvPr id="18447" name="Spinner 15" hidden="1">
              <a:extLst>
                <a:ext uri="{63B3BB69-23CF-44E3-9099-C40C66FF867C}">
                  <a14:compatExt spid="_x0000_s18447"/>
                </a:ext>
                <a:ext uri="{FF2B5EF4-FFF2-40B4-BE49-F238E27FC236}">
                  <a16:creationId xmlns:a16="http://schemas.microsoft.com/office/drawing/2014/main" id="{00000000-0008-0000-0800-00000F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129540</xdr:colOff>
          <xdr:row>1</xdr:row>
          <xdr:rowOff>30480</xdr:rowOff>
        </xdr:from>
        <xdr:to>
          <xdr:col>8</xdr:col>
          <xdr:colOff>1059180</xdr:colOff>
          <xdr:row>2</xdr:row>
          <xdr:rowOff>22860</xdr:rowOff>
        </xdr:to>
        <xdr:sp macro="" textlink="">
          <xdr:nvSpPr>
            <xdr:cNvPr id="18449" name="Check Box 17" hidden="1">
              <a:extLst>
                <a:ext uri="{63B3BB69-23CF-44E3-9099-C40C66FF867C}">
                  <a14:compatExt spid="_x0000_s18449"/>
                </a:ext>
                <a:ext uri="{FF2B5EF4-FFF2-40B4-BE49-F238E27FC236}">
                  <a16:creationId xmlns:a16="http://schemas.microsoft.com/office/drawing/2014/main" id="{00000000-0008-0000-0800-00001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mean line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129540</xdr:colOff>
          <xdr:row>1</xdr:row>
          <xdr:rowOff>335280</xdr:rowOff>
        </xdr:from>
        <xdr:to>
          <xdr:col>8</xdr:col>
          <xdr:colOff>1592580</xdr:colOff>
          <xdr:row>2</xdr:row>
          <xdr:rowOff>320040</xdr:rowOff>
        </xdr:to>
        <xdr:sp macro="" textlink="">
          <xdr:nvSpPr>
            <xdr:cNvPr id="18450" name="Check Box 18" hidden="1">
              <a:extLst>
                <a:ext uri="{63B3BB69-23CF-44E3-9099-C40C66FF867C}">
                  <a14:compatExt spid="_x0000_s18450"/>
                </a:ext>
                <a:ext uri="{FF2B5EF4-FFF2-40B4-BE49-F238E27FC236}">
                  <a16:creationId xmlns:a16="http://schemas.microsoft.com/office/drawing/2014/main" id="{00000000-0008-0000-0800-00001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leading-edge radius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129540</xdr:colOff>
          <xdr:row>2</xdr:row>
          <xdr:rowOff>289560</xdr:rowOff>
        </xdr:from>
        <xdr:to>
          <xdr:col>8</xdr:col>
          <xdr:colOff>1592580</xdr:colOff>
          <xdr:row>3</xdr:row>
          <xdr:rowOff>266700</xdr:rowOff>
        </xdr:to>
        <xdr:sp macro="" textlink="">
          <xdr:nvSpPr>
            <xdr:cNvPr id="18451" name="Check Box 19" hidden="1">
              <a:extLst>
                <a:ext uri="{63B3BB69-23CF-44E3-9099-C40C66FF867C}">
                  <a14:compatExt spid="_x0000_s18451"/>
                </a:ext>
                <a:ext uri="{FF2B5EF4-FFF2-40B4-BE49-F238E27FC236}">
                  <a16:creationId xmlns:a16="http://schemas.microsoft.com/office/drawing/2014/main" id="{00000000-0008-0000-0800-00001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Sharp trailing edge</a:t>
              </a:r>
            </a:p>
          </xdr:txBody>
        </xdr:sp>
        <xdr:clientData fLock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552761</xdr:colOff>
      <xdr:row>4</xdr:row>
      <xdr:rowOff>38089</xdr:rowOff>
    </xdr:from>
    <xdr:to>
      <xdr:col>9</xdr:col>
      <xdr:colOff>209</xdr:colOff>
      <xdr:row>22</xdr:row>
      <xdr:rowOff>140275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30480</xdr:rowOff>
        </xdr:from>
        <xdr:to>
          <xdr:col>4</xdr:col>
          <xdr:colOff>144780</xdr:colOff>
          <xdr:row>2</xdr:row>
          <xdr:rowOff>320040</xdr:rowOff>
        </xdr:to>
        <xdr:sp macro="" textlink="">
          <xdr:nvSpPr>
            <xdr:cNvPr id="24577" name="Spinner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A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45720</xdr:rowOff>
        </xdr:from>
        <xdr:to>
          <xdr:col>4</xdr:col>
          <xdr:colOff>144780</xdr:colOff>
          <xdr:row>1</xdr:row>
          <xdr:rowOff>335280</xdr:rowOff>
        </xdr:to>
        <xdr:sp macro="" textlink="">
          <xdr:nvSpPr>
            <xdr:cNvPr id="24578" name="Spinner 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A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152400</xdr:colOff>
          <xdr:row>1</xdr:row>
          <xdr:rowOff>99060</xdr:rowOff>
        </xdr:from>
        <xdr:to>
          <xdr:col>8</xdr:col>
          <xdr:colOff>1280160</xdr:colOff>
          <xdr:row>2</xdr:row>
          <xdr:rowOff>0</xdr:rowOff>
        </xdr:to>
        <xdr:sp macro="" textlink="">
          <xdr:nvSpPr>
            <xdr:cNvPr id="24580" name="Check Box 4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:a16="http://schemas.microsoft.com/office/drawing/2014/main" id="{00000000-0008-0000-0A00-00000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mean line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152400</xdr:colOff>
          <xdr:row>2</xdr:row>
          <xdr:rowOff>15240</xdr:rowOff>
        </xdr:from>
        <xdr:to>
          <xdr:col>8</xdr:col>
          <xdr:colOff>1470660</xdr:colOff>
          <xdr:row>2</xdr:row>
          <xdr:rowOff>289560</xdr:rowOff>
        </xdr:to>
        <xdr:sp macro="" textlink="">
          <xdr:nvSpPr>
            <xdr:cNvPr id="24581" name="Check Box 5" hidden="1">
              <a:extLst>
                <a:ext uri="{63B3BB69-23CF-44E3-9099-C40C66FF867C}">
                  <a14:compatExt spid="_x0000_s24581"/>
                </a:ext>
                <a:ext uri="{FF2B5EF4-FFF2-40B4-BE49-F238E27FC236}">
                  <a16:creationId xmlns:a16="http://schemas.microsoft.com/office/drawing/2014/main" id="{00000000-0008-0000-0A00-00000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Show leading-edge radius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152400</xdr:colOff>
          <xdr:row>2</xdr:row>
          <xdr:rowOff>304800</xdr:rowOff>
        </xdr:from>
        <xdr:to>
          <xdr:col>8</xdr:col>
          <xdr:colOff>1470660</xdr:colOff>
          <xdr:row>3</xdr:row>
          <xdr:rowOff>213360</xdr:rowOff>
        </xdr:to>
        <xdr:sp macro="" textlink="">
          <xdr:nvSpPr>
            <xdr:cNvPr id="24582" name="Check Box 6" hidden="1">
              <a:extLst>
                <a:ext uri="{63B3BB69-23CF-44E3-9099-C40C66FF867C}">
                  <a14:compatExt spid="_x0000_s24582"/>
                </a:ext>
                <a:ext uri="{FF2B5EF4-FFF2-40B4-BE49-F238E27FC236}">
                  <a16:creationId xmlns:a16="http://schemas.microsoft.com/office/drawing/2014/main" id="{00000000-0008-0000-0A00-000006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Sharp trailing edge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3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1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1.xml"/><Relationship Id="rId11" Type="http://schemas.openxmlformats.org/officeDocument/2006/relationships/ctrlProp" Target="../ctrlProps/ctrlProp16.xml"/><Relationship Id="rId5" Type="http://schemas.openxmlformats.org/officeDocument/2006/relationships/ctrlProp" Target="../ctrlProps/ctrlProp10.xml"/><Relationship Id="rId10" Type="http://schemas.openxmlformats.org/officeDocument/2006/relationships/ctrlProp" Target="../ctrlProps/ctrlProp15.xml"/><Relationship Id="rId4" Type="http://schemas.openxmlformats.org/officeDocument/2006/relationships/ctrlProp" Target="../ctrlProps/ctrlProp9.xml"/><Relationship Id="rId9" Type="http://schemas.openxmlformats.org/officeDocument/2006/relationships/ctrlProp" Target="../ctrlProps/ctrlProp1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1.xml"/><Relationship Id="rId13" Type="http://schemas.openxmlformats.org/officeDocument/2006/relationships/ctrlProp" Target="../ctrlProps/ctrlProp26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20.xml"/><Relationship Id="rId12" Type="http://schemas.openxmlformats.org/officeDocument/2006/relationships/ctrlProp" Target="../ctrlProps/ctrlProp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9.xml"/><Relationship Id="rId11" Type="http://schemas.openxmlformats.org/officeDocument/2006/relationships/ctrlProp" Target="../ctrlProps/ctrlProp24.xml"/><Relationship Id="rId5" Type="http://schemas.openxmlformats.org/officeDocument/2006/relationships/ctrlProp" Target="../ctrlProps/ctrlProp18.xml"/><Relationship Id="rId10" Type="http://schemas.openxmlformats.org/officeDocument/2006/relationships/ctrlProp" Target="../ctrlProps/ctrlProp23.xml"/><Relationship Id="rId4" Type="http://schemas.openxmlformats.org/officeDocument/2006/relationships/ctrlProp" Target="../ctrlProps/ctrlProp17.xml"/><Relationship Id="rId9" Type="http://schemas.openxmlformats.org/officeDocument/2006/relationships/ctrlProp" Target="../ctrlProps/ctrlProp2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1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30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29.xml"/><Relationship Id="rId11" Type="http://schemas.openxmlformats.org/officeDocument/2006/relationships/ctrlProp" Target="../ctrlProps/ctrlProp34.xml"/><Relationship Id="rId5" Type="http://schemas.openxmlformats.org/officeDocument/2006/relationships/ctrlProp" Target="../ctrlProps/ctrlProp28.xml"/><Relationship Id="rId10" Type="http://schemas.openxmlformats.org/officeDocument/2006/relationships/ctrlProp" Target="../ctrlProps/ctrlProp33.xml"/><Relationship Id="rId4" Type="http://schemas.openxmlformats.org/officeDocument/2006/relationships/ctrlProp" Target="../ctrlProps/ctrlProp27.xml"/><Relationship Id="rId9" Type="http://schemas.openxmlformats.org/officeDocument/2006/relationships/ctrlProp" Target="../ctrlProps/ctrlProp3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9.xml"/><Relationship Id="rId3" Type="http://schemas.openxmlformats.org/officeDocument/2006/relationships/vmlDrawing" Target="../drawings/vmlDrawing10.vml"/><Relationship Id="rId7" Type="http://schemas.openxmlformats.org/officeDocument/2006/relationships/ctrlProp" Target="../ctrlProps/ctrlProp38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37.xml"/><Relationship Id="rId5" Type="http://schemas.openxmlformats.org/officeDocument/2006/relationships/ctrlProp" Target="../ctrlProps/ctrlProp36.xml"/><Relationship Id="rId4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68CE-FCC4-43EA-AF02-AD8DE5C03935}">
  <sheetPr codeName="Sheet4"/>
  <dimension ref="A1:A46"/>
  <sheetViews>
    <sheetView showGridLines="0" showRowColHeaders="0" tabSelected="1" zoomScale="110" zoomScaleNormal="110" workbookViewId="0"/>
  </sheetViews>
  <sheetFormatPr defaultRowHeight="14.4" x14ac:dyDescent="0.3"/>
  <sheetData>
    <row r="1" s="17" customFormat="1" x14ac:dyDescent="0.3"/>
    <row r="2" s="17" customFormat="1" x14ac:dyDescent="0.3"/>
    <row r="3" s="17" customFormat="1" x14ac:dyDescent="0.3"/>
    <row r="4" s="17" customFormat="1" x14ac:dyDescent="0.3"/>
    <row r="5" s="17" customFormat="1" x14ac:dyDescent="0.3"/>
    <row r="6" s="17" customFormat="1" x14ac:dyDescent="0.3"/>
    <row r="7" s="17" customFormat="1" x14ac:dyDescent="0.3"/>
    <row r="8" s="17" customFormat="1" x14ac:dyDescent="0.3"/>
    <row r="9" s="66" customFormat="1" x14ac:dyDescent="0.3"/>
    <row r="10" s="66" customFormat="1" x14ac:dyDescent="0.3"/>
    <row r="11" s="66" customFormat="1" x14ac:dyDescent="0.3"/>
    <row r="12" s="66" customFormat="1" x14ac:dyDescent="0.3"/>
    <row r="13" s="66" customFormat="1" x14ac:dyDescent="0.3"/>
    <row r="14" s="66" customFormat="1" x14ac:dyDescent="0.3"/>
    <row r="15" s="66" customFormat="1" x14ac:dyDescent="0.3"/>
    <row r="16" s="66" customFormat="1" x14ac:dyDescent="0.3"/>
    <row r="17" s="66" customFormat="1" x14ac:dyDescent="0.3"/>
    <row r="18" s="66" customFormat="1" x14ac:dyDescent="0.3"/>
    <row r="19" s="66" customFormat="1" x14ac:dyDescent="0.3"/>
    <row r="20" s="66" customFormat="1" x14ac:dyDescent="0.3"/>
    <row r="21" s="66" customFormat="1" x14ac:dyDescent="0.3"/>
    <row r="22" s="66" customFormat="1" x14ac:dyDescent="0.3"/>
    <row r="23" s="66" customFormat="1" x14ac:dyDescent="0.3"/>
    <row r="24" s="66" customFormat="1" x14ac:dyDescent="0.3"/>
    <row r="25" s="66" customFormat="1" x14ac:dyDescent="0.3"/>
    <row r="26" s="66" customFormat="1" x14ac:dyDescent="0.3"/>
    <row r="27" s="66" customFormat="1" x14ac:dyDescent="0.3"/>
    <row r="28" s="66" customFormat="1" x14ac:dyDescent="0.3"/>
    <row r="29" s="66" customFormat="1" x14ac:dyDescent="0.3"/>
    <row r="30" s="66" customFormat="1" x14ac:dyDescent="0.3"/>
    <row r="31" s="66" customFormat="1" x14ac:dyDescent="0.3"/>
    <row r="32" s="66" customFormat="1" x14ac:dyDescent="0.3"/>
    <row r="33" s="66" customFormat="1" x14ac:dyDescent="0.3"/>
    <row r="34" s="66" customFormat="1" x14ac:dyDescent="0.3"/>
    <row r="35" s="66" customFormat="1" x14ac:dyDescent="0.3"/>
    <row r="36" s="66" customFormat="1" x14ac:dyDescent="0.3"/>
    <row r="37" s="66" customFormat="1" x14ac:dyDescent="0.3"/>
    <row r="38" s="66" customFormat="1" x14ac:dyDescent="0.3"/>
    <row r="39" s="66" customFormat="1" x14ac:dyDescent="0.3"/>
    <row r="40" s="66" customFormat="1" x14ac:dyDescent="0.3"/>
    <row r="41" s="66" customFormat="1" x14ac:dyDescent="0.3"/>
    <row r="42" s="66" customFormat="1" x14ac:dyDescent="0.3"/>
    <row r="43" s="66" customFormat="1" x14ac:dyDescent="0.3"/>
    <row r="44" s="66" customFormat="1" x14ac:dyDescent="0.3"/>
    <row r="45" s="66" customFormat="1" x14ac:dyDescent="0.3"/>
    <row r="46" s="66" customFormat="1" x14ac:dyDescent="0.3"/>
  </sheetData>
  <sheetProtection algorithmName="SHA-512" hashValue="Lt9ht5iCalwGwK7N6pGDReKejuv85nYWiiO7CbyC/VnTv5N8IrmHqNYXWrMgJw/B5Q+nKNIYB2Os4LA4EzpP3g==" saltValue="b46sM0F/hZM/hkVEO2u5kA==" spinCount="100000" sheet="1" objects="1" scenarios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A913-5FAC-48F1-9E6F-B0A917079643}">
  <sheetPr codeName="Sheet1"/>
  <dimension ref="A1:AF501"/>
  <sheetViews>
    <sheetView topLeftCell="A486" zoomScale="77" zoomScaleNormal="130" workbookViewId="0">
      <selection activeCell="I504" sqref="I504"/>
    </sheetView>
  </sheetViews>
  <sheetFormatPr defaultRowHeight="14.4" x14ac:dyDescent="0.3"/>
  <cols>
    <col min="1" max="1" width="8.88671875" style="13"/>
    <col min="2" max="4" width="9" style="12" bestFit="1" customWidth="1"/>
    <col min="5" max="7" width="9.21875" style="12" bestFit="1" customWidth="1"/>
    <col min="8" max="9" width="9" style="12" bestFit="1" customWidth="1"/>
    <col min="10" max="10" width="9.21875" style="12" bestFit="1" customWidth="1"/>
    <col min="11" max="11" width="9" style="12" bestFit="1" customWidth="1"/>
    <col min="12" max="12" width="8.88671875" style="13"/>
    <col min="13" max="13" width="13.44140625" style="124" customWidth="1"/>
    <col min="14" max="14" width="8.88671875" style="13"/>
    <col min="15" max="15" width="8.88671875" style="14"/>
    <col min="16" max="16" width="8.88671875" style="5"/>
    <col min="19" max="21" width="8.88671875" style="40"/>
    <col min="29" max="32" width="8.88671875" style="5"/>
  </cols>
  <sheetData>
    <row r="1" spans="1:21" x14ac:dyDescent="0.3">
      <c r="A1" s="11">
        <f>$O$1/100</f>
        <v>0.02</v>
      </c>
      <c r="B1" s="12" cm="1">
        <f t="array" ref="B1:B500">1-COS((_xlfn.SEQUENCE(500,1,0,1)*PI())/(2*(500-1)))</f>
        <v>0</v>
      </c>
      <c r="C1" s="12">
        <f>IF($A$1=0, 0, IF(B1&lt;=$A$2, ($A$1/$A$2^2)*(2*$A$2*B1-B1^2), ($A$1/(1-$A$2)^2)*((1-2*$A$2)+2*$A$2*B1-B1^2)))</f>
        <v>0</v>
      </c>
      <c r="D1" s="12">
        <f>IF($Q$3, 5*$A$3*(0.2969*SQRT(B1)-0.126*B1-0.3516*B1^2+0.2843*B1^3-0.1036*B1^4), 5*$A$3*(0.2969*SQRT(B1)-0.126*B1-0.3516*B1^2+0.2843*B1^3-0.1015*B1^4))</f>
        <v>0</v>
      </c>
      <c r="E1" s="12">
        <f>IF($A$1=0, 0, IF(B1&lt;=$A$2, ($A$1/$A$2^2) *(2*$A$2-2*B1), ($A$1/(1-$A$2)^2)*(2*$A$2-2*B1)))</f>
        <v>9.9999999999999978E-2</v>
      </c>
      <c r="F1" s="12">
        <f>IF($A$1=0, 0,  ATAN(E1))</f>
        <v>9.966865249116201E-2</v>
      </c>
      <c r="G1" s="12">
        <f>B1-D1*SIN(F1)</f>
        <v>0</v>
      </c>
      <c r="H1" s="12">
        <f>C1+D1*COS(F1)</f>
        <v>0</v>
      </c>
      <c r="I1" s="12">
        <f>B1+D1*SIN(F1)</f>
        <v>0</v>
      </c>
      <c r="J1" s="12">
        <f>C1-D1*COS(F1)</f>
        <v>0</v>
      </c>
      <c r="M1" s="123">
        <f>IF($Q$1,  C1, -0.5)</f>
        <v>-0.5</v>
      </c>
      <c r="N1" s="15">
        <v>2</v>
      </c>
      <c r="O1" s="25">
        <f>IF($P$1=1, 0, $N$1)</f>
        <v>2</v>
      </c>
      <c r="P1" s="15">
        <v>2</v>
      </c>
      <c r="Q1" s="19" t="b">
        <v>0</v>
      </c>
      <c r="R1" s="16">
        <f>ATAN(E1)</f>
        <v>9.966865249116201E-2</v>
      </c>
      <c r="S1" s="40" cm="1">
        <f t="array" ref="S1:S50">_xlfn.SEQUENCE(50, 1, 0, (2*PI())/(50-1))</f>
        <v>0</v>
      </c>
      <c r="T1" s="40">
        <f>$R$2*(COS($R$1)+COS(S1))</f>
        <v>3.165511504545114E-2</v>
      </c>
      <c r="U1" s="40">
        <f>IF($Q$2, $R$2*(SIN($R$1)+SIN(S1)), -0.5)</f>
        <v>-0.5</v>
      </c>
    </row>
    <row r="2" spans="1:21" x14ac:dyDescent="0.3">
      <c r="A2" s="11">
        <f>$O$2/10</f>
        <v>0.4</v>
      </c>
      <c r="B2" s="12">
        <v>4.9545966939179564E-6</v>
      </c>
      <c r="C2" s="12">
        <f t="shared" ref="C2:C65" si="0">IF($A$1=0, 0, IF(B2&lt;=$A$2, ($A$1/$A$2^2)*(2*$A$2*B2-B2^2), ($A$1/(1-$A$2)^2)*((1-2*$A$2)+2*$A$2*B2-B2^2)))</f>
        <v>4.9545660088824572E-7</v>
      </c>
      <c r="D2" s="12">
        <f t="shared" ref="D2:D65" si="1">IF($Q$3, 5*$A$3*(0.2969*SQRT(B2)-0.126*B2-0.3516*B2^2+0.2843*B2^3-0.1036*B2^4), 5*$A$3*(0.2969*SQRT(B2)-0.126*B2-0.3516*B2^2+0.2843*B2^3-0.1015*B2^4))</f>
        <v>3.9614588814456303E-4</v>
      </c>
      <c r="E2" s="12">
        <f t="shared" ref="E2:E65" si="2">IF($A$1=0, 0, IF(B2&lt;=$A$2, ($A$1/$A$2^2) *(2*$A$2-2*B2), ($A$1/(1-$A$2)^2)*(2*$A$2-2*B2)))</f>
        <v>9.9998761350826498E-2</v>
      </c>
      <c r="F2" s="12">
        <f t="shared" ref="F2:F65" si="3">IF($A$1=0, 0,  ATAN(E2))</f>
        <v>9.9667426105691334E-2</v>
      </c>
      <c r="G2" s="12">
        <f t="shared" ref="G2:G65" si="4">B2-D2*SIN(F2)</f>
        <v>-3.4462909034821344E-5</v>
      </c>
      <c r="H2" s="12">
        <f t="shared" ref="H2:H65" si="5">C2+D2*COS(F2)</f>
        <v>3.9467539639484765E-4</v>
      </c>
      <c r="I2" s="12">
        <f t="shared" ref="I2:I65" si="6">B2+D2*SIN(F2)</f>
        <v>4.4372102422657257E-5</v>
      </c>
      <c r="J2" s="12">
        <f t="shared" ref="J2:J65" si="7">C2-D2*COS(F2)</f>
        <v>-3.9368448319307111E-4</v>
      </c>
      <c r="M2" s="123">
        <f t="shared" ref="M2:M65" si="8">IF($Q$1,  C2, -0.5)</f>
        <v>-0.5</v>
      </c>
      <c r="N2" s="15">
        <v>4</v>
      </c>
      <c r="O2" s="25">
        <f>IF($P$1=1, 0, $N$2)</f>
        <v>4</v>
      </c>
      <c r="Q2" s="19" t="b">
        <v>0</v>
      </c>
      <c r="R2">
        <f>(0.2969^2/2)*(A3/0.2)^2</f>
        <v>1.5866929799999999E-2</v>
      </c>
      <c r="S2" s="40">
        <v>0.12822827157509359</v>
      </c>
      <c r="T2" s="40">
        <f t="shared" ref="T2:T50" si="9">$R$2*(COS($R$1)+COS(S2))</f>
        <v>3.1524847771125616E-2</v>
      </c>
      <c r="U2" s="40">
        <f t="shared" ref="U2:U50" si="10">IF($Q$2, $R$2*(SIN($R$1)+SIN(S2)), -0.5)</f>
        <v>-0.5</v>
      </c>
    </row>
    <row r="3" spans="1:21" x14ac:dyDescent="0.3">
      <c r="A3" s="39">
        <f>O3/100</f>
        <v>0.12</v>
      </c>
      <c r="B3" s="12">
        <v>1.9818337679722298E-5</v>
      </c>
      <c r="C3" s="12">
        <f t="shared" si="0"/>
        <v>1.9817846721586811E-6</v>
      </c>
      <c r="D3" s="12">
        <f t="shared" si="1"/>
        <v>7.9154159018328309E-4</v>
      </c>
      <c r="E3" s="12">
        <f t="shared" si="2"/>
        <v>9.9995045415580047E-2</v>
      </c>
      <c r="F3" s="12">
        <f t="shared" si="3"/>
        <v>9.9663746959626973E-2</v>
      </c>
      <c r="G3" s="12">
        <f t="shared" si="4"/>
        <v>-5.8939130640384266E-5</v>
      </c>
      <c r="H3" s="12">
        <f t="shared" si="5"/>
        <v>7.8959549085920054E-4</v>
      </c>
      <c r="I3" s="12">
        <f t="shared" si="6"/>
        <v>9.8575805999828861E-5</v>
      </c>
      <c r="J3" s="12">
        <f t="shared" si="7"/>
        <v>-7.8563192151488313E-4</v>
      </c>
      <c r="M3" s="123">
        <f t="shared" si="8"/>
        <v>-0.5</v>
      </c>
      <c r="O3" s="129">
        <v>12</v>
      </c>
      <c r="Q3" s="19" t="b">
        <v>0</v>
      </c>
      <c r="S3" s="40">
        <v>0.25645654315018718</v>
      </c>
      <c r="T3" s="40">
        <f t="shared" si="9"/>
        <v>3.1136184933192035E-2</v>
      </c>
      <c r="U3" s="40">
        <f t="shared" si="10"/>
        <v>-0.5</v>
      </c>
    </row>
    <row r="4" spans="1:21" x14ac:dyDescent="0.3">
      <c r="B4" s="12">
        <v>4.4591075669564439E-5</v>
      </c>
      <c r="C4" s="12">
        <f t="shared" si="0"/>
        <v>4.4588590214527722E-6</v>
      </c>
      <c r="D4" s="12">
        <f t="shared" si="1"/>
        <v>1.1861859485331602E-3</v>
      </c>
      <c r="E4" s="12">
        <f t="shared" si="2"/>
        <v>9.9988852231082587E-2</v>
      </c>
      <c r="F4" s="12">
        <f t="shared" si="3"/>
        <v>9.9657615084012316E-2</v>
      </c>
      <c r="G4" s="12">
        <f t="shared" si="4"/>
        <v>-7.3425810210654382E-5</v>
      </c>
      <c r="H4" s="12">
        <f t="shared" si="5"/>
        <v>1.1847592949887741E-3</v>
      </c>
      <c r="I4" s="12">
        <f t="shared" si="6"/>
        <v>1.6260796154978326E-4</v>
      </c>
      <c r="J4" s="12">
        <f t="shared" si="7"/>
        <v>-1.1758415769458684E-3</v>
      </c>
      <c r="M4" s="123">
        <f t="shared" si="8"/>
        <v>-0.5</v>
      </c>
      <c r="S4" s="40">
        <v>0.38468481472528077</v>
      </c>
      <c r="T4" s="40">
        <f t="shared" si="9"/>
        <v>3.0495508364704101E-2</v>
      </c>
      <c r="U4" s="40">
        <f t="shared" si="10"/>
        <v>-0.5</v>
      </c>
    </row>
    <row r="5" spans="1:21" x14ac:dyDescent="0.3">
      <c r="B5" s="12">
        <v>7.9272565185806165E-5</v>
      </c>
      <c r="C5" s="12">
        <f t="shared" si="0"/>
        <v>7.9264710011317225E-6</v>
      </c>
      <c r="D5" s="12">
        <f t="shared" si="1"/>
        <v>1.580077688805182E-3</v>
      </c>
      <c r="E5" s="12">
        <f t="shared" si="2"/>
        <v>9.9980181858703526E-2</v>
      </c>
      <c r="F5" s="12">
        <f t="shared" si="3"/>
        <v>9.9649030530586769E-2</v>
      </c>
      <c r="G5" s="12">
        <f t="shared" si="4"/>
        <v>-7.7920190808090234E-5</v>
      </c>
      <c r="H5" s="12">
        <f t="shared" si="5"/>
        <v>1.580165619516067E-3</v>
      </c>
      <c r="I5" s="12">
        <f t="shared" si="6"/>
        <v>2.3646532117970256E-4</v>
      </c>
      <c r="J5" s="12">
        <f t="shared" si="7"/>
        <v>-1.5643126775138037E-3</v>
      </c>
      <c r="M5" s="123">
        <f t="shared" si="8"/>
        <v>-0.5</v>
      </c>
      <c r="S5" s="40">
        <v>0.51291308630037435</v>
      </c>
      <c r="T5" s="40">
        <f t="shared" si="9"/>
        <v>2.9613337957203931E-2</v>
      </c>
      <c r="U5" s="40">
        <f t="shared" si="10"/>
        <v>-0.5</v>
      </c>
    </row>
    <row r="6" spans="1:21" x14ac:dyDescent="0.3">
      <c r="B6" s="12">
        <v>1.2386246256268496E-4</v>
      </c>
      <c r="C6" s="12">
        <f t="shared" si="0"/>
        <v>1.2384328517564481E-5</v>
      </c>
      <c r="D6" s="12">
        <f t="shared" si="1"/>
        <v>1.9732154198450957E-3</v>
      </c>
      <c r="E6" s="12">
        <f t="shared" si="2"/>
        <v>9.9969034384359307E-2</v>
      </c>
      <c r="F6" s="12">
        <f t="shared" si="3"/>
        <v>9.9637993371786943E-2</v>
      </c>
      <c r="G6" s="12">
        <f t="shared" si="4"/>
        <v>-7.2419613237442081E-5</v>
      </c>
      <c r="H6" s="12">
        <f t="shared" si="5"/>
        <v>1.9758130743176383E-3</v>
      </c>
      <c r="I6" s="12">
        <f t="shared" si="6"/>
        <v>3.2014453836281198E-4</v>
      </c>
      <c r="J6" s="12">
        <f t="shared" si="7"/>
        <v>-1.9510444172825092E-3</v>
      </c>
      <c r="M6" s="123">
        <f t="shared" si="8"/>
        <v>-0.5</v>
      </c>
      <c r="S6" s="40">
        <v>0.64114135787546789</v>
      </c>
      <c r="T6" s="40">
        <f t="shared" si="9"/>
        <v>2.8504158924393758E-2</v>
      </c>
      <c r="U6" s="40">
        <f t="shared" si="10"/>
        <v>-0.5</v>
      </c>
    </row>
    <row r="7" spans="1:21" x14ac:dyDescent="0.3">
      <c r="B7" s="12">
        <v>1.7836032595031082E-4</v>
      </c>
      <c r="C7" s="12">
        <f t="shared" si="0"/>
        <v>1.7832056044296941E-5</v>
      </c>
      <c r="D7" s="12">
        <f t="shared" si="1"/>
        <v>2.365597633818405E-3</v>
      </c>
      <c r="E7" s="12">
        <f t="shared" si="2"/>
        <v>9.99554099185124E-2</v>
      </c>
      <c r="F7" s="12">
        <f t="shared" si="3"/>
        <v>9.9624503700747727E-2</v>
      </c>
      <c r="G7" s="12">
        <f t="shared" si="4"/>
        <v>-5.6921516125681696E-5</v>
      </c>
      <c r="H7" s="12">
        <f t="shared" si="5"/>
        <v>2.3717000684690724E-3</v>
      </c>
      <c r="I7" s="12">
        <f t="shared" si="6"/>
        <v>4.1364216802630336E-4</v>
      </c>
      <c r="J7" s="12">
        <f t="shared" si="7"/>
        <v>-2.3360359563804785E-3</v>
      </c>
      <c r="M7" s="123">
        <f t="shared" si="8"/>
        <v>-0.5</v>
      </c>
      <c r="S7" s="40">
        <v>0.76936962945056142</v>
      </c>
      <c r="T7" s="40">
        <f t="shared" si="9"/>
        <v>2.718618395532741E-2</v>
      </c>
      <c r="U7" s="40">
        <f t="shared" si="10"/>
        <v>-0.5</v>
      </c>
    </row>
    <row r="8" spans="1:21" x14ac:dyDescent="0.3">
      <c r="B8" s="12">
        <v>2.4276561531888508E-4</v>
      </c>
      <c r="C8" s="12">
        <f t="shared" si="0"/>
        <v>2.4269194638890858E-5</v>
      </c>
      <c r="D8" s="12">
        <f t="shared" si="1"/>
        <v>2.7572227063043524E-3</v>
      </c>
      <c r="E8" s="12">
        <f t="shared" si="2"/>
        <v>9.9939308596170257E-2</v>
      </c>
      <c r="F8" s="12">
        <f t="shared" si="3"/>
        <v>9.9608561631304049E-2</v>
      </c>
      <c r="G8" s="12">
        <f t="shared" si="4"/>
        <v>-3.1423436006662836E-5</v>
      </c>
      <c r="H8" s="12">
        <f t="shared" si="5"/>
        <v>2.7678248103123718E-3</v>
      </c>
      <c r="I8" s="12">
        <f t="shared" si="6"/>
        <v>5.1695466664443304E-4</v>
      </c>
      <c r="J8" s="12">
        <f t="shared" si="7"/>
        <v>-2.71928642103459E-3</v>
      </c>
      <c r="M8" s="123">
        <f t="shared" si="8"/>
        <v>-0.5</v>
      </c>
      <c r="S8" s="40">
        <v>0.89759790102565495</v>
      </c>
      <c r="T8" s="40">
        <f t="shared" si="9"/>
        <v>2.5681054162559579E-2</v>
      </c>
      <c r="U8" s="40">
        <f t="shared" si="10"/>
        <v>-0.5</v>
      </c>
    </row>
    <row r="9" spans="1:21" x14ac:dyDescent="0.3">
      <c r="B9" s="12">
        <v>3.1707769246391848E-4</v>
      </c>
      <c r="C9" s="12">
        <f t="shared" si="0"/>
        <v>3.1695201963509563E-5</v>
      </c>
      <c r="D9" s="12">
        <f t="shared" si="1"/>
        <v>3.1480888964132612E-3</v>
      </c>
      <c r="E9" s="12">
        <f t="shared" si="2"/>
        <v>9.9920730576883998E-2</v>
      </c>
      <c r="F9" s="12">
        <f t="shared" si="3"/>
        <v>9.9590167297992888E-2</v>
      </c>
      <c r="G9" s="12">
        <f t="shared" si="4"/>
        <v>4.0769925888412993E-6</v>
      </c>
      <c r="H9" s="12">
        <f t="shared" si="5"/>
        <v>3.1641853075501459E-3</v>
      </c>
      <c r="I9" s="12">
        <f t="shared" si="6"/>
        <v>6.3007839233899566E-4</v>
      </c>
      <c r="J9" s="12">
        <f t="shared" si="7"/>
        <v>-3.1007949036231264E-3</v>
      </c>
      <c r="M9" s="123">
        <f t="shared" si="8"/>
        <v>-0.5</v>
      </c>
      <c r="S9" s="40">
        <v>1.0258261726007485</v>
      </c>
      <c r="T9" s="40">
        <f t="shared" si="9"/>
        <v>2.4013483735675949E-2</v>
      </c>
      <c r="U9" s="40">
        <f t="shared" si="10"/>
        <v>-0.5</v>
      </c>
    </row>
    <row r="10" spans="1:21" x14ac:dyDescent="0.3">
      <c r="B10" s="12">
        <v>4.0129582101267047E-4</v>
      </c>
      <c r="C10" s="12">
        <f t="shared" si="0"/>
        <v>4.0109452309271768E-5</v>
      </c>
      <c r="D10" s="12">
        <f t="shared" si="1"/>
        <v>3.5381943469263259E-3</v>
      </c>
      <c r="E10" s="12">
        <f t="shared" si="2"/>
        <v>9.989967604474681E-2</v>
      </c>
      <c r="F10" s="12">
        <f t="shared" si="3"/>
        <v>9.9569320856055604E-2</v>
      </c>
      <c r="G10" s="12">
        <f t="shared" si="4"/>
        <v>4.9582037038043857E-5</v>
      </c>
      <c r="H10" s="12">
        <f t="shared" si="5"/>
        <v>3.5607793673657312E-3</v>
      </c>
      <c r="I10" s="12">
        <f t="shared" si="6"/>
        <v>7.5300960498729703E-4</v>
      </c>
      <c r="J10" s="12">
        <f t="shared" si="7"/>
        <v>-3.480560462747188E-3</v>
      </c>
      <c r="M10" s="123">
        <f t="shared" si="8"/>
        <v>-0.5</v>
      </c>
      <c r="S10" s="40">
        <v>1.154054444175842</v>
      </c>
      <c r="T10" s="40">
        <f t="shared" si="9"/>
        <v>2.2210854134983481E-2</v>
      </c>
      <c r="U10" s="40">
        <f t="shared" si="10"/>
        <v>-0.5</v>
      </c>
    </row>
    <row r="11" spans="1:21" x14ac:dyDescent="0.3">
      <c r="B11" s="12">
        <v>4.9541916643136563E-4</v>
      </c>
      <c r="C11" s="12">
        <f t="shared" si="0"/>
        <v>4.9511236624328104E-5</v>
      </c>
      <c r="D11" s="12">
        <f t="shared" si="1"/>
        <v>3.9275370844550125E-3</v>
      </c>
      <c r="E11" s="12">
        <f t="shared" si="2"/>
        <v>9.9876145208392136E-2</v>
      </c>
      <c r="F11" s="12">
        <f t="shared" si="3"/>
        <v>9.9546022481440788E-2</v>
      </c>
      <c r="G11" s="12">
        <f t="shared" si="4"/>
        <v>1.0509386652584159E-4</v>
      </c>
      <c r="H11" s="12">
        <f t="shared" si="5"/>
        <v>3.9576045965663657E-3</v>
      </c>
      <c r="I11" s="12">
        <f t="shared" si="6"/>
        <v>8.8574446633688962E-4</v>
      </c>
      <c r="J11" s="12">
        <f t="shared" si="7"/>
        <v>-3.8585821233177095E-3</v>
      </c>
      <c r="M11" s="123">
        <f t="shared" si="8"/>
        <v>-0.5</v>
      </c>
      <c r="S11" s="40">
        <v>1.2822827157509356</v>
      </c>
      <c r="T11" s="40">
        <f t="shared" si="9"/>
        <v>2.0302764488689163E-2</v>
      </c>
      <c r="U11" s="40">
        <f t="shared" si="10"/>
        <v>-0.5</v>
      </c>
    </row>
    <row r="12" spans="1:21" x14ac:dyDescent="0.3">
      <c r="B12" s="12">
        <v>5.9944679603363138E-4</v>
      </c>
      <c r="C12" s="12">
        <f t="shared" si="0"/>
        <v>5.9899762545703756E-5</v>
      </c>
      <c r="D12" s="12">
        <f t="shared" si="1"/>
        <v>4.3161150196224908E-3</v>
      </c>
      <c r="E12" s="12">
        <f t="shared" si="2"/>
        <v>9.985013830099157E-2</v>
      </c>
      <c r="F12" s="12">
        <f t="shared" si="3"/>
        <v>9.9520272370807267E-2</v>
      </c>
      <c r="G12" s="12">
        <f t="shared" si="4"/>
        <v>1.7061455193951664E-4</v>
      </c>
      <c r="H12" s="12">
        <f t="shared" si="5"/>
        <v>4.3546584017518774E-3</v>
      </c>
      <c r="I12" s="12">
        <f t="shared" si="6"/>
        <v>1.0282790401277462E-3</v>
      </c>
      <c r="J12" s="12">
        <f t="shared" si="7"/>
        <v>-4.2348588766604692E-3</v>
      </c>
      <c r="M12" s="123">
        <f t="shared" si="8"/>
        <v>-0.5</v>
      </c>
      <c r="S12" s="40">
        <v>1.4105109873260291</v>
      </c>
      <c r="T12" s="40">
        <f t="shared" si="9"/>
        <v>1.8320545576033149E-2</v>
      </c>
      <c r="U12" s="40">
        <f t="shared" si="10"/>
        <v>-0.5</v>
      </c>
    </row>
    <row r="13" spans="1:21" x14ac:dyDescent="0.3">
      <c r="B13" s="12">
        <v>7.133776789896018E-4</v>
      </c>
      <c r="C13" s="12">
        <f t="shared" si="0"/>
        <v>7.127415443485009E-5</v>
      </c>
      <c r="D13" s="12">
        <f t="shared" si="1"/>
        <v>4.7039259472645674E-3</v>
      </c>
      <c r="E13" s="12">
        <f t="shared" si="2"/>
        <v>9.9821655580252577E-2</v>
      </c>
      <c r="F13" s="12">
        <f t="shared" si="3"/>
        <v>9.9492070741527647E-2</v>
      </c>
      <c r="G13" s="12">
        <f t="shared" si="4"/>
        <v>2.4614606575815298E-4</v>
      </c>
      <c r="H13" s="12">
        <f t="shared" si="5"/>
        <v>4.7519379895063236E-3</v>
      </c>
      <c r="I13" s="12">
        <f t="shared" si="6"/>
        <v>1.1806092922210507E-3</v>
      </c>
      <c r="J13" s="12">
        <f t="shared" si="7"/>
        <v>-4.6093896806366236E-3</v>
      </c>
      <c r="M13" s="123">
        <f t="shared" si="8"/>
        <v>-0.5</v>
      </c>
      <c r="S13" s="40">
        <v>1.5387392589011226</v>
      </c>
      <c r="T13" s="40">
        <f t="shared" si="9"/>
        <v>1.6296745376759861E-2</v>
      </c>
      <c r="U13" s="40">
        <f t="shared" si="10"/>
        <v>-0.5</v>
      </c>
    </row>
    <row r="14" spans="1:21" x14ac:dyDescent="0.3">
      <c r="B14" s="12">
        <v>8.3721068633602069E-4</v>
      </c>
      <c r="C14" s="12">
        <f t="shared" si="0"/>
        <v>8.3633453416937667E-5</v>
      </c>
      <c r="D14" s="12">
        <f t="shared" si="1"/>
        <v>5.090967546651848E-3</v>
      </c>
      <c r="E14" s="12">
        <f t="shared" si="2"/>
        <v>9.9790697328415973E-2</v>
      </c>
      <c r="F14" s="12">
        <f t="shared" si="3"/>
        <v>9.946141783169217E-2</v>
      </c>
      <c r="G14" s="12">
        <f t="shared" si="4"/>
        <v>3.3169028193694215E-4</v>
      </c>
      <c r="H14" s="12">
        <f t="shared" si="5"/>
        <v>5.1494403666143334E-3</v>
      </c>
      <c r="I14" s="12">
        <f t="shared" si="6"/>
        <v>1.3427310907350993E-3</v>
      </c>
      <c r="J14" s="12">
        <f t="shared" si="7"/>
        <v>-4.9821734597804588E-3</v>
      </c>
      <c r="M14" s="123">
        <f t="shared" si="8"/>
        <v>-0.5</v>
      </c>
      <c r="S14" s="40">
        <v>1.6669675304762162</v>
      </c>
      <c r="T14" s="40">
        <f t="shared" si="9"/>
        <v>1.4264594634190386E-2</v>
      </c>
      <c r="U14" s="40">
        <f t="shared" si="10"/>
        <v>-0.5</v>
      </c>
    </row>
    <row r="15" spans="1:21" x14ac:dyDescent="0.3">
      <c r="B15" s="12">
        <v>9.7094459098767683E-4</v>
      </c>
      <c r="C15" s="12">
        <f t="shared" si="0"/>
        <v>9.6976617423921629E-5</v>
      </c>
      <c r="D15" s="12">
        <f t="shared" si="1"/>
        <v>5.4772373817337967E-3</v>
      </c>
      <c r="E15" s="12">
        <f t="shared" si="2"/>
        <v>9.9757263852253059E-2</v>
      </c>
      <c r="F15" s="12">
        <f t="shared" si="3"/>
        <v>9.9428313900112891E-2</v>
      </c>
      <c r="G15" s="12">
        <f t="shared" si="4"/>
        <v>4.272489757866613E-4</v>
      </c>
      <c r="H15" s="12">
        <f t="shared" si="5"/>
        <v>5.547162340302848E-3</v>
      </c>
      <c r="I15" s="12">
        <f t="shared" si="6"/>
        <v>1.5146402061886922E-3</v>
      </c>
      <c r="J15" s="12">
        <f t="shared" si="7"/>
        <v>-5.3532091054550052E-3</v>
      </c>
      <c r="M15" s="123">
        <f t="shared" si="8"/>
        <v>-0.5</v>
      </c>
      <c r="S15" s="40">
        <v>1.7951958020513097</v>
      </c>
      <c r="T15" s="40">
        <f t="shared" si="9"/>
        <v>1.2257461207335878E-2</v>
      </c>
      <c r="U15" s="40">
        <f t="shared" si="10"/>
        <v>-0.5</v>
      </c>
    </row>
    <row r="16" spans="1:21" x14ac:dyDescent="0.3">
      <c r="B16" s="12">
        <v>1.1145780677496164E-3</v>
      </c>
      <c r="C16" s="12">
        <f t="shared" si="0"/>
        <v>1.1130252124132305E-4</v>
      </c>
      <c r="D16" s="12">
        <f t="shared" si="1"/>
        <v>5.8627329014026962E-3</v>
      </c>
      <c r="E16" s="12">
        <f t="shared" si="2"/>
        <v>9.9721355483062574E-2</v>
      </c>
      <c r="F16" s="12">
        <f t="shared" si="3"/>
        <v>9.9392759226328259E-2</v>
      </c>
      <c r="G16" s="12">
        <f t="shared" si="4"/>
        <v>5.3282382384798352E-4</v>
      </c>
      <c r="H16" s="12">
        <f t="shared" si="5"/>
        <v>5.9451005185062371E-3</v>
      </c>
      <c r="I16" s="12">
        <f t="shared" si="6"/>
        <v>1.6963323116512493E-3</v>
      </c>
      <c r="J16" s="12">
        <f t="shared" si="7"/>
        <v>-5.7224954760235905E-3</v>
      </c>
      <c r="M16" s="123">
        <f t="shared" si="8"/>
        <v>-0.5</v>
      </c>
      <c r="S16" s="40">
        <v>1.9234240736264032</v>
      </c>
      <c r="T16" s="40">
        <f t="shared" si="9"/>
        <v>1.0308302171575089E-2</v>
      </c>
      <c r="U16" s="40">
        <f t="shared" si="10"/>
        <v>-0.5</v>
      </c>
    </row>
    <row r="17" spans="2:21" x14ac:dyDescent="0.3">
      <c r="B17" s="12">
        <v>1.2681096933296887E-3</v>
      </c>
      <c r="C17" s="12">
        <f t="shared" si="0"/>
        <v>1.2660995655867926E-4</v>
      </c>
      <c r="D17" s="12">
        <f t="shared" si="1"/>
        <v>6.2474514397767725E-3</v>
      </c>
      <c r="E17" s="12">
        <f t="shared" si="2"/>
        <v>9.9682972576667556E-2</v>
      </c>
      <c r="F17" s="12">
        <f t="shared" si="3"/>
        <v>9.9354754110608109E-2</v>
      </c>
      <c r="G17" s="12">
        <f t="shared" si="4"/>
        <v>6.4841640376026857E-4</v>
      </c>
      <c r="H17" s="12">
        <f t="shared" si="5"/>
        <v>6.3432513101540034E-3</v>
      </c>
      <c r="I17" s="12">
        <f t="shared" si="6"/>
        <v>1.8878029828991089E-3</v>
      </c>
      <c r="J17" s="12">
        <f t="shared" si="7"/>
        <v>-6.090031397036645E-3</v>
      </c>
      <c r="M17" s="123">
        <f t="shared" si="8"/>
        <v>-0.5</v>
      </c>
      <c r="S17" s="40">
        <v>2.051652345201497</v>
      </c>
      <c r="T17" s="40">
        <f t="shared" si="9"/>
        <v>8.4491226643877947E-3</v>
      </c>
      <c r="U17" s="40">
        <f t="shared" si="10"/>
        <v>-0.5</v>
      </c>
    </row>
    <row r="18" spans="2:21" x14ac:dyDescent="0.3">
      <c r="B18" s="12">
        <v>1.4315379463535338E-3</v>
      </c>
      <c r="C18" s="12">
        <f t="shared" si="0"/>
        <v>1.4289763202387211E-4</v>
      </c>
      <c r="D18" s="12">
        <f t="shared" si="1"/>
        <v>6.6313902165078455E-3</v>
      </c>
      <c r="E18" s="12">
        <f t="shared" si="2"/>
        <v>9.9642115513411594E-2</v>
      </c>
      <c r="F18" s="12">
        <f t="shared" si="3"/>
        <v>9.9314298873958845E-2</v>
      </c>
      <c r="G18" s="12">
        <f t="shared" si="4"/>
        <v>7.7402819412643222E-4</v>
      </c>
      <c r="H18" s="12">
        <f t="shared" si="5"/>
        <v>6.7416109254866382E-3</v>
      </c>
      <c r="I18" s="12">
        <f t="shared" si="6"/>
        <v>2.0890476985806353E-3</v>
      </c>
      <c r="J18" s="12">
        <f t="shared" si="7"/>
        <v>-6.4558156614388943E-3</v>
      </c>
      <c r="M18" s="123">
        <f t="shared" si="8"/>
        <v>-0.5</v>
      </c>
      <c r="S18" s="40">
        <v>2.1798806167765905</v>
      </c>
      <c r="T18" s="40">
        <f t="shared" si="9"/>
        <v>6.7104503618822279E-3</v>
      </c>
      <c r="U18" s="40">
        <f t="shared" si="10"/>
        <v>-0.5</v>
      </c>
    </row>
    <row r="19" spans="2:21" x14ac:dyDescent="0.3">
      <c r="B19" s="12">
        <v>1.6048612073787938E-3</v>
      </c>
      <c r="C19" s="12">
        <f t="shared" si="0"/>
        <v>1.6016417330101069E-4</v>
      </c>
      <c r="D19" s="12">
        <f t="shared" si="1"/>
        <v>7.0145463371050478E-3</v>
      </c>
      <c r="E19" s="12">
        <f t="shared" si="2"/>
        <v>9.9598784698155279E-2</v>
      </c>
      <c r="F19" s="12">
        <f t="shared" si="3"/>
        <v>9.9271393858129248E-2</v>
      </c>
      <c r="G19" s="12">
        <f t="shared" si="4"/>
        <v>9.0966057437153369E-4</v>
      </c>
      <c r="H19" s="12">
        <f t="shared" si="5"/>
        <v>7.1401753763908849E-3</v>
      </c>
      <c r="I19" s="12">
        <f t="shared" si="6"/>
        <v>2.3000618403860541E-3</v>
      </c>
      <c r="J19" s="12">
        <f t="shared" si="7"/>
        <v>-6.8198470297888636E-3</v>
      </c>
      <c r="M19" s="123">
        <f t="shared" si="8"/>
        <v>-0.5</v>
      </c>
      <c r="S19" s="40">
        <v>2.308108888351684</v>
      </c>
      <c r="T19" s="40">
        <f t="shared" si="9"/>
        <v>5.1208342151973368E-3</v>
      </c>
      <c r="U19" s="40">
        <f t="shared" si="10"/>
        <v>-0.5</v>
      </c>
    </row>
    <row r="20" spans="2:21" x14ac:dyDescent="0.3">
      <c r="B20" s="12">
        <v>1.7880777589119878E-3</v>
      </c>
      <c r="C20" s="12">
        <f t="shared" si="0"/>
        <v>1.7840812313220931E-4</v>
      </c>
      <c r="D20" s="12">
        <f t="shared" si="1"/>
        <v>7.3969167932832142E-3</v>
      </c>
      <c r="E20" s="12">
        <f t="shared" si="2"/>
        <v>9.9552980560271981E-2</v>
      </c>
      <c r="F20" s="12">
        <f t="shared" si="3"/>
        <v>9.9226039425616322E-2</v>
      </c>
      <c r="G20" s="12">
        <f t="shared" si="4"/>
        <v>1.0553148245976969E-3</v>
      </c>
      <c r="H20" s="12">
        <f t="shared" si="5"/>
        <v>7.5389404767633198E-3</v>
      </c>
      <c r="I20" s="12">
        <f t="shared" si="6"/>
        <v>2.5208406932262788E-3</v>
      </c>
      <c r="J20" s="12">
        <f t="shared" si="7"/>
        <v>-7.1821242304989019E-3</v>
      </c>
      <c r="M20" s="123">
        <f t="shared" si="8"/>
        <v>-0.5</v>
      </c>
      <c r="S20" s="40">
        <v>2.4363371599267776</v>
      </c>
      <c r="T20" s="40">
        <f t="shared" si="9"/>
        <v>3.7063756775143754E-3</v>
      </c>
      <c r="U20" s="40">
        <f t="shared" si="10"/>
        <v>-0.5</v>
      </c>
    </row>
    <row r="21" spans="2:21" x14ac:dyDescent="0.3">
      <c r="B21" s="12">
        <v>1.9811857854247217E-3</v>
      </c>
      <c r="C21" s="12">
        <f t="shared" si="0"/>
        <v>1.9762794140292602E-4</v>
      </c>
      <c r="D21" s="12">
        <f t="shared" si="1"/>
        <v>7.7784984633279784E-3</v>
      </c>
      <c r="E21" s="12">
        <f t="shared" si="2"/>
        <v>9.9504703553643797E-2</v>
      </c>
      <c r="F21" s="12">
        <f t="shared" si="3"/>
        <v>9.9178235959671845E-2</v>
      </c>
      <c r="G21" s="12">
        <f t="shared" si="4"/>
        <v>1.2109921254328452E-3</v>
      </c>
      <c r="H21" s="12">
        <f t="shared" si="5"/>
        <v>7.9379018428940122E-3</v>
      </c>
      <c r="I21" s="12">
        <f t="shared" si="6"/>
        <v>2.7513794454165981E-3</v>
      </c>
      <c r="J21" s="12">
        <f t="shared" si="7"/>
        <v>-7.5426459600881606E-3</v>
      </c>
      <c r="M21" s="123">
        <f t="shared" si="8"/>
        <v>-0.5</v>
      </c>
      <c r="S21" s="40">
        <v>2.5645654315018711</v>
      </c>
      <c r="T21" s="40">
        <f t="shared" si="9"/>
        <v>2.4903001189172805E-3</v>
      </c>
      <c r="U21" s="40">
        <f t="shared" si="10"/>
        <v>-0.5</v>
      </c>
    </row>
    <row r="22" spans="2:21" x14ac:dyDescent="0.3">
      <c r="B22" s="12">
        <v>2.1841833733722282E-3</v>
      </c>
      <c r="C22" s="12">
        <f t="shared" si="0"/>
        <v>2.1782200521115833E-4</v>
      </c>
      <c r="D22" s="12">
        <f t="shared" si="1"/>
        <v>8.1592881124843298E-3</v>
      </c>
      <c r="E22" s="12">
        <f t="shared" si="2"/>
        <v>9.9453954156656921E-2</v>
      </c>
      <c r="F22" s="12">
        <f t="shared" si="3"/>
        <v>9.9127983864309016E-2</v>
      </c>
      <c r="G22" s="12">
        <f t="shared" si="4"/>
        <v>1.3766935578756084E-3</v>
      </c>
      <c r="H22" s="12">
        <f t="shared" si="5"/>
        <v>8.3370548938772639E-3</v>
      </c>
      <c r="I22" s="12">
        <f t="shared" si="6"/>
        <v>2.9916731888688479E-3</v>
      </c>
      <c r="J22" s="12">
        <f t="shared" si="7"/>
        <v>-7.9014108834549457E-3</v>
      </c>
      <c r="M22" s="123">
        <f t="shared" si="8"/>
        <v>-0.5</v>
      </c>
      <c r="S22" s="40">
        <v>2.6927937030769646</v>
      </c>
      <c r="T22" s="40">
        <f t="shared" si="9"/>
        <v>1.4925754664579943E-3</v>
      </c>
      <c r="U22" s="40">
        <f t="shared" si="10"/>
        <v>-0.5</v>
      </c>
    </row>
    <row r="23" spans="2:21" x14ac:dyDescent="0.3">
      <c r="B23" s="12">
        <v>2.3970685112121304E-3</v>
      </c>
      <c r="C23" s="12">
        <f t="shared" si="0"/>
        <v>2.389886089402824E-4</v>
      </c>
      <c r="D23" s="12">
        <f t="shared" si="1"/>
        <v>8.5392823933638212E-3</v>
      </c>
      <c r="E23" s="12">
        <f t="shared" si="2"/>
        <v>9.9400732872196945E-2</v>
      </c>
      <c r="F23" s="12">
        <f t="shared" si="3"/>
        <v>9.9075283564309571E-2</v>
      </c>
      <c r="G23" s="12">
        <f t="shared" si="4"/>
        <v>1.5524201031347938E-3</v>
      </c>
      <c r="H23" s="12">
        <f t="shared" si="5"/>
        <v>8.7363948520444556E-3</v>
      </c>
      <c r="I23" s="12">
        <f t="shared" si="6"/>
        <v>3.241716919289467E-3</v>
      </c>
      <c r="J23" s="12">
        <f t="shared" si="7"/>
        <v>-8.2584176341638903E-3</v>
      </c>
      <c r="M23" s="123">
        <f t="shared" si="8"/>
        <v>-0.5</v>
      </c>
      <c r="S23" s="40">
        <v>2.8210219746520582</v>
      </c>
      <c r="T23" s="40">
        <f t="shared" si="9"/>
        <v>7.295843313463112E-4</v>
      </c>
      <c r="U23" s="40">
        <f t="shared" si="10"/>
        <v>-0.5</v>
      </c>
    </row>
    <row r="24" spans="2:21" x14ac:dyDescent="0.3">
      <c r="B24" s="12">
        <v>2.619839089424536E-3</v>
      </c>
      <c r="C24" s="12">
        <f t="shared" si="0"/>
        <v>2.6112596433564396E-4</v>
      </c>
      <c r="D24" s="12">
        <f t="shared" si="1"/>
        <v>8.9184778463727889E-3</v>
      </c>
      <c r="E24" s="12">
        <f t="shared" si="2"/>
        <v>9.9345040227643844E-2</v>
      </c>
      <c r="F24" s="12">
        <f t="shared" si="3"/>
        <v>9.9020135505231185E-2</v>
      </c>
      <c r="G24" s="12">
        <f t="shared" si="4"/>
        <v>1.738172642464332E-3</v>
      </c>
      <c r="H24" s="12">
        <f t="shared" si="5"/>
        <v>9.1359167434214694E-3</v>
      </c>
      <c r="I24" s="12">
        <f t="shared" si="6"/>
        <v>3.5015055363847398E-3</v>
      </c>
      <c r="J24" s="12">
        <f t="shared" si="7"/>
        <v>-8.6136648147501823E-3</v>
      </c>
      <c r="M24" s="123">
        <f t="shared" si="8"/>
        <v>-0.5</v>
      </c>
      <c r="S24" s="40">
        <v>2.9492502462271517</v>
      </c>
      <c r="T24" s="40">
        <f t="shared" si="9"/>
        <v>2.1385500692673584E-4</v>
      </c>
      <c r="U24" s="40">
        <f t="shared" si="10"/>
        <v>-0.5</v>
      </c>
    </row>
    <row r="25" spans="2:21" x14ac:dyDescent="0.3">
      <c r="B25" s="12">
        <v>2.8524929005325772E-3</v>
      </c>
      <c r="C25" s="12">
        <f t="shared" si="0"/>
        <v>2.8423220058480906E-4</v>
      </c>
      <c r="D25" s="12">
        <f t="shared" si="1"/>
        <v>9.2968709001598343E-3</v>
      </c>
      <c r="E25" s="12">
        <f t="shared" si="2"/>
        <v>9.9286876774866833E-2</v>
      </c>
      <c r="F25" s="12">
        <f t="shared" si="3"/>
        <v>9.8962540153415379E-2</v>
      </c>
      <c r="G25" s="12">
        <f t="shared" si="4"/>
        <v>1.9339519569930069E-3</v>
      </c>
      <c r="H25" s="12">
        <f t="shared" si="5"/>
        <v>9.5356153982088365E-3</v>
      </c>
      <c r="I25" s="12">
        <f t="shared" si="6"/>
        <v>3.7710338440721473E-3</v>
      </c>
      <c r="J25" s="12">
        <f t="shared" si="7"/>
        <v>-8.9671509970392169E-3</v>
      </c>
      <c r="M25" s="123">
        <f t="shared" si="8"/>
        <v>-0.5</v>
      </c>
      <c r="S25" s="40">
        <v>3.0774785178022452</v>
      </c>
      <c r="T25" s="40">
        <f t="shared" si="9"/>
        <v>-4.6144245551868644E-5</v>
      </c>
      <c r="U25" s="40">
        <f t="shared" si="10"/>
        <v>-0.5</v>
      </c>
    </row>
    <row r="26" spans="2:21" x14ac:dyDescent="0.3">
      <c r="B26" s="12">
        <v>3.0950276391248366E-3</v>
      </c>
      <c r="C26" s="12">
        <f t="shared" si="0"/>
        <v>3.0830536440161531E-4</v>
      </c>
      <c r="D26" s="12">
        <f t="shared" si="1"/>
        <v>9.6744578720849694E-3</v>
      </c>
      <c r="E26" s="12">
        <f t="shared" si="2"/>
        <v>9.9226243090218769E-2</v>
      </c>
      <c r="F26" s="12">
        <f t="shared" si="3"/>
        <v>9.8902497995995556E-2</v>
      </c>
      <c r="G26" s="12">
        <f t="shared" si="4"/>
        <v>2.1397587275502165E-3</v>
      </c>
      <c r="H26" s="12">
        <f t="shared" si="5"/>
        <v>9.9354854512871751E-3</v>
      </c>
      <c r="I26" s="12">
        <f t="shared" si="6"/>
        <v>4.0502965506994566E-3</v>
      </c>
      <c r="J26" s="12">
        <f t="shared" si="7"/>
        <v>-9.3188747224839455E-3</v>
      </c>
      <c r="M26" s="123">
        <f t="shared" si="8"/>
        <v>-0.5</v>
      </c>
      <c r="S26" s="40">
        <v>3.2057067893773388</v>
      </c>
      <c r="T26" s="40">
        <f t="shared" si="9"/>
        <v>-4.6144245551872168E-5</v>
      </c>
      <c r="U26" s="40">
        <f t="shared" si="10"/>
        <v>-0.5</v>
      </c>
    </row>
    <row r="27" spans="2:21" x14ac:dyDescent="0.3">
      <c r="B27" s="12">
        <v>3.3474409018774409E-3</v>
      </c>
      <c r="C27" s="12">
        <f t="shared" si="0"/>
        <v>3.3334342011379878E-4</v>
      </c>
      <c r="D27" s="12">
        <f t="shared" si="1"/>
        <v>1.0051234968706644E-2</v>
      </c>
      <c r="E27" s="12">
        <f t="shared" si="2"/>
        <v>9.9163139774530618E-2</v>
      </c>
      <c r="F27" s="12">
        <f t="shared" si="3"/>
        <v>9.8840009540905716E-2</v>
      </c>
      <c r="G27" s="12">
        <f t="shared" si="4"/>
        <v>2.3555935344859438E-3</v>
      </c>
      <c r="H27" s="12">
        <f t="shared" si="5"/>
        <v>1.0335521342743941E-2</v>
      </c>
      <c r="I27" s="12">
        <f t="shared" si="6"/>
        <v>4.339288269268938E-3</v>
      </c>
      <c r="J27" s="12">
        <f t="shared" si="7"/>
        <v>-9.6688345025163422E-3</v>
      </c>
      <c r="M27" s="123">
        <f t="shared" si="8"/>
        <v>-0.5</v>
      </c>
      <c r="S27" s="40">
        <v>3.3339350609524323</v>
      </c>
      <c r="T27" s="40">
        <f t="shared" si="9"/>
        <v>2.1385500692672703E-4</v>
      </c>
      <c r="U27" s="40">
        <f t="shared" si="10"/>
        <v>-0.5</v>
      </c>
    </row>
    <row r="28" spans="2:21" x14ac:dyDescent="0.3">
      <c r="B28" s="12">
        <v>3.609730187578708E-3</v>
      </c>
      <c r="C28" s="12">
        <f t="shared" si="0"/>
        <v>3.5934424975448114E-4</v>
      </c>
      <c r="D28" s="12">
        <f t="shared" si="1"/>
        <v>1.0427198286291239E-2</v>
      </c>
      <c r="E28" s="12">
        <f t="shared" si="2"/>
        <v>9.9097567453105301E-2</v>
      </c>
      <c r="F28" s="12">
        <f t="shared" si="3"/>
        <v>9.8775075316889047E-2</v>
      </c>
      <c r="G28" s="12">
        <f t="shared" si="4"/>
        <v>2.5814568574874163E-3</v>
      </c>
      <c r="H28" s="12">
        <f t="shared" si="5"/>
        <v>1.0735717318426305E-2</v>
      </c>
      <c r="I28" s="12">
        <f t="shared" si="6"/>
        <v>4.6380035176699997E-3</v>
      </c>
      <c r="J28" s="12">
        <f t="shared" si="7"/>
        <v>-1.0017028818917344E-2</v>
      </c>
      <c r="M28" s="123">
        <f t="shared" si="8"/>
        <v>-0.5</v>
      </c>
      <c r="S28" s="40">
        <v>3.4621633325275258</v>
      </c>
      <c r="T28" s="40">
        <f t="shared" si="9"/>
        <v>7.2958433134629895E-4</v>
      </c>
      <c r="U28" s="40">
        <f t="shared" si="10"/>
        <v>-0.5</v>
      </c>
    </row>
    <row r="29" spans="2:21" x14ac:dyDescent="0.3">
      <c r="B29" s="12">
        <v>3.8818928971533495E-3</v>
      </c>
      <c r="C29" s="12">
        <f t="shared" si="0"/>
        <v>3.8630565315721368E-4</v>
      </c>
      <c r="D29" s="12">
        <f t="shared" si="1"/>
        <v>1.0802343811340155E-2</v>
      </c>
      <c r="E29" s="12">
        <f t="shared" si="2"/>
        <v>9.902952677571164E-2</v>
      </c>
      <c r="F29" s="12">
        <f t="shared" si="3"/>
        <v>9.8707695873507348E-2</v>
      </c>
      <c r="G29" s="12">
        <f t="shared" si="4"/>
        <v>2.8173490753899662E-3</v>
      </c>
      <c r="H29" s="12">
        <f t="shared" si="5"/>
        <v>1.113606743051509E-2</v>
      </c>
      <c r="I29" s="12">
        <f t="shared" si="6"/>
        <v>4.9464367189167328E-3</v>
      </c>
      <c r="J29" s="12">
        <f t="shared" si="7"/>
        <v>-1.0363456124200662E-2</v>
      </c>
      <c r="M29" s="123">
        <f t="shared" si="8"/>
        <v>-0.5</v>
      </c>
      <c r="S29" s="40">
        <v>3.5903916041026194</v>
      </c>
      <c r="T29" s="40">
        <f t="shared" si="9"/>
        <v>1.4925754664579765E-3</v>
      </c>
      <c r="U29" s="40">
        <f t="shared" si="10"/>
        <v>-0.5</v>
      </c>
    </row>
    <row r="30" spans="2:21" x14ac:dyDescent="0.3">
      <c r="B30" s="12">
        <v>4.1639263336883392E-3</v>
      </c>
      <c r="C30" s="12">
        <f t="shared" si="0"/>
        <v>4.1422534805478595E-4</v>
      </c>
      <c r="D30" s="12">
        <f t="shared" si="1"/>
        <v>1.1176667421137791E-2</v>
      </c>
      <c r="E30" s="12">
        <f t="shared" si="2"/>
        <v>9.8959018416577893E-2</v>
      </c>
      <c r="F30" s="12">
        <f t="shared" si="3"/>
        <v>9.8637871781150549E-2</v>
      </c>
      <c r="G30" s="12">
        <f t="shared" si="4"/>
        <v>3.0632704659839163E-3</v>
      </c>
      <c r="H30" s="12">
        <f t="shared" si="5"/>
        <v>1.1536565538123182E-2</v>
      </c>
      <c r="I30" s="12">
        <f t="shared" si="6"/>
        <v>5.2645822013927621E-3</v>
      </c>
      <c r="J30" s="12">
        <f t="shared" si="7"/>
        <v>-1.0708114842013611E-2</v>
      </c>
      <c r="M30" s="123">
        <f t="shared" si="8"/>
        <v>-0.5</v>
      </c>
      <c r="S30" s="40">
        <v>3.7186198756777129</v>
      </c>
      <c r="T30" s="40">
        <f t="shared" si="9"/>
        <v>2.4903001189172593E-3</v>
      </c>
      <c r="U30" s="40">
        <f t="shared" si="10"/>
        <v>-0.5</v>
      </c>
    </row>
    <row r="31" spans="2:21" x14ac:dyDescent="0.3">
      <c r="B31" s="12">
        <v>4.4558277024601134E-3</v>
      </c>
      <c r="C31" s="12">
        <f t="shared" si="0"/>
        <v>4.4310097018175989E-4</v>
      </c>
      <c r="D31" s="12">
        <f t="shared" si="1"/>
        <v>1.155016488431956E-2</v>
      </c>
      <c r="E31" s="12">
        <f t="shared" si="2"/>
        <v>9.8886043074384949E-2</v>
      </c>
      <c r="F31" s="12">
        <f t="shared" si="3"/>
        <v>9.8565603631046494E-2</v>
      </c>
      <c r="G31" s="12">
        <f t="shared" si="4"/>
        <v>3.3192212058172918E-3</v>
      </c>
      <c r="H31" s="12">
        <f t="shared" si="5"/>
        <v>1.1937205307917607E-2</v>
      </c>
      <c r="I31" s="12">
        <f t="shared" si="6"/>
        <v>5.592434199102935E-3</v>
      </c>
      <c r="J31" s="12">
        <f t="shared" si="7"/>
        <v>-1.1051003367554088E-2</v>
      </c>
      <c r="M31" s="123">
        <f t="shared" si="8"/>
        <v>-0.5</v>
      </c>
      <c r="S31" s="40">
        <v>3.8468481472528064</v>
      </c>
      <c r="T31" s="40">
        <f t="shared" si="9"/>
        <v>3.7063756775143489E-3</v>
      </c>
      <c r="U31" s="40">
        <f t="shared" si="10"/>
        <v>-0.5</v>
      </c>
    </row>
    <row r="32" spans="2:21" x14ac:dyDescent="0.3">
      <c r="B32" s="12">
        <v>4.7575941109612163E-3</v>
      </c>
      <c r="C32" s="12">
        <f t="shared" si="0"/>
        <v>4.7293007338053991E-4</v>
      </c>
      <c r="D32" s="12">
        <f t="shared" si="1"/>
        <v>1.1922831861457497E-2</v>
      </c>
      <c r="E32" s="12">
        <f t="shared" si="2"/>
        <v>9.8810601472259674E-2</v>
      </c>
      <c r="F32" s="12">
        <f t="shared" si="3"/>
        <v>9.8490892035271477E-2</v>
      </c>
      <c r="G32" s="12">
        <f t="shared" si="4"/>
        <v>3.5852013699927349E-3</v>
      </c>
      <c r="H32" s="12">
        <f t="shared" si="5"/>
        <v>1.23379802147626E-2</v>
      </c>
      <c r="I32" s="12">
        <f t="shared" si="6"/>
        <v>5.9299868519296977E-3</v>
      </c>
      <c r="J32" s="12">
        <f t="shared" si="7"/>
        <v>-1.1392120068001521E-2</v>
      </c>
      <c r="M32" s="123">
        <f t="shared" si="8"/>
        <v>-0.5</v>
      </c>
      <c r="S32" s="40">
        <v>3.9750764188279</v>
      </c>
      <c r="T32" s="40">
        <f t="shared" si="9"/>
        <v>5.1208342151973082E-3</v>
      </c>
      <c r="U32" s="40">
        <f t="shared" si="10"/>
        <v>-0.5</v>
      </c>
    </row>
    <row r="33" spans="2:21" x14ac:dyDescent="0.3">
      <c r="B33" s="12">
        <v>5.0692225689300541E-3</v>
      </c>
      <c r="C33" s="12">
        <f t="shared" si="0"/>
        <v>5.037101297113366E-4</v>
      </c>
      <c r="D33" s="12">
        <f t="shared" si="1"/>
        <v>1.2294663905668047E-2</v>
      </c>
      <c r="E33" s="12">
        <f t="shared" si="2"/>
        <v>9.8732694357767464E-2</v>
      </c>
      <c r="F33" s="12">
        <f t="shared" si="3"/>
        <v>9.841373762676052E-2</v>
      </c>
      <c r="G33" s="12">
        <f t="shared" si="4"/>
        <v>3.8612109319619004E-3</v>
      </c>
      <c r="H33" s="12">
        <f t="shared" si="5"/>
        <v>1.2738883542388665E-2</v>
      </c>
      <c r="I33" s="12">
        <f t="shared" si="6"/>
        <v>6.2772342058982078E-3</v>
      </c>
      <c r="J33" s="12">
        <f t="shared" si="7"/>
        <v>-1.1731463282965992E-2</v>
      </c>
      <c r="M33" s="123">
        <f t="shared" si="8"/>
        <v>-0.5</v>
      </c>
      <c r="S33" s="40">
        <v>4.1033046904029939</v>
      </c>
      <c r="T33" s="40">
        <f t="shared" si="9"/>
        <v>6.7104503618822019E-3</v>
      </c>
      <c r="U33" s="40">
        <f t="shared" si="10"/>
        <v>-0.5</v>
      </c>
    </row>
    <row r="34" spans="2:21" x14ac:dyDescent="0.3">
      <c r="B34" s="12">
        <v>5.3907099883800935E-3</v>
      </c>
      <c r="C34" s="12">
        <f t="shared" si="0"/>
        <v>5.3543852956565669E-4</v>
      </c>
      <c r="D34" s="12">
        <f t="shared" si="1"/>
        <v>1.2665656463237219E-2</v>
      </c>
      <c r="E34" s="12">
        <f t="shared" si="2"/>
        <v>9.8652322502904954E-2</v>
      </c>
      <c r="F34" s="12">
        <f t="shared" si="3"/>
        <v>9.8334141059318494E-2</v>
      </c>
      <c r="G34" s="12">
        <f t="shared" si="4"/>
        <v>4.1472497633141623E-3</v>
      </c>
      <c r="H34" s="12">
        <f t="shared" si="5"/>
        <v>1.3139908384082414E-2</v>
      </c>
      <c r="I34" s="12">
        <f t="shared" si="6"/>
        <v>6.6341702134460247E-3</v>
      </c>
      <c r="J34" s="12">
        <f t="shared" si="7"/>
        <v>-1.2069031324951102E-2</v>
      </c>
      <c r="M34" s="123">
        <f t="shared" si="8"/>
        <v>-0.5</v>
      </c>
      <c r="S34" s="40">
        <v>4.2315329619780879</v>
      </c>
      <c r="T34" s="40">
        <f t="shared" si="9"/>
        <v>8.4491226643877738E-3</v>
      </c>
      <c r="U34" s="40">
        <f t="shared" si="10"/>
        <v>-0.5</v>
      </c>
    </row>
    <row r="35" spans="2:21" x14ac:dyDescent="0.3">
      <c r="B35" s="12">
        <v>5.7220531836302824E-3</v>
      </c>
      <c r="C35" s="12">
        <f t="shared" si="0"/>
        <v>5.6811258178349146E-4</v>
      </c>
      <c r="D35" s="12">
        <f t="shared" si="1"/>
        <v>1.3035804874265351E-2</v>
      </c>
      <c r="E35" s="12">
        <f t="shared" si="2"/>
        <v>9.8569486704092407E-2</v>
      </c>
      <c r="F35" s="12">
        <f t="shared" si="3"/>
        <v>9.8252103007631417E-2</v>
      </c>
      <c r="G35" s="12">
        <f t="shared" si="4"/>
        <v>4.4433176335612534E-3</v>
      </c>
      <c r="H35" s="12">
        <f t="shared" si="5"/>
        <v>1.3541047643399655E-2</v>
      </c>
      <c r="I35" s="12">
        <f t="shared" si="6"/>
        <v>7.0007887336993114E-3</v>
      </c>
      <c r="J35" s="12">
        <f t="shared" si="7"/>
        <v>-1.2404822479832671E-2</v>
      </c>
      <c r="M35" s="123">
        <f t="shared" si="8"/>
        <v>-0.5</v>
      </c>
      <c r="S35" s="40">
        <v>4.3597612335531819</v>
      </c>
      <c r="T35" s="40">
        <f t="shared" si="9"/>
        <v>1.0308302171575068E-2</v>
      </c>
      <c r="U35" s="40">
        <f t="shared" si="10"/>
        <v>-0.5</v>
      </c>
    </row>
    <row r="36" spans="2:21" x14ac:dyDescent="0.3">
      <c r="B36" s="12">
        <v>6.0632488713366905E-3</v>
      </c>
      <c r="C36" s="12">
        <f t="shared" si="0"/>
        <v>6.0172951377419827E-4</v>
      </c>
      <c r="D36" s="12">
        <f t="shared" si="1"/>
        <v>1.3405104373331219E-2</v>
      </c>
      <c r="E36" s="12">
        <f t="shared" si="2"/>
        <v>9.8484187782165805E-2</v>
      </c>
      <c r="F36" s="12">
        <f t="shared" si="3"/>
        <v>9.816762416727802E-2</v>
      </c>
      <c r="G36" s="12">
        <f t="shared" si="4"/>
        <v>4.7494142099178986E-3</v>
      </c>
      <c r="H36" s="12">
        <f t="shared" si="5"/>
        <v>1.3942294034901419E-2</v>
      </c>
      <c r="I36" s="12">
        <f t="shared" si="6"/>
        <v>7.3770835327554825E-3</v>
      </c>
      <c r="J36" s="12">
        <f t="shared" si="7"/>
        <v>-1.2738835007353021E-2</v>
      </c>
      <c r="M36" s="123">
        <f t="shared" si="8"/>
        <v>-0.5</v>
      </c>
      <c r="S36" s="40">
        <v>4.4879895051282759</v>
      </c>
      <c r="T36" s="40">
        <f t="shared" si="9"/>
        <v>1.2257461207335865E-2</v>
      </c>
      <c r="U36" s="40">
        <f t="shared" si="10"/>
        <v>-0.5</v>
      </c>
    </row>
    <row r="37" spans="2:21" x14ac:dyDescent="0.3">
      <c r="B37" s="12">
        <v>6.4142936705253728E-3</v>
      </c>
      <c r="C37" s="12">
        <f t="shared" si="0"/>
        <v>6.3628647164106953E-4</v>
      </c>
      <c r="D37" s="12">
        <f t="shared" si="1"/>
        <v>1.3773550090175451E-2</v>
      </c>
      <c r="E37" s="12">
        <f t="shared" si="2"/>
        <v>9.8396426582368635E-2</v>
      </c>
      <c r="F37" s="12">
        <f t="shared" si="3"/>
        <v>9.8080705254741704E-2</v>
      </c>
      <c r="G37" s="12">
        <f t="shared" si="4"/>
        <v>5.0655390570784999E-3</v>
      </c>
      <c r="H37" s="12">
        <f t="shared" si="5"/>
        <v>1.4343640084912962E-2</v>
      </c>
      <c r="I37" s="12">
        <f t="shared" si="6"/>
        <v>7.7630482839722457E-3</v>
      </c>
      <c r="J37" s="12">
        <f t="shared" si="7"/>
        <v>-1.3071067141630822E-2</v>
      </c>
      <c r="M37" s="123">
        <f t="shared" si="8"/>
        <v>-0.5</v>
      </c>
      <c r="S37" s="40">
        <v>4.6162177767033699</v>
      </c>
      <c r="T37" s="40">
        <f t="shared" si="9"/>
        <v>1.4264594634190379E-2</v>
      </c>
      <c r="U37" s="40">
        <f t="shared" si="10"/>
        <v>-0.5</v>
      </c>
    </row>
    <row r="38" spans="2:21" x14ac:dyDescent="0.3">
      <c r="B38" s="12">
        <v>6.7751841026255644E-3</v>
      </c>
      <c r="C38" s="12">
        <f t="shared" si="0"/>
        <v>6.717805203094976E-4</v>
      </c>
      <c r="D38" s="12">
        <f t="shared" si="1"/>
        <v>1.4141137050402037E-2</v>
      </c>
      <c r="E38" s="12">
        <f t="shared" si="2"/>
        <v>9.8306203974343587E-2</v>
      </c>
      <c r="F38" s="12">
        <f t="shared" si="3"/>
        <v>9.7991347007422847E-2</v>
      </c>
      <c r="G38" s="12">
        <f t="shared" si="4"/>
        <v>5.3916916369891547E-3</v>
      </c>
      <c r="H38" s="12">
        <f t="shared" si="5"/>
        <v>1.4745078132304367E-2</v>
      </c>
      <c r="I38" s="12">
        <f t="shared" si="6"/>
        <v>8.1586765682619741E-3</v>
      </c>
      <c r="J38" s="12">
        <f t="shared" si="7"/>
        <v>-1.3401517091685373E-2</v>
      </c>
      <c r="M38" s="123">
        <f t="shared" si="8"/>
        <v>-0.5</v>
      </c>
      <c r="S38" s="40">
        <v>4.7444460482784638</v>
      </c>
      <c r="T38" s="40">
        <f t="shared" si="9"/>
        <v>1.6296745376759861E-2</v>
      </c>
      <c r="U38" s="40">
        <f t="shared" si="10"/>
        <v>-0.5</v>
      </c>
    </row>
    <row r="39" spans="2:21" x14ac:dyDescent="0.3">
      <c r="B39" s="12">
        <v>7.1459165915040979E-3</v>
      </c>
      <c r="C39" s="12">
        <f t="shared" si="0"/>
        <v>7.0820864365881797E-4</v>
      </c>
      <c r="D39" s="12">
        <f t="shared" si="1"/>
        <v>1.4507860176198916E-2</v>
      </c>
      <c r="E39" s="12">
        <f t="shared" si="2"/>
        <v>9.8213520852123953E-2</v>
      </c>
      <c r="F39" s="12">
        <f t="shared" si="3"/>
        <v>9.7899550183651471E-2</v>
      </c>
      <c r="G39" s="12">
        <f t="shared" si="4"/>
        <v>5.7278713086158419E-3</v>
      </c>
      <c r="H39" s="12">
        <f t="shared" si="5"/>
        <v>1.5146600329293916E-2</v>
      </c>
      <c r="I39" s="12">
        <f t="shared" si="6"/>
        <v>8.5639618743923538E-3</v>
      </c>
      <c r="J39" s="12">
        <f t="shared" si="7"/>
        <v>-1.3730183041976282E-2</v>
      </c>
      <c r="M39" s="123">
        <f t="shared" si="8"/>
        <v>-0.5</v>
      </c>
      <c r="S39" s="40">
        <v>4.8726743198535578</v>
      </c>
      <c r="T39" s="40">
        <f t="shared" si="9"/>
        <v>1.8320545576033156E-2</v>
      </c>
      <c r="U39" s="40">
        <f t="shared" si="10"/>
        <v>-0.5</v>
      </c>
    </row>
    <row r="40" spans="2:21" x14ac:dyDescent="0.3">
      <c r="B40" s="12">
        <v>7.5264874635010415E-3</v>
      </c>
      <c r="C40" s="12">
        <f t="shared" si="0"/>
        <v>7.4556774465782416E-4</v>
      </c>
      <c r="D40" s="12">
        <f t="shared" si="1"/>
        <v>1.4873714287077389E-2</v>
      </c>
      <c r="E40" s="12">
        <f t="shared" si="2"/>
        <v>9.8118378134124717E-2</v>
      </c>
      <c r="F40" s="12">
        <f t="shared" si="3"/>
        <v>9.780531556270014E-2</v>
      </c>
      <c r="G40" s="12">
        <f t="shared" si="4"/>
        <v>6.0740773277088694E-3</v>
      </c>
      <c r="H40" s="12">
        <f t="shared" si="5"/>
        <v>1.5548198642273903E-2</v>
      </c>
      <c r="I40" s="12">
        <f t="shared" si="6"/>
        <v>8.9788975992932136E-3</v>
      </c>
      <c r="J40" s="12">
        <f t="shared" si="7"/>
        <v>-1.4057063152958255E-2</v>
      </c>
      <c r="M40" s="123">
        <f t="shared" si="8"/>
        <v>-0.5</v>
      </c>
      <c r="S40" s="40">
        <v>5.0009025914286518</v>
      </c>
      <c r="T40" s="40">
        <f t="shared" si="9"/>
        <v>2.0302764488689173E-2</v>
      </c>
      <c r="U40" s="40">
        <f t="shared" si="10"/>
        <v>-0.5</v>
      </c>
    </row>
    <row r="41" spans="2:21" x14ac:dyDescent="0.3">
      <c r="B41" s="12">
        <v>7.9168929474660032E-3</v>
      </c>
      <c r="C41" s="12">
        <f t="shared" si="0"/>
        <v>7.8385464550389551E-4</v>
      </c>
      <c r="D41" s="12">
        <f t="shared" si="1"/>
        <v>1.5238694100629682E-2</v>
      </c>
      <c r="E41" s="12">
        <f t="shared" si="2"/>
        <v>9.8020776763133477E-2</v>
      </c>
      <c r="F41" s="12">
        <f t="shared" si="3"/>
        <v>9.7708643944797294E-2</v>
      </c>
      <c r="G41" s="12">
        <f t="shared" si="4"/>
        <v>6.4303088465631269E-3</v>
      </c>
      <c r="H41" s="12">
        <f t="shared" si="5"/>
        <v>1.5949864852658202E-2</v>
      </c>
      <c r="I41" s="12">
        <f t="shared" si="6"/>
        <v>9.4034770483688787E-3</v>
      </c>
      <c r="J41" s="12">
        <f t="shared" si="7"/>
        <v>-1.4382155561650413E-2</v>
      </c>
      <c r="M41" s="123">
        <f t="shared" si="8"/>
        <v>-0.5</v>
      </c>
      <c r="S41" s="40">
        <v>5.1291308630037458</v>
      </c>
      <c r="T41" s="40">
        <f t="shared" si="9"/>
        <v>2.2210854134983502E-2</v>
      </c>
      <c r="U41" s="40">
        <f t="shared" si="10"/>
        <v>-0.5</v>
      </c>
    </row>
    <row r="42" spans="2:21" x14ac:dyDescent="0.3">
      <c r="B42" s="12">
        <v>8.3171291747956566E-3</v>
      </c>
      <c r="C42" s="12">
        <f t="shared" si="0"/>
        <v>8.2306608776578586E-4</v>
      </c>
      <c r="D42" s="12">
        <f t="shared" si="1"/>
        <v>1.5602794233305127E-2</v>
      </c>
      <c r="E42" s="12">
        <f t="shared" si="2"/>
        <v>9.7920717706301064E-2</v>
      </c>
      <c r="F42" s="12">
        <f t="shared" si="3"/>
        <v>9.7609536151140805E-2</v>
      </c>
      <c r="G42" s="12">
        <f t="shared" si="4"/>
        <v>6.7965649137747327E-3</v>
      </c>
      <c r="H42" s="12">
        <f t="shared" si="5"/>
        <v>1.635159055775216E-2</v>
      </c>
      <c r="I42" s="12">
        <f t="shared" si="6"/>
        <v>9.8376934358165805E-3</v>
      </c>
      <c r="J42" s="12">
        <f t="shared" si="7"/>
        <v>-1.470545838222059E-2</v>
      </c>
      <c r="M42" s="123">
        <f t="shared" si="8"/>
        <v>-0.5</v>
      </c>
      <c r="S42" s="40">
        <v>5.2573591345788397</v>
      </c>
      <c r="T42" s="40">
        <f t="shared" si="9"/>
        <v>2.4013483735675977E-2</v>
      </c>
      <c r="U42" s="40">
        <f t="shared" si="10"/>
        <v>-0.5</v>
      </c>
    </row>
    <row r="43" spans="2:21" x14ac:dyDescent="0.3">
      <c r="B43" s="12">
        <v>8.727192179471821E-3</v>
      </c>
      <c r="C43" s="12">
        <f t="shared" si="0"/>
        <v>8.6319873253000261E-4</v>
      </c>
      <c r="D43" s="12">
        <f t="shared" si="1"/>
        <v>1.5966009201204088E-2</v>
      </c>
      <c r="E43" s="12">
        <f t="shared" si="2"/>
        <v>9.7818201955132023E-2</v>
      </c>
      <c r="F43" s="12">
        <f t="shared" si="3"/>
        <v>9.7507993023912026E-2</v>
      </c>
      <c r="G43" s="12">
        <f t="shared" si="4"/>
        <v>7.1728444739935235E-3</v>
      </c>
      <c r="H43" s="12">
        <f t="shared" si="5"/>
        <v>1.6753367171643791E-2</v>
      </c>
      <c r="I43" s="12">
        <f t="shared" si="6"/>
        <v>1.0281539884950119E-2</v>
      </c>
      <c r="J43" s="12">
        <f t="shared" si="7"/>
        <v>-1.5026969706583787E-2</v>
      </c>
      <c r="M43" s="123">
        <f t="shared" si="8"/>
        <v>-0.5</v>
      </c>
      <c r="S43" s="40">
        <v>5.3855874061539337</v>
      </c>
      <c r="T43" s="40">
        <f t="shared" si="9"/>
        <v>2.568105416255961E-2</v>
      </c>
      <c r="U43" s="40">
        <f t="shared" si="10"/>
        <v>-0.5</v>
      </c>
    </row>
    <row r="44" spans="2:21" x14ac:dyDescent="0.3">
      <c r="B44" s="12">
        <v>9.1470778981007639E-3</v>
      </c>
      <c r="C44" s="12">
        <f t="shared" si="0"/>
        <v>9.0424916055083585E-4</v>
      </c>
      <c r="D44" s="12">
        <f t="shared" si="1"/>
        <v>1.6328333420890229E-2</v>
      </c>
      <c r="E44" s="12">
        <f t="shared" si="2"/>
        <v>9.7713230525474787E-2</v>
      </c>
      <c r="F44" s="12">
        <f t="shared" si="3"/>
        <v>9.7404015426289972E-2</v>
      </c>
      <c r="G44" s="12">
        <f t="shared" si="4"/>
        <v>7.5591463676720804E-3</v>
      </c>
      <c r="H44" s="12">
        <f t="shared" si="5"/>
        <v>1.7155185926117037E-2</v>
      </c>
      <c r="I44" s="12">
        <f t="shared" si="6"/>
        <v>1.0735009428529448E-2</v>
      </c>
      <c r="J44" s="12">
        <f t="shared" si="7"/>
        <v>-1.5346687605015365E-2</v>
      </c>
      <c r="M44" s="123">
        <f t="shared" si="8"/>
        <v>-0.5</v>
      </c>
      <c r="S44" s="40">
        <v>5.5138156777290277</v>
      </c>
      <c r="T44" s="40">
        <f t="shared" si="9"/>
        <v>2.7186183955327445E-2</v>
      </c>
      <c r="U44" s="40">
        <f t="shared" si="10"/>
        <v>-0.5</v>
      </c>
    </row>
    <row r="45" spans="2:21" x14ac:dyDescent="0.3">
      <c r="B45" s="12">
        <v>9.5767821699537237E-3</v>
      </c>
      <c r="C45" s="12">
        <f t="shared" si="0"/>
        <v>9.4621387240402923E-4</v>
      </c>
      <c r="D45" s="12">
        <f t="shared" si="1"/>
        <v>1.6689761210220887E-2</v>
      </c>
      <c r="E45" s="12">
        <f t="shared" si="2"/>
        <v>9.7605804457511547E-2</v>
      </c>
      <c r="F45" s="12">
        <f t="shared" si="3"/>
        <v>9.7297604242465946E-2</v>
      </c>
      <c r="G45" s="12">
        <f t="shared" si="4"/>
        <v>7.955469330811352E-3</v>
      </c>
      <c r="H45" s="12">
        <f t="shared" si="5"/>
        <v>1.7557037871586786E-2</v>
      </c>
      <c r="I45" s="12">
        <f t="shared" si="6"/>
        <v>1.1198095009096095E-2</v>
      </c>
      <c r="J45" s="12">
        <f t="shared" si="7"/>
        <v>-1.5664610126778729E-2</v>
      </c>
      <c r="M45" s="123">
        <f t="shared" si="8"/>
        <v>-0.5</v>
      </c>
      <c r="S45" s="40">
        <v>5.6420439493041217</v>
      </c>
      <c r="T45" s="40">
        <f t="shared" si="9"/>
        <v>2.8504158924393785E-2</v>
      </c>
      <c r="U45" s="40">
        <f t="shared" si="10"/>
        <v>-0.5</v>
      </c>
    </row>
    <row r="46" spans="2:21" x14ac:dyDescent="0.3">
      <c r="B46" s="12">
        <v>1.0016300737007988E-2</v>
      </c>
      <c r="C46" s="12">
        <f t="shared" si="0"/>
        <v>9.890892886440252E-4</v>
      </c>
      <c r="D46" s="12">
        <f t="shared" si="1"/>
        <v>1.7050286789194832E-2</v>
      </c>
      <c r="E46" s="12">
        <f t="shared" si="2"/>
        <v>9.7495924815747981E-2</v>
      </c>
      <c r="F46" s="12">
        <f t="shared" si="3"/>
        <v>9.7188760377658404E-2</v>
      </c>
      <c r="G46" s="12">
        <f t="shared" si="4"/>
        <v>8.3618119947023485E-3</v>
      </c>
      <c r="H46" s="12">
        <f t="shared" si="5"/>
        <v>1.7958913878054952E-2</v>
      </c>
      <c r="I46" s="12">
        <f t="shared" si="6"/>
        <v>1.1670789479313628E-2</v>
      </c>
      <c r="J46" s="12">
        <f t="shared" si="7"/>
        <v>-1.5980735300766904E-2</v>
      </c>
      <c r="M46" s="123">
        <f t="shared" si="8"/>
        <v>-0.5</v>
      </c>
      <c r="S46" s="40">
        <v>5.7702722208792157</v>
      </c>
      <c r="T46" s="40">
        <f t="shared" si="9"/>
        <v>2.9613337957203958E-2</v>
      </c>
      <c r="U46" s="40">
        <f t="shared" si="10"/>
        <v>-0.5</v>
      </c>
    </row>
    <row r="47" spans="2:21" x14ac:dyDescent="0.3">
      <c r="B47" s="12">
        <v>1.0465629243989194E-2</v>
      </c>
      <c r="C47" s="12">
        <f t="shared" si="0"/>
        <v>1.032871749964839E-3</v>
      </c>
      <c r="D47" s="12">
        <f t="shared" si="1"/>
        <v>1.74099042808178E-2</v>
      </c>
      <c r="E47" s="12">
        <f t="shared" si="2"/>
        <v>9.7383592689002679E-2</v>
      </c>
      <c r="F47" s="12">
        <f t="shared" si="3"/>
        <v>9.7077484758128163E-2</v>
      </c>
      <c r="G47" s="12">
        <f t="shared" si="4"/>
        <v>8.7781728856646032E-3</v>
      </c>
      <c r="H47" s="12">
        <f t="shared" si="5"/>
        <v>1.8360804636087979E-2</v>
      </c>
      <c r="I47" s="12">
        <f t="shared" si="6"/>
        <v>1.2153085602313785E-2</v>
      </c>
      <c r="J47" s="12">
        <f t="shared" si="7"/>
        <v>-1.6295061136158303E-2</v>
      </c>
      <c r="M47" s="123">
        <f t="shared" si="8"/>
        <v>-0.5</v>
      </c>
      <c r="S47" s="40">
        <v>5.8985004924543096</v>
      </c>
      <c r="T47" s="40">
        <f t="shared" si="9"/>
        <v>3.0495508364704129E-2</v>
      </c>
      <c r="U47" s="40">
        <f t="shared" si="10"/>
        <v>-0.5</v>
      </c>
    </row>
    <row r="48" spans="2:21" x14ac:dyDescent="0.3">
      <c r="B48" s="12">
        <v>1.092476323841407E-2</v>
      </c>
      <c r="C48" s="12">
        <f t="shared" si="0"/>
        <v>1.0775575173644814E-3</v>
      </c>
      <c r="D48" s="12">
        <f t="shared" si="1"/>
        <v>1.7768607711985115E-2</v>
      </c>
      <c r="E48" s="12">
        <f t="shared" si="2"/>
        <v>9.726880919039646E-2</v>
      </c>
      <c r="F48" s="12">
        <f t="shared" si="3"/>
        <v>9.69637783311941E-2</v>
      </c>
      <c r="G48" s="12">
        <f t="shared" si="4"/>
        <v>9.2045504247807268E-3</v>
      </c>
      <c r="H48" s="12">
        <f t="shared" si="5"/>
        <v>1.8762700657815129E-2</v>
      </c>
      <c r="I48" s="12">
        <f t="shared" si="6"/>
        <v>1.2644976052047414E-2</v>
      </c>
      <c r="J48" s="12">
        <f t="shared" si="7"/>
        <v>-1.6607585623086167E-2</v>
      </c>
      <c r="M48" s="123">
        <f t="shared" si="8"/>
        <v>-0.5</v>
      </c>
      <c r="S48" s="40">
        <v>6.0267287640294036</v>
      </c>
      <c r="T48" s="40">
        <f t="shared" si="9"/>
        <v>3.1136184933192056E-2</v>
      </c>
      <c r="U48" s="40">
        <f t="shared" si="10"/>
        <v>-0.5</v>
      </c>
    </row>
    <row r="49" spans="2:21" x14ac:dyDescent="0.3">
      <c r="B49" s="12">
        <v>1.1393698170635291E-2</v>
      </c>
      <c r="C49" s="12">
        <f t="shared" si="0"/>
        <v>1.1231427723130867E-3</v>
      </c>
      <c r="D49" s="12">
        <f t="shared" si="1"/>
        <v>1.8126391014382483E-2</v>
      </c>
      <c r="E49" s="12">
        <f t="shared" si="2"/>
        <v>9.7151575457341155E-2</v>
      </c>
      <c r="F49" s="12">
        <f t="shared" si="3"/>
        <v>9.6847642065248707E-2</v>
      </c>
      <c r="G49" s="12">
        <f t="shared" si="4"/>
        <v>9.6409429276287234E-3</v>
      </c>
      <c r="H49" s="12">
        <f t="shared" si="5"/>
        <v>1.9164592277948686E-2</v>
      </c>
      <c r="I49" s="12">
        <f t="shared" si="6"/>
        <v>1.3146453413641859E-2</v>
      </c>
      <c r="J49" s="12">
        <f t="shared" si="7"/>
        <v>-1.6918306733322515E-2</v>
      </c>
      <c r="M49" s="123">
        <f t="shared" si="8"/>
        <v>-0.5</v>
      </c>
      <c r="S49" s="40">
        <v>6.1549570356044976</v>
      </c>
      <c r="T49" s="40">
        <f t="shared" si="9"/>
        <v>3.152484777112563E-2</v>
      </c>
      <c r="U49" s="40">
        <f t="shared" si="10"/>
        <v>-0.5</v>
      </c>
    </row>
    <row r="50" spans="2:21" x14ac:dyDescent="0.3">
      <c r="B50" s="12">
        <v>1.1872429393885775E-2</v>
      </c>
      <c r="C50" s="12">
        <f t="shared" si="0"/>
        <v>1.1696236169244771E-3</v>
      </c>
      <c r="D50" s="12">
        <f t="shared" si="1"/>
        <v>1.8483248025402649E-2</v>
      </c>
      <c r="E50" s="12">
        <f t="shared" si="2"/>
        <v>9.7031892651528534E-2</v>
      </c>
      <c r="F50" s="12">
        <f t="shared" si="3"/>
        <v>9.6729076949774576E-2</v>
      </c>
      <c r="G50" s="12">
        <f t="shared" si="4"/>
        <v>1.0087348604009646E-2</v>
      </c>
      <c r="H50" s="12">
        <f t="shared" si="5"/>
        <v>1.9566469654823643E-2</v>
      </c>
      <c r="I50" s="12">
        <f t="shared" si="6"/>
        <v>1.3657510183761904E-2</v>
      </c>
      <c r="J50" s="12">
        <f t="shared" si="7"/>
        <v>-1.7227222420974686E-2</v>
      </c>
      <c r="M50" s="123">
        <f t="shared" si="8"/>
        <v>-0.5</v>
      </c>
      <c r="S50" s="40">
        <v>6.2831853071795916</v>
      </c>
      <c r="T50" s="40">
        <f t="shared" si="9"/>
        <v>3.165511504545114E-2</v>
      </c>
      <c r="U50" s="40">
        <f t="shared" si="10"/>
        <v>-0.5</v>
      </c>
    </row>
    <row r="51" spans="2:21" x14ac:dyDescent="0.3">
      <c r="B51" s="12">
        <v>1.2360952164325312E-2</v>
      </c>
      <c r="C51" s="12">
        <f t="shared" si="0"/>
        <v>1.2169960741314385E-3</v>
      </c>
      <c r="D51" s="12">
        <f t="shared" si="1"/>
        <v>1.8839172489080142E-2</v>
      </c>
      <c r="E51" s="12">
        <f t="shared" si="2"/>
        <v>9.690976195891865E-2</v>
      </c>
      <c r="F51" s="12">
        <f t="shared" si="3"/>
        <v>9.6608083995360569E-2</v>
      </c>
      <c r="G51" s="12">
        <f t="shared" si="4"/>
        <v>1.0543765557673357E-2</v>
      </c>
      <c r="H51" s="12">
        <f t="shared" si="5"/>
        <v>1.9968322771459254E-2</v>
      </c>
      <c r="I51" s="12">
        <f t="shared" si="6"/>
        <v>1.4178138770977266E-2</v>
      </c>
      <c r="J51" s="12">
        <f t="shared" si="7"/>
        <v>-1.7534330623196377E-2</v>
      </c>
      <c r="M51" s="123">
        <f t="shared" si="8"/>
        <v>-0.5</v>
      </c>
    </row>
    <row r="52" spans="2:21" x14ac:dyDescent="0.3">
      <c r="B52" s="12">
        <v>1.2859261641087194E-2</v>
      </c>
      <c r="C52" s="12">
        <f t="shared" si="0"/>
        <v>1.2652560878644772E-3</v>
      </c>
      <c r="D52" s="12">
        <f t="shared" si="1"/>
        <v>1.9194158057042044E-2</v>
      </c>
      <c r="E52" s="12">
        <f t="shared" si="2"/>
        <v>9.6785184589728179E-2</v>
      </c>
      <c r="F52" s="12">
        <f t="shared" si="3"/>
        <v>9.6484664233718806E-2</v>
      </c>
      <c r="G52" s="12">
        <f t="shared" si="4"/>
        <v>1.1010191786040333E-2</v>
      </c>
      <c r="H52" s="12">
        <f t="shared" si="5"/>
        <v>2.0370141436640295E-2</v>
      </c>
      <c r="I52" s="12">
        <f t="shared" si="6"/>
        <v>1.4708331496134056E-2</v>
      </c>
      <c r="J52" s="12">
        <f t="shared" si="7"/>
        <v>-1.7839629260911344E-2</v>
      </c>
      <c r="M52" s="123">
        <f t="shared" si="8"/>
        <v>-0.5</v>
      </c>
    </row>
    <row r="53" spans="2:21" x14ac:dyDescent="0.3">
      <c r="B53" s="12">
        <v>1.3367352886326511E-2</v>
      </c>
      <c r="C53" s="12">
        <f t="shared" si="0"/>
        <v>1.3143995232342031E-3</v>
      </c>
      <c r="D53" s="12">
        <f t="shared" si="1"/>
        <v>1.954819828947587E-2</v>
      </c>
      <c r="E53" s="12">
        <f t="shared" si="2"/>
        <v>9.665816177841835E-2</v>
      </c>
      <c r="F53" s="12">
        <f t="shared" si="3"/>
        <v>9.6358818717701578E-2</v>
      </c>
      <c r="G53" s="12">
        <f t="shared" si="4"/>
        <v>1.1486625179921115E-2</v>
      </c>
      <c r="H53" s="12">
        <f t="shared" si="5"/>
        <v>2.0771915286019193E-2</v>
      </c>
      <c r="I53" s="12">
        <f t="shared" si="6"/>
        <v>1.5248080592731908E-2</v>
      </c>
      <c r="J53" s="12">
        <f t="shared" si="7"/>
        <v>-1.8143116239550786E-2</v>
      </c>
      <c r="M53" s="123">
        <f t="shared" si="8"/>
        <v>-0.5</v>
      </c>
    </row>
    <row r="54" spans="2:21" x14ac:dyDescent="0.3">
      <c r="B54" s="12">
        <v>1.3885220865268999E-2</v>
      </c>
      <c r="C54" s="12">
        <f t="shared" si="0"/>
        <v>1.3644221667172369E-3</v>
      </c>
      <c r="D54" s="12">
        <f t="shared" si="1"/>
        <v>1.990128665611357E-2</v>
      </c>
      <c r="E54" s="12">
        <f t="shared" si="2"/>
        <v>9.6528694783682728E-2</v>
      </c>
      <c r="F54" s="12">
        <f t="shared" si="3"/>
        <v>9.6230548521318751E-2</v>
      </c>
      <c r="G54" s="12">
        <f t="shared" si="4"/>
        <v>1.1973063523232488E-2</v>
      </c>
      <c r="H54" s="12">
        <f t="shared" si="5"/>
        <v>2.1173633783237968E-2</v>
      </c>
      <c r="I54" s="12">
        <f t="shared" si="6"/>
        <v>1.579737820730551E-2</v>
      </c>
      <c r="J54" s="12">
        <f t="shared" si="7"/>
        <v>-1.8444789449803493E-2</v>
      </c>
      <c r="M54" s="123">
        <f t="shared" si="8"/>
        <v>-0.5</v>
      </c>
    </row>
    <row r="55" spans="2:21" x14ac:dyDescent="0.3">
      <c r="B55" s="12">
        <v>1.4412860446260445E-2</v>
      </c>
      <c r="C55" s="12">
        <f t="shared" si="0"/>
        <v>1.4153197263456221E-3</v>
      </c>
      <c r="D55" s="12">
        <f t="shared" si="1"/>
        <v>2.0253416537231582E-2</v>
      </c>
      <c r="E55" s="12">
        <f t="shared" si="2"/>
        <v>9.6396784888434867E-2</v>
      </c>
      <c r="F55" s="12">
        <f t="shared" si="3"/>
        <v>9.6099854739755575E-2</v>
      </c>
      <c r="G55" s="12">
        <f t="shared" si="4"/>
        <v>1.246950449271045E-2</v>
      </c>
      <c r="H55" s="12">
        <f t="shared" si="5"/>
        <v>2.157528622106995E-2</v>
      </c>
      <c r="I55" s="12">
        <f t="shared" si="6"/>
        <v>1.6356216399810442E-2</v>
      </c>
      <c r="J55" s="12">
        <f t="shared" si="7"/>
        <v>-1.8744646768378708E-2</v>
      </c>
      <c r="M55" s="123">
        <f t="shared" si="8"/>
        <v>-0.5</v>
      </c>
    </row>
    <row r="56" spans="2:21" x14ac:dyDescent="0.3">
      <c r="B56" s="12">
        <v>1.4950266400818424E-2</v>
      </c>
      <c r="C56" s="12">
        <f t="shared" si="0"/>
        <v>1.4670878318999122E-3</v>
      </c>
      <c r="D56" s="12">
        <f t="shared" si="1"/>
        <v>2.0604581224667809E-2</v>
      </c>
      <c r="E56" s="12">
        <f t="shared" si="2"/>
        <v>9.6262433399795372E-2</v>
      </c>
      <c r="F56" s="12">
        <f t="shared" si="3"/>
        <v>9.5966738489390357E-2</v>
      </c>
      <c r="G56" s="12">
        <f t="shared" si="4"/>
        <v>1.297594565762175E-2</v>
      </c>
      <c r="H56" s="12">
        <f t="shared" si="5"/>
        <v>2.1976861722582289E-2</v>
      </c>
      <c r="I56" s="12">
        <f t="shared" si="6"/>
        <v>1.6924587144015096E-2</v>
      </c>
      <c r="J56" s="12">
        <f t="shared" si="7"/>
        <v>-1.9042686058782465E-2</v>
      </c>
      <c r="M56" s="123">
        <f t="shared" si="8"/>
        <v>-0.5</v>
      </c>
    </row>
    <row r="57" spans="2:21" x14ac:dyDescent="0.3">
      <c r="B57" s="12">
        <v>1.5497433403683258E-2</v>
      </c>
      <c r="C57" s="12">
        <f t="shared" si="0"/>
        <v>1.5197220351056257E-3</v>
      </c>
      <c r="D57" s="12">
        <f t="shared" si="1"/>
        <v>2.0954773922853363E-2</v>
      </c>
      <c r="E57" s="12">
        <f t="shared" si="2"/>
        <v>9.6125641649079163E-2</v>
      </c>
      <c r="F57" s="12">
        <f t="shared" si="3"/>
        <v>9.5831200907812983E-2</v>
      </c>
      <c r="G57" s="12">
        <f t="shared" si="4"/>
        <v>1.3492384479471143E-2</v>
      </c>
      <c r="H57" s="12">
        <f t="shared" si="5"/>
        <v>2.2378349242316822E-2</v>
      </c>
      <c r="I57" s="12">
        <f t="shared" si="6"/>
        <v>1.7502482327895374E-2</v>
      </c>
      <c r="J57" s="12">
        <f t="shared" si="7"/>
        <v>-1.9338905172105573E-2</v>
      </c>
      <c r="M57" s="123">
        <f t="shared" si="8"/>
        <v>-0.5</v>
      </c>
    </row>
    <row r="58" spans="2:21" x14ac:dyDescent="0.3">
      <c r="B58" s="12">
        <v>1.605435603287142E-2</v>
      </c>
      <c r="C58" s="12">
        <f t="shared" si="0"/>
        <v>1.5732178098333673E-3</v>
      </c>
      <c r="D58" s="12">
        <f t="shared" si="1"/>
        <v>2.1303987749861E-2</v>
      </c>
      <c r="E58" s="12">
        <f t="shared" si="2"/>
        <v>9.5986410991782123E-2</v>
      </c>
      <c r="F58" s="12">
        <f t="shared" si="3"/>
        <v>9.5693243153843213E-2</v>
      </c>
      <c r="G58" s="12">
        <f t="shared" si="4"/>
        <v>1.4018818311707495E-2</v>
      </c>
      <c r="H58" s="12">
        <f t="shared" si="5"/>
        <v>2.2779737567491538E-2</v>
      </c>
      <c r="I58" s="12">
        <f t="shared" si="6"/>
        <v>1.8089893754035344E-2</v>
      </c>
      <c r="J58" s="12">
        <f t="shared" si="7"/>
        <v>-1.96333019478248E-2</v>
      </c>
      <c r="M58" s="123">
        <f t="shared" si="8"/>
        <v>-0.5</v>
      </c>
    </row>
    <row r="59" spans="2:21" x14ac:dyDescent="0.3">
      <c r="B59" s="12">
        <v>1.6621028769728818E-2</v>
      </c>
      <c r="C59" s="12">
        <f t="shared" si="0"/>
        <v>1.6275705523023623E-3</v>
      </c>
      <c r="D59" s="12">
        <f t="shared" si="1"/>
        <v>2.1652215738468348E-2</v>
      </c>
      <c r="E59" s="12">
        <f t="shared" si="2"/>
        <v>9.5844742807567773E-2</v>
      </c>
      <c r="F59" s="12">
        <f t="shared" si="3"/>
        <v>9.555286640754973E-2</v>
      </c>
      <c r="G59" s="12">
        <f t="shared" si="4"/>
        <v>1.4555244399426431E-2</v>
      </c>
      <c r="H59" s="12">
        <f t="shared" si="5"/>
        <v>2.3181015319220497E-2</v>
      </c>
      <c r="I59" s="12">
        <f t="shared" si="6"/>
        <v>1.8686813140031205E-2</v>
      </c>
      <c r="J59" s="12">
        <f t="shared" si="7"/>
        <v>-1.9925874214615773E-2</v>
      </c>
      <c r="M59" s="123">
        <f t="shared" si="8"/>
        <v>-0.5</v>
      </c>
    </row>
    <row r="60" spans="2:21" x14ac:dyDescent="0.3">
      <c r="B60" s="12">
        <v>1.719744599898565E-2</v>
      </c>
      <c r="C60" s="12">
        <f t="shared" si="0"/>
        <v>1.6827755812875613E-3</v>
      </c>
      <c r="D60" s="12">
        <f t="shared" si="1"/>
        <v>2.1999450837236815E-2</v>
      </c>
      <c r="E60" s="12">
        <f t="shared" si="2"/>
        <v>9.5700638500253565E-2</v>
      </c>
      <c r="F60" s="12">
        <f t="shared" si="3"/>
        <v>9.5410071870269036E-2</v>
      </c>
      <c r="G60" s="12">
        <f t="shared" si="4"/>
        <v>1.510165987907118E-2</v>
      </c>
      <c r="H60" s="12">
        <f t="shared" si="5"/>
        <v>2.3582170953753291E-2</v>
      </c>
      <c r="I60" s="12">
        <f t="shared" si="6"/>
        <v>1.9293232118900119E-2</v>
      </c>
      <c r="J60" s="12">
        <f t="shared" si="7"/>
        <v>-2.021661979117817E-2</v>
      </c>
      <c r="M60" s="123">
        <f t="shared" si="8"/>
        <v>-0.5</v>
      </c>
    </row>
    <row r="61" spans="2:21" x14ac:dyDescent="0.3">
      <c r="B61" s="12">
        <v>1.7783602008812238E-2</v>
      </c>
      <c r="C61" s="12">
        <f t="shared" si="0"/>
        <v>1.7388281383302446E-3</v>
      </c>
      <c r="D61" s="12">
        <f t="shared" si="1"/>
        <v>2.2345685911605712E-2</v>
      </c>
      <c r="E61" s="12">
        <f t="shared" si="2"/>
        <v>9.5554099497796918E-2</v>
      </c>
      <c r="F61" s="12">
        <f t="shared" si="3"/>
        <v>9.5264860764624898E-2</v>
      </c>
      <c r="G61" s="12">
        <f t="shared" si="4"/>
        <v>1.5658061778131185E-2</v>
      </c>
      <c r="H61" s="12">
        <f t="shared" si="5"/>
        <v>2.3983192763733469E-2</v>
      </c>
      <c r="I61" s="12">
        <f t="shared" si="6"/>
        <v>1.9909142239493291E-2</v>
      </c>
      <c r="J61" s="12">
        <f t="shared" si="7"/>
        <v>-2.050553648707298E-2</v>
      </c>
      <c r="M61" s="123">
        <f t="shared" si="8"/>
        <v>-0.5</v>
      </c>
    </row>
    <row r="62" spans="2:21" x14ac:dyDescent="0.3">
      <c r="B62" s="12">
        <v>1.8379490990875214E-2</v>
      </c>
      <c r="C62" s="12">
        <f t="shared" si="0"/>
        <v>1.795723387952063E-3</v>
      </c>
      <c r="D62" s="12">
        <f t="shared" si="1"/>
        <v>2.2690913745000877E-2</v>
      </c>
      <c r="E62" s="12">
        <f t="shared" si="2"/>
        <v>9.5405127252281174E-2</v>
      </c>
      <c r="F62" s="12">
        <f t="shared" si="3"/>
        <v>9.5117234334548079E-2</v>
      </c>
      <c r="G62" s="12">
        <f t="shared" si="4"/>
        <v>1.6224447014837953E-2</v>
      </c>
      <c r="H62" s="12">
        <f t="shared" si="5"/>
        <v>2.4384068879475234E-2</v>
      </c>
      <c r="I62" s="12">
        <f t="shared" si="6"/>
        <v>2.0534534966912474E-2</v>
      </c>
      <c r="J62" s="12">
        <f t="shared" si="7"/>
        <v>-2.079262210357111E-2</v>
      </c>
      <c r="M62" s="123">
        <f t="shared" si="8"/>
        <v>-0.5</v>
      </c>
    </row>
    <row r="63" spans="2:21" x14ac:dyDescent="0.3">
      <c r="B63" s="12">
        <v>1.8985107040395466E-2</v>
      </c>
      <c r="C63" s="12">
        <f t="shared" si="0"/>
        <v>1.853456417872637E-3</v>
      </c>
      <c r="D63" s="12">
        <f t="shared" si="1"/>
        <v>2.3035127039958476E-2</v>
      </c>
      <c r="E63" s="12">
        <f t="shared" si="2"/>
        <v>9.5253723239901111E-2</v>
      </c>
      <c r="F63" s="12">
        <f t="shared" si="3"/>
        <v>9.496719384529613E-2</v>
      </c>
      <c r="G63" s="12">
        <f t="shared" si="4"/>
        <v>1.6800812397859632E-2</v>
      </c>
      <c r="H63" s="12">
        <f t="shared" si="5"/>
        <v>2.4784787270259189E-2</v>
      </c>
      <c r="I63" s="12">
        <f t="shared" si="6"/>
        <v>2.1169401682931299E-2</v>
      </c>
      <c r="J63" s="12">
        <f t="shared" si="7"/>
        <v>-2.1077874434513918E-2</v>
      </c>
      <c r="M63" s="123">
        <f t="shared" si="8"/>
        <v>-0.5</v>
      </c>
    </row>
    <row r="64" spans="2:21" x14ac:dyDescent="0.3">
      <c r="B64" s="12">
        <v>1.9600444156206542E-2</v>
      </c>
      <c r="C64" s="12">
        <f t="shared" si="0"/>
        <v>1.9120222392305826E-3</v>
      </c>
      <c r="D64" s="12">
        <f t="shared" si="1"/>
        <v>2.3378318419263112E-2</v>
      </c>
      <c r="E64" s="12">
        <f t="shared" si="2"/>
        <v>9.5099888960948342E-2</v>
      </c>
      <c r="F64" s="12">
        <f t="shared" si="3"/>
        <v>9.4814740583473583E-2</v>
      </c>
      <c r="G64" s="12">
        <f t="shared" si="4"/>
        <v>1.7387154625993086E-2</v>
      </c>
      <c r="H64" s="12">
        <f t="shared" si="5"/>
        <v>2.5185335745646131E-2</v>
      </c>
      <c r="I64" s="12">
        <f t="shared" si="6"/>
        <v>2.1813733686419999E-2</v>
      </c>
      <c r="J64" s="12">
        <f t="shared" si="7"/>
        <v>-2.1361291267184966E-2</v>
      </c>
      <c r="M64" s="123">
        <f t="shared" si="8"/>
        <v>-0.5</v>
      </c>
    </row>
    <row r="65" spans="2:13" x14ac:dyDescent="0.3">
      <c r="B65" s="12">
        <v>2.0225496240813712E-2</v>
      </c>
      <c r="C65" s="12">
        <f t="shared" si="0"/>
        <v>1.9714157868079749E-3</v>
      </c>
      <c r="D65" s="12">
        <f t="shared" si="1"/>
        <v>2.3720480427100014E-2</v>
      </c>
      <c r="E65" s="12">
        <f t="shared" si="2"/>
        <v>9.494362593979655E-2</v>
      </c>
      <c r="F65" s="12">
        <f t="shared" si="3"/>
        <v>9.46598758570526E-2</v>
      </c>
      <c r="G65" s="12">
        <f t="shared" si="4"/>
        <v>1.798347028785385E-2</v>
      </c>
      <c r="H65" s="12">
        <f t="shared" si="5"/>
        <v>2.5585701956808735E-2</v>
      </c>
      <c r="I65" s="12">
        <f t="shared" si="6"/>
        <v>2.2467522193773574E-2</v>
      </c>
      <c r="J65" s="12">
        <f t="shared" si="7"/>
        <v>-2.1642870383192788E-2</v>
      </c>
      <c r="M65" s="123">
        <f t="shared" si="8"/>
        <v>-0.5</v>
      </c>
    </row>
    <row r="66" spans="2:13" x14ac:dyDescent="0.3">
      <c r="B66" s="12">
        <v>2.0860257100455248E-2</v>
      </c>
      <c r="C66" s="12">
        <f t="shared" ref="C66:C129" si="11">IF($A$1=0, 0, IF(B66&lt;=$A$2, ($A$1/$A$2^2)*(2*$A$2*B66-B66^2), ($A$1/(1-$A$2)^2)*((1-2*$A$2)+2*$A$2*B66-B66^2)))</f>
        <v>2.031631919258388E-3</v>
      </c>
      <c r="D66" s="12">
        <f t="shared" ref="D66:D129" si="12">IF($Q$3, 5*$A$3*(0.2969*SQRT(B66)-0.126*B66-0.3516*B66^2+0.2843*B66^3-0.1036*B66^4), 5*$A$3*(0.2969*SQRT(B66)-0.126*B66-0.3516*B66^2+0.2843*B66^3-0.1015*B66^4))</f>
        <v>2.4061605530222057E-2</v>
      </c>
      <c r="E66" s="12">
        <f t="shared" ref="E66:E129" si="13">IF($A$1=0, 0, IF(B66&lt;=$A$2, ($A$1/$A$2^2) *(2*$A$2-2*B66), ($A$1/(1-$A$2)^2)*(2*$A$2-2*B66)))</f>
        <v>9.4784935724886166E-2</v>
      </c>
      <c r="F66" s="12">
        <f t="shared" ref="F66:F129" si="14">IF($A$1=0, 0,  ATAN(E66))</f>
        <v>9.4502600995393385E-2</v>
      </c>
      <c r="G66" s="12">
        <f t="shared" ref="G66:G129" si="15">B66-D66*SIN(F66)</f>
        <v>1.8589755861565506E-2</v>
      </c>
      <c r="H66" s="12">
        <f t="shared" ref="H66:H129" si="16">C66+D66*COS(F66)</f>
        <v>2.5985873397882019E-2</v>
      </c>
      <c r="I66" s="12">
        <f t="shared" ref="I66:I129" si="17">B66+D66*SIN(F66)</f>
        <v>2.3130758339344991E-2</v>
      </c>
      <c r="J66" s="12">
        <f t="shared" ref="J66:J129" si="18">C66-D66*COS(F66)</f>
        <v>-2.1922609559365244E-2</v>
      </c>
      <c r="M66" s="123">
        <f t="shared" ref="M66:M129" si="19">IF($Q$1,  C66, -0.5)</f>
        <v>-0.5</v>
      </c>
    </row>
    <row r="67" spans="2:13" x14ac:dyDescent="0.3">
      <c r="B67" s="12">
        <v>2.1504720445162939E-2</v>
      </c>
      <c r="C67" s="12">
        <f t="shared" si="11"/>
        <v>2.0926654193382174E-3</v>
      </c>
      <c r="D67" s="12">
        <f t="shared" si="12"/>
        <v>2.4401686119129736E-2</v>
      </c>
      <c r="E67" s="12">
        <f t="shared" si="13"/>
        <v>9.4623819888709243E-2</v>
      </c>
      <c r="F67" s="12">
        <f t="shared" si="14"/>
        <v>9.4342917349265421E-2</v>
      </c>
      <c r="G67" s="12">
        <f t="shared" si="15"/>
        <v>1.9206007714445732E-2</v>
      </c>
      <c r="H67" s="12">
        <f t="shared" si="16"/>
        <v>2.6385837407330387E-2</v>
      </c>
      <c r="I67" s="12">
        <f t="shared" si="17"/>
        <v>2.3803433175880146E-2</v>
      </c>
      <c r="J67" s="12">
        <f t="shared" si="18"/>
        <v>-2.2200506568653952E-2</v>
      </c>
      <c r="M67" s="123">
        <f t="shared" si="19"/>
        <v>-0.5</v>
      </c>
    </row>
    <row r="68" spans="2:13" x14ac:dyDescent="0.3">
      <c r="B68" s="12">
        <v>2.2158879888824812E-2</v>
      </c>
      <c r="C68" s="12">
        <f t="shared" si="11"/>
        <v>2.1545109941415604E-3</v>
      </c>
      <c r="D68" s="12">
        <f t="shared" si="12"/>
        <v>2.4740714509265509E-2</v>
      </c>
      <c r="E68" s="12">
        <f t="shared" si="13"/>
        <v>9.4460280027793775E-2</v>
      </c>
      <c r="F68" s="12">
        <f t="shared" si="14"/>
        <v>9.4180826290868588E-2</v>
      </c>
      <c r="G68" s="12">
        <f t="shared" si="15"/>
        <v>1.9832222102691983E-2</v>
      </c>
      <c r="H68" s="12">
        <f t="shared" si="16"/>
        <v>2.6785581169333061E-2</v>
      </c>
      <c r="I68" s="12">
        <f t="shared" si="17"/>
        <v>2.448553767495764E-2</v>
      </c>
      <c r="J68" s="12">
        <f t="shared" si="18"/>
        <v>-2.2476559181049943E-2</v>
      </c>
      <c r="M68" s="123">
        <f t="shared" si="19"/>
        <v>-0.5</v>
      </c>
    </row>
    <row r="69" spans="2:13" x14ac:dyDescent="0.3">
      <c r="B69" s="12">
        <v>2.2822728949248527E-2</v>
      </c>
      <c r="C69" s="12">
        <f t="shared" si="11"/>
        <v>2.2171632753384941E-3</v>
      </c>
      <c r="D69" s="12">
        <f t="shared" si="12"/>
        <v>2.5078682942221396E-2</v>
      </c>
      <c r="E69" s="12">
        <f t="shared" si="13"/>
        <v>9.4294317762687846E-2</v>
      </c>
      <c r="F69" s="12">
        <f t="shared" si="14"/>
        <v>9.4016329213854583E-2</v>
      </c>
      <c r="G69" s="12">
        <f t="shared" si="15"/>
        <v>2.0468395171065447E-2</v>
      </c>
      <c r="H69" s="12">
        <f t="shared" si="16"/>
        <v>2.7185091715186533E-2</v>
      </c>
      <c r="I69" s="12">
        <f t="shared" si="17"/>
        <v>2.5177062727431608E-2</v>
      </c>
      <c r="J69" s="12">
        <f t="shared" si="18"/>
        <v>-2.2750765164509548E-2</v>
      </c>
      <c r="M69" s="123">
        <f t="shared" si="19"/>
        <v>-0.5</v>
      </c>
    </row>
    <row r="70" spans="2:13" x14ac:dyDescent="0.3">
      <c r="B70" s="12">
        <v>2.349626104822522E-2</v>
      </c>
      <c r="C70" s="12">
        <f t="shared" si="11"/>
        <v>2.2806168194167285E-3</v>
      </c>
      <c r="D70" s="12">
        <f t="shared" si="12"/>
        <v>2.5415583586959615E-2</v>
      </c>
      <c r="E70" s="12">
        <f t="shared" si="13"/>
        <v>9.4125934737943673E-2</v>
      </c>
      <c r="F70" s="12">
        <f t="shared" si="14"/>
        <v>9.3849427533348809E-2</v>
      </c>
      <c r="G70" s="12">
        <f t="shared" si="15"/>
        <v>2.1114522952573125E-2</v>
      </c>
      <c r="H70" s="12">
        <f t="shared" si="16"/>
        <v>2.7584355924723882E-2</v>
      </c>
      <c r="I70" s="12">
        <f t="shared" si="17"/>
        <v>2.5877999143877315E-2</v>
      </c>
      <c r="J70" s="12">
        <f t="shared" si="18"/>
        <v>-2.3023122285890426E-2</v>
      </c>
      <c r="M70" s="123">
        <f t="shared" si="19"/>
        <v>-0.5</v>
      </c>
    </row>
    <row r="71" spans="2:13" x14ac:dyDescent="0.3">
      <c r="B71" s="12">
        <v>2.4179469511595331E-2</v>
      </c>
      <c r="C71" s="12">
        <f t="shared" si="11"/>
        <v>2.3448661079267618E-3</v>
      </c>
      <c r="D71" s="12">
        <f t="shared" si="12"/>
        <v>2.5751408541046763E-2</v>
      </c>
      <c r="E71" s="12">
        <f t="shared" si="13"/>
        <v>9.3955132622101145E-2</v>
      </c>
      <c r="F71" s="12">
        <f t="shared" si="14"/>
        <v>9.3680122685972145E-2</v>
      </c>
      <c r="G71" s="12">
        <f t="shared" si="15"/>
        <v>2.1770601368149688E-2</v>
      </c>
      <c r="H71" s="12">
        <f t="shared" si="16"/>
        <v>2.7983360527751591E-2</v>
      </c>
      <c r="I71" s="12">
        <f t="shared" si="17"/>
        <v>2.6588337655040973E-2</v>
      </c>
      <c r="J71" s="12">
        <f t="shared" si="18"/>
        <v>-2.3293628311898067E-2</v>
      </c>
      <c r="M71" s="123">
        <f t="shared" si="19"/>
        <v>-0.5</v>
      </c>
    </row>
    <row r="72" spans="2:13" x14ac:dyDescent="0.3">
      <c r="B72" s="12">
        <v>2.487234756931378E-2</v>
      </c>
      <c r="C72" s="12">
        <f t="shared" si="11"/>
        <v>2.4099055477302843E-3</v>
      </c>
      <c r="D72" s="12">
        <f t="shared" si="12"/>
        <v>2.6086149831899955E-2</v>
      </c>
      <c r="E72" s="12">
        <f t="shared" si="13"/>
        <v>9.3781913107671533E-2</v>
      </c>
      <c r="F72" s="12">
        <f t="shared" si="14"/>
        <v>9.3508416129863423E-2</v>
      </c>
      <c r="G72" s="12">
        <f t="shared" si="15"/>
        <v>2.2436626226336596E-2</v>
      </c>
      <c r="H72" s="12">
        <f t="shared" si="16"/>
        <v>2.8382092105502032E-2</v>
      </c>
      <c r="I72" s="12">
        <f t="shared" si="17"/>
        <v>2.7308068912290963E-2</v>
      </c>
      <c r="J72" s="12">
        <f t="shared" si="18"/>
        <v>-2.3562281010041462E-2</v>
      </c>
      <c r="M72" s="123">
        <f t="shared" si="19"/>
        <v>-0.5</v>
      </c>
    </row>
    <row r="73" spans="2:13" x14ac:dyDescent="0.3">
      <c r="B73" s="12">
        <v>2.5574888355518133E-2</v>
      </c>
      <c r="C73" s="12">
        <f t="shared" si="11"/>
        <v>2.4757294712521613E-3</v>
      </c>
      <c r="D73" s="12">
        <f t="shared" si="12"/>
        <v>2.6419799418046539E-2</v>
      </c>
      <c r="E73" s="12">
        <f t="shared" si="13"/>
        <v>9.3606277911120458E-2</v>
      </c>
      <c r="F73" s="12">
        <f t="shared" si="14"/>
        <v>9.3334309344701605E-2</v>
      </c>
      <c r="G73" s="12">
        <f t="shared" si="15"/>
        <v>2.3112593222962153E-2</v>
      </c>
      <c r="H73" s="12">
        <f t="shared" si="16"/>
        <v>2.8780537092103591E-2</v>
      </c>
      <c r="I73" s="12">
        <f t="shared" si="17"/>
        <v>2.8037183488074113E-2</v>
      </c>
      <c r="J73" s="12">
        <f t="shared" si="18"/>
        <v>-2.3829078149599267E-2</v>
      </c>
      <c r="M73" s="123">
        <f t="shared" si="19"/>
        <v>-0.5</v>
      </c>
    </row>
    <row r="74" spans="2:13" x14ac:dyDescent="0.3">
      <c r="B74" s="12">
        <v>2.6287084908595659E-2</v>
      </c>
      <c r="C74" s="12">
        <f t="shared" si="11"/>
        <v>2.5423321367356012E-3</v>
      </c>
      <c r="D74" s="12">
        <f t="shared" si="12"/>
        <v>2.6752349190395219E-2</v>
      </c>
      <c r="E74" s="12">
        <f t="shared" si="13"/>
        <v>9.3428228772851077E-2</v>
      </c>
      <c r="F74" s="12">
        <f t="shared" si="14"/>
        <v>9.3157803831728642E-2</v>
      </c>
      <c r="G74" s="12">
        <f t="shared" si="15"/>
        <v>2.3798497940818661E-2</v>
      </c>
      <c r="H74" s="12">
        <f t="shared" si="16"/>
        <v>2.9178681776065876E-2</v>
      </c>
      <c r="I74" s="12">
        <f t="shared" si="17"/>
        <v>2.8775671876372658E-2</v>
      </c>
      <c r="J74" s="12">
        <f t="shared" si="18"/>
        <v>-2.4094017502594677E-2</v>
      </c>
      <c r="M74" s="123">
        <f t="shared" si="19"/>
        <v>-0.5</v>
      </c>
    </row>
    <row r="75" spans="2:13" x14ac:dyDescent="0.3">
      <c r="B75" s="12">
        <v>2.7008930171253165E-2</v>
      </c>
      <c r="C75" s="12">
        <f t="shared" si="11"/>
        <v>2.6097077285008627E-3</v>
      </c>
      <c r="D75" s="12">
        <f t="shared" si="12"/>
        <v>2.708379097352007E-2</v>
      </c>
      <c r="E75" s="12">
        <f t="shared" si="13"/>
        <v>9.32477674571867E-2</v>
      </c>
      <c r="F75" s="12">
        <f t="shared" si="14"/>
        <v>9.2978901113772286E-2</v>
      </c>
      <c r="G75" s="12">
        <f t="shared" si="15"/>
        <v>2.4494335849340455E-2</v>
      </c>
      <c r="H75" s="12">
        <f t="shared" si="16"/>
        <v>2.9576512301781908E-2</v>
      </c>
      <c r="I75" s="12">
        <f t="shared" si="17"/>
        <v>2.9523524493165875E-2</v>
      </c>
      <c r="J75" s="12">
        <f t="shared" si="18"/>
        <v>-2.4357096844780182E-2</v>
      </c>
      <c r="M75" s="123">
        <f t="shared" si="19"/>
        <v>-0.5</v>
      </c>
    </row>
    <row r="76" spans="2:13" x14ac:dyDescent="0.3">
      <c r="B76" s="12">
        <v>2.7740416990586381E-2</v>
      </c>
      <c r="C76" s="12">
        <f t="shared" si="11"/>
        <v>2.677850357207186E-3</v>
      </c>
      <c r="D76" s="12">
        <f t="shared" si="12"/>
        <v>2.7414116526955832E-2</v>
      </c>
      <c r="E76" s="12">
        <f t="shared" si="13"/>
        <v>9.3064895752353397E-2</v>
      </c>
      <c r="F76" s="12">
        <f t="shared" si="14"/>
        <v>9.2797602735269338E-2</v>
      </c>
      <c r="G76" s="12">
        <f t="shared" si="15"/>
        <v>2.520010230427993E-2</v>
      </c>
      <c r="H76" s="12">
        <f t="shared" si="16"/>
        <v>2.9974014671045289E-2</v>
      </c>
      <c r="I76" s="12">
        <f t="shared" si="17"/>
        <v>3.0280731676892832E-2</v>
      </c>
      <c r="J76" s="12">
        <f t="shared" si="18"/>
        <v>-2.4618313956630916E-2</v>
      </c>
      <c r="M76" s="123">
        <f t="shared" si="19"/>
        <v>-0.5</v>
      </c>
    </row>
    <row r="77" spans="2:13" x14ac:dyDescent="0.3">
      <c r="B77" s="12">
        <v>2.8481538118150684E-2</v>
      </c>
      <c r="C77" s="12">
        <f t="shared" si="11"/>
        <v>2.7467540601181094E-3</v>
      </c>
      <c r="D77" s="12">
        <f t="shared" si="12"/>
        <v>2.7743317546504994E-2</v>
      </c>
      <c r="E77" s="12">
        <f t="shared" si="13"/>
        <v>9.2879615470462321E-2</v>
      </c>
      <c r="F77" s="12">
        <f t="shared" si="14"/>
        <v>9.2613910262288976E-2</v>
      </c>
      <c r="G77" s="12">
        <f t="shared" si="15"/>
        <v>2.5915792547383288E-2</v>
      </c>
      <c r="H77" s="12">
        <f t="shared" si="16"/>
        <v>3.0371174744583139E-2</v>
      </c>
      <c r="I77" s="12">
        <f t="shared" si="17"/>
        <v>3.1047283688918081E-2</v>
      </c>
      <c r="J77" s="12">
        <f t="shared" si="18"/>
        <v>-2.4877666624346921E-2</v>
      </c>
      <c r="M77" s="123">
        <f t="shared" si="19"/>
        <v>-0.5</v>
      </c>
    </row>
    <row r="78" spans="2:13" x14ac:dyDescent="0.3">
      <c r="B78" s="12">
        <v>2.923228621003382E-2</v>
      </c>
      <c r="C78" s="12">
        <f t="shared" si="11"/>
        <v>2.8164128013702153E-3</v>
      </c>
      <c r="D78" s="12">
        <f t="shared" si="12"/>
        <v>2.8071385665556833E-2</v>
      </c>
      <c r="E78" s="12">
        <f t="shared" si="13"/>
        <v>9.2691928447491537E-2</v>
      </c>
      <c r="F78" s="12">
        <f t="shared" si="14"/>
        <v>9.2427825282556178E-2</v>
      </c>
      <c r="G78" s="12">
        <f t="shared" si="15"/>
        <v>2.6641401706066818E-2</v>
      </c>
      <c r="H78" s="12">
        <f t="shared" si="16"/>
        <v>3.0767978243604988E-2</v>
      </c>
      <c r="I78" s="12">
        <f t="shared" si="17"/>
        <v>3.1823170714000822E-2</v>
      </c>
      <c r="J78" s="12">
        <f t="shared" si="18"/>
        <v>-2.513515264086456E-2</v>
      </c>
      <c r="M78" s="123">
        <f t="shared" si="19"/>
        <v>-0.5</v>
      </c>
    </row>
    <row r="79" spans="2:13" x14ac:dyDescent="0.3">
      <c r="B79" s="12">
        <v>2.9992653826927507E-2</v>
      </c>
      <c r="C79" s="12">
        <f t="shared" si="11"/>
        <v>2.8868204722450118E-3</v>
      </c>
      <c r="D79" s="12">
        <f t="shared" si="12"/>
        <v>2.8398312456416518E-2</v>
      </c>
      <c r="E79" s="12">
        <f t="shared" si="13"/>
        <v>9.2501836543268115E-2</v>
      </c>
      <c r="F79" s="12">
        <f t="shared" si="14"/>
        <v>9.2239349405475804E-2</v>
      </c>
      <c r="G79" s="12">
        <f t="shared" si="15"/>
        <v>2.7376924793090802E-2</v>
      </c>
      <c r="H79" s="12">
        <f t="shared" si="16"/>
        <v>3.1164410751365425E-2</v>
      </c>
      <c r="I79" s="12">
        <f t="shared" si="17"/>
        <v>3.2608382860764208E-2</v>
      </c>
      <c r="J79" s="12">
        <f t="shared" si="18"/>
        <v>-2.53907698068754E-2</v>
      </c>
      <c r="M79" s="123">
        <f t="shared" si="19"/>
        <v>-0.5</v>
      </c>
    </row>
    <row r="80" spans="2:13" x14ac:dyDescent="0.3">
      <c r="B80" s="12">
        <v>3.0762633434202158E-2</v>
      </c>
      <c r="C80" s="12">
        <f t="shared" si="11"/>
        <v>2.9579708914443284E-3</v>
      </c>
      <c r="D80" s="12">
        <f t="shared" si="12"/>
        <v>2.8724089431646328E-2</v>
      </c>
      <c r="E80" s="12">
        <f t="shared" si="13"/>
        <v>9.2309341641449452E-2</v>
      </c>
      <c r="F80" s="12">
        <f t="shared" si="14"/>
        <v>9.2048484262156324E-2</v>
      </c>
      <c r="G80" s="12">
        <f t="shared" si="15"/>
        <v>2.8122356706235228E-2</v>
      </c>
      <c r="H80" s="12">
        <f t="shared" si="16"/>
        <v>3.1560457714742973E-2</v>
      </c>
      <c r="I80" s="12">
        <f t="shared" si="17"/>
        <v>3.3402910162169092E-2</v>
      </c>
      <c r="J80" s="12">
        <f t="shared" si="18"/>
        <v>-2.5644515931854316E-2</v>
      </c>
      <c r="M80" s="123">
        <f t="shared" si="19"/>
        <v>-0.5</v>
      </c>
    </row>
    <row r="81" spans="2:13" x14ac:dyDescent="0.3">
      <c r="B81" s="12">
        <v>3.1542217401980821E-2</v>
      </c>
      <c r="C81" s="12">
        <f t="shared" si="11"/>
        <v>3.0298578053688536E-3</v>
      </c>
      <c r="D81" s="12">
        <f t="shared" si="12"/>
        <v>2.9048708045416601E-2</v>
      </c>
      <c r="E81" s="12">
        <f t="shared" si="13"/>
        <v>9.2114445649504786E-2</v>
      </c>
      <c r="F81" s="12">
        <f t="shared" si="14"/>
        <v>9.1855231505434204E-2</v>
      </c>
      <c r="G81" s="12">
        <f t="shared" si="15"/>
        <v>2.8877692227973664E-2</v>
      </c>
      <c r="H81" s="12">
        <f t="shared" si="16"/>
        <v>3.1956104445832481E-2</v>
      </c>
      <c r="I81" s="12">
        <f t="shared" si="17"/>
        <v>3.4206742575987978E-2</v>
      </c>
      <c r="J81" s="12">
        <f t="shared" si="18"/>
        <v>-2.589638883509477E-2</v>
      </c>
      <c r="M81" s="123">
        <f t="shared" si="19"/>
        <v>-0.5</v>
      </c>
    </row>
    <row r="82" spans="2:13" x14ac:dyDescent="0.3">
      <c r="B82" s="12">
        <v>3.2331398005215228E-2</v>
      </c>
      <c r="C82" s="12">
        <f t="shared" si="11"/>
        <v>3.102474888400068E-3</v>
      </c>
      <c r="D82" s="12">
        <f t="shared" si="12"/>
        <v>2.9372159694867707E-2</v>
      </c>
      <c r="E82" s="12">
        <f t="shared" si="13"/>
        <v>9.1917150498696185E-2</v>
      </c>
      <c r="F82" s="12">
        <f t="shared" si="14"/>
        <v>9.165959280989823E-2</v>
      </c>
      <c r="G82" s="12">
        <f t="shared" si="15"/>
        <v>2.9642926025148238E-2</v>
      </c>
      <c r="H82" s="12">
        <f t="shared" si="16"/>
        <v>3.2351336123552552E-2</v>
      </c>
      <c r="I82" s="12">
        <f t="shared" si="17"/>
        <v>3.5019869985282219E-2</v>
      </c>
      <c r="J82" s="12">
        <f t="shared" si="18"/>
        <v>-2.6146386346752412E-2</v>
      </c>
      <c r="M82" s="123">
        <f t="shared" si="19"/>
        <v>-0.5</v>
      </c>
    </row>
    <row r="83" spans="2:13" x14ac:dyDescent="0.3">
      <c r="B83" s="12">
        <v>3.313016742376218E-2</v>
      </c>
      <c r="C83" s="12">
        <f t="shared" si="11"/>
        <v>3.1758157431854032E-3</v>
      </c>
      <c r="D83" s="12">
        <f t="shared" si="12"/>
        <v>2.9694435721481963E-2</v>
      </c>
      <c r="E83" s="12">
        <f t="shared" si="13"/>
        <v>9.1717458144059447E-2</v>
      </c>
      <c r="F83" s="12">
        <f t="shared" si="14"/>
        <v>9.1461569871914145E-2</v>
      </c>
      <c r="G83" s="12">
        <f t="shared" si="15"/>
        <v>3.0418052648644049E-2</v>
      </c>
      <c r="H83" s="12">
        <f t="shared" si="16"/>
        <v>3.2746137795266778E-2</v>
      </c>
      <c r="I83" s="12">
        <f t="shared" si="17"/>
        <v>3.5842282198880311E-2</v>
      </c>
      <c r="J83" s="12">
        <f t="shared" si="18"/>
        <v>-2.6394506308895969E-2</v>
      </c>
      <c r="M83" s="123">
        <f t="shared" si="19"/>
        <v>-0.5</v>
      </c>
    </row>
    <row r="84" spans="2:13" x14ac:dyDescent="0.3">
      <c r="B84" s="12">
        <v>3.3938517742461038E-2</v>
      </c>
      <c r="C84" s="12">
        <f t="shared" si="11"/>
        <v>3.2498739009266856E-3</v>
      </c>
      <c r="D84" s="12">
        <f t="shared" si="12"/>
        <v>3.0015527412465451E-2</v>
      </c>
      <c r="E84" s="12">
        <f t="shared" si="13"/>
        <v>9.1515370564384732E-2</v>
      </c>
      <c r="F84" s="12">
        <f t="shared" si="14"/>
        <v>9.1261164409649417E-2</v>
      </c>
      <c r="G84" s="12">
        <f t="shared" si="15"/>
        <v>3.1203066533063959E-2</v>
      </c>
      <c r="H84" s="12">
        <f t="shared" si="16"/>
        <v>3.3140494378418837E-2</v>
      </c>
      <c r="I84" s="12">
        <f t="shared" si="17"/>
        <v>3.6673968951858121E-2</v>
      </c>
      <c r="J84" s="12">
        <f t="shared" si="18"/>
        <v>-2.6640746576565465E-2</v>
      </c>
      <c r="M84" s="123">
        <f t="shared" si="19"/>
        <v>-0.5</v>
      </c>
    </row>
    <row r="85" spans="2:13" x14ac:dyDescent="0.3">
      <c r="B85" s="12">
        <v>3.475644095121222E-2</v>
      </c>
      <c r="C85" s="12">
        <f t="shared" si="11"/>
        <v>3.3246428216718335E-3</v>
      </c>
      <c r="D85" s="12">
        <f t="shared" si="12"/>
        <v>3.0335426002139648E-2</v>
      </c>
      <c r="E85" s="12">
        <f t="shared" si="13"/>
        <v>9.1310889762196937E-2</v>
      </c>
      <c r="F85" s="12">
        <f t="shared" si="14"/>
        <v>9.105837816309828E-2</v>
      </c>
      <c r="G85" s="12">
        <f t="shared" si="15"/>
        <v>3.1997961996403687E-2</v>
      </c>
      <c r="H85" s="12">
        <f t="shared" si="16"/>
        <v>3.3534390662181342E-2</v>
      </c>
      <c r="I85" s="12">
        <f t="shared" si="17"/>
        <v>3.7514919906020752E-2</v>
      </c>
      <c r="J85" s="12">
        <f t="shared" si="18"/>
        <v>-2.6885105018837674E-2</v>
      </c>
      <c r="M85" s="123">
        <f t="shared" si="19"/>
        <v>-0.5</v>
      </c>
    </row>
    <row r="86" spans="2:13" x14ac:dyDescent="0.3">
      <c r="B86" s="12">
        <v>3.5583928945056353E-2</v>
      </c>
      <c r="C86" s="12">
        <f t="shared" si="11"/>
        <v>3.4001158946097821E-3</v>
      </c>
      <c r="D86" s="12">
        <f t="shared" si="12"/>
        <v>3.0654122673342339E-2</v>
      </c>
      <c r="E86" s="12">
        <f t="shared" si="13"/>
        <v>9.1104017763735903E-2</v>
      </c>
      <c r="F86" s="12">
        <f t="shared" si="14"/>
        <v>9.0853212894106902E-2</v>
      </c>
      <c r="G86" s="12">
        <f t="shared" si="15"/>
        <v>3.2802733239727086E-2</v>
      </c>
      <c r="H86" s="12">
        <f t="shared" si="16"/>
        <v>3.3927811309117879E-2</v>
      </c>
      <c r="I86" s="12">
        <f t="shared" si="17"/>
        <v>3.8365124650385621E-2</v>
      </c>
      <c r="J86" s="12">
        <f t="shared" si="18"/>
        <v>-2.7127579519898318E-2</v>
      </c>
      <c r="M86" s="123">
        <f t="shared" si="19"/>
        <v>-0.5</v>
      </c>
    </row>
    <row r="87" spans="2:13" x14ac:dyDescent="0.3">
      <c r="B87" s="12">
        <v>3.6420973524254996E-2</v>
      </c>
      <c r="C87" s="12">
        <f t="shared" si="11"/>
        <v>3.4762864383686884E-3</v>
      </c>
      <c r="D87" s="12">
        <f t="shared" si="12"/>
        <v>3.0971608558837942E-2</v>
      </c>
      <c r="E87" s="12">
        <f t="shared" si="13"/>
        <v>9.0894756618936243E-2</v>
      </c>
      <c r="F87" s="12">
        <f t="shared" si="14"/>
        <v>9.0645670386398675E-2</v>
      </c>
      <c r="G87" s="12">
        <f t="shared" si="15"/>
        <v>3.3617374346842491E-2</v>
      </c>
      <c r="H87" s="12">
        <f t="shared" si="16"/>
        <v>3.4320740856858503E-2</v>
      </c>
      <c r="I87" s="12">
        <f t="shared" si="17"/>
        <v>3.9224572701667501E-2</v>
      </c>
      <c r="J87" s="12">
        <f t="shared" si="18"/>
        <v>-2.7368167980121125E-2</v>
      </c>
      <c r="M87" s="123">
        <f t="shared" si="19"/>
        <v>-0.5</v>
      </c>
    </row>
    <row r="88" spans="2:13" x14ac:dyDescent="0.3">
      <c r="B88" s="12">
        <v>3.7267566394371454E-2</v>
      </c>
      <c r="C88" s="12">
        <f t="shared" si="11"/>
        <v>3.5531477013172842E-3</v>
      </c>
      <c r="D88" s="12">
        <f t="shared" si="12"/>
        <v>3.128787474273638E-2</v>
      </c>
      <c r="E88" s="12">
        <f t="shared" si="13"/>
        <v>9.0683108401407128E-2</v>
      </c>
      <c r="F88" s="12">
        <f t="shared" si="14"/>
        <v>9.0435752445599815E-2</v>
      </c>
      <c r="G88" s="12">
        <f t="shared" si="15"/>
        <v>3.4441879283978932E-2</v>
      </c>
      <c r="H88" s="12">
        <f t="shared" si="16"/>
        <v>3.4713163719787533E-2</v>
      </c>
      <c r="I88" s="12">
        <f t="shared" si="17"/>
        <v>4.0093253504763976E-2</v>
      </c>
      <c r="J88" s="12">
        <f t="shared" si="18"/>
        <v>-2.7606868317152967E-2</v>
      </c>
      <c r="M88" s="123">
        <f t="shared" si="19"/>
        <v>-0.5</v>
      </c>
    </row>
    <row r="89" spans="2:13" x14ac:dyDescent="0.3">
      <c r="B89" s="12">
        <v>3.8123699166353275E-2</v>
      </c>
      <c r="C89" s="12">
        <f t="shared" si="11"/>
        <v>3.6306928618695011E-3</v>
      </c>
      <c r="D89" s="12">
        <f t="shared" si="12"/>
        <v>3.1602912261920968E-2</v>
      </c>
      <c r="E89" s="12">
        <f t="shared" si="13"/>
        <v>9.0469075208411673E-2</v>
      </c>
      <c r="F89" s="12">
        <f t="shared" si="14"/>
        <v>9.0223460899265029E-2</v>
      </c>
      <c r="G89" s="12">
        <f t="shared" si="15"/>
        <v>3.5276241899463802E-2</v>
      </c>
      <c r="H89" s="12">
        <f t="shared" si="16"/>
        <v>3.5105064190744578E-2</v>
      </c>
      <c r="I89" s="12">
        <f t="shared" si="17"/>
        <v>4.0971156433242749E-2</v>
      </c>
      <c r="J89" s="12">
        <f t="shared" si="18"/>
        <v>-2.7843678467005573E-2</v>
      </c>
      <c r="M89" s="123">
        <f t="shared" si="19"/>
        <v>-0.5</v>
      </c>
    </row>
    <row r="90" spans="2:13" x14ac:dyDescent="0.3">
      <c r="B90" s="12">
        <v>3.8989363356615403E-2</v>
      </c>
      <c r="C90" s="12">
        <f t="shared" si="11"/>
        <v>3.7089150287922669E-3</v>
      </c>
      <c r="D90" s="12">
        <f t="shared" si="12"/>
        <v>3.191671210748457E-2</v>
      </c>
      <c r="E90" s="12">
        <f t="shared" si="13"/>
        <v>9.0252659160846141E-2</v>
      </c>
      <c r="F90" s="12">
        <f t="shared" si="14"/>
        <v>9.0008797596903362E-2</v>
      </c>
      <c r="G90" s="12">
        <f t="shared" si="15"/>
        <v>3.6120455923401094E-2</v>
      </c>
      <c r="H90" s="12">
        <f t="shared" si="16"/>
        <v>3.5496426442737525E-2</v>
      </c>
      <c r="I90" s="12">
        <f t="shared" si="17"/>
        <v>4.1858270789829712E-2</v>
      </c>
      <c r="J90" s="12">
        <f t="shared" si="18"/>
        <v>-2.807859638515299E-2</v>
      </c>
      <c r="M90" s="123">
        <f t="shared" si="19"/>
        <v>-0.5</v>
      </c>
    </row>
    <row r="91" spans="2:13" x14ac:dyDescent="0.3">
      <c r="B91" s="12">
        <v>3.9864550387123776E-2</v>
      </c>
      <c r="C91" s="12">
        <f t="shared" si="11"/>
        <v>3.7878072415164356E-3</v>
      </c>
      <c r="D91" s="12">
        <f t="shared" si="12"/>
        <v>3.2229265226173677E-2</v>
      </c>
      <c r="E91" s="12">
        <f t="shared" si="13"/>
        <v>9.0033862403219048E-2</v>
      </c>
      <c r="F91" s="12">
        <f t="shared" si="14"/>
        <v>8.9791764410004304E-2</v>
      </c>
      <c r="G91" s="12">
        <f t="shared" si="15"/>
        <v>3.6974514967350207E-2</v>
      </c>
      <c r="H91" s="12">
        <f t="shared" si="16"/>
        <v>3.588723453066759E-2</v>
      </c>
      <c r="I91" s="12">
        <f t="shared" si="17"/>
        <v>4.2754585806897345E-2</v>
      </c>
      <c r="J91" s="12">
        <f t="shared" si="18"/>
        <v>-2.8311620047634718E-2</v>
      </c>
      <c r="M91" s="123">
        <f t="shared" si="19"/>
        <v>-0.5</v>
      </c>
    </row>
    <row r="92" spans="2:13" x14ac:dyDescent="0.3">
      <c r="B92" s="12">
        <v>4.0749251585480817E-2</v>
      </c>
      <c r="C92" s="12">
        <f t="shared" si="11"/>
        <v>3.8673624704509794E-3</v>
      </c>
      <c r="D92" s="12">
        <f t="shared" si="12"/>
        <v>3.2540562521840719E-2</v>
      </c>
      <c r="E92" s="12">
        <f t="shared" si="13"/>
        <v>8.9812687103629787E-2</v>
      </c>
      <c r="F92" s="12">
        <f t="shared" si="14"/>
        <v>8.9572363232063912E-2</v>
      </c>
      <c r="G92" s="12">
        <f t="shared" si="15"/>
        <v>3.7838412524006701E-2</v>
      </c>
      <c r="H92" s="12">
        <f t="shared" si="16"/>
        <v>3.6277472393066501E-2</v>
      </c>
      <c r="I92" s="12">
        <f t="shared" si="17"/>
        <v>4.3660090646954933E-2</v>
      </c>
      <c r="J92" s="12">
        <f t="shared" si="18"/>
        <v>-2.8542747452164546E-2</v>
      </c>
      <c r="M92" s="123">
        <f t="shared" si="19"/>
        <v>-0.5</v>
      </c>
    </row>
    <row r="93" spans="2:13" x14ac:dyDescent="0.3">
      <c r="B93" s="12">
        <v>4.1643458185011473E-2</v>
      </c>
      <c r="C93" s="12">
        <f t="shared" si="11"/>
        <v>3.947573617300297E-3</v>
      </c>
      <c r="D93" s="12">
        <f t="shared" si="12"/>
        <v>3.2850594856903843E-2</v>
      </c>
      <c r="E93" s="12">
        <f t="shared" si="13"/>
        <v>8.9589135453747124E-2</v>
      </c>
      <c r="F93" s="12">
        <f t="shared" si="14"/>
        <v>8.9350595978611114E-2</v>
      </c>
      <c r="G93" s="12">
        <f t="shared" si="15"/>
        <v>3.8712141966883974E-2</v>
      </c>
      <c r="H93" s="12">
        <f t="shared" si="16"/>
        <v>3.6667123853845116E-2</v>
      </c>
      <c r="I93" s="12">
        <f t="shared" si="17"/>
        <v>4.4574774403138971E-2</v>
      </c>
      <c r="J93" s="12">
        <f t="shared" si="18"/>
        <v>-2.8771976619244521E-2</v>
      </c>
      <c r="M93" s="123">
        <f t="shared" si="19"/>
        <v>-0.5</v>
      </c>
    </row>
    <row r="94" spans="2:13" x14ac:dyDescent="0.3">
      <c r="B94" s="12">
        <v>4.2547161324849481E-2</v>
      </c>
      <c r="C94" s="12">
        <f t="shared" si="11"/>
        <v>4.028433515384601E-3</v>
      </c>
      <c r="D94" s="12">
        <f t="shared" si="12"/>
        <v>3.3159353053813845E-2</v>
      </c>
      <c r="E94" s="12">
        <f t="shared" si="13"/>
        <v>8.9363209668787622E-2</v>
      </c>
      <c r="F94" s="12">
        <f t="shared" si="14"/>
        <v>8.9126464587234319E-2</v>
      </c>
      <c r="G94" s="12">
        <f t="shared" si="15"/>
        <v>3.9595696549995521E-2</v>
      </c>
      <c r="H94" s="12">
        <f t="shared" si="16"/>
        <v>3.7056172624053092E-2</v>
      </c>
      <c r="I94" s="12">
        <f t="shared" si="17"/>
        <v>4.549862609970344E-2</v>
      </c>
      <c r="J94" s="12">
        <f t="shared" si="18"/>
        <v>-2.899930559328389E-2</v>
      </c>
      <c r="M94" s="123">
        <f t="shared" si="19"/>
        <v>-0.5</v>
      </c>
    </row>
    <row r="95" spans="2:13" x14ac:dyDescent="0.3">
      <c r="B95" s="12">
        <v>4.346035205002563E-2</v>
      </c>
      <c r="C95" s="12">
        <f t="shared" si="11"/>
        <v>4.1099349299635419E-3</v>
      </c>
      <c r="D95" s="12">
        <f t="shared" si="12"/>
        <v>3.3466827896528425E-2</v>
      </c>
      <c r="E95" s="12">
        <f t="shared" si="13"/>
        <v>8.9134911987493584E-2</v>
      </c>
      <c r="F95" s="12">
        <f t="shared" si="14"/>
        <v>8.8899971017607951E-2</v>
      </c>
      <c r="G95" s="12">
        <f t="shared" si="15"/>
        <v>4.0489069407539713E-2</v>
      </c>
      <c r="H95" s="12">
        <f t="shared" si="16"/>
        <v>3.7444602303649981E-2</v>
      </c>
      <c r="I95" s="12">
        <f t="shared" si="17"/>
        <v>4.6431634692511548E-2</v>
      </c>
      <c r="J95" s="12">
        <f t="shared" si="18"/>
        <v>-2.9224732443722898E-2</v>
      </c>
      <c r="M95" s="123">
        <f t="shared" si="19"/>
        <v>-0.5</v>
      </c>
    </row>
    <row r="96" spans="2:13" x14ac:dyDescent="0.3">
      <c r="B96" s="12">
        <v>4.4383021311556581E-2</v>
      </c>
      <c r="C96" s="12">
        <f t="shared" si="11"/>
        <v>4.1920705585628965E-3</v>
      </c>
      <c r="D96" s="12">
        <f t="shared" si="12"/>
        <v>3.3773010131993193E-2</v>
      </c>
      <c r="E96" s="12">
        <f t="shared" si="13"/>
        <v>8.8904244672110846E-2</v>
      </c>
      <c r="F96" s="12">
        <f t="shared" si="14"/>
        <v>8.8671117251519202E-2</v>
      </c>
      <c r="G96" s="12">
        <f t="shared" si="15"/>
        <v>4.1392253553585785E-2</v>
      </c>
      <c r="H96" s="12">
        <f t="shared" si="16"/>
        <v>3.7832396383286969E-2</v>
      </c>
      <c r="I96" s="12">
        <f t="shared" si="17"/>
        <v>4.7373789069527376E-2</v>
      </c>
      <c r="J96" s="12">
        <f t="shared" si="18"/>
        <v>-2.9448255266161176E-2</v>
      </c>
      <c r="M96" s="123">
        <f t="shared" si="19"/>
        <v>-0.5</v>
      </c>
    </row>
    <row r="97" spans="2:13" x14ac:dyDescent="0.3">
      <c r="B97" s="12">
        <v>4.5315159966534124E-2</v>
      </c>
      <c r="C97" s="12">
        <f t="shared" si="11"/>
        <v>4.2748330313043398E-3</v>
      </c>
      <c r="D97" s="12">
        <f t="shared" si="12"/>
        <v>3.4077890471629076E-2</v>
      </c>
      <c r="E97" s="12">
        <f t="shared" si="13"/>
        <v>8.8671210008366461E-2</v>
      </c>
      <c r="F97" s="12">
        <f t="shared" si="14"/>
        <v>8.8439905292895041E-2</v>
      </c>
      <c r="G97" s="12">
        <f t="shared" si="15"/>
        <v>4.2305241881760977E-2</v>
      </c>
      <c r="H97" s="12">
        <f t="shared" si="16"/>
        <v>3.8219538246098937E-2</v>
      </c>
      <c r="I97" s="12">
        <f t="shared" si="17"/>
        <v>4.8325078051307271E-2</v>
      </c>
      <c r="J97" s="12">
        <f t="shared" si="18"/>
        <v>-2.9669872183490258E-2</v>
      </c>
      <c r="M97" s="123">
        <f t="shared" si="19"/>
        <v>-0.5</v>
      </c>
    </row>
    <row r="98" spans="2:13" x14ac:dyDescent="0.3">
      <c r="B98" s="12">
        <v>4.625675877821589E-2</v>
      </c>
      <c r="C98" s="12">
        <f t="shared" si="11"/>
        <v>4.3582149112383313E-3</v>
      </c>
      <c r="D98" s="12">
        <f t="shared" si="12"/>
        <v>3.4381459592826014E-2</v>
      </c>
      <c r="E98" s="12">
        <f t="shared" si="13"/>
        <v>8.8435810305446019E-2</v>
      </c>
      <c r="F98" s="12">
        <f t="shared" si="14"/>
        <v>8.8206337167829177E-2</v>
      </c>
      <c r="G98" s="12">
        <f t="shared" si="15"/>
        <v>4.3228027164940092E-2</v>
      </c>
      <c r="H98" s="12">
        <f t="shared" si="16"/>
        <v>3.8606011169506863E-2</v>
      </c>
      <c r="I98" s="12">
        <f t="shared" si="17"/>
        <v>4.9285490391491688E-2</v>
      </c>
      <c r="J98" s="12">
        <f t="shared" si="18"/>
        <v>-2.9889581347030198E-2</v>
      </c>
      <c r="M98" s="123">
        <f t="shared" si="19"/>
        <v>-0.5</v>
      </c>
    </row>
    <row r="99" spans="2:13" x14ac:dyDescent="0.3">
      <c r="B99" s="12">
        <v>4.7207808416117381E-2</v>
      </c>
      <c r="C99" s="12">
        <f t="shared" si="11"/>
        <v>4.4422086946801324E-3</v>
      </c>
      <c r="D99" s="12">
        <f t="shared" si="12"/>
        <v>3.468370814044297E-2</v>
      </c>
      <c r="E99" s="12">
        <f t="shared" si="13"/>
        <v>8.8198047895970647E-2</v>
      </c>
      <c r="F99" s="12">
        <f t="shared" si="14"/>
        <v>8.7970414924609178E-2</v>
      </c>
      <c r="G99" s="12">
        <f t="shared" si="15"/>
        <v>4.4160602054937208E-2</v>
      </c>
      <c r="H99" s="12">
        <f t="shared" si="16"/>
        <v>3.8991798327030508E-2</v>
      </c>
      <c r="I99" s="12">
        <f t="shared" si="17"/>
        <v>5.0255014777297553E-2</v>
      </c>
      <c r="J99" s="12">
        <f t="shared" si="18"/>
        <v>-3.0107380937670247E-2</v>
      </c>
      <c r="M99" s="123">
        <f t="shared" si="19"/>
        <v>-0.5</v>
      </c>
    </row>
    <row r="100" spans="2:13" x14ac:dyDescent="0.3">
      <c r="B100" s="12">
        <v>4.8168299456103791E-2</v>
      </c>
      <c r="C100" s="12">
        <f t="shared" si="11"/>
        <v>4.5268068115487678E-3</v>
      </c>
      <c r="D100" s="12">
        <f t="shared" si="12"/>
        <v>3.4984626728313123E-2</v>
      </c>
      <c r="E100" s="12">
        <f t="shared" si="13"/>
        <v>8.7957925135974044E-2</v>
      </c>
      <c r="F100" s="12">
        <f t="shared" si="14"/>
        <v>8.7732140633743835E-2</v>
      </c>
      <c r="G100" s="12">
        <f t="shared" si="15"/>
        <v>4.5102959082198475E-2</v>
      </c>
      <c r="H100" s="12">
        <f t="shared" si="16"/>
        <v>3.9376882790110236E-2</v>
      </c>
      <c r="I100" s="12">
        <f t="shared" si="17"/>
        <v>5.1233639830009108E-2</v>
      </c>
      <c r="J100" s="12">
        <f t="shared" si="18"/>
        <v>-3.0323269167012702E-2</v>
      </c>
      <c r="M100" s="123">
        <f t="shared" si="19"/>
        <v>-0.5</v>
      </c>
    </row>
    <row r="101" spans="2:13" x14ac:dyDescent="0.3">
      <c r="B101" s="12">
        <v>4.9138222380483598E-2</v>
      </c>
      <c r="C101" s="12">
        <f t="shared" si="11"/>
        <v>4.612001625709127E-3</v>
      </c>
      <c r="D101" s="12">
        <f t="shared" si="12"/>
        <v>3.5284205940754841E-2</v>
      </c>
      <c r="E101" s="12">
        <f t="shared" si="13"/>
        <v>8.7715444404879092E-2</v>
      </c>
      <c r="F101" s="12">
        <f t="shared" si="14"/>
        <v>8.7491516387990492E-2</v>
      </c>
      <c r="G101" s="12">
        <f t="shared" si="15"/>
        <v>4.6055090655497746E-2</v>
      </c>
      <c r="H101" s="12">
        <f t="shared" si="16"/>
        <v>3.9761247529938495E-2</v>
      </c>
      <c r="I101" s="12">
        <f t="shared" si="17"/>
        <v>5.222135410546945E-2</v>
      </c>
      <c r="J101" s="12">
        <f t="shared" si="18"/>
        <v>-3.053724427852024E-2</v>
      </c>
      <c r="M101" s="123">
        <f t="shared" si="19"/>
        <v>-0.5</v>
      </c>
    </row>
    <row r="102" spans="2:13" x14ac:dyDescent="0.3">
      <c r="B102" s="12">
        <v>5.0117567578102928E-2</v>
      </c>
      <c r="C102" s="12">
        <f t="shared" si="11"/>
        <v>4.6977854353170779E-3</v>
      </c>
      <c r="D102" s="12">
        <f t="shared" si="12"/>
        <v>3.5582436334087787E-2</v>
      </c>
      <c r="E102" s="12">
        <f t="shared" si="13"/>
        <v>8.747060810547426E-2</v>
      </c>
      <c r="F102" s="12">
        <f t="shared" si="14"/>
        <v>8.7248544302382589E-2</v>
      </c>
      <c r="G102" s="12">
        <f t="shared" si="15"/>
        <v>4.7016989061634422E-2</v>
      </c>
      <c r="H102" s="12">
        <f t="shared" si="16"/>
        <v>4.0144875419300598E-2</v>
      </c>
      <c r="I102" s="12">
        <f t="shared" si="17"/>
        <v>5.3218146094571435E-2</v>
      </c>
      <c r="J102" s="12">
        <f t="shared" si="18"/>
        <v>-3.0749304548666444E-2</v>
      </c>
      <c r="M102" s="123">
        <f t="shared" si="19"/>
        <v>-0.5</v>
      </c>
    </row>
    <row r="103" spans="2:13" x14ac:dyDescent="0.3">
      <c r="B103" s="12">
        <v>5.1106325344440817E-2</v>
      </c>
      <c r="C103" s="12">
        <f t="shared" si="11"/>
        <v>4.7841504731676024E-3</v>
      </c>
      <c r="D103" s="12">
        <f t="shared" si="12"/>
        <v>3.587930843815381E-2</v>
      </c>
      <c r="E103" s="12">
        <f t="shared" si="13"/>
        <v>8.7223418663889787E-2</v>
      </c>
      <c r="F103" s="12">
        <f t="shared" si="14"/>
        <v>8.7003226514257223E-2</v>
      </c>
      <c r="G103" s="12">
        <f t="shared" si="15"/>
        <v>4.798864646513365E-2</v>
      </c>
      <c r="H103" s="12">
        <f t="shared" si="16"/>
        <v>4.0527749234424107E-2</v>
      </c>
      <c r="I103" s="12">
        <f t="shared" si="17"/>
        <v>5.4224004223747985E-2</v>
      </c>
      <c r="J103" s="12">
        <f t="shared" si="18"/>
        <v>-3.09594482880889E-2</v>
      </c>
      <c r="M103" s="123">
        <f t="shared" si="19"/>
        <v>-0.5</v>
      </c>
    </row>
    <row r="104" spans="2:13" x14ac:dyDescent="0.3">
      <c r="B104" s="12">
        <v>5.2104485881705465E-2</v>
      </c>
      <c r="C104" s="12">
        <f t="shared" si="11"/>
        <v>4.8710889070459401E-3</v>
      </c>
      <c r="D104" s="12">
        <f t="shared" si="12"/>
        <v>3.6174812757842595E-2</v>
      </c>
      <c r="E104" s="12">
        <f t="shared" si="13"/>
        <v>8.6973878529573626E-2</v>
      </c>
      <c r="F104" s="12">
        <f t="shared" si="14"/>
        <v>8.6755565183282826E-2</v>
      </c>
      <c r="G104" s="12">
        <f t="shared" si="15"/>
        <v>4.8970054907949014E-2</v>
      </c>
      <c r="H104" s="12">
        <f t="shared" si="16"/>
        <v>4.0909851656836999E-2</v>
      </c>
      <c r="I104" s="12">
        <f t="shared" si="17"/>
        <v>5.5238916855461916E-2</v>
      </c>
      <c r="J104" s="12">
        <f t="shared" si="18"/>
        <v>-3.1167673842745117E-2</v>
      </c>
      <c r="M104" s="123">
        <f t="shared" si="19"/>
        <v>-0.5</v>
      </c>
    </row>
    <row r="105" spans="2:13" x14ac:dyDescent="0.3">
      <c r="B105" s="12">
        <v>5.3112039298931046E-2</v>
      </c>
      <c r="C105" s="12">
        <f t="shared" si="11"/>
        <v>4.9585928400817042E-3</v>
      </c>
      <c r="D105" s="12">
        <f t="shared" si="12"/>
        <v>3.646893977462138E-2</v>
      </c>
      <c r="E105" s="12">
        <f t="shared" si="13"/>
        <v>8.672199017526723E-2</v>
      </c>
      <c r="F105" s="12">
        <f t="shared" si="14"/>
        <v>8.6505562491487054E-2</v>
      </c>
      <c r="G105" s="12">
        <f t="shared" si="15"/>
        <v>4.9961206309167595E-2</v>
      </c>
      <c r="H105" s="12">
        <f t="shared" si="16"/>
        <v>4.1291165275233882E-2</v>
      </c>
      <c r="I105" s="12">
        <f t="shared" si="17"/>
        <v>5.6262872288694497E-2</v>
      </c>
      <c r="J105" s="12">
        <f t="shared" si="18"/>
        <v>-3.1373979595070475E-2</v>
      </c>
      <c r="M105" s="123">
        <f t="shared" si="19"/>
        <v>-0.5</v>
      </c>
    </row>
    <row r="106" spans="2:13" x14ac:dyDescent="0.3">
      <c r="B106" s="12">
        <v>5.4128975612075858E-2</v>
      </c>
      <c r="C106" s="12">
        <f t="shared" si="11"/>
        <v>5.046654311105998E-3</v>
      </c>
      <c r="D106" s="12">
        <f t="shared" si="12"/>
        <v>3.6761679948068983E-2</v>
      </c>
      <c r="E106" s="12">
        <f t="shared" si="13"/>
        <v>8.6467756096981027E-2</v>
      </c>
      <c r="F106" s="12">
        <f t="shared" si="14"/>
        <v>8.6253220643284598E-2</v>
      </c>
      <c r="G106" s="12">
        <f t="shared" si="15"/>
        <v>5.0962092464718084E-2</v>
      </c>
      <c r="H106" s="12">
        <f t="shared" si="16"/>
        <v>4.1671672587350425E-2</v>
      </c>
      <c r="I106" s="12">
        <f t="shared" si="17"/>
        <v>5.7295858759433632E-2</v>
      </c>
      <c r="J106" s="12">
        <f t="shared" si="18"/>
        <v>-3.1578363965138426E-2</v>
      </c>
      <c r="M106" s="123">
        <f t="shared" si="19"/>
        <v>-0.5</v>
      </c>
    </row>
    <row r="107" spans="2:13" x14ac:dyDescent="0.3">
      <c r="B107" s="12">
        <v>5.5155284744121347E-2</v>
      </c>
      <c r="C107" s="12">
        <f t="shared" si="11"/>
        <v>5.1352652950114961E-3</v>
      </c>
      <c r="D107" s="12">
        <f t="shared" si="12"/>
        <v>3.7053023717413508E-2</v>
      </c>
      <c r="E107" s="12">
        <f t="shared" si="13"/>
        <v>8.6211178813969655E-2</v>
      </c>
      <c r="F107" s="12">
        <f t="shared" si="14"/>
        <v>8.5998541865505151E-2</v>
      </c>
      <c r="G107" s="12">
        <f t="shared" si="15"/>
        <v>5.1972705047081756E-2</v>
      </c>
      <c r="H107" s="12">
        <f t="shared" si="16"/>
        <v>4.2051356001845543E-2</v>
      </c>
      <c r="I107" s="12">
        <f t="shared" si="17"/>
        <v>5.8337864441160937E-2</v>
      </c>
      <c r="J107" s="12">
        <f t="shared" si="18"/>
        <v>-3.1780825411822554E-2</v>
      </c>
      <c r="M107" s="123">
        <f t="shared" si="19"/>
        <v>-0.5</v>
      </c>
    </row>
    <row r="108" spans="2:13" x14ac:dyDescent="0.3">
      <c r="B108" s="12">
        <v>5.6190956525171698E-2</v>
      </c>
      <c r="C108" s="12">
        <f t="shared" si="11"/>
        <v>5.2244177031154516E-3</v>
      </c>
      <c r="D108" s="12">
        <f t="shared" si="12"/>
        <v>3.7342961503073403E-2</v>
      </c>
      <c r="E108" s="12">
        <f t="shared" si="13"/>
        <v>8.5952260868707067E-2</v>
      </c>
      <c r="F108" s="12">
        <f t="shared" si="14"/>
        <v>8.5741528407421524E-2</v>
      </c>
      <c r="G108" s="12">
        <f t="shared" si="15"/>
        <v>5.2993035605006039E-2</v>
      </c>
      <c r="H108" s="12">
        <f t="shared" si="16"/>
        <v>4.2430197840190774E-2</v>
      </c>
      <c r="I108" s="12">
        <f t="shared" si="17"/>
        <v>5.9388877445337357E-2</v>
      </c>
      <c r="J108" s="12">
        <f t="shared" si="18"/>
        <v>-3.1981362433959874E-2</v>
      </c>
      <c r="M108" s="123">
        <f t="shared" si="19"/>
        <v>-0.5</v>
      </c>
    </row>
    <row r="109" spans="2:13" x14ac:dyDescent="0.3">
      <c r="B109" s="12">
        <v>5.7235980692555199E-2</v>
      </c>
      <c r="C109" s="12">
        <f t="shared" si="11"/>
        <v>5.3141033835257005E-3</v>
      </c>
      <c r="D109" s="12">
        <f t="shared" si="12"/>
        <v>3.7631483708202074E-2</v>
      </c>
      <c r="E109" s="12">
        <f t="shared" si="13"/>
        <v>8.5691004826861192E-2</v>
      </c>
      <c r="F109" s="12">
        <f t="shared" si="14"/>
        <v>8.5482182540777593E-2</v>
      </c>
      <c r="G109" s="12">
        <f t="shared" si="15"/>
        <v>5.4023075563222021E-2</v>
      </c>
      <c r="H109" s="12">
        <f t="shared" si="16"/>
        <v>4.2808180338567314E-2</v>
      </c>
      <c r="I109" s="12">
        <f t="shared" si="17"/>
        <v>6.0448885821888378E-2</v>
      </c>
      <c r="J109" s="12">
        <f t="shared" si="18"/>
        <v>-3.2179973571515919E-2</v>
      </c>
      <c r="M109" s="123">
        <f t="shared" si="19"/>
        <v>-0.5</v>
      </c>
    </row>
    <row r="110" spans="2:13" x14ac:dyDescent="0.3">
      <c r="B110" s="12">
        <v>5.8290346890925049E-2</v>
      </c>
      <c r="C110" s="12">
        <f t="shared" si="11"/>
        <v>5.4043141215094582E-3</v>
      </c>
      <c r="D110" s="12">
        <f t="shared" si="12"/>
        <v>3.7918580720234879E-2</v>
      </c>
      <c r="E110" s="12">
        <f t="shared" si="13"/>
        <v>8.5427413277268729E-2</v>
      </c>
      <c r="F110" s="12">
        <f t="shared" si="14"/>
        <v>8.5220506559816722E-2</v>
      </c>
      <c r="G110" s="12">
        <f t="shared" si="15"/>
        <v>5.5062816222163684E-2</v>
      </c>
      <c r="H110" s="12">
        <f t="shared" si="16"/>
        <v>4.3185285649769194E-2</v>
      </c>
      <c r="I110" s="12">
        <f t="shared" si="17"/>
        <v>6.1517877559686414E-2</v>
      </c>
      <c r="J110" s="12">
        <f t="shared" si="18"/>
        <v>-3.2376657406750282E-2</v>
      </c>
      <c r="M110" s="123">
        <f t="shared" si="19"/>
        <v>-0.5</v>
      </c>
    </row>
    <row r="111" spans="2:13" x14ac:dyDescent="0.3">
      <c r="B111" s="12">
        <v>5.9354044672362938E-2</v>
      </c>
      <c r="C111" s="12">
        <f t="shared" si="11"/>
        <v>5.495041639865186E-3</v>
      </c>
      <c r="D111" s="12">
        <f t="shared" si="12"/>
        <v>3.8204242912439346E-2</v>
      </c>
      <c r="E111" s="12">
        <f t="shared" si="13"/>
        <v>8.5161488831909257E-2</v>
      </c>
      <c r="F111" s="12">
        <f t="shared" si="14"/>
        <v>8.4956502781309756E-2</v>
      </c>
      <c r="G111" s="12">
        <f t="shared" si="15"/>
        <v>5.6112248757692267E-2</v>
      </c>
      <c r="H111" s="12">
        <f t="shared" si="16"/>
        <v>4.3561495845113887E-2</v>
      </c>
      <c r="I111" s="12">
        <f t="shared" si="17"/>
        <v>6.2595840587033616E-2</v>
      </c>
      <c r="J111" s="12">
        <f t="shared" si="18"/>
        <v>-3.2571412565383512E-2</v>
      </c>
      <c r="M111" s="123">
        <f t="shared" si="19"/>
        <v>-0.5</v>
      </c>
    </row>
    <row r="112" spans="2:13" x14ac:dyDescent="0.3">
      <c r="B112" s="12">
        <v>6.0427063496481526E-2</v>
      </c>
      <c r="C112" s="12">
        <f t="shared" si="11"/>
        <v>5.5862775992971759E-3</v>
      </c>
      <c r="D112" s="12">
        <f t="shared" si="12"/>
        <v>3.8488460645467161E-2</v>
      </c>
      <c r="E112" s="12">
        <f t="shared" si="13"/>
        <v>8.489323412587961E-2</v>
      </c>
      <c r="F112" s="12">
        <f t="shared" si="14"/>
        <v>8.4690173544583594E-2</v>
      </c>
      <c r="G112" s="12">
        <f t="shared" si="15"/>
        <v>5.717136422082212E-2</v>
      </c>
      <c r="H112" s="12">
        <f t="shared" si="16"/>
        <v>4.3936792916358373E-2</v>
      </c>
      <c r="I112" s="12">
        <f t="shared" si="17"/>
        <v>6.3682762772140938E-2</v>
      </c>
      <c r="J112" s="12">
        <f t="shared" si="18"/>
        <v>-3.2764237717764023E-2</v>
      </c>
      <c r="M112" s="123">
        <f t="shared" si="19"/>
        <v>-0.5</v>
      </c>
    </row>
    <row r="113" spans="2:13" x14ac:dyDescent="0.3">
      <c r="B113" s="12">
        <v>6.1509392730530021E-2</v>
      </c>
      <c r="C113" s="12">
        <f t="shared" si="11"/>
        <v>5.6780135987931791E-3</v>
      </c>
      <c r="D113" s="12">
        <f t="shared" si="12"/>
        <v>3.8771224268908874E-2</v>
      </c>
      <c r="E113" s="12">
        <f t="shared" si="13"/>
        <v>8.4622651817367486E-2</v>
      </c>
      <c r="F113" s="12">
        <f t="shared" si="14"/>
        <v>8.442152121154925E-2</v>
      </c>
      <c r="G113" s="12">
        <f t="shared" si="15"/>
        <v>5.8240153537452169E-2</v>
      </c>
      <c r="H113" s="12">
        <f t="shared" si="16"/>
        <v>4.4311158777622095E-2</v>
      </c>
      <c r="I113" s="12">
        <f t="shared" si="17"/>
        <v>6.4778631923607874E-2</v>
      </c>
      <c r="J113" s="12">
        <f t="shared" si="18"/>
        <v>-3.295513158003574E-2</v>
      </c>
      <c r="M113" s="123">
        <f t="shared" si="19"/>
        <v>-0.5</v>
      </c>
    </row>
    <row r="114" spans="2:13" x14ac:dyDescent="0.3">
      <c r="B114" s="12">
        <v>6.2601021649498656E-2</v>
      </c>
      <c r="C114" s="12">
        <f t="shared" si="11"/>
        <v>5.77024117600474E-3</v>
      </c>
      <c r="D114" s="12">
        <f t="shared" si="12"/>
        <v>3.9052524122849722E-2</v>
      </c>
      <c r="E114" s="12">
        <f t="shared" si="13"/>
        <v>8.4349744587625328E-2</v>
      </c>
      <c r="F114" s="12">
        <f t="shared" si="14"/>
        <v>8.4150548166730441E-2</v>
      </c>
      <c r="G114" s="12">
        <f t="shared" si="15"/>
        <v>5.9318607508099128E-2</v>
      </c>
      <c r="H114" s="12">
        <f t="shared" si="16"/>
        <v>4.4684575267314848E-2</v>
      </c>
      <c r="I114" s="12">
        <f t="shared" si="17"/>
        <v>6.5883435790898184E-2</v>
      </c>
      <c r="J114" s="12">
        <f t="shared" si="18"/>
        <v>-3.3144092915305366E-2</v>
      </c>
      <c r="M114" s="123">
        <f t="shared" si="19"/>
        <v>-0.5</v>
      </c>
    </row>
    <row r="115" spans="2:13" x14ac:dyDescent="0.3">
      <c r="B115" s="12">
        <v>6.3701939436225374E-2</v>
      </c>
      <c r="C115" s="12">
        <f t="shared" si="11"/>
        <v>5.8629518076304702E-3</v>
      </c>
      <c r="D115" s="12">
        <f t="shared" si="12"/>
        <v>3.933235053942738E-2</v>
      </c>
      <c r="E115" s="12">
        <f t="shared" si="13"/>
        <v>8.4074515140943648E-2</v>
      </c>
      <c r="F115" s="12">
        <f t="shared" si="14"/>
        <v>8.3877256817292009E-2</v>
      </c>
      <c r="G115" s="12">
        <f t="shared" si="15"/>
        <v>6.0406716807635659E-2</v>
      </c>
      <c r="H115" s="12">
        <f t="shared" si="16"/>
        <v>4.5057024150070513E-2</v>
      </c>
      <c r="I115" s="12">
        <f t="shared" si="17"/>
        <v>6.6997162064815097E-2</v>
      </c>
      <c r="J115" s="12">
        <f t="shared" si="18"/>
        <v>-3.3331120534809577E-2</v>
      </c>
      <c r="M115" s="123">
        <f t="shared" si="19"/>
        <v>-0.5</v>
      </c>
    </row>
    <row r="116" spans="2:13" x14ac:dyDescent="0.3">
      <c r="B116" s="12">
        <v>6.4812135181502861E-2</v>
      </c>
      <c r="C116" s="12">
        <f t="shared" si="11"/>
        <v>5.9561369098021094E-3</v>
      </c>
      <c r="D116" s="12">
        <f t="shared" si="12"/>
        <v>3.9610693844390844E-2</v>
      </c>
      <c r="E116" s="12">
        <f t="shared" si="13"/>
        <v>8.3796966204624276E-2</v>
      </c>
      <c r="F116" s="12">
        <f t="shared" si="14"/>
        <v>8.3601649593068303E-2</v>
      </c>
      <c r="G116" s="12">
        <f t="shared" si="15"/>
        <v>6.1504471985031922E-2</v>
      </c>
      <c r="H116" s="12">
        <f t="shared" si="16"/>
        <v>4.5428487118685981E-2</v>
      </c>
      <c r="I116" s="12">
        <f t="shared" si="17"/>
        <v>6.81197983779738E-2</v>
      </c>
      <c r="J116" s="12">
        <f t="shared" si="18"/>
        <v>-3.3516213299081762E-2</v>
      </c>
      <c r="M116" s="123">
        <f t="shared" si="19"/>
        <v>-0.5</v>
      </c>
    </row>
    <row r="117" spans="2:13" x14ac:dyDescent="0.3">
      <c r="B117" s="12">
        <v>6.5931597884186899E-2</v>
      </c>
      <c r="C117" s="12">
        <f t="shared" si="11"/>
        <v>6.0497878384734236E-3</v>
      </c>
      <c r="D117" s="12">
        <f t="shared" si="12"/>
        <v>3.9887544358660099E-2</v>
      </c>
      <c r="E117" s="12">
        <f t="shared" si="13"/>
        <v>8.3517100528953267E-2</v>
      </c>
      <c r="F117" s="12">
        <f t="shared" si="14"/>
        <v>8.3323728946591721E-2</v>
      </c>
      <c r="G117" s="12">
        <f t="shared" si="15"/>
        <v>6.2611863463101505E-2</v>
      </c>
      <c r="H117" s="12">
        <f t="shared" si="16"/>
        <v>4.5798945796064645E-2</v>
      </c>
      <c r="I117" s="12">
        <f t="shared" si="17"/>
        <v>6.9251332305272292E-2</v>
      </c>
      <c r="J117" s="12">
        <f t="shared" si="18"/>
        <v>-3.3699370119117798E-2</v>
      </c>
      <c r="M117" s="123">
        <f t="shared" si="19"/>
        <v>-0.5</v>
      </c>
    </row>
    <row r="118" spans="2:13" x14ac:dyDescent="0.3">
      <c r="B118" s="12">
        <v>6.7060316451305058E-2</v>
      </c>
      <c r="C118" s="12">
        <f t="shared" si="11"/>
        <v>6.1438958898118569E-3</v>
      </c>
      <c r="D118" s="12">
        <f t="shared" si="12"/>
        <v>4.0162892399886595E-2</v>
      </c>
      <c r="E118" s="12">
        <f t="shared" si="13"/>
        <v>8.3234920887173727E-2</v>
      </c>
      <c r="F118" s="12">
        <f t="shared" si="14"/>
        <v>8.3043497353121248E-2</v>
      </c>
      <c r="G118" s="12">
        <f t="shared" si="15"/>
        <v>6.3728881538250834E-2</v>
      </c>
      <c r="H118" s="12">
        <f t="shared" si="16"/>
        <v>4.6168381737164747E-2</v>
      </c>
      <c r="I118" s="12">
        <f t="shared" si="17"/>
        <v>7.0391751364359281E-2</v>
      </c>
      <c r="J118" s="12">
        <f t="shared" si="18"/>
        <v>-3.3880589957541028E-2</v>
      </c>
      <c r="M118" s="123">
        <f t="shared" si="19"/>
        <v>-0.5</v>
      </c>
    </row>
    <row r="119" spans="2:13" x14ac:dyDescent="0.3">
      <c r="B119" s="12">
        <v>6.8198279698166608E-2</v>
      </c>
      <c r="C119" s="12">
        <f t="shared" si="11"/>
        <v>6.2384523005929891E-3</v>
      </c>
      <c r="D119" s="12">
        <f t="shared" si="12"/>
        <v>4.0436728284013887E-2</v>
      </c>
      <c r="E119" s="12">
        <f t="shared" si="13"/>
        <v>8.295043007545834E-2</v>
      </c>
      <c r="F119" s="12">
        <f t="shared" si="14"/>
        <v>8.2760957310671027E-2</v>
      </c>
      <c r="G119" s="12">
        <f t="shared" si="15"/>
        <v>6.4855516380233139E-2</v>
      </c>
      <c r="H119" s="12">
        <f t="shared" si="16"/>
        <v>4.6536776430951644E-2</v>
      </c>
      <c r="I119" s="12">
        <f t="shared" si="17"/>
        <v>7.1541043016100078E-2</v>
      </c>
      <c r="J119" s="12">
        <f t="shared" si="18"/>
        <v>-3.4059871829765671E-2</v>
      </c>
      <c r="M119" s="123">
        <f t="shared" si="19"/>
        <v>-0.5</v>
      </c>
    </row>
    <row r="120" spans="2:13" x14ac:dyDescent="0.3">
      <c r="B120" s="12">
        <v>6.9345476348473767E-2</v>
      </c>
      <c r="C120" s="12">
        <f t="shared" si="11"/>
        <v>6.3334482485977832E-3</v>
      </c>
      <c r="D120" s="12">
        <f t="shared" si="12"/>
        <v>4.0709042326838557E-2</v>
      </c>
      <c r="E120" s="12">
        <f t="shared" si="13"/>
        <v>8.266363091288155E-2</v>
      </c>
      <c r="F120" s="12">
        <f t="shared" si="14"/>
        <v>8.2476111340038766E-2</v>
      </c>
      <c r="G120" s="12">
        <f t="shared" si="15"/>
        <v>6.5991758031907141E-2</v>
      </c>
      <c r="H120" s="12">
        <f t="shared" si="16"/>
        <v>4.6904111302354487E-2</v>
      </c>
      <c r="I120" s="12">
        <f t="shared" si="17"/>
        <v>7.2699194665040393E-2</v>
      </c>
      <c r="J120" s="12">
        <f t="shared" si="18"/>
        <v>-3.4237214805158914E-2</v>
      </c>
      <c r="M120" s="123">
        <f t="shared" si="19"/>
        <v>-0.5</v>
      </c>
    </row>
    <row r="121" spans="2:13" x14ac:dyDescent="0.3">
      <c r="B121" s="12">
        <v>7.050189503443316E-2</v>
      </c>
      <c r="C121" s="12">
        <f t="shared" si="11"/>
        <v>6.4288748530125358E-3</v>
      </c>
      <c r="D121" s="12">
        <f t="shared" si="12"/>
        <v>4.097982484557082E-2</v>
      </c>
      <c r="E121" s="12">
        <f t="shared" si="13"/>
        <v>8.2374526241391702E-2</v>
      </c>
      <c r="F121" s="12">
        <f t="shared" si="14"/>
        <v>8.2188961984834413E-2</v>
      </c>
      <c r="G121" s="12">
        <f t="shared" si="15"/>
        <v>6.7137596408999495E-2</v>
      </c>
      <c r="H121" s="12">
        <f t="shared" si="16"/>
        <v>4.7270367714226227E-2</v>
      </c>
      <c r="I121" s="12">
        <f t="shared" si="17"/>
        <v>7.3866193659866825E-2</v>
      </c>
      <c r="J121" s="12">
        <f t="shared" si="18"/>
        <v>-3.4412618008201154E-2</v>
      </c>
      <c r="M121" s="123">
        <f t="shared" si="19"/>
        <v>-0.5</v>
      </c>
    </row>
    <row r="122" spans="2:13" x14ac:dyDescent="0.3">
      <c r="B122" s="12">
        <v>7.1667524296868401E-2</v>
      </c>
      <c r="C122" s="12">
        <f t="shared" si="11"/>
        <v>6.5247231748315603E-3</v>
      </c>
      <c r="D122" s="12">
        <f t="shared" si="12"/>
        <v>4.1249066160394414E-2</v>
      </c>
      <c r="E122" s="12">
        <f t="shared" si="13"/>
        <v>8.2083118925782891E-2</v>
      </c>
      <c r="F122" s="12">
        <f t="shared" si="14"/>
        <v>8.1899511811508646E-2</v>
      </c>
      <c r="G122" s="12">
        <f t="shared" si="15"/>
        <v>6.8293021299871942E-2</v>
      </c>
      <c r="H122" s="12">
        <f t="shared" si="16"/>
        <v>4.7635526969307021E-2</v>
      </c>
      <c r="I122" s="12">
        <f t="shared" si="17"/>
        <v>7.504202729386486E-2</v>
      </c>
      <c r="J122" s="12">
        <f t="shared" si="18"/>
        <v>-3.4586080619643897E-2</v>
      </c>
      <c r="M122" s="123">
        <f t="shared" si="19"/>
        <v>-0.5</v>
      </c>
    </row>
    <row r="123" spans="2:13" x14ac:dyDescent="0.3">
      <c r="B123" s="12">
        <v>7.2842352585333559E-2</v>
      </c>
      <c r="C123" s="12">
        <f t="shared" si="11"/>
        <v>6.6209842172625984E-3</v>
      </c>
      <c r="D123" s="12">
        <f t="shared" si="12"/>
        <v>4.151675659602605E-2</v>
      </c>
      <c r="E123" s="12">
        <f t="shared" si="13"/>
        <v>8.1789411853666602E-2</v>
      </c>
      <c r="F123" s="12">
        <f t="shared" si="14"/>
        <v>8.1607763409381501E-2</v>
      </c>
      <c r="G123" s="12">
        <f t="shared" si="15"/>
        <v>6.9458022365293068E-2</v>
      </c>
      <c r="H123" s="12">
        <f t="shared" si="16"/>
        <v>4.7999570312190896E-2</v>
      </c>
      <c r="I123" s="12">
        <f t="shared" si="17"/>
        <v>7.6226682805374049E-2</v>
      </c>
      <c r="J123" s="12">
        <f t="shared" si="18"/>
        <v>-3.4757601877665696E-2</v>
      </c>
      <c r="M123" s="123">
        <f t="shared" si="19"/>
        <v>-0.5</v>
      </c>
    </row>
    <row r="124" spans="2:13" x14ac:dyDescent="0.3">
      <c r="B124" s="12">
        <v>7.4026368258227948E-2</v>
      </c>
      <c r="C124" s="12">
        <f t="shared" si="11"/>
        <v>6.7176489261349462E-3</v>
      </c>
      <c r="D124" s="12">
        <f t="shared" si="12"/>
        <v>4.1782886483273531E-2</v>
      </c>
      <c r="E124" s="12">
        <f t="shared" si="13"/>
        <v>8.1493407935443005E-2</v>
      </c>
      <c r="F124" s="12">
        <f t="shared" si="14"/>
        <v>8.1313719390670822E-2</v>
      </c>
      <c r="G124" s="12">
        <f t="shared" si="15"/>
        <v>7.0632589138215254E-2</v>
      </c>
      <c r="H124" s="12">
        <f t="shared" si="16"/>
        <v>4.8362478931295104E-2</v>
      </c>
      <c r="I124" s="12">
        <f t="shared" si="17"/>
        <v>7.7420147378240642E-2</v>
      </c>
      <c r="J124" s="12">
        <f t="shared" si="18"/>
        <v>-3.4927181079025212E-2</v>
      </c>
      <c r="M124" s="123">
        <f t="shared" si="19"/>
        <v>-0.5</v>
      </c>
    </row>
    <row r="125" spans="2:13" x14ac:dyDescent="0.3">
      <c r="B125" s="12">
        <v>7.5219559582911377E-2</v>
      </c>
      <c r="C125" s="12">
        <f t="shared" si="11"/>
        <v>6.8147081903102416E-3</v>
      </c>
      <c r="D125" s="12">
        <f t="shared" si="12"/>
        <v>4.204744616059259E-2</v>
      </c>
      <c r="E125" s="12">
        <f t="shared" si="13"/>
        <v>8.1195110104272147E-2</v>
      </c>
      <c r="F125" s="12">
        <f t="shared" si="14"/>
        <v>8.1017382390520712E-2</v>
      </c>
      <c r="G125" s="12">
        <f t="shared" si="15"/>
        <v>7.1816711023556037E-2</v>
      </c>
      <c r="H125" s="12">
        <f t="shared" si="16"/>
        <v>4.8724233960831982E-2</v>
      </c>
      <c r="I125" s="12">
        <f t="shared" si="17"/>
        <v>7.8622408142266717E-2</v>
      </c>
      <c r="J125" s="12">
        <f t="shared" si="18"/>
        <v>-3.5094817580211497E-2</v>
      </c>
      <c r="M125" s="123">
        <f t="shared" si="19"/>
        <v>-0.5</v>
      </c>
    </row>
    <row r="126" spans="2:13" x14ac:dyDescent="0.3">
      <c r="B126" s="12">
        <v>7.6421914735820273E-2</v>
      </c>
      <c r="C126" s="12">
        <f t="shared" si="11"/>
        <v>6.912152842095903E-3</v>
      </c>
      <c r="D126" s="12">
        <f t="shared" si="12"/>
        <v>4.2310425975642031E-2</v>
      </c>
      <c r="E126" s="12">
        <f t="shared" si="13"/>
        <v>8.0894521316044923E-2</v>
      </c>
      <c r="F126" s="12">
        <f t="shared" si="14"/>
        <v>8.071875506703019E-2</v>
      </c>
      <c r="G126" s="12">
        <f t="shared" si="15"/>
        <v>7.3010377297984319E-2</v>
      </c>
      <c r="H126" s="12">
        <f t="shared" si="16"/>
        <v>4.9084816482782956E-2</v>
      </c>
      <c r="I126" s="12">
        <f t="shared" si="17"/>
        <v>7.9833452173656227E-2</v>
      </c>
      <c r="J126" s="12">
        <f t="shared" si="18"/>
        <v>-3.5260510798591146E-2</v>
      </c>
      <c r="M126" s="123">
        <f t="shared" si="19"/>
        <v>-0.5</v>
      </c>
    </row>
    <row r="127" spans="2:13" x14ac:dyDescent="0.3">
      <c r="B127" s="12">
        <v>7.7633421802584812E-2</v>
      </c>
      <c r="C127" s="12">
        <f t="shared" si="11"/>
        <v>7.0099736576612233E-3</v>
      </c>
      <c r="D127" s="12">
        <f t="shared" si="12"/>
        <v>4.2571816286836921E-2</v>
      </c>
      <c r="E127" s="12">
        <f t="shared" si="13"/>
        <v>8.0591644549353789E-2</v>
      </c>
      <c r="F127" s="12">
        <f t="shared" si="14"/>
        <v>8.0417840101281529E-2</v>
      </c>
      <c r="G127" s="12">
        <f t="shared" si="15"/>
        <v>7.421357710971184E-2</v>
      </c>
      <c r="H127" s="12">
        <f t="shared" si="16"/>
        <v>4.9444207528874476E-2</v>
      </c>
      <c r="I127" s="12">
        <f t="shared" si="17"/>
        <v>8.1053266495457785E-2</v>
      </c>
      <c r="J127" s="12">
        <f t="shared" si="18"/>
        <v>-3.5424260213552022E-2</v>
      </c>
      <c r="M127" s="123">
        <f t="shared" si="19"/>
        <v>-0.5</v>
      </c>
    </row>
    <row r="128" spans="2:13" x14ac:dyDescent="0.3">
      <c r="B128" s="12">
        <v>7.8854068778147268E-2</v>
      </c>
      <c r="C128" s="12">
        <f t="shared" si="11"/>
        <v>7.1081613574561272E-3</v>
      </c>
      <c r="D128" s="12">
        <f t="shared" si="12"/>
        <v>4.283160746489962E-2</v>
      </c>
      <c r="E128" s="12">
        <f t="shared" si="13"/>
        <v>8.0286482805463175E-2</v>
      </c>
      <c r="F128" s="12">
        <f t="shared" si="14"/>
        <v>8.0114640197368678E-2</v>
      </c>
      <c r="G128" s="12">
        <f t="shared" si="15"/>
        <v>7.5426299478290021E-2</v>
      </c>
      <c r="H128" s="12">
        <f t="shared" si="16"/>
        <v>4.9802388082555632E-2</v>
      </c>
      <c r="I128" s="12">
        <f t="shared" si="17"/>
        <v>8.2281838078004516E-2</v>
      </c>
      <c r="J128" s="12">
        <f t="shared" si="18"/>
        <v>-3.5586065367643374E-2</v>
      </c>
      <c r="M128" s="123">
        <f t="shared" si="19"/>
        <v>-0.5</v>
      </c>
    </row>
    <row r="129" spans="2:13" x14ac:dyDescent="0.3">
      <c r="B129" s="12">
        <v>8.0083843566880586E-2</v>
      </c>
      <c r="C129" s="12">
        <f t="shared" si="11"/>
        <v>7.2067066066324823E-3</v>
      </c>
      <c r="D129" s="12">
        <f t="shared" si="12"/>
        <v>4.3089789894408134E-2</v>
      </c>
      <c r="E129" s="12">
        <f t="shared" si="13"/>
        <v>7.9979039108279845E-2</v>
      </c>
      <c r="F129" s="12">
        <f t="shared" si="14"/>
        <v>7.9809158082425724E-2</v>
      </c>
      <c r="G129" s="12">
        <f t="shared" si="15"/>
        <v>7.6648533294411431E-2</v>
      </c>
      <c r="H129" s="12">
        <f t="shared" si="16"/>
        <v>5.0159339080976882E-2</v>
      </c>
      <c r="I129" s="12">
        <f t="shared" si="17"/>
        <v>8.3519153839349741E-2</v>
      </c>
      <c r="J129" s="12">
        <f t="shared" si="18"/>
        <v>-3.5745925867711921E-2</v>
      </c>
      <c r="M129" s="123">
        <f t="shared" si="19"/>
        <v>-0.5</v>
      </c>
    </row>
    <row r="130" spans="2:13" x14ac:dyDescent="0.3">
      <c r="B130" s="12">
        <v>8.1322733982708617E-2</v>
      </c>
      <c r="C130" s="12">
        <f t="shared" ref="C130:C193" si="20">IF($A$1=0, 0, IF(B130&lt;=$A$2, ($A$1/$A$2^2)*(2*$A$2*B130-B130^2), ($A$1/(1-$A$2)^2)*((1-2*$A$2)+2*$A$2*B130-B130^2)))</f>
        <v>7.3056000154680606E-3</v>
      </c>
      <c r="D130" s="12">
        <f t="shared" ref="D130:D193" si="21">IF($Q$3, 5*$A$3*(0.2969*SQRT(B130)-0.126*B130-0.3516*B130^2+0.2843*B130^3-0.1036*B130^4), 5*$A$3*(0.2969*SQRT(B130)-0.126*B130-0.3516*B130^2+0.2843*B130^3-0.1015*B130^4))</f>
        <v>4.3346353975341922E-2</v>
      </c>
      <c r="E130" s="12">
        <f t="shared" ref="E130:E193" si="22">IF($A$1=0, 0, IF(B130&lt;=$A$2, ($A$1/$A$2^2) *(2*$A$2-2*B130), ($A$1/(1-$A$2)^2)*(2*$A$2-2*B130)))</f>
        <v>7.9669316504322837E-2</v>
      </c>
      <c r="F130" s="12">
        <f t="shared" ref="F130:F193" si="23">IF($A$1=0, 0,  ATAN(E130))</f>
        <v>7.9501396506655109E-2</v>
      </c>
      <c r="G130" s="12">
        <f t="shared" ref="G130:G193" si="24">B130-D130*SIN(F130)</f>
        <v>7.7880267319717367E-2</v>
      </c>
      <c r="H130" s="12">
        <f t="shared" ref="H130:H193" si="25">C130+D130*COS(F130)</f>
        <v>5.0515041416970052E-2</v>
      </c>
      <c r="I130" s="12">
        <f t="shared" ref="I130:I193" si="26">B130+D130*SIN(F130)</f>
        <v>8.4765200645699867E-2</v>
      </c>
      <c r="J130" s="12">
        <f t="shared" ref="J130:J193" si="27">C130-D130*COS(F130)</f>
        <v>-3.5903841386033933E-2</v>
      </c>
      <c r="M130" s="123">
        <f t="shared" ref="M130:M193" si="28">IF($Q$1,  C130, -0.5)</f>
        <v>-0.5</v>
      </c>
    </row>
    <row r="131" spans="2:13" x14ac:dyDescent="0.3">
      <c r="B131" s="12">
        <v>8.2570727749226691E-2</v>
      </c>
      <c r="C131" s="12">
        <f t="shared" si="20"/>
        <v>7.4048321397930539E-3</v>
      </c>
      <c r="D131" s="12">
        <f t="shared" si="21"/>
        <v>4.3601290124624319E-2</v>
      </c>
      <c r="E131" s="12">
        <f t="shared" si="22"/>
        <v>7.9357318062693319E-2</v>
      </c>
      <c r="F131" s="12">
        <f t="shared" si="23"/>
        <v>7.9191358243355908E-2</v>
      </c>
      <c r="G131" s="12">
        <f t="shared" si="24"/>
        <v>7.9121490186610355E-2</v>
      </c>
      <c r="H131" s="12">
        <f t="shared" si="25"/>
        <v>5.0869475941028773E-2</v>
      </c>
      <c r="I131" s="12">
        <f t="shared" si="26"/>
        <v>8.6019965311843027E-2</v>
      </c>
      <c r="J131" s="12">
        <f t="shared" si="27"/>
        <v>-3.6059811661442669E-2</v>
      </c>
      <c r="M131" s="123">
        <f t="shared" si="28"/>
        <v>-0.5</v>
      </c>
    </row>
    <row r="132" spans="2:13" x14ac:dyDescent="0.3">
      <c r="B132" s="12">
        <v>8.3827812499823295E-2</v>
      </c>
      <c r="C132" s="12">
        <f t="shared" si="20"/>
        <v>7.504393481419137E-3</v>
      </c>
      <c r="D132" s="12">
        <f t="shared" si="21"/>
        <v>4.3854588777661768E-2</v>
      </c>
      <c r="E132" s="12">
        <f t="shared" si="22"/>
        <v>7.9043046875044168E-2</v>
      </c>
      <c r="F132" s="12">
        <f t="shared" si="23"/>
        <v>7.8879046088952146E-2</v>
      </c>
      <c r="G132" s="12">
        <f t="shared" si="24"/>
        <v>8.0372190398072349E-2</v>
      </c>
      <c r="H132" s="12">
        <f t="shared" si="25"/>
        <v>5.1222623463289492E-2</v>
      </c>
      <c r="I132" s="12">
        <f t="shared" si="26"/>
        <v>8.7283434601574242E-2</v>
      </c>
      <c r="J132" s="12">
        <f t="shared" si="27"/>
        <v>-3.6213836500451214E-2</v>
      </c>
      <c r="M132" s="123">
        <f t="shared" si="28"/>
        <v>-0.5</v>
      </c>
    </row>
    <row r="133" spans="2:13" x14ac:dyDescent="0.3">
      <c r="B133" s="12">
        <v>8.5093975777802311E-2</v>
      </c>
      <c r="C133" s="12">
        <f t="shared" si="20"/>
        <v>7.6042744885710788E-3</v>
      </c>
      <c r="D133" s="12">
        <f t="shared" si="21"/>
        <v>4.4106240389879349E-2</v>
      </c>
      <c r="E133" s="12">
        <f t="shared" si="22"/>
        <v>7.8726506055549414E-2</v>
      </c>
      <c r="F133" s="12">
        <f t="shared" si="23"/>
        <v>7.8564462863020906E-2</v>
      </c>
      <c r="G133" s="12">
        <f t="shared" si="24"/>
        <v>8.163235632748829E-2</v>
      </c>
      <c r="H133" s="12">
        <f t="shared" si="25"/>
        <v>5.1574464755512528E-2</v>
      </c>
      <c r="I133" s="12">
        <f t="shared" si="26"/>
        <v>8.8555595228116332E-2</v>
      </c>
      <c r="J133" s="12">
        <f t="shared" si="27"/>
        <v>-3.6365915778370367E-2</v>
      </c>
      <c r="M133" s="123">
        <f t="shared" si="28"/>
        <v>-0.5</v>
      </c>
    </row>
    <row r="134" spans="2:13" x14ac:dyDescent="0.3">
      <c r="B134" s="12">
        <v>8.6369205036507135E-2</v>
      </c>
      <c r="C134" s="12">
        <f t="shared" si="20"/>
        <v>7.7044655563209361E-3</v>
      </c>
      <c r="D134" s="12">
        <f t="shared" si="21"/>
        <v>4.435623543825238E-2</v>
      </c>
      <c r="E134" s="12">
        <f t="shared" si="22"/>
        <v>7.8407698740873208E-2</v>
      </c>
      <c r="F134" s="12">
        <f t="shared" si="23"/>
        <v>7.8247611408320275E-2</v>
      </c>
      <c r="G134" s="12">
        <f t="shared" si="24"/>
        <v>8.2901976218476309E-2</v>
      </c>
      <c r="H134" s="12">
        <f t="shared" si="25"/>
        <v>5.1924980553063035E-2</v>
      </c>
      <c r="I134" s="12">
        <f t="shared" si="26"/>
        <v>8.9836433854537961E-2</v>
      </c>
      <c r="J134" s="12">
        <f t="shared" si="27"/>
        <v>-3.6516049440421167E-2</v>
      </c>
      <c r="M134" s="123">
        <f t="shared" si="28"/>
        <v>-0.5</v>
      </c>
    </row>
    <row r="135" spans="2:13" x14ac:dyDescent="0.3">
      <c r="B135" s="12">
        <v>8.7653487639444361E-2</v>
      </c>
      <c r="C135" s="12">
        <f t="shared" si="20"/>
        <v>7.8049570270246563E-3</v>
      </c>
      <c r="D135" s="12">
        <f t="shared" si="21"/>
        <v>4.4604564422833705E-2</v>
      </c>
      <c r="E135" s="12">
        <f t="shared" si="22"/>
        <v>7.8086628090138901E-2</v>
      </c>
      <c r="F135" s="12">
        <f t="shared" si="23"/>
        <v>7.7928494590817479E-2</v>
      </c>
      <c r="G135" s="12">
        <f t="shared" si="24"/>
        <v>8.4181038184722626E-2</v>
      </c>
      <c r="H135" s="12">
        <f t="shared" si="25"/>
        <v>5.2274151556891336E-2</v>
      </c>
      <c r="I135" s="12">
        <f t="shared" si="26"/>
        <v>9.1125937094166096E-2</v>
      </c>
      <c r="J135" s="12">
        <f t="shared" si="27"/>
        <v>-3.6664237502842027E-2</v>
      </c>
      <c r="M135" s="123">
        <f t="shared" si="28"/>
        <v>-0.5</v>
      </c>
    </row>
    <row r="136" spans="2:13" x14ac:dyDescent="0.3">
      <c r="B136" s="12">
        <v>8.8946810860409342E-2</v>
      </c>
      <c r="C136" s="12">
        <f t="shared" si="20"/>
        <v>7.9057391907612542E-3</v>
      </c>
      <c r="D136" s="12">
        <f t="shared" si="21"/>
        <v>4.485121786827663E-2</v>
      </c>
      <c r="E136" s="12">
        <f t="shared" si="22"/>
        <v>7.7763297284897656E-2</v>
      </c>
      <c r="F136" s="12">
        <f t="shared" si="23"/>
        <v>7.76071152997167E-2</v>
      </c>
      <c r="G136" s="12">
        <f t="shared" si="24"/>
        <v>8.5469530209823077E-2</v>
      </c>
      <c r="H136" s="12">
        <f t="shared" si="25"/>
        <v>5.262195843551265E-2</v>
      </c>
      <c r="I136" s="12">
        <f t="shared" si="26"/>
        <v>9.2424091510995607E-2</v>
      </c>
      <c r="J136" s="12">
        <f t="shared" si="27"/>
        <v>-3.6810480053990138E-2</v>
      </c>
      <c r="M136" s="123">
        <f t="shared" si="28"/>
        <v>-0.5</v>
      </c>
    </row>
    <row r="137" spans="2:13" x14ac:dyDescent="0.3">
      <c r="B137" s="12">
        <v>9.0249161883612206E-2</v>
      </c>
      <c r="C137" s="12">
        <f t="shared" si="20"/>
        <v>8.0068022857744149E-3</v>
      </c>
      <c r="D137" s="12">
        <f t="shared" si="21"/>
        <v>4.5096186325352901E-2</v>
      </c>
      <c r="E137" s="12">
        <f t="shared" si="22"/>
        <v>7.743770952909694E-2</v>
      </c>
      <c r="F137" s="12">
        <f t="shared" si="23"/>
        <v>7.7283476447486926E-2</v>
      </c>
      <c r="G137" s="12">
        <f t="shared" si="24"/>
        <v>8.6767440147130503E-2</v>
      </c>
      <c r="H137" s="12">
        <f t="shared" si="25"/>
        <v>5.2968381826985558E-2</v>
      </c>
      <c r="I137" s="12">
        <f t="shared" si="26"/>
        <v>9.3730883620093908E-2</v>
      </c>
      <c r="J137" s="12">
        <f t="shared" si="27"/>
        <v>-3.6954777255436735E-2</v>
      </c>
      <c r="M137" s="123">
        <f t="shared" si="28"/>
        <v>-0.5</v>
      </c>
    </row>
    <row r="138" spans="2:13" x14ac:dyDescent="0.3">
      <c r="B138" s="12">
        <v>9.1560527803804637E-2</v>
      </c>
      <c r="C138" s="12">
        <f t="shared" si="20"/>
        <v>8.1081364989165523E-3</v>
      </c>
      <c r="D138" s="12">
        <f t="shared" si="21"/>
        <v>4.5339460372465674E-2</v>
      </c>
      <c r="E138" s="12">
        <f t="shared" si="22"/>
        <v>7.7109868049048833E-2</v>
      </c>
      <c r="F138" s="12">
        <f t="shared" si="23"/>
        <v>7.6957580969889694E-2</v>
      </c>
      <c r="G138" s="12">
        <f t="shared" si="24"/>
        <v>8.8074755719607947E-2</v>
      </c>
      <c r="H138" s="12">
        <f t="shared" si="25"/>
        <v>5.3313402340889215E-2</v>
      </c>
      <c r="I138" s="12">
        <f t="shared" si="26"/>
        <v>9.5046299888001326E-2</v>
      </c>
      <c r="J138" s="12">
        <f t="shared" si="27"/>
        <v>-3.7097129343056104E-2</v>
      </c>
      <c r="M138" s="123">
        <f t="shared" si="28"/>
        <v>-0.5</v>
      </c>
    </row>
    <row r="139" spans="2:13" x14ac:dyDescent="0.3">
      <c r="B139" s="12">
        <v>9.2880895626408333E-2</v>
      </c>
      <c r="C139" s="12">
        <f t="shared" si="20"/>
        <v>8.2097319660953631E-3</v>
      </c>
      <c r="D139" s="12">
        <f t="shared" si="21"/>
        <v>4.5581030617157244E-2</v>
      </c>
      <c r="E139" s="12">
        <f t="shared" si="22"/>
        <v>7.6779776093397908E-2</v>
      </c>
      <c r="F139" s="12">
        <f t="shared" si="23"/>
        <v>7.6629431826006525E-2</v>
      </c>
      <c r="G139" s="12">
        <f t="shared" si="24"/>
        <v>8.9391464519688865E-2</v>
      </c>
      <c r="H139" s="12">
        <f t="shared" si="25"/>
        <v>5.3657000560298963E-2</v>
      </c>
      <c r="I139" s="12">
        <f t="shared" si="26"/>
        <v>9.6370326733127801E-2</v>
      </c>
      <c r="J139" s="12">
        <f t="shared" si="27"/>
        <v>-3.7237536628108241E-2</v>
      </c>
      <c r="M139" s="123">
        <f t="shared" si="28"/>
        <v>-0.5</v>
      </c>
    </row>
    <row r="140" spans="2:13" x14ac:dyDescent="0.3">
      <c r="B140" s="12">
        <v>9.4210252267643013E-2</v>
      </c>
      <c r="C140" s="12">
        <f t="shared" si="20"/>
        <v>8.3115787727226827E-3</v>
      </c>
      <c r="D140" s="12">
        <f t="shared" si="21"/>
        <v>4.5820887697610869E-2</v>
      </c>
      <c r="E140" s="12">
        <f t="shared" si="22"/>
        <v>7.6447436933089238E-2</v>
      </c>
      <c r="F140" s="12">
        <f t="shared" si="23"/>
        <v>7.6299031998266667E-2</v>
      </c>
      <c r="G140" s="12">
        <f t="shared" si="24"/>
        <v>9.0717554009142332E-2</v>
      </c>
      <c r="H140" s="12">
        <f t="shared" si="25"/>
        <v>5.3999157043759696E-2</v>
      </c>
      <c r="I140" s="12">
        <f t="shared" si="26"/>
        <v>9.7702950526143695E-2</v>
      </c>
      <c r="J140" s="12">
        <f t="shared" si="27"/>
        <v>-3.7375999498314327E-2</v>
      </c>
      <c r="M140" s="123">
        <f t="shared" si="28"/>
        <v>-0.5</v>
      </c>
    </row>
    <row r="141" spans="2:13" x14ac:dyDescent="0.3">
      <c r="B141" s="12">
        <v>9.5548584554656757E-2</v>
      </c>
      <c r="C141" s="12">
        <f t="shared" si="20"/>
        <v>8.4136669541658767E-3</v>
      </c>
      <c r="D141" s="12">
        <f t="shared" si="21"/>
        <v>4.6059022284147058E-2</v>
      </c>
      <c r="E141" s="12">
        <f t="shared" si="22"/>
        <v>7.6112853861335802E-2</v>
      </c>
      <c r="F141" s="12">
        <f t="shared" si="23"/>
        <v>7.5966384492474226E-2</v>
      </c>
      <c r="G141" s="12">
        <f t="shared" si="24"/>
        <v>9.2053011518946029E-2</v>
      </c>
      <c r="H141" s="12">
        <f t="shared" si="25"/>
        <v>5.4339852327257417E-2</v>
      </c>
      <c r="I141" s="12">
        <f t="shared" si="26"/>
        <v>9.9044157590367485E-2</v>
      </c>
      <c r="J141" s="12">
        <f t="shared" si="27"/>
        <v>-3.751251841892566E-2</v>
      </c>
      <c r="M141" s="123">
        <f t="shared" si="28"/>
        <v>-0.5</v>
      </c>
    </row>
    <row r="142" spans="2:13" x14ac:dyDescent="0.3">
      <c r="B142" s="12">
        <v>9.6895879225656123E-2</v>
      </c>
      <c r="C142" s="12">
        <f t="shared" si="20"/>
        <v>8.5159864962014945E-3</v>
      </c>
      <c r="D142" s="12">
        <f t="shared" si="21"/>
        <v>4.6295425080713277E-2</v>
      </c>
      <c r="E142" s="12">
        <f t="shared" si="22"/>
        <v>7.5776030193585961E-2</v>
      </c>
      <c r="F142" s="12">
        <f t="shared" si="23"/>
        <v>7.563149233783556E-2</v>
      </c>
      <c r="G142" s="12">
        <f t="shared" si="24"/>
        <v>9.3397824249164554E-2</v>
      </c>
      <c r="H142" s="12">
        <f t="shared" si="25"/>
        <v>5.4679066926187729E-2</v>
      </c>
      <c r="I142" s="12">
        <f t="shared" si="26"/>
        <v>0.10039393420214769</v>
      </c>
      <c r="J142" s="12">
        <f t="shared" si="27"/>
        <v>-3.7647093933784744E-2</v>
      </c>
      <c r="M142" s="123">
        <f t="shared" si="28"/>
        <v>-0.5</v>
      </c>
    </row>
    <row r="143" spans="2:13" x14ac:dyDescent="0.3">
      <c r="B143" s="12">
        <v>9.8252122930037711E-2</v>
      </c>
      <c r="C143" s="12">
        <f t="shared" si="20"/>
        <v>8.6185273354713651E-3</v>
      </c>
      <c r="D143" s="12">
        <f t="shared" si="21"/>
        <v>4.6530086826367452E-2</v>
      </c>
      <c r="E143" s="12">
        <f t="shared" si="22"/>
        <v>7.5436969267490564E-2</v>
      </c>
      <c r="F143" s="12">
        <f t="shared" si="23"/>
        <v>7.5294358586986354E-2</v>
      </c>
      <c r="G143" s="12">
        <f t="shared" si="24"/>
        <v>9.4751979268834899E-2</v>
      </c>
      <c r="H143" s="12">
        <f t="shared" si="25"/>
        <v>5.5016781337321866E-2</v>
      </c>
      <c r="I143" s="12">
        <f t="shared" si="26"/>
        <v>0.10175226659124052</v>
      </c>
      <c r="J143" s="12">
        <f t="shared" si="27"/>
        <v>-3.7779726666379132E-2</v>
      </c>
      <c r="M143" s="123">
        <f t="shared" si="28"/>
        <v>-0.5</v>
      </c>
    </row>
    <row r="144" spans="2:13" x14ac:dyDescent="0.3">
      <c r="B144" s="12">
        <v>9.9617302228520166E-2</v>
      </c>
      <c r="C144" s="12">
        <f t="shared" si="20"/>
        <v>8.721279359940973E-3</v>
      </c>
      <c r="D144" s="12">
        <f t="shared" si="21"/>
        <v>4.6762998296754621E-2</v>
      </c>
      <c r="E144" s="12">
        <f t="shared" si="22"/>
        <v>7.509567444286995E-2</v>
      </c>
      <c r="F144" s="12">
        <f t="shared" si="23"/>
        <v>7.4954986316018629E-2</v>
      </c>
      <c r="G144" s="12">
        <f t="shared" si="24"/>
        <v>9.6115463515858021E-2</v>
      </c>
      <c r="H144" s="12">
        <f t="shared" si="25"/>
        <v>5.535297604076931E-2</v>
      </c>
      <c r="I144" s="12">
        <f t="shared" si="26"/>
        <v>0.10311914094118231</v>
      </c>
      <c r="J144" s="12">
        <f t="shared" si="27"/>
        <v>-3.7910417320887367E-2</v>
      </c>
      <c r="M144" s="123">
        <f t="shared" si="28"/>
        <v>-0.5</v>
      </c>
    </row>
    <row r="145" spans="2:13" x14ac:dyDescent="0.3">
      <c r="B145" s="12">
        <v>0.10099140359327796</v>
      </c>
      <c r="C145" s="12">
        <f t="shared" si="20"/>
        <v>8.8242324093602501E-3</v>
      </c>
      <c r="D145" s="12">
        <f t="shared" si="21"/>
        <v>4.6994150305576667E-2</v>
      </c>
      <c r="E145" s="12">
        <f t="shared" si="22"/>
        <v>7.4752149101680501E-2</v>
      </c>
      <c r="F145" s="12">
        <f t="shared" si="23"/>
        <v>7.4613378624507468E-2</v>
      </c>
      <c r="G145" s="12">
        <f t="shared" si="24"/>
        <v>9.7488263796898081E-2</v>
      </c>
      <c r="H145" s="12">
        <f t="shared" si="25"/>
        <v>5.5687631501937292E-2</v>
      </c>
      <c r="I145" s="12">
        <f t="shared" si="26"/>
        <v>0.10449454338965784</v>
      </c>
      <c r="J145" s="12">
        <f t="shared" si="27"/>
        <v>-3.8039166683216795E-2</v>
      </c>
      <c r="M145" s="123">
        <f t="shared" si="28"/>
        <v>-0.5</v>
      </c>
    </row>
    <row r="146" spans="2:13" x14ac:dyDescent="0.3">
      <c r="B146" s="12">
        <v>0.10237441340807496</v>
      </c>
      <c r="C146" s="12">
        <f t="shared" si="20"/>
        <v>8.9273762757265656E-3</v>
      </c>
      <c r="D146" s="12">
        <f t="shared" si="21"/>
        <v>4.7223533706054678E-2</v>
      </c>
      <c r="E146" s="12">
        <f t="shared" si="22"/>
        <v>7.4406396647981252E-2</v>
      </c>
      <c r="F146" s="12">
        <f t="shared" si="23"/>
        <v>7.4269538635537799E-2</v>
      </c>
      <c r="G146" s="12">
        <f t="shared" si="24"/>
        <v>9.8870366787287292E-2</v>
      </c>
      <c r="H146" s="12">
        <f t="shared" si="25"/>
        <v>5.602072817348628E-2</v>
      </c>
      <c r="I146" s="12">
        <f t="shared" si="26"/>
        <v>0.10587846002886263</v>
      </c>
      <c r="J146" s="12">
        <f t="shared" si="27"/>
        <v>-3.8165975622033145E-2</v>
      </c>
      <c r="M146" s="123">
        <f t="shared" si="28"/>
        <v>-0.5</v>
      </c>
    </row>
    <row r="147" spans="2:13" x14ac:dyDescent="0.3">
      <c r="B147" s="12">
        <v>0.1037663179683993</v>
      </c>
      <c r="C147" s="12">
        <f t="shared" si="20"/>
        <v>9.0307007037500608E-3</v>
      </c>
      <c r="D147" s="12">
        <f t="shared" si="21"/>
        <v>4.7451139392383629E-2</v>
      </c>
      <c r="E147" s="12">
        <f t="shared" si="22"/>
        <v>7.4058420507900166E-2</v>
      </c>
      <c r="F147" s="12">
        <f t="shared" si="23"/>
        <v>7.392346949573092E-2</v>
      </c>
      <c r="G147" s="12">
        <f t="shared" si="24"/>
        <v>0.10026175903093811</v>
      </c>
      <c r="H147" s="12">
        <f t="shared" si="25"/>
        <v>5.6352246497281384E-2</v>
      </c>
      <c r="I147" s="12">
        <f t="shared" si="26"/>
        <v>0.1072708769058605</v>
      </c>
      <c r="J147" s="12">
        <f t="shared" si="27"/>
        <v>-3.8290845089781263E-2</v>
      </c>
      <c r="M147" s="123">
        <f t="shared" si="28"/>
        <v>-0.5</v>
      </c>
    </row>
    <row r="148" spans="2:13" x14ac:dyDescent="0.3">
      <c r="B148" s="12">
        <v>0.10516710348159974</v>
      </c>
      <c r="C148" s="12">
        <f t="shared" si="20"/>
        <v>9.1341953913212839E-3</v>
      </c>
      <c r="D148" s="12">
        <f t="shared" si="21"/>
        <v>4.7676958301179587E-2</v>
      </c>
      <c r="E148" s="12">
        <f t="shared" si="22"/>
        <v>7.3708224129600056E-2</v>
      </c>
      <c r="F148" s="12">
        <f t="shared" si="23"/>
        <v>7.357517437527071E-2</v>
      </c>
      <c r="G148" s="12">
        <f t="shared" si="24"/>
        <v>0.10166242694026291</v>
      </c>
      <c r="H148" s="12">
        <f t="shared" si="25"/>
        <v>5.6682166906339884E-2</v>
      </c>
      <c r="I148" s="12">
        <f t="shared" si="26"/>
        <v>0.10867178002293658</v>
      </c>
      <c r="J148" s="12">
        <f t="shared" si="27"/>
        <v>-3.8413776123697313E-2</v>
      </c>
      <c r="M148" s="123">
        <f t="shared" si="28"/>
        <v>-0.5</v>
      </c>
    </row>
    <row r="149" spans="2:13" x14ac:dyDescent="0.3">
      <c r="B149" s="12">
        <v>0.10657675606702155</v>
      </c>
      <c r="C149" s="12">
        <f t="shared" si="20"/>
        <v>9.2378499899809768E-3</v>
      </c>
      <c r="D149" s="12">
        <f t="shared" si="21"/>
        <v>4.7900981412918368E-2</v>
      </c>
      <c r="E149" s="12">
        <f t="shared" si="22"/>
        <v>7.3355810983244604E-2</v>
      </c>
      <c r="F149" s="12">
        <f t="shared" si="23"/>
        <v>7.3224656467930041E-2</v>
      </c>
      <c r="G149" s="12">
        <f t="shared" si="24"/>
        <v>0.10307235679609938</v>
      </c>
      <c r="H149" s="12">
        <f t="shared" si="25"/>
        <v>5.7010469826773595E-2</v>
      </c>
      <c r="I149" s="12">
        <f t="shared" si="26"/>
        <v>0.11008115533794371</v>
      </c>
      <c r="J149" s="12">
        <f t="shared" si="27"/>
        <v>-3.8534769846811638E-2</v>
      </c>
      <c r="M149" s="123">
        <f t="shared" si="28"/>
        <v>-0.5</v>
      </c>
    </row>
    <row r="150" spans="2:13" x14ac:dyDescent="0.3">
      <c r="B150" s="12">
        <v>0.10799526175614471</v>
      </c>
      <c r="C150" s="12">
        <f t="shared" si="20"/>
        <v>9.3416541053921928E-3</v>
      </c>
      <c r="D150" s="12">
        <f t="shared" si="21"/>
        <v>4.8123199753366236E-2</v>
      </c>
      <c r="E150" s="12">
        <f t="shared" si="22"/>
        <v>7.3001184560963814E-2</v>
      </c>
      <c r="F150" s="12">
        <f t="shared" si="23"/>
        <v>7.2871918991096588E-2</v>
      </c>
      <c r="G150" s="12">
        <f t="shared" si="24"/>
        <v>0.10449153474764437</v>
      </c>
      <c r="H150" s="12">
        <f t="shared" si="25"/>
        <v>5.7337135679726807E-2</v>
      </c>
      <c r="I150" s="12">
        <f t="shared" si="26"/>
        <v>0.11149898876464505</v>
      </c>
      <c r="J150" s="12">
        <f t="shared" si="27"/>
        <v>-3.8653827468942421E-2</v>
      </c>
      <c r="M150" s="123">
        <f t="shared" si="28"/>
        <v>-0.5</v>
      </c>
    </row>
    <row r="151" spans="2:13" x14ac:dyDescent="0.3">
      <c r="B151" s="12">
        <v>0.10942260649272206</v>
      </c>
      <c r="C151" s="12">
        <f t="shared" si="20"/>
        <v>9.4455972978145682E-3</v>
      </c>
      <c r="D151" s="12">
        <f t="shared" si="21"/>
        <v>4.8343604395001634E-2</v>
      </c>
      <c r="E151" s="12">
        <f t="shared" si="22"/>
        <v>7.2644348376819476E-2</v>
      </c>
      <c r="F151" s="12">
        <f t="shared" si="23"/>
        <v>7.2516965185798768E-2</v>
      </c>
      <c r="G151" s="12">
        <f t="shared" si="24"/>
        <v>0.10591994681239393</v>
      </c>
      <c r="H151" s="12">
        <f t="shared" si="25"/>
        <v>5.7662144883308758E-2</v>
      </c>
      <c r="I151" s="12">
        <f t="shared" si="26"/>
        <v>0.1129252661730502</v>
      </c>
      <c r="J151" s="12">
        <f t="shared" si="27"/>
        <v>-3.8770950287679615E-2</v>
      </c>
      <c r="M151" s="123">
        <f t="shared" si="28"/>
        <v>-0.5</v>
      </c>
    </row>
    <row r="152" spans="2:13" x14ac:dyDescent="0.3">
      <c r="B152" s="12">
        <v>0.11085877613291861</v>
      </c>
      <c r="C152" s="12">
        <f t="shared" si="20"/>
        <v>9.5496690825807896E-3</v>
      </c>
      <c r="D152" s="12">
        <f t="shared" si="21"/>
        <v>4.8562186458428247E-2</v>
      </c>
      <c r="E152" s="12">
        <f t="shared" si="22"/>
        <v>7.2285305966770338E-2</v>
      </c>
      <c r="F152" s="12">
        <f t="shared" si="23"/>
        <v>7.2159798316731263E-2</v>
      </c>
      <c r="G152" s="12">
        <f t="shared" si="24"/>
        <v>0.10735757887609096</v>
      </c>
      <c r="H152" s="12">
        <f t="shared" si="25"/>
        <v>5.7985477854520726E-2</v>
      </c>
      <c r="I152" s="12">
        <f t="shared" si="26"/>
        <v>0.11435997338974627</v>
      </c>
      <c r="J152" s="12">
        <f t="shared" si="27"/>
        <v>-3.8886139689359153E-2</v>
      </c>
      <c r="M152" s="123">
        <f t="shared" si="28"/>
        <v>-0.5</v>
      </c>
    </row>
    <row r="153" spans="2:13" x14ac:dyDescent="0.3">
      <c r="B153" s="12">
        <v>0.11230375644545154</v>
      </c>
      <c r="C153" s="12">
        <f t="shared" si="20"/>
        <v>9.6538589305752397E-3</v>
      </c>
      <c r="D153" s="12">
        <f t="shared" si="21"/>
        <v>4.8778937113778703E-2</v>
      </c>
      <c r="E153" s="12">
        <f t="shared" si="22"/>
        <v>7.1924060888637106E-2</v>
      </c>
      <c r="F153" s="12">
        <f t="shared" si="23"/>
        <v>7.1800421672280609E-2</v>
      </c>
      <c r="G153" s="12">
        <f t="shared" si="24"/>
        <v>0.10880441669267986</v>
      </c>
      <c r="H153" s="12">
        <f t="shared" si="25"/>
        <v>5.8307115011177385E-2</v>
      </c>
      <c r="I153" s="12">
        <f t="shared" si="26"/>
        <v>0.11580309619822322</v>
      </c>
      <c r="J153" s="12">
        <f t="shared" si="27"/>
        <v>-3.8999397150026899E-2</v>
      </c>
      <c r="M153" s="123">
        <f t="shared" si="28"/>
        <v>-0.5</v>
      </c>
    </row>
    <row r="154" spans="2:13" x14ac:dyDescent="0.3">
      <c r="B154" s="12">
        <v>0.11375753311173153</v>
      </c>
      <c r="C154" s="12">
        <f t="shared" si="20"/>
        <v>9.7581562687148148E-3</v>
      </c>
      <c r="D154" s="12">
        <f t="shared" si="21"/>
        <v>4.8993847582109069E-2</v>
      </c>
      <c r="E154" s="12">
        <f t="shared" si="22"/>
        <v>7.1560616722067108E-2</v>
      </c>
      <c r="F154" s="12">
        <f t="shared" si="23"/>
        <v>7.1438838564550272E-2</v>
      </c>
      <c r="G154" s="12">
        <f t="shared" si="24"/>
        <v>0.11026044588426906</v>
      </c>
      <c r="H154" s="12">
        <f t="shared" si="25"/>
        <v>5.8627036773822083E-2</v>
      </c>
      <c r="I154" s="12">
        <f t="shared" si="26"/>
        <v>0.11725462033919401</v>
      </c>
      <c r="J154" s="12">
        <f t="shared" si="27"/>
        <v>-3.9110724236392461E-2</v>
      </c>
      <c r="M154" s="123">
        <f t="shared" si="28"/>
        <v>-0.5</v>
      </c>
    </row>
    <row r="155" spans="2:13" x14ac:dyDescent="0.3">
      <c r="B155" s="12">
        <v>0.11522009172600445</v>
      </c>
      <c r="C155" s="12">
        <f t="shared" si="20"/>
        <v>9.8625504804318344E-3</v>
      </c>
      <c r="D155" s="12">
        <f t="shared" si="21"/>
        <v>4.9206909136783446E-2</v>
      </c>
      <c r="E155" s="12">
        <f t="shared" si="22"/>
        <v>7.119497706849888E-2</v>
      </c>
      <c r="F155" s="12">
        <f t="shared" si="23"/>
        <v>7.1075052329385727E-2</v>
      </c>
      <c r="G155" s="12">
        <f t="shared" si="24"/>
        <v>0.11172565194110033</v>
      </c>
      <c r="H155" s="12">
        <f t="shared" si="25"/>
        <v>5.8945223567635846E-2</v>
      </c>
      <c r="I155" s="12">
        <f t="shared" si="26"/>
        <v>0.11871453151090856</v>
      </c>
      <c r="J155" s="12">
        <f t="shared" si="27"/>
        <v>-3.9220122606772184E-2</v>
      </c>
      <c r="M155" s="123">
        <f t="shared" si="28"/>
        <v>-0.5</v>
      </c>
    </row>
    <row r="156" spans="2:13" x14ac:dyDescent="0.3">
      <c r="B156" s="12">
        <v>0.11669141779549419</v>
      </c>
      <c r="C156" s="12">
        <f t="shared" si="20"/>
        <v>9.9670309061590957E-3</v>
      </c>
      <c r="D156" s="12">
        <f t="shared" si="21"/>
        <v>4.941811310484872E-2</v>
      </c>
      <c r="E156" s="12">
        <f t="shared" si="22"/>
        <v>7.0827145551126444E-2</v>
      </c>
      <c r="F156" s="12">
        <f t="shared" si="23"/>
        <v>7.0709066326399214E-2</v>
      </c>
      <c r="G156" s="12">
        <f t="shared" si="24"/>
        <v>0.11320002022152603</v>
      </c>
      <c r="H156" s="12">
        <f t="shared" si="25"/>
        <v>5.9261655824339676E-2</v>
      </c>
      <c r="I156" s="12">
        <f t="shared" si="26"/>
        <v>0.12018281536946235</v>
      </c>
      <c r="J156" s="12">
        <f t="shared" si="27"/>
        <v>-3.9327594012021488E-2</v>
      </c>
      <c r="M156" s="123">
        <f t="shared" si="28"/>
        <v>-0.5</v>
      </c>
    </row>
    <row r="157" spans="2:13" x14ac:dyDescent="0.3">
      <c r="B157" s="12">
        <v>0.11817149674054617</v>
      </c>
      <c r="C157" s="12">
        <f t="shared" si="20"/>
        <v>1.0071586843817001E-2</v>
      </c>
      <c r="D157" s="12">
        <f t="shared" si="21"/>
        <v>4.9627450868399113E-2</v>
      </c>
      <c r="E157" s="12">
        <f t="shared" si="22"/>
        <v>7.045712581486345E-2</v>
      </c>
      <c r="F157" s="12">
        <f t="shared" si="23"/>
        <v>7.0340883938994375E-2</v>
      </c>
      <c r="G157" s="12">
        <f t="shared" si="24"/>
        <v>0.11468353595199346</v>
      </c>
      <c r="H157" s="12">
        <f t="shared" si="25"/>
        <v>5.9576313984090051E-2</v>
      </c>
      <c r="I157" s="12">
        <f t="shared" si="26"/>
        <v>0.12165945752909887</v>
      </c>
      <c r="J157" s="12">
        <f t="shared" si="27"/>
        <v>-3.9433140296456046E-2</v>
      </c>
      <c r="M157" s="123">
        <f t="shared" si="28"/>
        <v>-0.5</v>
      </c>
    </row>
    <row r="158" spans="2:13" x14ac:dyDescent="0.3">
      <c r="B158" s="12">
        <v>0.11966031389477194</v>
      </c>
      <c r="C158" s="12">
        <f t="shared" si="20"/>
        <v>1.0176207549302775E-2</v>
      </c>
      <c r="D158" s="12">
        <f t="shared" si="21"/>
        <v>4.9834913865930253E-2</v>
      </c>
      <c r="E158" s="12">
        <f t="shared" si="22"/>
        <v>7.0084921526307006E-2</v>
      </c>
      <c r="F158" s="12">
        <f t="shared" si="23"/>
        <v>6.9970508574390508E-2</v>
      </c>
      <c r="G158" s="12">
        <f t="shared" si="24"/>
        <v>0.11617618422703727</v>
      </c>
      <c r="H158" s="12">
        <f t="shared" si="25"/>
        <v>5.9889178497367211E-2</v>
      </c>
      <c r="I158" s="12">
        <f t="shared" si="26"/>
        <v>0.12314444356250662</v>
      </c>
      <c r="J158" s="12">
        <f t="shared" si="27"/>
        <v>-3.9536763398761658E-2</v>
      </c>
      <c r="M158" s="123">
        <f t="shared" si="28"/>
        <v>-0.5</v>
      </c>
    </row>
    <row r="159" spans="2:13" x14ac:dyDescent="0.3">
      <c r="B159" s="12">
        <v>0.12115785450519423</v>
      </c>
      <c r="C159" s="12">
        <f t="shared" si="20"/>
        <v>1.0280882236981696E-2</v>
      </c>
      <c r="D159" s="12">
        <f t="shared" si="21"/>
        <v>5.0040493593682435E-2</v>
      </c>
      <c r="E159" s="12">
        <f t="shared" si="22"/>
        <v>6.9710536373701434E-2</v>
      </c>
      <c r="F159" s="12">
        <f t="shared" si="23"/>
        <v>6.9597943663646786E-2</v>
      </c>
      <c r="G159" s="12">
        <f t="shared" si="24"/>
        <v>0.11767795000927886</v>
      </c>
      <c r="H159" s="12">
        <f t="shared" si="25"/>
        <v>6.0200229826855911E-2</v>
      </c>
      <c r="I159" s="12">
        <f t="shared" si="26"/>
        <v>0.1246377590011096</v>
      </c>
      <c r="J159" s="12">
        <f t="shared" si="27"/>
        <v>-3.9638465352892518E-2</v>
      </c>
      <c r="M159" s="123">
        <f t="shared" si="28"/>
        <v>-0.5</v>
      </c>
    </row>
    <row r="160" spans="2:13" x14ac:dyDescent="0.3">
      <c r="B160" s="12">
        <v>0.12266410373239378</v>
      </c>
      <c r="C160" s="12">
        <f t="shared" si="20"/>
        <v>1.0385600080180444E-2</v>
      </c>
      <c r="D160" s="12">
        <f t="shared" si="21"/>
        <v>5.0244181606973123E-2</v>
      </c>
      <c r="E160" s="12">
        <f t="shared" si="22"/>
        <v>6.9333974066901546E-2</v>
      </c>
      <c r="F160" s="12">
        <f t="shared" si="23"/>
        <v>6.9223192661685903E-2</v>
      </c>
      <c r="G160" s="12">
        <f t="shared" si="24"/>
        <v>0.11918881812943465</v>
      </c>
      <c r="H160" s="12">
        <f t="shared" si="25"/>
        <v>6.0509448449318673E-2</v>
      </c>
      <c r="I160" s="12">
        <f t="shared" si="26"/>
        <v>0.1261393893353529</v>
      </c>
      <c r="J160" s="12">
        <f t="shared" si="27"/>
        <v>-3.9738248288957792E-2</v>
      </c>
      <c r="M160" s="123">
        <f t="shared" si="28"/>
        <v>-0.5</v>
      </c>
    </row>
    <row r="161" spans="2:13" x14ac:dyDescent="0.3">
      <c r="B161" s="12">
        <v>0.12417904665065549</v>
      </c>
      <c r="C161" s="12">
        <f t="shared" si="20"/>
        <v>1.0490350211682339E-2</v>
      </c>
      <c r="D161" s="12">
        <f t="shared" si="21"/>
        <v>5.0445969521518037E-2</v>
      </c>
      <c r="E161" s="12">
        <f t="shared" si="22"/>
        <v>6.8955238337336119E-2</v>
      </c>
      <c r="F161" s="12">
        <f t="shared" si="23"/>
        <v>6.8846259047317906E-2</v>
      </c>
      <c r="G161" s="12">
        <f t="shared" si="24"/>
        <v>0.12070877328633033</v>
      </c>
      <c r="H161" s="12">
        <f t="shared" si="25"/>
        <v>6.0816814857460724E-2</v>
      </c>
      <c r="I161" s="12">
        <f t="shared" si="26"/>
        <v>0.12764932001498067</v>
      </c>
      <c r="J161" s="12">
        <f t="shared" si="27"/>
        <v>-3.9836114434096043E-2</v>
      </c>
      <c r="M161" s="123">
        <f t="shared" si="28"/>
        <v>-0.5</v>
      </c>
    </row>
    <row r="162" spans="2:13" x14ac:dyDescent="0.3">
      <c r="B162" s="12">
        <v>0.12570266824811704</v>
      </c>
      <c r="C162" s="12">
        <f t="shared" si="20"/>
        <v>1.0595121724224681E-2</v>
      </c>
      <c r="D162" s="12">
        <f t="shared" si="21"/>
        <v>5.0645849014740917E-2</v>
      </c>
      <c r="E162" s="12">
        <f t="shared" si="22"/>
        <v>6.8574332937970731E-2</v>
      </c>
      <c r="F162" s="12">
        <f t="shared" si="23"/>
        <v>6.8467146323263367E-2</v>
      </c>
      <c r="G162" s="12">
        <f t="shared" si="24"/>
        <v>0.12223780004692467</v>
      </c>
      <c r="H162" s="12">
        <f t="shared" si="25"/>
        <v>6.1122309561786936E-2</v>
      </c>
      <c r="I162" s="12">
        <f t="shared" si="26"/>
        <v>0.12916753644930942</v>
      </c>
      <c r="J162" s="12">
        <f t="shared" si="27"/>
        <v>-3.9932066113337578E-2</v>
      </c>
      <c r="M162" s="123">
        <f t="shared" si="28"/>
        <v>-0.5</v>
      </c>
    </row>
    <row r="163" spans="2:13" x14ac:dyDescent="0.3">
      <c r="B163" s="12">
        <v>0.1272349534269176</v>
      </c>
      <c r="C163" s="12">
        <f t="shared" si="20"/>
        <v>1.0699903670998023E-2</v>
      </c>
      <c r="D163" s="12">
        <f t="shared" si="21"/>
        <v>5.0843811827071407E-2</v>
      </c>
      <c r="E163" s="12">
        <f t="shared" si="22"/>
        <v>6.8191261643270593E-2</v>
      </c>
      <c r="F163" s="12">
        <f t="shared" si="23"/>
        <v>6.8085858016176434E-2</v>
      </c>
      <c r="G163" s="12">
        <f t="shared" si="24"/>
        <v>0.12377588284634036</v>
      </c>
      <c r="H163" s="12">
        <f t="shared" si="25"/>
        <v>6.142591309244997E-2</v>
      </c>
      <c r="I163" s="12">
        <f t="shared" si="26"/>
        <v>0.13069402400749483</v>
      </c>
      <c r="J163" s="12">
        <f t="shared" si="27"/>
        <v>-4.0026105750453921E-2</v>
      </c>
      <c r="M163" s="123">
        <f t="shared" si="28"/>
        <v>-0.5</v>
      </c>
    </row>
    <row r="164" spans="2:13" x14ac:dyDescent="0.3">
      <c r="B164" s="12">
        <v>0.12877588700334663</v>
      </c>
      <c r="C164" s="12">
        <f t="shared" si="20"/>
        <v>1.0804685066147325E-2</v>
      </c>
      <c r="D164" s="12">
        <f t="shared" si="21"/>
        <v>5.1039849763231115E-2</v>
      </c>
      <c r="E164" s="12">
        <f t="shared" si="22"/>
        <v>6.7806028249163333E-2</v>
      </c>
      <c r="F164" s="12">
        <f t="shared" si="23"/>
        <v>6.7702397676667858E-2</v>
      </c>
      <c r="G164" s="12">
        <f t="shared" si="24"/>
        <v>0.12532300598790203</v>
      </c>
      <c r="H164" s="12">
        <f t="shared" si="25"/>
        <v>6.1727606001089633E-2</v>
      </c>
      <c r="I164" s="12">
        <f t="shared" si="26"/>
        <v>0.13222876801879124</v>
      </c>
      <c r="J164" s="12">
        <f t="shared" si="27"/>
        <v>-4.0118235868794982E-2</v>
      </c>
      <c r="M164" s="123">
        <f t="shared" si="28"/>
        <v>-0.5</v>
      </c>
    </row>
    <row r="165" spans="2:13" x14ac:dyDescent="0.3">
      <c r="B165" s="12">
        <v>0.13032545370799575</v>
      </c>
      <c r="C165" s="12">
        <f t="shared" si="20"/>
        <v>1.0909454885275206E-2</v>
      </c>
      <c r="D165" s="12">
        <f t="shared" si="21"/>
        <v>5.1233954693507527E-2</v>
      </c>
      <c r="E165" s="12">
        <f t="shared" si="22"/>
        <v>6.7418636573001053E-2</v>
      </c>
      <c r="F165" s="12">
        <f t="shared" si="23"/>
        <v>6.7316768879327152E-2</v>
      </c>
      <c r="G165" s="12">
        <f t="shared" si="24"/>
        <v>0.12687915364318428</v>
      </c>
      <c r="H165" s="12">
        <f t="shared" si="25"/>
        <v>6.2027368862663433E-2</v>
      </c>
      <c r="I165" s="12">
        <f t="shared" si="26"/>
        <v>0.13377175377280723</v>
      </c>
      <c r="J165" s="12">
        <f t="shared" si="27"/>
        <v>-4.0208459092113021E-2</v>
      </c>
      <c r="M165" s="123">
        <f t="shared" si="28"/>
        <v>-0.5</v>
      </c>
    </row>
    <row r="166" spans="2:13" x14ac:dyDescent="0.3">
      <c r="B166" s="12">
        <v>0.13188363818590843</v>
      </c>
      <c r="C166" s="12">
        <f t="shared" si="20"/>
        <v>1.1014202065946891E-2</v>
      </c>
      <c r="D166" s="12">
        <f t="shared" si="21"/>
        <v>5.1426118555015277E-2</v>
      </c>
      <c r="E166" s="12">
        <f t="shared" si="22"/>
        <v>6.7029090453522885E-2</v>
      </c>
      <c r="F166" s="12">
        <f t="shared" si="23"/>
        <v>6.6928975222745157E-2</v>
      </c>
      <c r="G166" s="12">
        <f t="shared" si="24"/>
        <v>0.1284443098520649</v>
      </c>
      <c r="H166" s="12">
        <f t="shared" si="25"/>
        <v>6.232518227726723E-2</v>
      </c>
      <c r="I166" s="12">
        <f t="shared" si="26"/>
        <v>0.13532296651975195</v>
      </c>
      <c r="J166" s="12">
        <f t="shared" si="27"/>
        <v>-4.0296778145373455E-2</v>
      </c>
      <c r="M166" s="123">
        <f t="shared" si="28"/>
        <v>-0.5</v>
      </c>
    </row>
    <row r="167" spans="2:13" x14ac:dyDescent="0.3">
      <c r="B167" s="12">
        <v>0.13345042499673354</v>
      </c>
      <c r="C167" s="12">
        <f t="shared" si="20"/>
        <v>1.1118915508197252E-2</v>
      </c>
      <c r="D167" s="12">
        <f t="shared" si="21"/>
        <v>5.1616333352944903E-2</v>
      </c>
      <c r="E167" s="12">
        <f t="shared" si="22"/>
        <v>6.6637393750816606E-2</v>
      </c>
      <c r="F167" s="12">
        <f t="shared" si="23"/>
        <v>6.6539020329535736E-2</v>
      </c>
      <c r="G167" s="12">
        <f t="shared" si="24"/>
        <v>0.13001845852278895</v>
      </c>
      <c r="H167" s="12">
        <f t="shared" si="25"/>
        <v>6.2621026871946733E-2</v>
      </c>
      <c r="I167" s="12">
        <f t="shared" si="26"/>
        <v>0.13688239147067813</v>
      </c>
      <c r="J167" s="12">
        <f t="shared" si="27"/>
        <v>-4.0383195855552223E-2</v>
      </c>
      <c r="M167" s="123">
        <f t="shared" si="28"/>
        <v>-0.5</v>
      </c>
    </row>
    <row r="168" spans="2:13" x14ac:dyDescent="0.3">
      <c r="B168" s="12">
        <v>0.13502579861487751</v>
      </c>
      <c r="C168" s="12">
        <f t="shared" si="20"/>
        <v>1.1223584075039568E-2</v>
      </c>
      <c r="D168" s="12">
        <f t="shared" si="21"/>
        <v>5.1804591161798627E-2</v>
      </c>
      <c r="E168" s="12">
        <f t="shared" si="22"/>
        <v>6.6243550346280614E-2</v>
      </c>
      <c r="F168" s="12">
        <f t="shared" si="23"/>
        <v>6.6146907846357489E-2</v>
      </c>
      <c r="G168" s="12">
        <f t="shared" si="24"/>
        <v>0.13160158343203868</v>
      </c>
      <c r="H168" s="12">
        <f t="shared" si="25"/>
        <v>6.2914883302498739E-2</v>
      </c>
      <c r="I168" s="12">
        <f t="shared" si="26"/>
        <v>0.13845001379771635</v>
      </c>
      <c r="J168" s="12">
        <f t="shared" si="27"/>
        <v>-4.0467715152419599E-2</v>
      </c>
      <c r="M168" s="123">
        <f t="shared" si="28"/>
        <v>-0.5</v>
      </c>
    </row>
    <row r="169" spans="2:13" x14ac:dyDescent="0.3">
      <c r="B169" s="12">
        <v>0.13660974342965859</v>
      </c>
      <c r="C169" s="12">
        <f t="shared" si="20"/>
        <v>1.1328196592976214E-2</v>
      </c>
      <c r="D169" s="12">
        <f t="shared" si="21"/>
        <v>5.1990884126613075E-2</v>
      </c>
      <c r="E169" s="12">
        <f t="shared" si="22"/>
        <v>6.5847564142585344E-2</v>
      </c>
      <c r="F169" s="12">
        <f t="shared" si="23"/>
        <v>6.575264144393507E-2</v>
      </c>
      <c r="G169" s="12">
        <f t="shared" si="24"/>
        <v>0.1331936682250128</v>
      </c>
      <c r="H169" s="12">
        <f t="shared" si="25"/>
        <v>6.3206732255262507E-2</v>
      </c>
      <c r="I169" s="12">
        <f t="shared" si="26"/>
        <v>0.14002581863430438</v>
      </c>
      <c r="J169" s="12">
        <f t="shared" si="27"/>
        <v>-4.0550339069310083E-2</v>
      </c>
      <c r="M169" s="123">
        <f t="shared" si="28"/>
        <v>-0.5</v>
      </c>
    </row>
    <row r="170" spans="2:13" x14ac:dyDescent="0.3">
      <c r="B170" s="12">
        <v>0.13820224374546131</v>
      </c>
      <c r="C170" s="12">
        <f t="shared" si="20"/>
        <v>1.1432741852511141E-2</v>
      </c>
      <c r="D170" s="12">
        <f t="shared" si="21"/>
        <v>5.2175204464168429E-2</v>
      </c>
      <c r="E170" s="12">
        <f t="shared" si="22"/>
        <v>6.5449439063634665E-2</v>
      </c>
      <c r="F170" s="12">
        <f t="shared" si="23"/>
        <v>6.5356224817080158E-2</v>
      </c>
      <c r="G170" s="12">
        <f t="shared" si="24"/>
        <v>0.13479469641551342</v>
      </c>
      <c r="H170" s="12">
        <f t="shared" si="25"/>
        <v>6.3496554448900455E-2</v>
      </c>
      <c r="I170" s="12">
        <f t="shared" si="26"/>
        <v>0.14160979107540919</v>
      </c>
      <c r="J170" s="12">
        <f t="shared" si="27"/>
        <v>-4.0631070743878173E-2</v>
      </c>
      <c r="M170" s="123">
        <f t="shared" si="28"/>
        <v>-0.5</v>
      </c>
    </row>
    <row r="171" spans="2:13" x14ac:dyDescent="0.3">
      <c r="B171" s="12">
        <v>0.13980328378189188</v>
      </c>
      <c r="C171" s="12">
        <f t="shared" si="20"/>
        <v>1.1537208608664163E-2</v>
      </c>
      <c r="D171" s="12">
        <f t="shared" si="21"/>
        <v>5.2357544464184107E-2</v>
      </c>
      <c r="E171" s="12">
        <f t="shared" si="22"/>
        <v>6.504917905452702E-2</v>
      </c>
      <c r="F171" s="12">
        <f t="shared" si="23"/>
        <v>6.4957661684712259E-2</v>
      </c>
      <c r="G171" s="12">
        <f t="shared" si="24"/>
        <v>0.13640465138604105</v>
      </c>
      <c r="H171" s="12">
        <f t="shared" si="25"/>
        <v>6.3784330636168118E-2</v>
      </c>
      <c r="I171" s="12">
        <f t="shared" si="26"/>
        <v>0.14320191617774272</v>
      </c>
      <c r="J171" s="12">
        <f t="shared" si="27"/>
        <v>-4.0709913418839797E-2</v>
      </c>
      <c r="M171" s="123">
        <f t="shared" si="28"/>
        <v>-0.5</v>
      </c>
    </row>
    <row r="172" spans="2:13" x14ac:dyDescent="0.3">
      <c r="B172" s="12">
        <v>0.14141284767393503</v>
      </c>
      <c r="C172" s="12">
        <f t="shared" si="20"/>
        <v>1.1641585581487058E-2</v>
      </c>
      <c r="D172" s="12">
        <f t="shared" si="21"/>
        <v>5.2537896490500696E-2</v>
      </c>
      <c r="E172" s="12">
        <f t="shared" si="22"/>
        <v>6.4646788081516235E-2</v>
      </c>
      <c r="F172" s="12">
        <f t="shared" si="23"/>
        <v>6.4556955789878842E-2</v>
      </c>
      <c r="G172" s="12">
        <f t="shared" si="24"/>
        <v>0.13802351638789834</v>
      </c>
      <c r="H172" s="12">
        <f t="shared" si="25"/>
        <v>6.4070041605673561E-2</v>
      </c>
      <c r="I172" s="12">
        <f t="shared" si="26"/>
        <v>0.14480217895997172</v>
      </c>
      <c r="J172" s="12">
        <f t="shared" si="27"/>
        <v>-4.0786870442699449E-2</v>
      </c>
      <c r="M172" s="123">
        <f t="shared" si="28"/>
        <v>-0.5</v>
      </c>
    </row>
    <row r="173" spans="2:13" x14ac:dyDescent="0.3">
      <c r="B173" s="12">
        <v>0.143030919472111</v>
      </c>
      <c r="C173" s="12">
        <f t="shared" si="20"/>
        <v>1.1745861456581408E-2</v>
      </c>
      <c r="D173" s="12">
        <f t="shared" si="21"/>
        <v>5.2716252982247636E-2</v>
      </c>
      <c r="E173" s="12">
        <f t="shared" si="22"/>
        <v>6.4242270131972243E-2</v>
      </c>
      <c r="F173" s="12">
        <f t="shared" si="23"/>
        <v>6.4154110899775477E-2</v>
      </c>
      <c r="G173" s="12">
        <f t="shared" si="24"/>
        <v>0.13965127454130166</v>
      </c>
      <c r="H173" s="12">
        <f t="shared" si="25"/>
        <v>6.4353668183625146E-2</v>
      </c>
      <c r="I173" s="12">
        <f t="shared" si="26"/>
        <v>0.14641056440292033</v>
      </c>
      <c r="J173" s="12">
        <f t="shared" si="27"/>
        <v>-4.0861945270462323E-2</v>
      </c>
      <c r="M173" s="123">
        <f t="shared" si="28"/>
        <v>-0.5</v>
      </c>
    </row>
    <row r="174" spans="2:13" x14ac:dyDescent="0.3">
      <c r="B174" s="12">
        <v>0.14465748314263338</v>
      </c>
      <c r="C174" s="12">
        <f t="shared" si="20"/>
        <v>1.1850024885618177E-2</v>
      </c>
      <c r="D174" s="12">
        <f t="shared" si="21"/>
        <v>5.2892606454996702E-2</v>
      </c>
      <c r="E174" s="12">
        <f t="shared" si="22"/>
        <v>6.3835629214341646E-2</v>
      </c>
      <c r="F174" s="12">
        <f t="shared" si="23"/>
        <v>6.3749130805765483E-2</v>
      </c>
      <c r="G174" s="12">
        <f t="shared" si="24"/>
        <v>0.14128790883550063</v>
      </c>
      <c r="H174" s="12">
        <f t="shared" si="25"/>
        <v>6.4635191235567949E-2</v>
      </c>
      <c r="I174" s="12">
        <f t="shared" si="26"/>
        <v>0.14802705744976613</v>
      </c>
      <c r="J174" s="12">
        <f t="shared" si="27"/>
        <v>-4.0935141464331595E-2</v>
      </c>
      <c r="M174" s="123">
        <f t="shared" si="28"/>
        <v>-0.5</v>
      </c>
    </row>
    <row r="175" spans="2:13" x14ac:dyDescent="0.3">
      <c r="B175" s="12">
        <v>0.14629252256756808</v>
      </c>
      <c r="C175" s="12">
        <f t="shared" si="20"/>
        <v>1.1954064486859003E-2</v>
      </c>
      <c r="D175" s="12">
        <f t="shared" si="21"/>
        <v>5.3066949501900967E-2</v>
      </c>
      <c r="E175" s="12">
        <f t="shared" si="22"/>
        <v>6.3426869358107971E-2</v>
      </c>
      <c r="F175" s="12">
        <f t="shared" si="23"/>
        <v>6.3342019323399321E-2</v>
      </c>
      <c r="G175" s="12">
        <f t="shared" si="24"/>
        <v>0.14293340212890646</v>
      </c>
      <c r="H175" s="12">
        <f t="shared" si="25"/>
        <v>6.4914591668108562E-2</v>
      </c>
      <c r="I175" s="12">
        <f t="shared" si="26"/>
        <v>0.14965164300622971</v>
      </c>
      <c r="J175" s="12">
        <f t="shared" si="27"/>
        <v>-4.1006462694390552E-2</v>
      </c>
      <c r="M175" s="123">
        <f t="shared" si="28"/>
        <v>-0.5</v>
      </c>
    </row>
    <row r="176" spans="2:13" x14ac:dyDescent="0.3">
      <c r="B176" s="12">
        <v>0.14793602154499341</v>
      </c>
      <c r="C176" s="12">
        <f t="shared" si="20"/>
        <v>1.2057968845679244E-2</v>
      </c>
      <c r="D176" s="12">
        <f t="shared" si="21"/>
        <v>5.3239274794819207E-2</v>
      </c>
      <c r="E176" s="12">
        <f t="shared" si="22"/>
        <v>6.3015994613751639E-2</v>
      </c>
      <c r="F176" s="12">
        <f t="shared" si="23"/>
        <v>6.2932780292433349E-2</v>
      </c>
      <c r="G176" s="12">
        <f t="shared" si="24"/>
        <v>0.14458773714922857</v>
      </c>
      <c r="H176" s="12">
        <f t="shared" si="25"/>
        <v>6.5191850430627932E-2</v>
      </c>
      <c r="I176" s="12">
        <f t="shared" si="26"/>
        <v>0.15128430594075826</v>
      </c>
      <c r="J176" s="12">
        <f t="shared" si="27"/>
        <v>-4.1075912739269443E-2</v>
      </c>
      <c r="M176" s="123">
        <f t="shared" si="28"/>
        <v>-0.5</v>
      </c>
    </row>
    <row r="177" spans="2:13" x14ac:dyDescent="0.3">
      <c r="B177" s="12">
        <v>0.14958796378916006</v>
      </c>
      <c r="C177" s="12">
        <f t="shared" si="20"/>
        <v>1.2161726515092619E-2</v>
      </c>
      <c r="D177" s="12">
        <f t="shared" si="21"/>
        <v>5.3409575085425036E-2</v>
      </c>
      <c r="E177" s="12">
        <f t="shared" si="22"/>
        <v>6.2603009052709976E-2</v>
      </c>
      <c r="F177" s="12">
        <f t="shared" si="23"/>
        <v>6.2521417576848606E-2</v>
      </c>
      <c r="G177" s="12">
        <f t="shared" si="24"/>
        <v>0.14625089649361908</v>
      </c>
      <c r="H177" s="12">
        <f t="shared" si="25"/>
        <v>6.546694851698176E-2</v>
      </c>
      <c r="I177" s="12">
        <f t="shared" si="26"/>
        <v>0.15292503108470104</v>
      </c>
      <c r="J177" s="12">
        <f t="shared" si="27"/>
        <v>-4.1143495486796522E-2</v>
      </c>
      <c r="M177" s="123">
        <f t="shared" si="28"/>
        <v>-0.5</v>
      </c>
    </row>
    <row r="178" spans="2:13" x14ac:dyDescent="0.3">
      <c r="B178" s="12">
        <v>0.15124833293065298</v>
      </c>
      <c r="C178" s="12">
        <f t="shared" si="20"/>
        <v>1.2265326016277589E-2</v>
      </c>
      <c r="D178" s="12">
        <f t="shared" si="21"/>
        <v>5.3577843206301323E-2</v>
      </c>
      <c r="E178" s="12">
        <f t="shared" si="22"/>
        <v>6.2187916767336746E-2</v>
      </c>
      <c r="F178" s="12">
        <f t="shared" si="23"/>
        <v>6.2107935064868891E-2</v>
      </c>
      <c r="G178" s="12">
        <f t="shared" si="24"/>
        <v>0.14792286262882617</v>
      </c>
      <c r="H178" s="12">
        <f t="shared" si="25"/>
        <v>6.5739866967188768E-2</v>
      </c>
      <c r="I178" s="12">
        <f t="shared" si="26"/>
        <v>0.1545738032324798</v>
      </c>
      <c r="J178" s="12">
        <f t="shared" si="27"/>
        <v>-4.1209214934633594E-2</v>
      </c>
      <c r="M178" s="123">
        <f t="shared" si="28"/>
        <v>-0.5</v>
      </c>
    </row>
    <row r="179" spans="2:13" x14ac:dyDescent="0.3">
      <c r="B179" s="12">
        <v>0.15291711251655316</v>
      </c>
      <c r="C179" s="12">
        <f t="shared" si="20"/>
        <v>1.2368755839105291E-2</v>
      </c>
      <c r="D179" s="12">
        <f t="shared" si="21"/>
        <v>5.3744072072018811E-2</v>
      </c>
      <c r="E179" s="12">
        <f t="shared" si="22"/>
        <v>6.1770721870861703E-2</v>
      </c>
      <c r="F179" s="12">
        <f t="shared" si="23"/>
        <v>6.1692336668978727E-2</v>
      </c>
      <c r="G179" s="12">
        <f t="shared" si="24"/>
        <v>0.14960361789135523</v>
      </c>
      <c r="H179" s="12">
        <f t="shared" si="25"/>
        <v>6.6010586869105908E-2</v>
      </c>
      <c r="I179" s="12">
        <f t="shared" si="26"/>
        <v>0.15623060714175108</v>
      </c>
      <c r="J179" s="12">
        <f t="shared" si="27"/>
        <v>-4.127307519089532E-2</v>
      </c>
      <c r="M179" s="123">
        <f t="shared" si="28"/>
        <v>-0.5</v>
      </c>
    </row>
    <row r="180" spans="2:13" x14ac:dyDescent="0.3">
      <c r="B180" s="12">
        <v>0.15459428601060099</v>
      </c>
      <c r="C180" s="12">
        <f t="shared" si="20"/>
        <v>1.2472004442669158E-2</v>
      </c>
      <c r="D180" s="12">
        <f t="shared" si="21"/>
        <v>5.3908254680199642E-2</v>
      </c>
      <c r="E180" s="12">
        <f t="shared" si="22"/>
        <v>6.1351428497349744E-2</v>
      </c>
      <c r="F180" s="12">
        <f t="shared" si="23"/>
        <v>6.1274626325940676E-2</v>
      </c>
      <c r="G180" s="12">
        <f t="shared" si="24"/>
        <v>0.15129314448763895</v>
      </c>
      <c r="H180" s="12">
        <f t="shared" si="25"/>
        <v>6.6279089360090984E-2</v>
      </c>
      <c r="I180" s="12">
        <f t="shared" si="26"/>
        <v>0.15789542753356303</v>
      </c>
      <c r="J180" s="12">
        <f t="shared" si="27"/>
        <v>-4.1335080474752664E-2</v>
      </c>
      <c r="M180" s="123">
        <f t="shared" si="28"/>
        <v>-0.5</v>
      </c>
    </row>
    <row r="181" spans="2:13" x14ac:dyDescent="0.3">
      <c r="B181" s="12">
        <v>0.15627983679335988</v>
      </c>
      <c r="C181" s="12">
        <f t="shared" si="20"/>
        <v>1.2575060255816084E-2</v>
      </c>
      <c r="D181" s="12">
        <f t="shared" si="21"/>
        <v>5.4070384112564644E-2</v>
      </c>
      <c r="E181" s="12">
        <f t="shared" si="22"/>
        <v>6.0930040801660021E-2</v>
      </c>
      <c r="F181" s="12">
        <f t="shared" si="23"/>
        <v>6.0854807996812518E-2</v>
      </c>
      <c r="G181" s="12">
        <f t="shared" si="24"/>
        <v>0.15299142449421538</v>
      </c>
      <c r="H181" s="12">
        <f t="shared" si="25"/>
        <v>6.6545355628651673E-2</v>
      </c>
      <c r="I181" s="12">
        <f t="shared" si="26"/>
        <v>0.15956824909250439</v>
      </c>
      <c r="J181" s="12">
        <f t="shared" si="27"/>
        <v>-4.1395235117019501E-2</v>
      </c>
      <c r="M181" s="123">
        <f t="shared" si="28"/>
        <v>-0.5</v>
      </c>
    </row>
    <row r="182" spans="2:13" x14ac:dyDescent="0.3">
      <c r="B182" s="12">
        <v>0.15797374816238119</v>
      </c>
      <c r="C182" s="12">
        <f t="shared" si="20"/>
        <v>1.2677911677679185E-2</v>
      </c>
      <c r="D182" s="12">
        <f t="shared" si="21"/>
        <v>5.423045353596509E-2</v>
      </c>
      <c r="E182" s="12">
        <f t="shared" si="22"/>
        <v>6.0506562959404694E-2</v>
      </c>
      <c r="F182" s="12">
        <f t="shared" si="23"/>
        <v>6.0432885666963788E-2</v>
      </c>
      <c r="G182" s="12">
        <f t="shared" si="24"/>
        <v>0.15469843985791459</v>
      </c>
      <c r="H182" s="12">
        <f t="shared" si="25"/>
        <v>6.6809366916081567E-2</v>
      </c>
      <c r="I182" s="12">
        <f t="shared" si="26"/>
        <v>0.16124905646684778</v>
      </c>
      <c r="J182" s="12">
        <f t="shared" si="27"/>
        <v>-4.1453543560723199E-2</v>
      </c>
      <c r="M182" s="123">
        <f t="shared" si="28"/>
        <v>-0.5</v>
      </c>
    </row>
    <row r="183" spans="2:13" x14ac:dyDescent="0.3">
      <c r="B183" s="12">
        <v>0.15967600333236964</v>
      </c>
      <c r="C183" s="12">
        <f t="shared" si="20"/>
        <v>1.2780547078212096E-2</v>
      </c>
      <c r="D183" s="12">
        <f t="shared" si="21"/>
        <v>5.4388456203397988E-2</v>
      </c>
      <c r="E183" s="12">
        <f t="shared" si="22"/>
        <v>6.0080999166907581E-2</v>
      </c>
      <c r="F183" s="12">
        <f t="shared" si="23"/>
        <v>6.0008863346092074E-2</v>
      </c>
      <c r="G183" s="12">
        <f t="shared" si="24"/>
        <v>0.15641417239605385</v>
      </c>
      <c r="H183" s="12">
        <f t="shared" si="25"/>
        <v>6.7071104518082195E-2</v>
      </c>
      <c r="I183" s="12">
        <f t="shared" si="26"/>
        <v>0.16293783426868544</v>
      </c>
      <c r="J183" s="12">
        <f t="shared" si="27"/>
        <v>-4.1510010361658009E-2</v>
      </c>
      <c r="M183" s="123">
        <f t="shared" si="28"/>
        <v>-0.5</v>
      </c>
    </row>
    <row r="184" spans="2:13" x14ac:dyDescent="0.3">
      <c r="B184" s="12">
        <v>0.16138658543534967</v>
      </c>
      <c r="C184" s="12">
        <f t="shared" si="20"/>
        <v>1.2882954798724786E-2</v>
      </c>
      <c r="D184" s="12">
        <f t="shared" si="21"/>
        <v>5.4544385455005187E-2</v>
      </c>
      <c r="E184" s="12">
        <f t="shared" si="22"/>
        <v>5.9653353641162574E-2</v>
      </c>
      <c r="F184" s="12">
        <f t="shared" si="23"/>
        <v>5.9582745068238824E-2</v>
      </c>
      <c r="G184" s="12">
        <f t="shared" si="24"/>
        <v>0.1581386037966408</v>
      </c>
      <c r="H184" s="12">
        <f t="shared" si="25"/>
        <v>6.7330549786371319E-2</v>
      </c>
      <c r="I184" s="12">
        <f t="shared" si="26"/>
        <v>0.16463456707405855</v>
      </c>
      <c r="J184" s="12">
        <f t="shared" si="27"/>
        <v>-4.1564640188921739E-2</v>
      </c>
      <c r="M184" s="123">
        <f t="shared" si="28"/>
        <v>-0.5</v>
      </c>
    </row>
    <row r="185" spans="2:13" x14ac:dyDescent="0.3">
      <c r="B185" s="12">
        <v>0.16310547752083215</v>
      </c>
      <c r="C185" s="12">
        <f t="shared" si="20"/>
        <v>1.2985123152420877E-2</v>
      </c>
      <c r="D185" s="12">
        <f t="shared" si="21"/>
        <v>5.4698234719055792E-2</v>
      </c>
      <c r="E185" s="12">
        <f t="shared" si="22"/>
        <v>5.9223630619791953E-2</v>
      </c>
      <c r="F185" s="12">
        <f t="shared" si="23"/>
        <v>5.9154534891804868E-2</v>
      </c>
      <c r="G185" s="12">
        <f t="shared" si="24"/>
        <v>0.15987171561858493</v>
      </c>
      <c r="H185" s="12">
        <f t="shared" si="25"/>
        <v>6.7587684130276993E-2</v>
      </c>
      <c r="I185" s="12">
        <f t="shared" si="26"/>
        <v>0.16633923942307938</v>
      </c>
      <c r="J185" s="12">
        <f t="shared" si="27"/>
        <v>-4.1617437825435241E-2</v>
      </c>
      <c r="M185" s="123">
        <f t="shared" si="28"/>
        <v>-0.5</v>
      </c>
    </row>
    <row r="186" spans="2:13" x14ac:dyDescent="0.3">
      <c r="B186" s="12">
        <v>0.16483266255598328</v>
      </c>
      <c r="C186" s="12">
        <f t="shared" si="20"/>
        <v>1.3087040424936492E-2</v>
      </c>
      <c r="D186" s="12">
        <f t="shared" si="21"/>
        <v>5.4849997512912078E-2</v>
      </c>
      <c r="E186" s="12">
        <f t="shared" si="22"/>
        <v>5.8791834361004172E-2</v>
      </c>
      <c r="F186" s="12">
        <f t="shared" si="23"/>
        <v>5.8724236899565151E-2</v>
      </c>
      <c r="G186" s="12">
        <f t="shared" si="24"/>
        <v>0.16161348929191874</v>
      </c>
      <c r="H186" s="12">
        <f t="shared" si="25"/>
        <v>6.7842489018317534E-2</v>
      </c>
      <c r="I186" s="12">
        <f t="shared" si="26"/>
        <v>0.16805183582004782</v>
      </c>
      <c r="J186" s="12">
        <f t="shared" si="27"/>
        <v>-4.1668408168444547E-2</v>
      </c>
      <c r="M186" s="123">
        <f t="shared" si="28"/>
        <v>-0.5</v>
      </c>
    </row>
    <row r="187" spans="2:13" x14ac:dyDescent="0.3">
      <c r="B187" s="12">
        <v>0.1665681234257923</v>
      </c>
      <c r="C187" s="12">
        <f t="shared" si="20"/>
        <v>1.3188694874880481E-2</v>
      </c>
      <c r="D187" s="12">
        <f t="shared" si="21"/>
        <v>5.4999667443978141E-2</v>
      </c>
      <c r="E187" s="12">
        <f t="shared" si="22"/>
        <v>5.8357969143551916E-2</v>
      </c>
      <c r="F187" s="12">
        <f t="shared" si="23"/>
        <v>5.8291855198683545E-2</v>
      </c>
      <c r="G187" s="12">
        <f t="shared" si="24"/>
        <v>0.16336390611802526</v>
      </c>
      <c r="H187" s="12">
        <f t="shared" si="25"/>
        <v>6.809494597976648E-2</v>
      </c>
      <c r="I187" s="12">
        <f t="shared" si="26"/>
        <v>0.16977234073355935</v>
      </c>
      <c r="J187" s="12">
        <f t="shared" si="27"/>
        <v>-4.1717556230005524E-2</v>
      </c>
      <c r="M187" s="123">
        <f t="shared" si="28"/>
        <v>-0.5</v>
      </c>
    </row>
    <row r="188" spans="2:13" x14ac:dyDescent="0.3">
      <c r="B188" s="12">
        <v>0.16831184293324197</v>
      </c>
      <c r="C188" s="12">
        <f t="shared" si="20"/>
        <v>1.3290074734376154E-2</v>
      </c>
      <c r="D188" s="12">
        <f t="shared" si="21"/>
        <v>5.5147238210631756E-2</v>
      </c>
      <c r="E188" s="12">
        <f t="shared" si="22"/>
        <v>5.7922039266689498E-2</v>
      </c>
      <c r="F188" s="12">
        <f t="shared" si="23"/>
        <v>5.7857393920726731E-2</v>
      </c>
      <c r="G188" s="12">
        <f t="shared" si="24"/>
        <v>0.16512294726987592</v>
      </c>
      <c r="H188" s="12">
        <f t="shared" si="25"/>
        <v>6.8345036606203183E-2</v>
      </c>
      <c r="I188" s="12">
        <f t="shared" si="26"/>
        <v>0.17150073859660803</v>
      </c>
      <c r="J188" s="12">
        <f t="shared" si="27"/>
        <v>-4.1764887137450878E-2</v>
      </c>
      <c r="M188" s="123">
        <f t="shared" si="28"/>
        <v>-0.5</v>
      </c>
    </row>
    <row r="189" spans="2:13" x14ac:dyDescent="0.3">
      <c r="B189" s="12">
        <v>0.17006380379947839</v>
      </c>
      <c r="C189" s="12">
        <f t="shared" si="20"/>
        <v>1.33911682096044E-2</v>
      </c>
      <c r="D189" s="12">
        <f t="shared" si="21"/>
        <v>5.5292703603138794E-2</v>
      </c>
      <c r="E189" s="12">
        <f t="shared" si="22"/>
        <v>5.7484049050130395E-2</v>
      </c>
      <c r="F189" s="12">
        <f t="shared" si="23"/>
        <v>5.7420857221677953E-2</v>
      </c>
      <c r="G189" s="12">
        <f t="shared" si="24"/>
        <v>0.16689059379227544</v>
      </c>
      <c r="H189" s="12">
        <f t="shared" si="25"/>
        <v>6.8592742553048133E-2</v>
      </c>
      <c r="I189" s="12">
        <f t="shared" si="26"/>
        <v>0.17323701380668133</v>
      </c>
      <c r="J189" s="12">
        <f t="shared" si="27"/>
        <v>-4.1810406133839337E-2</v>
      </c>
      <c r="M189" s="123">
        <f t="shared" si="28"/>
        <v>-0.5</v>
      </c>
    </row>
    <row r="190" spans="2:13" x14ac:dyDescent="0.3">
      <c r="B190" s="12">
        <v>0.17182398866398252</v>
      </c>
      <c r="C190" s="12">
        <f t="shared" si="20"/>
        <v>1.34919634813482E-2</v>
      </c>
      <c r="D190" s="12">
        <f t="shared" si="21"/>
        <v>5.5436057504550183E-2</v>
      </c>
      <c r="E190" s="12">
        <f t="shared" si="22"/>
        <v>5.7044002834004362E-2</v>
      </c>
      <c r="F190" s="12">
        <f t="shared" si="23"/>
        <v>5.6982249281950177E-2</v>
      </c>
      <c r="G190" s="12">
        <f t="shared" si="24"/>
        <v>0.16866682660211596</v>
      </c>
      <c r="H190" s="12">
        <f t="shared" si="25"/>
        <v>6.8838045541083054E-2</v>
      </c>
      <c r="I190" s="12">
        <f t="shared" si="26"/>
        <v>0.17498115072584908</v>
      </c>
      <c r="J190" s="12">
        <f t="shared" si="27"/>
        <v>-4.1854118578386661E-2</v>
      </c>
      <c r="M190" s="123">
        <f t="shared" si="28"/>
        <v>-0.5</v>
      </c>
    </row>
    <row r="191" spans="2:13" x14ac:dyDescent="0.3">
      <c r="B191" s="12">
        <v>0.1735923800847422</v>
      </c>
      <c r="C191" s="12">
        <f t="shared" si="20"/>
        <v>1.3592448705538517E-2</v>
      </c>
      <c r="D191" s="12">
        <f t="shared" si="21"/>
        <v>5.5577293891581218E-2</v>
      </c>
      <c r="E191" s="12">
        <f t="shared" si="22"/>
        <v>5.6601904978814441E-2</v>
      </c>
      <c r="F191" s="12">
        <f t="shared" si="23"/>
        <v>5.6541574306398772E-2</v>
      </c>
      <c r="G191" s="12">
        <f t="shared" si="24"/>
        <v>0.17045162648863912</v>
      </c>
      <c r="H191" s="12">
        <f t="shared" si="25"/>
        <v>6.9080927357955679E-2</v>
      </c>
      <c r="I191" s="12">
        <f t="shared" si="26"/>
        <v>0.17673313368084528</v>
      </c>
      <c r="J191" s="12">
        <f t="shared" si="27"/>
        <v>-4.1896029946878653E-2</v>
      </c>
      <c r="M191" s="123">
        <f t="shared" si="28"/>
        <v>-0.5</v>
      </c>
    </row>
    <row r="192" spans="2:13" x14ac:dyDescent="0.3">
      <c r="B192" s="12">
        <v>0.17536896053842488</v>
      </c>
      <c r="C192" s="12">
        <f t="shared" si="20"/>
        <v>1.3692612013801533E-2</v>
      </c>
      <c r="D192" s="12">
        <f t="shared" si="21"/>
        <v>5.5716406835473194E-2</v>
      </c>
      <c r="E192" s="12">
        <f t="shared" si="22"/>
        <v>5.6157759865393772E-2</v>
      </c>
      <c r="F192" s="12">
        <f t="shared" si="23"/>
        <v>5.6098836524333812E-2</v>
      </c>
      <c r="G192" s="12">
        <f t="shared" si="24"/>
        <v>0.17224497411370651</v>
      </c>
      <c r="H192" s="12">
        <f t="shared" si="25"/>
        <v>6.9321369859668802E-2</v>
      </c>
      <c r="I192" s="12">
        <f t="shared" si="26"/>
        <v>0.17849294696314325</v>
      </c>
      <c r="J192" s="12">
        <f t="shared" si="27"/>
        <v>-4.193614583206573E-2</v>
      </c>
      <c r="M192" s="123">
        <f t="shared" si="28"/>
        <v>-0.5</v>
      </c>
    </row>
    <row r="193" spans="2:13" x14ac:dyDescent="0.3">
      <c r="B193" s="12">
        <v>0.17715371242055111</v>
      </c>
      <c r="C193" s="12">
        <f t="shared" si="20"/>
        <v>1.3792441514007193E-2</v>
      </c>
      <c r="D193" s="12">
        <f t="shared" si="21"/>
        <v>5.5853390502836747E-2</v>
      </c>
      <c r="E193" s="12">
        <f t="shared" si="22"/>
        <v>5.5711571894862214E-2</v>
      </c>
      <c r="F193" s="12">
        <f t="shared" si="23"/>
        <v>5.5654040189531837E-2</v>
      </c>
      <c r="G193" s="12">
        <f t="shared" si="24"/>
        <v>0.17404685001207862</v>
      </c>
      <c r="H193" s="12">
        <f t="shared" si="25"/>
        <v>6.9559354972053219E-2</v>
      </c>
      <c r="I193" s="12">
        <f t="shared" si="26"/>
        <v>0.18026057482902361</v>
      </c>
      <c r="J193" s="12">
        <f t="shared" si="27"/>
        <v>-4.1974471944038833E-2</v>
      </c>
      <c r="M193" s="123">
        <f t="shared" si="28"/>
        <v>-0.5</v>
      </c>
    </row>
    <row r="194" spans="2:13" x14ac:dyDescent="0.3">
      <c r="B194" s="12">
        <v>0.17894661804566958</v>
      </c>
      <c r="C194" s="12">
        <f t="shared" ref="C194:C257" si="29">IF($A$1=0, 0, IF(B194&lt;=$A$2, ($A$1/$A$2^2)*(2*$A$2*B194-B194^2), ($A$1/(1-$A$2)^2)*((1-2*$A$2)+2*$A$2*B194-B194^2)))</f>
        <v>1.389192529081911E-2</v>
      </c>
      <c r="D194" s="12">
        <f t="shared" ref="D194:D257" si="30">IF($Q$3, 5*$A$3*(0.2969*SQRT(B194)-0.126*B194-0.3516*B194^2+0.2843*B194^3-0.1036*B194^4), 5*$A$3*(0.2969*SQRT(B194)-0.126*B194-0.3516*B194^2+0.2843*B194^3-0.1015*B194^4))</f>
        <v>5.5988239156477521E-2</v>
      </c>
      <c r="E194" s="12">
        <f t="shared" ref="E194:E257" si="31">IF($A$1=0, 0, IF(B194&lt;=$A$2, ($A$1/$A$2^2) *(2*$A$2-2*B194), ($A$1/(1-$A$2)^2)*(2*$A$2-2*B194)))</f>
        <v>5.5263345488582596E-2</v>
      </c>
      <c r="F194" s="12">
        <f t="shared" ref="F194:F257" si="32">IF($A$1=0, 0,  ATAN(E194))</f>
        <v>5.5207189580247056E-2</v>
      </c>
      <c r="G194" s="12">
        <f t="shared" ref="G194:G257" si="33">B194-D194*SIN(F194)</f>
        <v>0.17585723459170238</v>
      </c>
      <c r="H194" s="12">
        <f t="shared" ref="H194:H257" si="34">C194+D194*COS(F194)</f>
        <v>6.979486469222515E-2</v>
      </c>
      <c r="I194" s="12">
        <f t="shared" ref="I194:I257" si="35">B194+D194*SIN(F194)</f>
        <v>0.18203600149963678</v>
      </c>
      <c r="J194" s="12">
        <f t="shared" ref="J194:J257" si="36">C194-D194*COS(F194)</f>
        <v>-4.2011014110586935E-2</v>
      </c>
      <c r="M194" s="123">
        <f t="shared" ref="M194:M257" si="37">IF($Q$1,  C194, -0.5)</f>
        <v>-0.5</v>
      </c>
    </row>
    <row r="195" spans="2:13" x14ac:dyDescent="0.3">
      <c r="B195" s="12">
        <v>0.18074765964753159</v>
      </c>
      <c r="C195" s="12">
        <f t="shared" si="29"/>
        <v>1.3991051406245666E-2</v>
      </c>
      <c r="D195" s="12">
        <f t="shared" si="30"/>
        <v>5.6120947156203055E-2</v>
      </c>
      <c r="E195" s="12">
        <f t="shared" si="31"/>
        <v>5.4813085088117094E-2</v>
      </c>
      <c r="F195" s="12">
        <f t="shared" si="32"/>
        <v>5.4758288999222249E-2</v>
      </c>
      <c r="G195" s="12">
        <f t="shared" si="33"/>
        <v>0.17767610813400617</v>
      </c>
      <c r="H195" s="12">
        <f t="shared" si="34"/>
        <v>7.0027881090026806E-2</v>
      </c>
      <c r="I195" s="12">
        <f t="shared" si="35"/>
        <v>0.18381921116105701</v>
      </c>
      <c r="J195" s="12">
        <f t="shared" si="36"/>
        <v>-4.204577827753548E-2</v>
      </c>
      <c r="M195" s="123">
        <f t="shared" si="37"/>
        <v>-0.5</v>
      </c>
    </row>
    <row r="196" spans="2:13" x14ac:dyDescent="0.3">
      <c r="B196" s="12">
        <v>0.1825568193792676</v>
      </c>
      <c r="C196" s="12">
        <f t="shared" si="29"/>
        <v>1.4089807900192441E-2</v>
      </c>
      <c r="D196" s="12">
        <f t="shared" si="30"/>
        <v>5.6251508959611479E-2</v>
      </c>
      <c r="E196" s="12">
        <f t="shared" si="31"/>
        <v>5.4360795155183092E-2</v>
      </c>
      <c r="F196" s="12">
        <f t="shared" si="32"/>
        <v>5.4307342773698981E-2</v>
      </c>
      <c r="G196" s="12">
        <f t="shared" si="33"/>
        <v>0.17950345079420407</v>
      </c>
      <c r="H196" s="12">
        <f t="shared" si="34"/>
        <v>7.0258386309450749E-2</v>
      </c>
      <c r="I196" s="12">
        <f t="shared" si="35"/>
        <v>0.18561018796433112</v>
      </c>
      <c r="J196" s="12">
        <f t="shared" si="36"/>
        <v>-4.207877050906586E-2</v>
      </c>
      <c r="M196" s="123">
        <f t="shared" si="37"/>
        <v>-0.5</v>
      </c>
    </row>
    <row r="197" spans="2:13" x14ac:dyDescent="0.3">
      <c r="B197" s="12">
        <v>0.18437407931356398</v>
      </c>
      <c r="C197" s="12">
        <f t="shared" si="29"/>
        <v>1.4188182791015847E-2</v>
      </c>
      <c r="D197" s="12">
        <f t="shared" si="30"/>
        <v>5.6379919122861562E-2</v>
      </c>
      <c r="E197" s="12">
        <f t="shared" si="31"/>
        <v>5.3906480171608998E-2</v>
      </c>
      <c r="F197" s="12">
        <f t="shared" si="32"/>
        <v>5.385435525542738E-2</v>
      </c>
      <c r="G197" s="12">
        <f t="shared" si="33"/>
        <v>0.18133924260160791</v>
      </c>
      <c r="H197" s="12">
        <f t="shared" si="34"/>
        <v>7.0486362570047548E-2</v>
      </c>
      <c r="I197" s="12">
        <f t="shared" si="35"/>
        <v>0.18740891602552004</v>
      </c>
      <c r="J197" s="12">
        <f t="shared" si="36"/>
        <v>-4.210999698801586E-2</v>
      </c>
      <c r="M197" s="123">
        <f t="shared" si="37"/>
        <v>-0.5</v>
      </c>
    </row>
    <row r="198" spans="2:13" x14ac:dyDescent="0.3">
      <c r="B198" s="12">
        <v>0.18619942144284063</v>
      </c>
      <c r="C198" s="12">
        <f t="shared" si="29"/>
        <v>1.4286164076077988E-2</v>
      </c>
      <c r="D198" s="12">
        <f t="shared" si="30"/>
        <v>5.6506172301423956E-2</v>
      </c>
      <c r="E198" s="12">
        <f t="shared" si="31"/>
        <v>5.3450144639289834E-2</v>
      </c>
      <c r="F198" s="12">
        <f t="shared" si="32"/>
        <v>5.3399330820675411E-2</v>
      </c>
      <c r="G198" s="12">
        <f t="shared" si="33"/>
        <v>0.18318346345994768</v>
      </c>
      <c r="H198" s="12">
        <f t="shared" si="34"/>
        <v>7.0711792168316689E-2</v>
      </c>
      <c r="I198" s="12">
        <f t="shared" si="35"/>
        <v>0.18921537942573358</v>
      </c>
      <c r="J198" s="12">
        <f t="shared" si="36"/>
        <v>-4.2139464016160706E-2</v>
      </c>
      <c r="M198" s="123">
        <f t="shared" si="37"/>
        <v>-0.5</v>
      </c>
    </row>
    <row r="199" spans="2:13" x14ac:dyDescent="0.3">
      <c r="B199" s="12">
        <v>0.18803282767942942</v>
      </c>
      <c r="C199" s="12">
        <f t="shared" si="29"/>
        <v>1.438373973230269E-2</v>
      </c>
      <c r="D199" s="12">
        <f t="shared" si="30"/>
        <v>5.6630263250813398E-2</v>
      </c>
      <c r="E199" s="12">
        <f t="shared" si="31"/>
        <v>5.2991793080142638E-2</v>
      </c>
      <c r="F199" s="12">
        <f t="shared" si="32"/>
        <v>5.2942273870237637E-2</v>
      </c>
      <c r="G199" s="12">
        <f t="shared" si="33"/>
        <v>0.18503609314770003</v>
      </c>
      <c r="H199" s="12">
        <f t="shared" si="34"/>
        <v>7.0934657479079954E-2</v>
      </c>
      <c r="I199" s="12">
        <f t="shared" si="35"/>
        <v>0.1910295622111588</v>
      </c>
      <c r="J199" s="12">
        <f t="shared" si="36"/>
        <v>-4.2167178014474567E-2</v>
      </c>
      <c r="M199" s="123">
        <f t="shared" si="37"/>
        <v>-0.5</v>
      </c>
    </row>
    <row r="200" spans="2:13" x14ac:dyDescent="0.3">
      <c r="B200" s="12">
        <v>0.18987427985575323</v>
      </c>
      <c r="C200" s="12">
        <f t="shared" si="29"/>
        <v>1.4480897716732707E-2</v>
      </c>
      <c r="D200" s="12">
        <f t="shared" si="30"/>
        <v>5.6752186827302119E-2</v>
      </c>
      <c r="E200" s="12">
        <f t="shared" si="31"/>
        <v>5.2531430036061685E-2</v>
      </c>
      <c r="F200" s="12">
        <f t="shared" si="32"/>
        <v>5.2483188829443424E-2</v>
      </c>
      <c r="G200" s="12">
        <f t="shared" si="33"/>
        <v>0.1868971113184249</v>
      </c>
      <c r="H200" s="12">
        <f t="shared" si="34"/>
        <v>7.1154940956838192E-2</v>
      </c>
      <c r="I200" s="12">
        <f t="shared" si="35"/>
        <v>0.19285144839308155</v>
      </c>
      <c r="J200" s="12">
        <f t="shared" si="36"/>
        <v>-4.2193145523372777E-2</v>
      </c>
      <c r="M200" s="123">
        <f t="shared" si="37"/>
        <v>-0.5</v>
      </c>
    </row>
    <row r="201" spans="2:13" x14ac:dyDescent="0.3">
      <c r="B201" s="12">
        <v>0.19172375972450661</v>
      </c>
      <c r="C201" s="12">
        <f t="shared" si="29"/>
        <v>1.4577625967088118E-2</v>
      </c>
      <c r="D201" s="12">
        <f t="shared" si="30"/>
        <v>5.6871937988613806E-2</v>
      </c>
      <c r="E201" s="12">
        <f t="shared" si="31"/>
        <v>5.2069060068873338E-2</v>
      </c>
      <c r="F201" s="12">
        <f t="shared" si="32"/>
        <v>5.2022080148164528E-2</v>
      </c>
      <c r="G201" s="12">
        <f t="shared" si="33"/>
        <v>0.18876649750111113</v>
      </c>
      <c r="H201" s="12">
        <f t="shared" si="34"/>
        <v>7.1372625137110235E-2</v>
      </c>
      <c r="I201" s="12">
        <f t="shared" si="35"/>
        <v>0.1946810219479021</v>
      </c>
      <c r="J201" s="12">
        <f t="shared" si="36"/>
        <v>-4.2217373202933992E-2</v>
      </c>
      <c r="M201" s="123">
        <f t="shared" si="37"/>
        <v>-0.5</v>
      </c>
    </row>
    <row r="202" spans="2:13" x14ac:dyDescent="0.3">
      <c r="B202" s="12">
        <v>0.19358124895883555</v>
      </c>
      <c r="C202" s="12">
        <f t="shared" si="29"/>
        <v>1.4673912402325719E-2</v>
      </c>
      <c r="D202" s="12">
        <f t="shared" si="30"/>
        <v>5.6989511794598324E-2</v>
      </c>
      <c r="E202" s="12">
        <f t="shared" si="31"/>
        <v>5.1604687760291104E-2</v>
      </c>
      <c r="F202" s="12">
        <f t="shared" si="32"/>
        <v>5.1558952300822442E-2</v>
      </c>
      <c r="G202" s="12">
        <f t="shared" si="33"/>
        <v>0.19064423110052844</v>
      </c>
      <c r="H202" s="12">
        <f t="shared" si="34"/>
        <v>7.1587692637754177E-2</v>
      </c>
      <c r="I202" s="12">
        <f t="shared" si="35"/>
        <v>0.19651826681714266</v>
      </c>
      <c r="J202" s="12">
        <f t="shared" si="36"/>
        <v>-4.223986783310274E-2</v>
      </c>
      <c r="M202" s="123">
        <f t="shared" si="37"/>
        <v>-0.5</v>
      </c>
    </row>
    <row r="203" spans="2:13" x14ac:dyDescent="0.3">
      <c r="B203" s="12">
        <v>0.19544672915252015</v>
      </c>
      <c r="C203" s="12">
        <f t="shared" si="29"/>
        <v>1.4769744923199692E-2</v>
      </c>
      <c r="D203" s="12">
        <f t="shared" si="30"/>
        <v>5.7104903407886917E-2</v>
      </c>
      <c r="E203" s="12">
        <f t="shared" si="31"/>
        <v>5.1138317711869954E-2</v>
      </c>
      <c r="F203" s="12">
        <f t="shared" si="32"/>
        <v>5.1093809786394731E-2</v>
      </c>
      <c r="G203" s="12">
        <f t="shared" si="33"/>
        <v>0.19253029139758973</v>
      </c>
      <c r="H203" s="12">
        <f t="shared" si="34"/>
        <v>7.1800126160271149E-2</v>
      </c>
      <c r="I203" s="12">
        <f t="shared" si="35"/>
        <v>0.19836316690745057</v>
      </c>
      <c r="J203" s="12">
        <f t="shared" si="36"/>
        <v>-4.2260636313871759E-2</v>
      </c>
      <c r="M203" s="123">
        <f t="shared" si="37"/>
        <v>-0.5</v>
      </c>
    </row>
    <row r="204" spans="2:13" x14ac:dyDescent="0.3">
      <c r="B204" s="12">
        <v>0.19732018182015654</v>
      </c>
      <c r="C204" s="12">
        <f t="shared" si="29"/>
        <v>1.48651114128232E-2</v>
      </c>
      <c r="D204" s="12">
        <f t="shared" si="30"/>
        <v>5.7218108094527889E-2</v>
      </c>
      <c r="E204" s="12">
        <f t="shared" si="31"/>
        <v>5.0669954544960857E-2</v>
      </c>
      <c r="F204" s="12">
        <f t="shared" si="32"/>
        <v>5.0626657128421154E-2</v>
      </c>
      <c r="G204" s="12">
        <f t="shared" si="33"/>
        <v>0.19442465754971971</v>
      </c>
      <c r="H204" s="12">
        <f t="shared" si="34"/>
        <v>7.2009908491090874E-2</v>
      </c>
      <c r="I204" s="12">
        <f t="shared" si="35"/>
        <v>0.20021570609059336</v>
      </c>
      <c r="J204" s="12">
        <f t="shared" si="36"/>
        <v>-4.2279685665444475E-2</v>
      </c>
      <c r="M204" s="123">
        <f t="shared" si="37"/>
        <v>-0.5</v>
      </c>
    </row>
    <row r="205" spans="2:13" x14ac:dyDescent="0.3">
      <c r="B205" s="12">
        <v>0.1992015883973397</v>
      </c>
      <c r="C205" s="12">
        <f t="shared" si="29"/>
        <v>1.4959999737231073E-2</v>
      </c>
      <c r="D205" s="12">
        <f t="shared" si="30"/>
        <v>5.7329121224602361E-2</v>
      </c>
      <c r="E205" s="12">
        <f t="shared" si="31"/>
        <v>5.0199602900665066E-2</v>
      </c>
      <c r="F205" s="12">
        <f t="shared" si="32"/>
        <v>5.0157498875009261E-2</v>
      </c>
      <c r="G205" s="12">
        <f t="shared" si="33"/>
        <v>0.19632730859123185</v>
      </c>
      <c r="H205" s="12">
        <f t="shared" si="34"/>
        <v>7.2217022502839082E-2</v>
      </c>
      <c r="I205" s="12">
        <f t="shared" si="35"/>
        <v>0.20207586820344756</v>
      </c>
      <c r="J205" s="12">
        <f t="shared" si="36"/>
        <v>-4.2297023028376929E-2</v>
      </c>
      <c r="M205" s="123">
        <f t="shared" si="37"/>
        <v>-0.5</v>
      </c>
    </row>
    <row r="206" spans="2:13" x14ac:dyDescent="0.3">
      <c r="B206" s="12">
        <v>0.20109093024084834</v>
      </c>
      <c r="C206" s="12">
        <f t="shared" si="29"/>
        <v>1.5054397745943617E-2</v>
      </c>
      <c r="D206" s="12">
        <f t="shared" si="30"/>
        <v>5.7437938272820427E-2</v>
      </c>
      <c r="E206" s="12">
        <f t="shared" si="31"/>
        <v>4.9727267439787906E-2</v>
      </c>
      <c r="F206" s="12">
        <f t="shared" si="32"/>
        <v>4.9686339598839002E-2</v>
      </c>
      <c r="G206" s="12">
        <f t="shared" si="33"/>
        <v>0.19823822343371442</v>
      </c>
      <c r="H206" s="12">
        <f t="shared" si="34"/>
        <v>7.2421451155586875E-2</v>
      </c>
      <c r="I206" s="12">
        <f t="shared" si="35"/>
        <v>0.20394363704798227</v>
      </c>
      <c r="J206" s="12">
        <f t="shared" si="36"/>
        <v>-4.2312655663699635E-2</v>
      </c>
      <c r="M206" s="123">
        <f t="shared" si="37"/>
        <v>-0.5</v>
      </c>
    </row>
    <row r="207" spans="2:13" x14ac:dyDescent="0.3">
      <c r="B207" s="12">
        <v>0.20298818862882839</v>
      </c>
      <c r="C207" s="12">
        <f t="shared" si="29"/>
        <v>1.5148293272531236E-2</v>
      </c>
      <c r="D207" s="12">
        <f t="shared" si="30"/>
        <v>5.7544554819096927E-2</v>
      </c>
      <c r="E207" s="12">
        <f t="shared" si="31"/>
        <v>4.9252952842792894E-2</v>
      </c>
      <c r="F207" s="12">
        <f t="shared" si="32"/>
        <v>4.921318389716739E-2</v>
      </c>
      <c r="G207" s="12">
        <f t="shared" si="33"/>
        <v>0.2001573808664224</v>
      </c>
      <c r="H207" s="12">
        <f t="shared" si="34"/>
        <v>7.2623177498081032E-2</v>
      </c>
      <c r="I207" s="12">
        <f t="shared" si="35"/>
        <v>0.20581899639123438</v>
      </c>
      <c r="J207" s="12">
        <f t="shared" si="36"/>
        <v>-4.2326590953018564E-2</v>
      </c>
      <c r="M207" s="123">
        <f t="shared" si="37"/>
        <v>-0.5</v>
      </c>
    </row>
    <row r="208" spans="2:13" x14ac:dyDescent="0.3">
      <c r="B208" s="12">
        <v>0.20489334476097976</v>
      </c>
      <c r="C208" s="12">
        <f t="shared" si="29"/>
        <v>1.5241674135180261E-2</v>
      </c>
      <c r="D208" s="12">
        <f t="shared" si="30"/>
        <v>5.7648966549107721E-2</v>
      </c>
      <c r="E208" s="12">
        <f t="shared" si="31"/>
        <v>4.8776663809755053E-2</v>
      </c>
      <c r="F208" s="12">
        <f t="shared" si="32"/>
        <v>4.8738036391831913E-2</v>
      </c>
      <c r="G208" s="12">
        <f t="shared" si="33"/>
        <v>0.20208475955667968</v>
      </c>
      <c r="H208" s="12">
        <f t="shared" si="34"/>
        <v>7.2822184668956597E-2</v>
      </c>
      <c r="I208" s="12">
        <f t="shared" si="35"/>
        <v>0.20770192996527984</v>
      </c>
      <c r="J208" s="12">
        <f t="shared" si="36"/>
        <v>-4.2338836398596078E-2</v>
      </c>
      <c r="M208" s="123">
        <f t="shared" si="37"/>
        <v>-0.5</v>
      </c>
    </row>
    <row r="209" spans="2:13" x14ac:dyDescent="0.3">
      <c r="B209" s="12">
        <v>0.20680637975874194</v>
      </c>
      <c r="C209" s="12">
        <f t="shared" si="29"/>
        <v>1.5334528137259568E-2</v>
      </c>
      <c r="D209" s="12">
        <f t="shared" si="30"/>
        <v>5.7751169254825069E-2</v>
      </c>
      <c r="E209" s="12">
        <f t="shared" si="31"/>
        <v>4.8298405060314506E-2</v>
      </c>
      <c r="F209" s="12">
        <f t="shared" si="32"/>
        <v>4.8260901729253812E-2</v>
      </c>
      <c r="G209" s="12">
        <f t="shared" si="33"/>
        <v>0.20402033805028719</v>
      </c>
      <c r="H209" s="12">
        <f t="shared" si="34"/>
        <v>7.3018455897929643E-2</v>
      </c>
      <c r="I209" s="12">
        <f t="shared" si="35"/>
        <v>0.2095924214671967</v>
      </c>
      <c r="J209" s="12">
        <f t="shared" si="36"/>
        <v>-4.23493996234105E-2</v>
      </c>
      <c r="M209" s="123">
        <f t="shared" si="37"/>
        <v>-0.5</v>
      </c>
    </row>
    <row r="210" spans="2:13" x14ac:dyDescent="0.3">
      <c r="B210" s="12">
        <v>0.20872727466548102</v>
      </c>
      <c r="C210" s="12">
        <f t="shared" si="29"/>
        <v>1.5426843067888205E-2</v>
      </c>
      <c r="D210" s="12">
        <f t="shared" si="30"/>
        <v>5.785115883503314E-2</v>
      </c>
      <c r="E210" s="12">
        <f t="shared" si="31"/>
        <v>4.7818181333629736E-2</v>
      </c>
      <c r="F210" s="12">
        <f t="shared" si="32"/>
        <v>4.778178458044071E-2</v>
      </c>
      <c r="G210" s="12">
        <f t="shared" si="33"/>
        <v>0.2059640947719393</v>
      </c>
      <c r="H210" s="12">
        <f t="shared" si="34"/>
        <v>7.3211974506971728E-2</v>
      </c>
      <c r="I210" s="12">
        <f t="shared" si="35"/>
        <v>0.21149045455902274</v>
      </c>
      <c r="J210" s="12">
        <f t="shared" si="36"/>
        <v>-4.2358288371195325E-2</v>
      </c>
      <c r="M210" s="123">
        <f t="shared" si="37"/>
        <v>-0.5</v>
      </c>
    </row>
    <row r="211" spans="2:13" x14ac:dyDescent="0.3">
      <c r="B211" s="12">
        <v>0.21065601044667814</v>
      </c>
      <c r="C211" s="12">
        <f t="shared" si="29"/>
        <v>1.5518606702503939E-2</v>
      </c>
      <c r="D211" s="12">
        <f t="shared" si="30"/>
        <v>5.7948931295822972E-2</v>
      </c>
      <c r="E211" s="12">
        <f t="shared" si="31"/>
        <v>4.7335997388330456E-2</v>
      </c>
      <c r="F211" s="12">
        <f t="shared" si="32"/>
        <v>4.7300689640988304E-2</v>
      </c>
      <c r="G211" s="12">
        <f t="shared" si="33"/>
        <v>0.20791600802564894</v>
      </c>
      <c r="H211" s="12">
        <f t="shared" si="34"/>
        <v>7.3402723911465198E-2</v>
      </c>
      <c r="I211" s="12">
        <f t="shared" si="35"/>
        <v>0.21339601286770735</v>
      </c>
      <c r="J211" s="12">
        <f t="shared" si="36"/>
        <v>-4.2365510506457323E-2</v>
      </c>
      <c r="M211" s="123">
        <f t="shared" si="37"/>
        <v>-0.5</v>
      </c>
    </row>
    <row r="212" spans="2:13" x14ac:dyDescent="0.3">
      <c r="B212" s="12">
        <v>0.21259256799011716</v>
      </c>
      <c r="C212" s="12">
        <f t="shared" si="29"/>
        <v>1.560980680343264E-2</v>
      </c>
      <c r="D212" s="12">
        <f t="shared" si="30"/>
        <v>5.8044482751066849E-2</v>
      </c>
      <c r="E212" s="12">
        <f t="shared" si="31"/>
        <v>4.6851858002470707E-2</v>
      </c>
      <c r="F212" s="12">
        <f t="shared" si="32"/>
        <v>4.6817621631082003E-2</v>
      </c>
      <c r="G212" s="12">
        <f t="shared" si="33"/>
        <v>0.20987605599517845</v>
      </c>
      <c r="H212" s="12">
        <f t="shared" si="34"/>
        <v>7.3590687621338913E-2</v>
      </c>
      <c r="I212" s="12">
        <f t="shared" si="35"/>
        <v>0.21530907998505588</v>
      </c>
      <c r="J212" s="12">
        <f t="shared" si="36"/>
        <v>-4.2371074014473625E-2</v>
      </c>
      <c r="M212" s="123">
        <f t="shared" si="37"/>
        <v>-0.5</v>
      </c>
    </row>
    <row r="213" spans="2:13" x14ac:dyDescent="0.3">
      <c r="B213" s="12">
        <v>0.21453692810607505</v>
      </c>
      <c r="C213" s="12">
        <f t="shared" si="29"/>
        <v>1.5700431120458602E-2</v>
      </c>
      <c r="D213" s="12">
        <f t="shared" si="30"/>
        <v>5.8137809422872049E-2</v>
      </c>
      <c r="E213" s="12">
        <f t="shared" si="31"/>
        <v>4.6365767973481235E-2</v>
      </c>
      <c r="F213" s="12">
        <f t="shared" si="32"/>
        <v>4.6332585295497331E-2</v>
      </c>
      <c r="G213" s="12">
        <f t="shared" si="33"/>
        <v>0.21184421674448017</v>
      </c>
      <c r="H213" s="12">
        <f t="shared" si="34"/>
        <v>7.3775849242184832E-2</v>
      </c>
      <c r="I213" s="12">
        <f t="shared" si="35"/>
        <v>0.21722963946766993</v>
      </c>
      <c r="J213" s="12">
        <f t="shared" si="36"/>
        <v>-4.2374987001267635E-2</v>
      </c>
      <c r="M213" s="123">
        <f t="shared" si="37"/>
        <v>-0.5</v>
      </c>
    </row>
    <row r="214" spans="2:13" x14ac:dyDescent="0.3">
      <c r="B214" s="12">
        <v>0.2164890715275114</v>
      </c>
      <c r="C214" s="12">
        <f t="shared" si="29"/>
        <v>1.5790467391395644E-2</v>
      </c>
      <c r="D214" s="12">
        <f t="shared" si="30"/>
        <v>5.8228907642013911E-2</v>
      </c>
      <c r="E214" s="12">
        <f t="shared" si="31"/>
        <v>4.5877732118122148E-2</v>
      </c>
      <c r="F214" s="12">
        <f t="shared" si="32"/>
        <v>4.5845585403600196E-2</v>
      </c>
      <c r="G214" s="12">
        <f t="shared" si="33"/>
        <v>0.21382046821814307</v>
      </c>
      <c r="H214" s="12">
        <f t="shared" si="34"/>
        <v>7.3958192476355031E-2</v>
      </c>
      <c r="I214" s="12">
        <f t="shared" si="35"/>
        <v>0.21915767483687973</v>
      </c>
      <c r="J214" s="12">
        <f t="shared" si="36"/>
        <v>-4.237725769356375E-2</v>
      </c>
      <c r="M214" s="123">
        <f t="shared" si="37"/>
        <v>-0.5</v>
      </c>
    </row>
    <row r="215" spans="2:13" x14ac:dyDescent="0.3">
      <c r="B215" s="12">
        <v>0.21844897891025949</v>
      </c>
      <c r="C215" s="12">
        <f t="shared" si="29"/>
        <v>1.5879903342659072E-2</v>
      </c>
      <c r="D215" s="12">
        <f t="shared" si="30"/>
        <v>5.8317773848348103E-2</v>
      </c>
      <c r="E215" s="12">
        <f t="shared" si="31"/>
        <v>4.5387755272435125E-2</v>
      </c>
      <c r="F215" s="12">
        <f t="shared" si="32"/>
        <v>4.5356626749346297E-2</v>
      </c>
      <c r="G215" s="12">
        <f t="shared" si="33"/>
        <v>0.21580478824184721</v>
      </c>
      <c r="H215" s="12">
        <f t="shared" si="34"/>
        <v>7.4137701124038988E-2</v>
      </c>
      <c r="I215" s="12">
        <f t="shared" si="35"/>
        <v>0.22109316957867178</v>
      </c>
      <c r="J215" s="12">
        <f t="shared" si="36"/>
        <v>-4.2377894438720851E-2</v>
      </c>
      <c r="M215" s="123">
        <f t="shared" si="37"/>
        <v>-0.5</v>
      </c>
    </row>
    <row r="216" spans="2:13" x14ac:dyDescent="0.3">
      <c r="B216" s="12">
        <v>0.22041663083321805</v>
      </c>
      <c r="C216" s="12">
        <f t="shared" si="29"/>
        <v>1.5968726689838415E-2</v>
      </c>
      <c r="D216" s="12">
        <f t="shared" si="30"/>
        <v>5.8404404591201789E-2</v>
      </c>
      <c r="E216" s="12">
        <f t="shared" si="31"/>
        <v>4.4895842291695486E-2</v>
      </c>
      <c r="F216" s="12">
        <f t="shared" si="32"/>
        <v>4.4865714151279892E-2</v>
      </c>
      <c r="G216" s="12">
        <f t="shared" si="33"/>
        <v>0.21779715452282614</v>
      </c>
      <c r="H216" s="12">
        <f t="shared" si="34"/>
        <v>7.4314359084320936E-2</v>
      </c>
      <c r="I216" s="12">
        <f t="shared" si="35"/>
        <v>0.22303610714360997</v>
      </c>
      <c r="J216" s="12">
        <f t="shared" si="36"/>
        <v>-4.2376905704644113E-2</v>
      </c>
      <c r="M216" s="123">
        <f t="shared" si="37"/>
        <v>-0.5</v>
      </c>
    </row>
    <row r="217" spans="2:13" x14ac:dyDescent="0.3">
      <c r="B217" s="12">
        <v>0.22239200779854373</v>
      </c>
      <c r="C217" s="12">
        <f t="shared" si="29"/>
        <v>1.6056925138270933E-2</v>
      </c>
      <c r="D217" s="12">
        <f t="shared" si="30"/>
        <v>5.8488796529744133E-2</v>
      </c>
      <c r="E217" s="12">
        <f t="shared" si="31"/>
        <v>4.4401998050364065E-2</v>
      </c>
      <c r="F217" s="12">
        <f t="shared" si="32"/>
        <v>4.4372852452532002E-2</v>
      </c>
      <c r="G217" s="12">
        <f t="shared" si="33"/>
        <v>0.21979754465033607</v>
      </c>
      <c r="H217" s="12">
        <f t="shared" si="34"/>
        <v>7.4488150356217558E-2</v>
      </c>
      <c r="I217" s="12">
        <f t="shared" si="35"/>
        <v>0.22498647094675139</v>
      </c>
      <c r="J217" s="12">
        <f t="shared" si="36"/>
        <v>-4.2374300079675686E-2</v>
      </c>
      <c r="M217" s="123">
        <f t="shared" si="37"/>
        <v>-0.5</v>
      </c>
    </row>
    <row r="218" spans="2:13" x14ac:dyDescent="0.3">
      <c r="B218" s="12">
        <v>0.22437509023184399</v>
      </c>
      <c r="C218" s="12">
        <f t="shared" si="29"/>
        <v>1.6144486383615878E-2</v>
      </c>
      <c r="D218" s="12">
        <f t="shared" si="30"/>
        <v>5.8570946433335339E-2</v>
      </c>
      <c r="E218" s="12">
        <f t="shared" si="31"/>
        <v>4.3906227442039002E-2</v>
      </c>
      <c r="F218" s="12">
        <f t="shared" si="32"/>
        <v>4.3878046520817948E-2</v>
      </c>
      <c r="G218" s="12">
        <f t="shared" si="33"/>
        <v>0.22180593609613244</v>
      </c>
      <c r="H218" s="12">
        <f t="shared" si="34"/>
        <v>7.4659059039695275E-2</v>
      </c>
      <c r="I218" s="12">
        <f t="shared" si="35"/>
        <v>0.22694424436755553</v>
      </c>
      <c r="J218" s="12">
        <f t="shared" si="36"/>
        <v>-4.2370086272463511E-2</v>
      </c>
      <c r="M218" s="123">
        <f t="shared" si="37"/>
        <v>-0.5</v>
      </c>
    </row>
    <row r="219" spans="2:13" x14ac:dyDescent="0.3">
      <c r="B219" s="12">
        <v>0.22636585848237156</v>
      </c>
      <c r="C219" s="12">
        <f t="shared" si="29"/>
        <v>1.6231398112429522E-2</v>
      </c>
      <c r="D219" s="12">
        <f t="shared" si="30"/>
        <v>5.865085118185491E-2</v>
      </c>
      <c r="E219" s="12">
        <f t="shared" si="31"/>
        <v>4.3408535379407108E-2</v>
      </c>
      <c r="F219" s="12">
        <f t="shared" si="32"/>
        <v>4.3381301248434118E-2</v>
      </c>
      <c r="G219" s="12">
        <f t="shared" si="33"/>
        <v>0.22382230621495411</v>
      </c>
      <c r="H219" s="12">
        <f t="shared" si="34"/>
        <v>7.4827069336667634E-2</v>
      </c>
      <c r="I219" s="12">
        <f t="shared" si="35"/>
        <v>0.22890941074978902</v>
      </c>
      <c r="J219" s="12">
        <f t="shared" si="36"/>
        <v>-4.2364273111808598E-2</v>
      </c>
      <c r="M219" s="123">
        <f t="shared" si="37"/>
        <v>-0.5</v>
      </c>
    </row>
    <row r="220" spans="2:13" x14ac:dyDescent="0.3">
      <c r="B220" s="12">
        <v>0.22836429282321902</v>
      </c>
      <c r="C220" s="12">
        <f t="shared" si="29"/>
        <v>1.6317648002740787E-2</v>
      </c>
      <c r="D220" s="12">
        <f t="shared" si="30"/>
        <v>5.8728507766008443E-2</v>
      </c>
      <c r="E220" s="12">
        <f t="shared" si="31"/>
        <v>4.2908926794195244E-2</v>
      </c>
      <c r="F220" s="12">
        <f t="shared" si="32"/>
        <v>4.2882621552254196E-2</v>
      </c>
      <c r="G220" s="12">
        <f t="shared" si="33"/>
        <v>0.22584663224501433</v>
      </c>
      <c r="H220" s="12">
        <f t="shared" si="34"/>
        <v>7.4992165551972231E-2</v>
      </c>
      <c r="I220" s="12">
        <f t="shared" si="35"/>
        <v>0.2308819534014237</v>
      </c>
      <c r="J220" s="12">
        <f t="shared" si="36"/>
        <v>-4.235686954649065E-2</v>
      </c>
      <c r="M220" s="123">
        <f t="shared" si="37"/>
        <v>-0.5</v>
      </c>
    </row>
    <row r="221" spans="2:13" x14ac:dyDescent="0.3">
      <c r="B221" s="12">
        <v>0.2303703734515139</v>
      </c>
      <c r="C221" s="12">
        <f t="shared" si="29"/>
        <v>1.6403223724627641E-2</v>
      </c>
      <c r="D221" s="12">
        <f t="shared" si="30"/>
        <v>5.8803913287613155E-2</v>
      </c>
      <c r="E221" s="12">
        <f t="shared" si="31"/>
        <v>4.2407406637121524E-2</v>
      </c>
      <c r="F221" s="12">
        <f t="shared" si="32"/>
        <v>4.2382012373724735E-2</v>
      </c>
      <c r="G221" s="12">
        <f t="shared" si="33"/>
        <v>0.22787889130849848</v>
      </c>
      <c r="H221" s="12">
        <f t="shared" si="34"/>
        <v>7.5154332094327037E-2</v>
      </c>
      <c r="I221" s="12">
        <f t="shared" si="35"/>
        <v>0.23286185559452932</v>
      </c>
      <c r="J221" s="12">
        <f t="shared" si="36"/>
        <v>-4.2347884645071748E-2</v>
      </c>
      <c r="M221" s="123">
        <f t="shared" si="37"/>
        <v>-0.5</v>
      </c>
    </row>
    <row r="222" spans="2:13" x14ac:dyDescent="0.3">
      <c r="B222" s="12">
        <v>0.23238408048861525</v>
      </c>
      <c r="C222" s="12">
        <f t="shared" si="29"/>
        <v>1.6488112940794122E-2</v>
      </c>
      <c r="D222" s="12">
        <f t="shared" si="30"/>
        <v>5.887706495986221E-2</v>
      </c>
      <c r="E222" s="12">
        <f t="shared" si="31"/>
        <v>4.1903979877846186E-2</v>
      </c>
      <c r="F222" s="12">
        <f t="shared" si="32"/>
        <v>4.1879478678859959E-2</v>
      </c>
      <c r="G222" s="12">
        <f t="shared" si="33"/>
        <v>0.22991906041206947</v>
      </c>
      <c r="H222" s="12">
        <f t="shared" si="34"/>
        <v>7.531355347726662E-2</v>
      </c>
      <c r="I222" s="12">
        <f t="shared" si="35"/>
        <v>0.23484910056516103</v>
      </c>
      <c r="J222" s="12">
        <f t="shared" si="36"/>
        <v>-4.2337327595678369E-2</v>
      </c>
      <c r="M222" s="123">
        <f t="shared" si="37"/>
        <v>-0.5</v>
      </c>
    </row>
    <row r="223" spans="2:13" x14ac:dyDescent="0.3">
      <c r="B223" s="12">
        <v>0.23440539398031057</v>
      </c>
      <c r="C223" s="12">
        <f t="shared" si="29"/>
        <v>1.6572303307147977E-2</v>
      </c>
      <c r="D223" s="12">
        <f t="shared" si="30"/>
        <v>5.8947960107567393E-2</v>
      </c>
      <c r="E223" s="12">
        <f t="shared" si="31"/>
        <v>4.1398651504922356E-2</v>
      </c>
      <c r="F223" s="12">
        <f t="shared" si="32"/>
        <v>4.137502545823589E-2</v>
      </c>
      <c r="G223" s="12">
        <f t="shared" si="33"/>
        <v>0.23196711644737983</v>
      </c>
      <c r="H223" s="12">
        <f t="shared" si="34"/>
        <v>7.5469814320057185E-2</v>
      </c>
      <c r="I223" s="12">
        <f t="shared" si="35"/>
        <v>0.23684367151324132</v>
      </c>
      <c r="J223" s="12">
        <f t="shared" si="36"/>
        <v>-4.2325207705761231E-2</v>
      </c>
      <c r="M223" s="123">
        <f t="shared" si="37"/>
        <v>-0.5</v>
      </c>
    </row>
    <row r="224" spans="2:13" x14ac:dyDescent="0.3">
      <c r="B224" s="12">
        <v>0.23643429389701376</v>
      </c>
      <c r="C224" s="12">
        <f t="shared" si="29"/>
        <v>1.6655782473378938E-2</v>
      </c>
      <c r="D224" s="12">
        <f t="shared" si="30"/>
        <v>5.9016596167380558E-2</v>
      </c>
      <c r="E224" s="12">
        <f t="shared" si="31"/>
        <v>4.0891426525746559E-2</v>
      </c>
      <c r="F224" s="12">
        <f t="shared" si="32"/>
        <v>4.0868657726983781E-2</v>
      </c>
      <c r="G224" s="12">
        <f t="shared" si="33"/>
        <v>0.23402303619159059</v>
      </c>
      <c r="H224" s="12">
        <f t="shared" si="34"/>
        <v>7.5623099348591391E-2</v>
      </c>
      <c r="I224" s="12">
        <f t="shared" si="35"/>
        <v>0.23884555160243692</v>
      </c>
      <c r="J224" s="12">
        <f t="shared" si="36"/>
        <v>-4.2311534401833509E-2</v>
      </c>
      <c r="M224" s="123">
        <f t="shared" si="37"/>
        <v>-0.5</v>
      </c>
    </row>
    <row r="225" spans="2:13" x14ac:dyDescent="0.3">
      <c r="B225" s="12">
        <v>0.23847076013396296</v>
      </c>
      <c r="C225" s="12">
        <f t="shared" si="29"/>
        <v>1.6738538083537532E-2</v>
      </c>
      <c r="D225" s="12">
        <f t="shared" si="30"/>
        <v>5.9082970687993251E-2</v>
      </c>
      <c r="E225" s="12">
        <f t="shared" si="31"/>
        <v>4.038230996650926E-2</v>
      </c>
      <c r="F225" s="12">
        <f t="shared" si="32"/>
        <v>4.0360380524783024E-2</v>
      </c>
      <c r="G225" s="12">
        <f t="shared" si="33"/>
        <v>0.2360867963078965</v>
      </c>
      <c r="H225" s="12">
        <f t="shared" si="34"/>
        <v>7.5773393396261698E-2</v>
      </c>
      <c r="I225" s="12">
        <f t="shared" si="35"/>
        <v>0.24085472396002941</v>
      </c>
      <c r="J225" s="12">
        <f t="shared" si="36"/>
        <v>-4.2296317229186628E-2</v>
      </c>
      <c r="M225" s="123">
        <f t="shared" si="37"/>
        <v>-0.5</v>
      </c>
    </row>
    <row r="226" spans="2:13" x14ac:dyDescent="0.3">
      <c r="B226" s="12">
        <v>0.24051477251142062</v>
      </c>
      <c r="C226" s="12">
        <f t="shared" si="29"/>
        <v>1.6820557776614509E-2</v>
      </c>
      <c r="D226" s="12">
        <f t="shared" si="30"/>
        <v>5.9147081330315106E-2</v>
      </c>
      <c r="E226" s="12">
        <f t="shared" si="31"/>
        <v>3.9871306872144845E-2</v>
      </c>
      <c r="F226" s="12">
        <f t="shared" si="32"/>
        <v>3.9850198915853022E-2</v>
      </c>
      <c r="G226" s="12">
        <f t="shared" si="33"/>
        <v>0.23815837334605899</v>
      </c>
      <c r="H226" s="12">
        <f t="shared" si="34"/>
        <v>7.5920681404813395E-2</v>
      </c>
      <c r="I226" s="12">
        <f t="shared" si="35"/>
        <v>0.24287117167678224</v>
      </c>
      <c r="J226" s="12">
        <f t="shared" si="36"/>
        <v>-4.2279565851584378E-2</v>
      </c>
      <c r="M226" s="123">
        <f t="shared" si="37"/>
        <v>-0.5</v>
      </c>
    </row>
    <row r="227" spans="2:13" x14ac:dyDescent="0.3">
      <c r="B227" s="12">
        <v>0.24256631077487267</v>
      </c>
      <c r="C227" s="12">
        <f t="shared" si="29"/>
        <v>1.690182918712075E-2</v>
      </c>
      <c r="D227" s="12">
        <f t="shared" si="30"/>
        <v>5.920892586763029E-2</v>
      </c>
      <c r="E227" s="12">
        <f t="shared" si="31"/>
        <v>3.935842230628183E-2</v>
      </c>
      <c r="F227" s="12">
        <f t="shared" si="32"/>
        <v>3.9338117988944717E-2</v>
      </c>
      <c r="G227" s="12">
        <f t="shared" si="33"/>
        <v>0.24023774374294438</v>
      </c>
      <c r="H227" s="12">
        <f t="shared" si="34"/>
        <v>7.606494842517611E-2</v>
      </c>
      <c r="I227" s="12">
        <f t="shared" si="35"/>
        <v>0.24489487780680097</v>
      </c>
      <c r="J227" s="12">
        <f t="shared" si="36"/>
        <v>-4.2261290050934611E-2</v>
      </c>
      <c r="M227" s="123">
        <f t="shared" si="37"/>
        <v>-0.5</v>
      </c>
    </row>
    <row r="228" spans="2:13" x14ac:dyDescent="0.3">
      <c r="B228" s="12">
        <v>0.24462535459522983</v>
      </c>
      <c r="C228" s="12">
        <f t="shared" si="29"/>
        <v>1.6982339945667738E-2</v>
      </c>
      <c r="D228" s="12">
        <f t="shared" si="30"/>
        <v>5.9268502185732506E-2</v>
      </c>
      <c r="E228" s="12">
        <f t="shared" si="31"/>
        <v>3.8843661351192542E-2</v>
      </c>
      <c r="F228" s="12">
        <f t="shared" si="32"/>
        <v>3.8824142857331094E-2</v>
      </c>
      <c r="G228" s="12">
        <f t="shared" si="33"/>
        <v>0.24232488382306977</v>
      </c>
      <c r="H228" s="12">
        <f t="shared" si="34"/>
        <v>7.6206179618274375E-2</v>
      </c>
      <c r="I228" s="12">
        <f t="shared" si="35"/>
        <v>0.24692582536738988</v>
      </c>
      <c r="J228" s="12">
        <f t="shared" si="36"/>
        <v>-4.22414997269389E-2</v>
      </c>
      <c r="M228" s="123">
        <f t="shared" si="37"/>
        <v>-0.5</v>
      </c>
    </row>
    <row r="229" spans="2:13" x14ac:dyDescent="0.3">
      <c r="B229" s="12">
        <v>0.24669188356902849</v>
      </c>
      <c r="C229" s="12">
        <f t="shared" si="29"/>
        <v>1.7062077679548458E-2</v>
      </c>
      <c r="D229" s="12">
        <f t="shared" si="30"/>
        <v>5.932580828303817E-2</v>
      </c>
      <c r="E229" s="12">
        <f t="shared" si="31"/>
        <v>3.8327029107742876E-2</v>
      </c>
      <c r="F229" s="12">
        <f t="shared" si="32"/>
        <v>3.8308278658797219E-2</v>
      </c>
      <c r="G229" s="12">
        <f t="shared" si="33"/>
        <v>0.24441976979915442</v>
      </c>
      <c r="H229" s="12">
        <f t="shared" si="34"/>
        <v>7.6344360255816965E-2</v>
      </c>
      <c r="I229" s="12">
        <f t="shared" si="35"/>
        <v>0.24896399733890257</v>
      </c>
      <c r="J229" s="12">
        <f t="shared" si="36"/>
        <v>-4.2220204896720057E-2</v>
      </c>
      <c r="M229" s="123">
        <f t="shared" si="37"/>
        <v>-0.5</v>
      </c>
    </row>
    <row r="230" spans="2:13" x14ac:dyDescent="0.3">
      <c r="B230" s="12">
        <v>0.24876587721863352</v>
      </c>
      <c r="C230" s="12">
        <f t="shared" si="29"/>
        <v>1.7141030013318816E-2</v>
      </c>
      <c r="D230" s="12">
        <f t="shared" si="30"/>
        <v>5.9380842270677872E-2</v>
      </c>
      <c r="E230" s="12">
        <f t="shared" si="31"/>
        <v>3.7808530695341618E-2</v>
      </c>
      <c r="F230" s="12">
        <f t="shared" si="32"/>
        <v>3.7790530555629274E-2</v>
      </c>
      <c r="G230" s="12">
        <f t="shared" si="33"/>
        <v>0.24652237777267835</v>
      </c>
      <c r="H230" s="12">
        <f t="shared" si="34"/>
        <v>7.6479475721064838E-2</v>
      </c>
      <c r="I230" s="12">
        <f t="shared" si="35"/>
        <v>0.25100937666458872</v>
      </c>
      <c r="J230" s="12">
        <f t="shared" si="36"/>
        <v>-4.2197415694427212E-2</v>
      </c>
      <c r="M230" s="123">
        <f t="shared" si="37"/>
        <v>-0.5</v>
      </c>
    </row>
    <row r="231" spans="2:13" x14ac:dyDescent="0.3">
      <c r="B231" s="12">
        <v>0.25084731499244084</v>
      </c>
      <c r="C231" s="12">
        <f t="shared" si="29"/>
        <v>1.7219184569379476E-2</v>
      </c>
      <c r="D231" s="12">
        <f t="shared" si="30"/>
        <v>5.9433602372566133E-2</v>
      </c>
      <c r="E231" s="12">
        <f t="shared" si="31"/>
        <v>3.7288171251889789E-2</v>
      </c>
      <c r="F231" s="12">
        <f t="shared" si="32"/>
        <v>3.7270903734603095E-2</v>
      </c>
      <c r="G231" s="12">
        <f t="shared" si="33"/>
        <v>0.2486326837344465</v>
      </c>
      <c r="H231" s="12">
        <f t="shared" si="34"/>
        <v>7.6611511509577845E-2</v>
      </c>
      <c r="I231" s="12">
        <f t="shared" si="35"/>
        <v>0.25306194625043521</v>
      </c>
      <c r="J231" s="12">
        <f t="shared" si="36"/>
        <v>-4.2173142370818886E-2</v>
      </c>
      <c r="M231" s="123">
        <f t="shared" si="37"/>
        <v>-0.5</v>
      </c>
    </row>
    <row r="232" spans="2:13" x14ac:dyDescent="0.3">
      <c r="B232" s="12">
        <v>0.25293617626508091</v>
      </c>
      <c r="C232" s="12">
        <f t="shared" si="29"/>
        <v>1.7296528968558079E-2</v>
      </c>
      <c r="D232" s="12">
        <f t="shared" si="30"/>
        <v>5.9484086925449306E-2</v>
      </c>
      <c r="E232" s="12">
        <f t="shared" si="31"/>
        <v>3.676595593372977E-2</v>
      </c>
      <c r="F232" s="12">
        <f t="shared" si="32"/>
        <v>3.6749403406971914E-2</v>
      </c>
      <c r="G232" s="12">
        <f t="shared" si="33"/>
        <v>0.25075066356515896</v>
      </c>
      <c r="H232" s="12">
        <f t="shared" si="34"/>
        <v>7.6740453229939831E-2</v>
      </c>
      <c r="I232" s="12">
        <f t="shared" si="35"/>
        <v>0.25512168896500287</v>
      </c>
      <c r="J232" s="12">
        <f t="shared" si="36"/>
        <v>-4.2147395292823665E-2</v>
      </c>
      <c r="M232" s="123">
        <f t="shared" si="37"/>
        <v>-0.5</v>
      </c>
    </row>
    <row r="233" spans="2:13" x14ac:dyDescent="0.3">
      <c r="B233" s="12">
        <v>0.25503244033762351</v>
      </c>
      <c r="C233" s="12">
        <f t="shared" si="29"/>
        <v>1.7373050830691912E-2</v>
      </c>
      <c r="D233" s="12">
        <f t="shared" si="30"/>
        <v>5.9532294378931636E-2</v>
      </c>
      <c r="E233" s="12">
        <f t="shared" si="31"/>
        <v>3.6241889915594121E-2</v>
      </c>
      <c r="F233" s="12">
        <f t="shared" si="32"/>
        <v>3.6226034808453218E-2</v>
      </c>
      <c r="G233" s="12">
        <f t="shared" si="33"/>
        <v>0.25287629303598802</v>
      </c>
      <c r="H233" s="12">
        <f t="shared" si="34"/>
        <v>7.6866286604462236E-2</v>
      </c>
      <c r="I233" s="12">
        <f t="shared" si="35"/>
        <v>0.257188587639259</v>
      </c>
      <c r="J233" s="12">
        <f t="shared" si="36"/>
        <v>-4.2120184943078412E-2</v>
      </c>
      <c r="M233" s="123">
        <f t="shared" si="37"/>
        <v>-0.5</v>
      </c>
    </row>
    <row r="234" spans="2:13" x14ac:dyDescent="0.3">
      <c r="B234" s="12">
        <v>0.25713608643778241</v>
      </c>
      <c r="C234" s="12">
        <f t="shared" si="29"/>
        <v>1.7448737775210898E-2</v>
      </c>
      <c r="D234" s="12">
        <f t="shared" si="30"/>
        <v>5.9578223295479557E-2</v>
      </c>
      <c r="E234" s="12">
        <f t="shared" si="31"/>
        <v>3.5715978390554397E-2</v>
      </c>
      <c r="F234" s="12">
        <f t="shared" si="32"/>
        <v>3.5700803199215085E-2</v>
      </c>
      <c r="G234" s="12">
        <f t="shared" si="33"/>
        <v>0.25500954780916008</v>
      </c>
      <c r="H234" s="12">
        <f t="shared" si="34"/>
        <v>7.6988997469866247E-2</v>
      </c>
      <c r="I234" s="12">
        <f t="shared" si="35"/>
        <v>0.25926262506640474</v>
      </c>
      <c r="J234" s="12">
        <f t="shared" si="36"/>
        <v>-4.2091521919444458E-2</v>
      </c>
      <c r="M234" s="123">
        <f t="shared" si="37"/>
        <v>-0.5</v>
      </c>
    </row>
    <row r="235" spans="2:13" x14ac:dyDescent="0.3">
      <c r="B235" s="12">
        <v>0.25924709372012167</v>
      </c>
      <c r="C235" s="12">
        <f t="shared" si="29"/>
        <v>1.7523577421720973E-2</v>
      </c>
      <c r="D235" s="12">
        <f t="shared" si="30"/>
        <v>5.9621872350404143E-2</v>
      </c>
      <c r="E235" s="12">
        <f t="shared" si="31"/>
        <v>3.5188226569969581E-2</v>
      </c>
      <c r="F235" s="12">
        <f t="shared" si="32"/>
        <v>3.5173713863861485E-2</v>
      </c>
      <c r="G235" s="12">
        <f t="shared" si="33"/>
        <v>0.25715040343854456</v>
      </c>
      <c r="H235" s="12">
        <f t="shared" si="34"/>
        <v>7.7108571777943127E-2</v>
      </c>
      <c r="I235" s="12">
        <f t="shared" si="35"/>
        <v>0.26134378400169878</v>
      </c>
      <c r="J235" s="12">
        <f t="shared" si="36"/>
        <v>-4.2061416934501189E-2</v>
      </c>
      <c r="M235" s="123">
        <f t="shared" si="37"/>
        <v>-0.5</v>
      </c>
    </row>
    <row r="236" spans="2:13" x14ac:dyDescent="0.3">
      <c r="B236" s="12">
        <v>0.26136544126626193</v>
      </c>
      <c r="C236" s="12">
        <f t="shared" si="29"/>
        <v>1.7597557390587711E-2</v>
      </c>
      <c r="D236" s="12">
        <f t="shared" si="30"/>
        <v>5.966324033182159E-2</v>
      </c>
      <c r="E236" s="12">
        <f t="shared" si="31"/>
        <v>3.4658639683434515E-2</v>
      </c>
      <c r="F236" s="12">
        <f t="shared" si="32"/>
        <v>3.464477211141706E-2</v>
      </c>
      <c r="G236" s="12">
        <f t="shared" si="33"/>
        <v>0.25929883537024762</v>
      </c>
      <c r="H236" s="12">
        <f t="shared" si="34"/>
        <v>7.7224995596192864E-2</v>
      </c>
      <c r="I236" s="12">
        <f t="shared" si="35"/>
        <v>0.26343204716227625</v>
      </c>
      <c r="J236" s="12">
        <f t="shared" si="36"/>
        <v>-4.2029880815017448E-2</v>
      </c>
      <c r="M236" s="123">
        <f t="shared" si="37"/>
        <v>-0.5</v>
      </c>
    </row>
    <row r="237" spans="2:13" x14ac:dyDescent="0.3">
      <c r="B237" s="12">
        <v>0.26349110808508769</v>
      </c>
      <c r="C237" s="12">
        <f t="shared" si="29"/>
        <v>1.7670665303520346E-2</v>
      </c>
      <c r="D237" s="12">
        <f t="shared" si="30"/>
        <v>5.9702326140592038E-2</v>
      </c>
      <c r="E237" s="12">
        <f t="shared" si="31"/>
        <v>3.4127222978728076E-2</v>
      </c>
      <c r="F237" s="12">
        <f t="shared" si="32"/>
        <v>3.4113983275311024E-2</v>
      </c>
      <c r="G237" s="12">
        <f t="shared" si="33"/>
        <v>0.26145481894321188</v>
      </c>
      <c r="H237" s="12">
        <f t="shared" si="34"/>
        <v>7.7338255108441223E-2</v>
      </c>
      <c r="I237" s="12">
        <f t="shared" si="35"/>
        <v>0.2655273972269635</v>
      </c>
      <c r="J237" s="12">
        <f t="shared" si="36"/>
        <v>-4.1996924501400537E-2</v>
      </c>
      <c r="M237" s="123">
        <f t="shared" si="37"/>
        <v>-0.5</v>
      </c>
    </row>
    <row r="238" spans="2:13" x14ac:dyDescent="0.3">
      <c r="B238" s="12">
        <v>0.26562407311295533</v>
      </c>
      <c r="C238" s="12">
        <f t="shared" si="29"/>
        <v>1.774288878415595E-2</v>
      </c>
      <c r="D238" s="12">
        <f t="shared" si="30"/>
        <v>5.9739128790236247E-2</v>
      </c>
      <c r="E238" s="12">
        <f t="shared" si="31"/>
        <v>3.3593981721761167E-2</v>
      </c>
      <c r="F238" s="12">
        <f t="shared" si="32"/>
        <v>3.3581352713360289E-2</v>
      </c>
      <c r="G238" s="12">
        <f t="shared" si="33"/>
        <v>0.26361832938982177</v>
      </c>
      <c r="H238" s="12">
        <f t="shared" si="34"/>
        <v>7.7448336615434654E-2</v>
      </c>
      <c r="I238" s="12">
        <f t="shared" si="35"/>
        <v>0.26762981683608889</v>
      </c>
      <c r="J238" s="12">
        <f t="shared" si="36"/>
        <v>-4.1962559047122761E-2</v>
      </c>
      <c r="M238" s="123">
        <f t="shared" si="37"/>
        <v>-0.5</v>
      </c>
    </row>
    <row r="239" spans="2:13" x14ac:dyDescent="0.3">
      <c r="B239" s="12">
        <v>0.26776431521390176</v>
      </c>
      <c r="C239" s="12">
        <f t="shared" si="29"/>
        <v>1.7814215458643954E-2</v>
      </c>
      <c r="D239" s="12">
        <f t="shared" si="30"/>
        <v>5.9773647406830693E-2</v>
      </c>
      <c r="E239" s="12">
        <f t="shared" si="31"/>
        <v>3.3058921196524559E-2</v>
      </c>
      <c r="F239" s="12">
        <f t="shared" si="32"/>
        <v>3.304688580775185E-2</v>
      </c>
      <c r="G239" s="12">
        <f t="shared" si="33"/>
        <v>0.26578934183651415</v>
      </c>
      <c r="H239" s="12">
        <f t="shared" si="34"/>
        <v>7.7555226535413718E-2</v>
      </c>
      <c r="I239" s="12">
        <f t="shared" si="35"/>
        <v>0.26973928859128937</v>
      </c>
      <c r="J239" s="12">
        <f t="shared" si="36"/>
        <v>-4.1926795618125817E-2</v>
      </c>
      <c r="M239" s="123">
        <f t="shared" si="37"/>
        <v>-0.5</v>
      </c>
    </row>
    <row r="240" spans="2:13" x14ac:dyDescent="0.3">
      <c r="B240" s="12">
        <v>0.26991181317985435</v>
      </c>
      <c r="C240" s="12">
        <f t="shared" si="29"/>
        <v>1.7884632956230859E-2</v>
      </c>
      <c r="D240" s="12">
        <f t="shared" si="30"/>
        <v>5.9805881228880656E-2</v>
      </c>
      <c r="E240" s="12">
        <f t="shared" si="31"/>
        <v>3.252204670503641E-2</v>
      </c>
      <c r="F240" s="12">
        <f t="shared" si="32"/>
        <v>3.2510587965024214E-2</v>
      </c>
      <c r="G240" s="12">
        <f t="shared" si="33"/>
        <v>0.26796783130439455</v>
      </c>
      <c r="H240" s="12">
        <f t="shared" si="34"/>
        <v>7.7658911404664382E-2</v>
      </c>
      <c r="I240" s="12">
        <f t="shared" si="35"/>
        <v>0.27185579505531415</v>
      </c>
      <c r="J240" s="12">
        <f t="shared" si="36"/>
        <v>-4.1889645492202657E-2</v>
      </c>
      <c r="M240" s="123">
        <f t="shared" si="37"/>
        <v>-0.5</v>
      </c>
    </row>
    <row r="241" spans="2:13" x14ac:dyDescent="0.3">
      <c r="B241" s="12">
        <v>0.27206654573084033</v>
      </c>
      <c r="C241" s="12">
        <f t="shared" si="29"/>
        <v>1.7954128909845105E-2</v>
      </c>
      <c r="D241" s="12">
        <f t="shared" si="30"/>
        <v>5.9835829607171452E-2</v>
      </c>
      <c r="E241" s="12">
        <f t="shared" si="31"/>
        <v>3.1983363567289917E-2</v>
      </c>
      <c r="F241" s="12">
        <f t="shared" si="32"/>
        <v>3.1972464616048364E-2</v>
      </c>
      <c r="G241" s="12">
        <f t="shared" si="33"/>
        <v>0.27015377270985802</v>
      </c>
      <c r="H241" s="12">
        <f t="shared" si="34"/>
        <v>7.7759377878047375E-2</v>
      </c>
      <c r="I241" s="12">
        <f t="shared" si="35"/>
        <v>0.27397931875182263</v>
      </c>
      <c r="J241" s="12">
        <f t="shared" si="36"/>
        <v>-4.1851120058357158E-2</v>
      </c>
      <c r="M241" s="123">
        <f t="shared" si="37"/>
        <v>-0.5</v>
      </c>
    </row>
    <row r="242" spans="2:13" x14ac:dyDescent="0.3">
      <c r="B242" s="12">
        <v>0.27422849151519824</v>
      </c>
      <c r="C242" s="12">
        <f t="shared" si="29"/>
        <v>1.8022690956682175E-2</v>
      </c>
      <c r="D242" s="12">
        <f t="shared" si="30"/>
        <v>5.9863492004597896E-2</v>
      </c>
      <c r="E242" s="12">
        <f t="shared" si="31"/>
        <v>3.144287712120044E-2</v>
      </c>
      <c r="F242" s="12">
        <f t="shared" si="32"/>
        <v>3.1432521216007578E-2</v>
      </c>
      <c r="G242" s="12">
        <f t="shared" si="33"/>
        <v>0.27234714086521583</v>
      </c>
      <c r="H242" s="12">
        <f t="shared" si="34"/>
        <v>7.7856612729505711E-2</v>
      </c>
      <c r="I242" s="12">
        <f t="shared" si="35"/>
        <v>0.27610984216518064</v>
      </c>
      <c r="J242" s="12">
        <f t="shared" si="36"/>
        <v>-4.1811230816141368E-2</v>
      </c>
      <c r="M242" s="123">
        <f t="shared" si="37"/>
        <v>-0.5</v>
      </c>
    </row>
    <row r="243" spans="2:13" x14ac:dyDescent="0.3">
      <c r="B243" s="12">
        <v>0.27639762910978904</v>
      </c>
      <c r="C243" s="12">
        <f t="shared" si="29"/>
        <v>1.8090306738789839E-2</v>
      </c>
      <c r="D243" s="12">
        <f t="shared" si="30"/>
        <v>5.988886799597197E-2</v>
      </c>
      <c r="E243" s="12">
        <f t="shared" si="31"/>
        <v>3.0900592722552737E-2</v>
      </c>
      <c r="F243" s="12">
        <f t="shared" si="32"/>
        <v>3.0890763244376705E-2</v>
      </c>
      <c r="G243" s="12">
        <f t="shared" si="33"/>
        <v>0.27454791047932631</v>
      </c>
      <c r="H243" s="12">
        <f t="shared" si="34"/>
        <v>7.7950602852550205E-2</v>
      </c>
      <c r="I243" s="12">
        <f t="shared" si="35"/>
        <v>0.27824734774025178</v>
      </c>
      <c r="J243" s="12">
        <f t="shared" si="36"/>
        <v>-4.1769989374970534E-2</v>
      </c>
      <c r="M243" s="123">
        <f t="shared" si="37"/>
        <v>-0.5</v>
      </c>
    </row>
    <row r="244" spans="2:13" x14ac:dyDescent="0.3">
      <c r="B244" s="12">
        <v>0.27857393702020894</v>
      </c>
      <c r="C244" s="12">
        <f t="shared" si="29"/>
        <v>1.8156963903653473E-2</v>
      </c>
      <c r="D244" s="12">
        <f t="shared" si="30"/>
        <v>5.991195726780852E-2</v>
      </c>
      <c r="E244" s="12">
        <f t="shared" si="31"/>
        <v>3.0356515744947764E-2</v>
      </c>
      <c r="F244" s="12">
        <f t="shared" si="32"/>
        <v>3.0347196204900409E-2</v>
      </c>
      <c r="G244" s="12">
        <f t="shared" si="33"/>
        <v>0.27675605615823179</v>
      </c>
      <c r="H244" s="12">
        <f t="shared" si="34"/>
        <v>7.8041335260722683E-2</v>
      </c>
      <c r="I244" s="12">
        <f t="shared" si="35"/>
        <v>0.28039181788218609</v>
      </c>
      <c r="J244" s="12">
        <f t="shared" si="36"/>
        <v>-4.1727407453415744E-2</v>
      </c>
      <c r="M244" s="123">
        <f t="shared" si="37"/>
        <v>-0.5</v>
      </c>
    </row>
    <row r="245" spans="2:13" x14ac:dyDescent="0.3">
      <c r="B245" s="12">
        <v>0.28075739368100194</v>
      </c>
      <c r="C245" s="12">
        <f t="shared" si="29"/>
        <v>1.8222650104781555E-2</v>
      </c>
      <c r="D245" s="12">
        <f t="shared" si="30"/>
        <v>5.9932759618089526E-2</v>
      </c>
      <c r="E245" s="12">
        <f t="shared" si="31"/>
        <v>2.9810651579749513E-2</v>
      </c>
      <c r="F245" s="12">
        <f t="shared" si="32"/>
        <v>2.980182562557078E-2</v>
      </c>
      <c r="G245" s="12">
        <f t="shared" si="33"/>
        <v>0.27897155240579885</v>
      </c>
      <c r="H245" s="12">
        <f t="shared" si="34"/>
        <v>7.8128797088037646E-2</v>
      </c>
      <c r="I245" s="12">
        <f t="shared" si="35"/>
        <v>0.28254323495620504</v>
      </c>
      <c r="J245" s="12">
        <f t="shared" si="36"/>
        <v>-4.1683496878474544E-2</v>
      </c>
      <c r="M245" s="123">
        <f t="shared" si="37"/>
        <v>-0.5</v>
      </c>
    </row>
    <row r="246" spans="2:13" x14ac:dyDescent="0.3">
      <c r="B246" s="12">
        <v>0.28294797745587386</v>
      </c>
      <c r="C246" s="12">
        <f t="shared" si="29"/>
        <v>1.828735300229117E-2</v>
      </c>
      <c r="D246" s="12">
        <f t="shared" si="30"/>
        <v>5.995127495600619E-2</v>
      </c>
      <c r="E246" s="12">
        <f t="shared" si="31"/>
        <v>2.9263005636031535E-2</v>
      </c>
      <c r="F246" s="12">
        <f t="shared" si="32"/>
        <v>2.9254657058604E-2</v>
      </c>
      <c r="G246" s="12">
        <f t="shared" si="33"/>
        <v>0.28119437362436456</v>
      </c>
      <c r="H246" s="12">
        <f t="shared" si="34"/>
        <v>7.8212975589401365E-2</v>
      </c>
      <c r="I246" s="12">
        <f t="shared" si="35"/>
        <v>0.28470158128738315</v>
      </c>
      <c r="J246" s="12">
        <f t="shared" si="36"/>
        <v>-4.1638269584819018E-2</v>
      </c>
      <c r="M246" s="123">
        <f t="shared" si="37"/>
        <v>-0.5</v>
      </c>
    </row>
    <row r="247" spans="2:13" x14ac:dyDescent="0.3">
      <c r="B247" s="12">
        <v>0.28514566663790619</v>
      </c>
      <c r="C247" s="12">
        <f t="shared" si="29"/>
        <v>1.8351060263493629E-2</v>
      </c>
      <c r="D247" s="12">
        <f t="shared" si="30"/>
        <v>5.9967503301679784E-2</v>
      </c>
      <c r="E247" s="12">
        <f t="shared" si="31"/>
        <v>2.8713583340523451E-2</v>
      </c>
      <c r="F247" s="12">
        <f t="shared" si="32"/>
        <v>2.8705696080416336E-2</v>
      </c>
      <c r="G247" s="12">
        <f t="shared" si="33"/>
        <v>0.28342449411538601</v>
      </c>
      <c r="H247" s="12">
        <f t="shared" si="34"/>
        <v>7.8293858141009295E-2</v>
      </c>
      <c r="I247" s="12">
        <f t="shared" si="35"/>
        <v>0.28686683916042638</v>
      </c>
      <c r="J247" s="12">
        <f t="shared" si="36"/>
        <v>-4.1591737614022045E-2</v>
      </c>
      <c r="M247" s="123">
        <f t="shared" si="37"/>
        <v>-0.5</v>
      </c>
    </row>
    <row r="248" spans="2:13" x14ac:dyDescent="0.3">
      <c r="B248" s="12">
        <v>0.28735043944977212</v>
      </c>
      <c r="C248" s="12">
        <f t="shared" si="29"/>
        <v>1.8413759563480066E-2</v>
      </c>
      <c r="D248" s="12">
        <f t="shared" si="30"/>
        <v>5.9981444785860503E-2</v>
      </c>
      <c r="E248" s="12">
        <f t="shared" si="31"/>
        <v>2.8162390137556968E-2</v>
      </c>
      <c r="F248" s="12">
        <f t="shared" si="32"/>
        <v>2.8154948291598987E-2</v>
      </c>
      <c r="G248" s="12">
        <f t="shared" si="33"/>
        <v>0.28566188808009574</v>
      </c>
      <c r="H248" s="12">
        <f t="shared" si="34"/>
        <v>7.8371432240721267E-2</v>
      </c>
      <c r="I248" s="12">
        <f t="shared" si="35"/>
        <v>0.2890389908194485</v>
      </c>
      <c r="J248" s="12">
        <f t="shared" si="36"/>
        <v>-4.1543913113761141E-2</v>
      </c>
      <c r="M248" s="123">
        <f t="shared" si="37"/>
        <v>-0.5</v>
      </c>
    </row>
    <row r="249" spans="2:13" x14ac:dyDescent="0.3">
      <c r="B249" s="12">
        <v>0.28956227404395118</v>
      </c>
      <c r="C249" s="12">
        <f t="shared" si="29"/>
        <v>1.847543858570708E-2</v>
      </c>
      <c r="D249" s="12">
        <f t="shared" si="30"/>
        <v>5.9993099649604892E-2</v>
      </c>
      <c r="E249" s="12">
        <f t="shared" si="31"/>
        <v>2.7609431489012203E-2</v>
      </c>
      <c r="F249" s="12">
        <f t="shared" si="32"/>
        <v>2.7602419316892574E-2</v>
      </c>
      <c r="G249" s="12">
        <f t="shared" si="33"/>
        <v>0.28790652962015956</v>
      </c>
      <c r="H249" s="12">
        <f t="shared" si="34"/>
        <v>7.8445685508414548E-2</v>
      </c>
      <c r="I249" s="12">
        <f t="shared" si="35"/>
        <v>0.29121801846774281</v>
      </c>
      <c r="J249" s="12">
        <f t="shared" si="36"/>
        <v>-4.1494808337000394E-2</v>
      </c>
      <c r="M249" s="123">
        <f t="shared" si="37"/>
        <v>-0.5</v>
      </c>
    </row>
    <row r="250" spans="2:13" x14ac:dyDescent="0.3">
      <c r="B250" s="12">
        <v>0.2917811485029469</v>
      </c>
      <c r="C250" s="12">
        <f t="shared" si="29"/>
        <v>1.8536085022582343E-2</v>
      </c>
      <c r="D250" s="12">
        <f t="shared" si="30"/>
        <v>6.0002468243931503E-2</v>
      </c>
      <c r="E250" s="12">
        <f t="shared" si="31"/>
        <v>2.7054712874263274E-2</v>
      </c>
      <c r="F250" s="12">
        <f t="shared" si="32"/>
        <v>2.7048114805160225E-2</v>
      </c>
      <c r="G250" s="12">
        <f t="shared" si="33"/>
        <v>0.29015839273834082</v>
      </c>
      <c r="H250" s="12">
        <f t="shared" si="34"/>
        <v>7.8516605686314883E-2</v>
      </c>
      <c r="I250" s="12">
        <f t="shared" si="35"/>
        <v>0.29340390426755297</v>
      </c>
      <c r="J250" s="12">
        <f t="shared" si="36"/>
        <v>-4.144443564115019E-2</v>
      </c>
      <c r="M250" s="123">
        <f t="shared" si="37"/>
        <v>-0.5</v>
      </c>
    </row>
    <row r="251" spans="2:13" x14ac:dyDescent="0.3">
      <c r="B251" s="12">
        <v>0.29400704083950302</v>
      </c>
      <c r="C251" s="12">
        <f t="shared" si="29"/>
        <v>1.8595686576050152E-2</v>
      </c>
      <c r="D251" s="12">
        <f t="shared" si="30"/>
        <v>6.0009551029455266E-2</v>
      </c>
      <c r="E251" s="12">
        <f t="shared" si="31"/>
        <v>2.6498239790124244E-2</v>
      </c>
      <c r="F251" s="12">
        <f t="shared" si="32"/>
        <v>2.6492040429360344E-2</v>
      </c>
      <c r="G251" s="12">
        <f t="shared" si="33"/>
        <v>0.29241745133916641</v>
      </c>
      <c r="H251" s="12">
        <f t="shared" si="34"/>
        <v>7.8584180639305445E-2</v>
      </c>
      <c r="I251" s="12">
        <f t="shared" si="35"/>
        <v>0.29559663033983963</v>
      </c>
      <c r="J251" s="12">
        <f t="shared" si="36"/>
        <v>-4.1392807487205141E-2</v>
      </c>
      <c r="M251" s="123">
        <f t="shared" si="37"/>
        <v>-0.5</v>
      </c>
    </row>
    <row r="252" spans="2:13" x14ac:dyDescent="0.3">
      <c r="B252" s="12">
        <v>0.29623992899682194</v>
      </c>
      <c r="C252" s="12">
        <f t="shared" si="29"/>
        <v>1.8654230958176928E-2</v>
      </c>
      <c r="D252" s="12">
        <f t="shared" si="30"/>
        <v>6.001434857600025E-2</v>
      </c>
      <c r="E252" s="12">
        <f t="shared" si="31"/>
        <v>2.5940017750794513E-2</v>
      </c>
      <c r="F252" s="12">
        <f t="shared" si="32"/>
        <v>2.5934201886518144E-2</v>
      </c>
      <c r="G252" s="12">
        <f t="shared" si="33"/>
        <v>0.29468367922959865</v>
      </c>
      <c r="H252" s="12">
        <f t="shared" si="34"/>
        <v>7.8648398355213783E-2</v>
      </c>
      <c r="I252" s="12">
        <f t="shared" si="35"/>
        <v>0.29779617876404524</v>
      </c>
      <c r="J252" s="12">
        <f t="shared" si="36"/>
        <v>-4.1339936438859935E-2</v>
      </c>
      <c r="M252" s="123">
        <f t="shared" si="37"/>
        <v>-0.5</v>
      </c>
    </row>
    <row r="253" spans="2:13" x14ac:dyDescent="0.3">
      <c r="B253" s="12">
        <v>0.29847979084878318</v>
      </c>
      <c r="C253" s="12">
        <f t="shared" si="29"/>
        <v>1.8711705891736648E-2</v>
      </c>
      <c r="D253" s="12">
        <f t="shared" si="30"/>
        <v>6.0016861562190903E-2</v>
      </c>
      <c r="E253" s="12">
        <f t="shared" si="31"/>
        <v>2.5380052287804204E-2</v>
      </c>
      <c r="F253" s="12">
        <f t="shared" si="32"/>
        <v>2.5374604897696475E-2</v>
      </c>
      <c r="G253" s="12">
        <f t="shared" si="33"/>
        <v>0.29695705011970974</v>
      </c>
      <c r="H253" s="12">
        <f t="shared" si="34"/>
        <v>7.8709246945076569E-2</v>
      </c>
      <c r="I253" s="12">
        <f t="shared" si="35"/>
        <v>0.30000253157785661</v>
      </c>
      <c r="J253" s="12">
        <f t="shared" si="36"/>
        <v>-4.1285835161603265E-2</v>
      </c>
      <c r="M253" s="123">
        <f t="shared" si="37"/>
        <v>-0.5</v>
      </c>
    </row>
    <row r="254" spans="2:13" x14ac:dyDescent="0.3">
      <c r="B254" s="12">
        <v>0.30072660420016228</v>
      </c>
      <c r="C254" s="12">
        <f t="shared" si="29"/>
        <v>1.8768099110796094E-2</v>
      </c>
      <c r="D254" s="12">
        <f t="shared" si="30"/>
        <v>6.0017090775022389E-2</v>
      </c>
      <c r="E254" s="12">
        <f t="shared" si="31"/>
        <v>2.4818348949959428E-2</v>
      </c>
      <c r="F254" s="12">
        <f t="shared" si="32"/>
        <v>2.481325520796587E-2</v>
      </c>
      <c r="G254" s="12">
        <f t="shared" si="33"/>
        <v>0.29923753762336008</v>
      </c>
      <c r="H254" s="12">
        <f t="shared" si="34"/>
        <v>7.8766714643382585E-2</v>
      </c>
      <c r="I254" s="12">
        <f t="shared" si="35"/>
        <v>0.30221567077696448</v>
      </c>
      <c r="J254" s="12">
        <f t="shared" si="36"/>
        <v>-4.1230516421790389E-2</v>
      </c>
      <c r="M254" s="123">
        <f t="shared" si="37"/>
        <v>-0.5</v>
      </c>
    </row>
    <row r="255" spans="2:13" x14ac:dyDescent="0.3">
      <c r="B255" s="12">
        <v>0.30298034678685137</v>
      </c>
      <c r="C255" s="12">
        <f t="shared" si="29"/>
        <v>1.8823398361300044E-2</v>
      </c>
      <c r="D255" s="12">
        <f t="shared" si="30"/>
        <v>6.0015037109408996E-2</v>
      </c>
      <c r="E255" s="12">
        <f t="shared" si="31"/>
        <v>2.4254913303287155E-2</v>
      </c>
      <c r="F255" s="12">
        <f t="shared" si="32"/>
        <v>2.4250158586373468E-2</v>
      </c>
      <c r="G255" s="12">
        <f t="shared" si="33"/>
        <v>0.30152511525888115</v>
      </c>
      <c r="H255" s="12">
        <f t="shared" si="34"/>
        <v>7.8820789808293296E-2</v>
      </c>
      <c r="I255" s="12">
        <f t="shared" si="35"/>
        <v>0.3044355783148216</v>
      </c>
      <c r="J255" s="12">
        <f t="shared" si="36"/>
        <v>-4.1173993085693215E-2</v>
      </c>
      <c r="M255" s="123">
        <f t="shared" si="37"/>
        <v>-0.5</v>
      </c>
    </row>
    <row r="256" spans="2:13" x14ac:dyDescent="0.3">
      <c r="B256" s="12">
        <v>0.30524099627607926</v>
      </c>
      <c r="C256" s="12">
        <f t="shared" si="29"/>
        <v>1.8877591401656246E-2</v>
      </c>
      <c r="D256" s="12">
        <f t="shared" si="30"/>
        <v>6.0010701567711856E-2</v>
      </c>
      <c r="E256" s="12">
        <f t="shared" si="31"/>
        <v>2.3689750930980184E-2</v>
      </c>
      <c r="F256" s="12">
        <f t="shared" si="32"/>
        <v>2.3685320825911349E-2</v>
      </c>
      <c r="G256" s="12">
        <f t="shared" si="33"/>
        <v>0.30381975644976034</v>
      </c>
      <c r="H256" s="12">
        <f t="shared" si="34"/>
        <v>7.8871460921841885E-2</v>
      </c>
      <c r="I256" s="12">
        <f t="shared" si="35"/>
        <v>0.30666223610239818</v>
      </c>
      <c r="J256" s="12">
        <f t="shared" si="36"/>
        <v>-4.1116278118529387E-2</v>
      </c>
      <c r="M256" s="123">
        <f t="shared" si="37"/>
        <v>-0.5</v>
      </c>
    </row>
    <row r="257" spans="2:13" x14ac:dyDescent="0.3">
      <c r="B257" s="12">
        <v>0.30750853026663305</v>
      </c>
      <c r="C257" s="12">
        <f t="shared" si="29"/>
        <v>1.8930666003320204E-2</v>
      </c>
      <c r="D257" s="12">
        <f t="shared" si="30"/>
        <v>6.0004085259245374E-2</v>
      </c>
      <c r="E257" s="12">
        <f t="shared" si="31"/>
        <v>2.3122867433341739E-2</v>
      </c>
      <c r="F257" s="12">
        <f t="shared" si="32"/>
        <v>2.3118747743483801E-2</v>
      </c>
      <c r="G257" s="12">
        <f t="shared" si="33"/>
        <v>0.30612143452533014</v>
      </c>
      <c r="H257" s="12">
        <f t="shared" si="34"/>
        <v>7.8918716590109961E-2</v>
      </c>
      <c r="I257" s="12">
        <f t="shared" si="35"/>
        <v>0.30889562600793596</v>
      </c>
      <c r="J257" s="12">
        <f t="shared" si="36"/>
        <v>-4.105738458346956E-2</v>
      </c>
      <c r="M257" s="123">
        <f t="shared" si="37"/>
        <v>-0.5</v>
      </c>
    </row>
    <row r="258" spans="2:13" x14ac:dyDescent="0.3">
      <c r="B258" s="12">
        <v>0.30978292628908</v>
      </c>
      <c r="C258" s="12">
        <f t="shared" ref="C258:C321" si="38">IF($A$1=0, 0, IF(B258&lt;=$A$2, ($A$1/$A$2^2)*(2*$A$2*B258-B258^2), ($A$1/(1-$A$2)^2)*((1-2*$A$2)+2*$A$2*B258-B258^2)))</f>
        <v>1.8982609951379802E-2</v>
      </c>
      <c r="D258" s="12">
        <f t="shared" ref="D258:D321" si="39">IF($Q$3, 5*$A$3*(0.2969*SQRT(B258)-0.126*B258-0.3516*B258^2+0.2843*B258^3-0.1036*B258^4), 5*$A$3*(0.2969*SQRT(B258)-0.126*B258-0.3516*B258^2+0.2843*B258^3-0.1015*B258^4))</f>
        <v>5.9995189399762422E-2</v>
      </c>
      <c r="E258" s="12">
        <f t="shared" ref="E258:E321" si="40">IF($A$1=0, 0, IF(B258&lt;=$A$2, ($A$1/$A$2^2) *(2*$A$2-2*B258), ($A$1/(1-$A$2)^2)*(2*$A$2-2*B258)))</f>
        <v>2.2554268427730003E-2</v>
      </c>
      <c r="F258" s="12">
        <f t="shared" ref="F258:F321" si="41">IF($A$1=0, 0,  ATAN(E258))</f>
        <v>2.2550445179873764E-2</v>
      </c>
      <c r="G258" s="12">
        <f t="shared" ref="G258:G321" si="42">B258-D258*SIN(F258)</f>
        <v>0.30843012272146003</v>
      </c>
      <c r="H258" s="12">
        <f t="shared" ref="H258:H321" si="43">C258+D258*COS(F258)</f>
        <v>7.896254554338257E-2</v>
      </c>
      <c r="I258" s="12">
        <f t="shared" ref="I258:I321" si="44">B258+D258*SIN(F258)</f>
        <v>0.31113572985669996</v>
      </c>
      <c r="J258" s="12">
        <f t="shared" ref="J258:J321" si="45">C258-D258*COS(F258)</f>
        <v>-4.0997325640622959E-2</v>
      </c>
      <c r="M258" s="123">
        <f t="shared" ref="M258:M321" si="46">IF($Q$1,  C258, -0.5)</f>
        <v>-0.5</v>
      </c>
    </row>
    <row r="259" spans="2:13" x14ac:dyDescent="0.3">
      <c r="B259" s="12">
        <v>0.31206416180598984</v>
      </c>
      <c r="C259" s="12">
        <f t="shared" si="38"/>
        <v>1.9033411045139604E-2</v>
      </c>
      <c r="D259" s="12">
        <f t="shared" si="39"/>
        <v>5.9984015310918876E-2</v>
      </c>
      <c r="E259" s="12">
        <f t="shared" si="40"/>
        <v>2.1983959548502543E-2</v>
      </c>
      <c r="F259" s="12">
        <f t="shared" si="41"/>
        <v>2.1980418999708512E-2</v>
      </c>
      <c r="G259" s="12">
        <f t="shared" si="42"/>
        <v>0.31074579418125131</v>
      </c>
      <c r="H259" s="12">
        <f t="shared" si="43"/>
        <v>7.9002936636281232E-2</v>
      </c>
      <c r="I259" s="12">
        <f t="shared" si="44"/>
        <v>0.31338252943072836</v>
      </c>
      <c r="J259" s="12">
        <f t="shared" si="45"/>
        <v>-4.0936114546002031E-2</v>
      </c>
      <c r="M259" s="123">
        <f t="shared" si="46"/>
        <v>-0.5</v>
      </c>
    </row>
    <row r="260" spans="2:13" x14ac:dyDescent="0.3">
      <c r="B260" s="12">
        <v>0.31435221421215875</v>
      </c>
      <c r="C260" s="12">
        <f t="shared" si="38"/>
        <v>1.9083057098705003E-2</v>
      </c>
      <c r="D260" s="12">
        <f t="shared" si="39"/>
        <v>5.9970564419716987E-2</v>
      </c>
      <c r="E260" s="12">
        <f t="shared" si="40"/>
        <v>2.1411946446960314E-2</v>
      </c>
      <c r="F260" s="12">
        <f t="shared" si="41"/>
        <v>2.1408675091424138E-2</v>
      </c>
      <c r="G260" s="12">
        <f t="shared" si="42"/>
        <v>0.31306842195573559</v>
      </c>
      <c r="H260" s="12">
        <f t="shared" si="43"/>
        <v>7.9039878847875236E-2</v>
      </c>
      <c r="I260" s="12">
        <f t="shared" si="44"/>
        <v>0.31563600646858192</v>
      </c>
      <c r="J260" s="12">
        <f t="shared" si="45"/>
        <v>-4.087376465046523E-2</v>
      </c>
      <c r="M260" s="123">
        <f t="shared" si="46"/>
        <v>-0.5</v>
      </c>
    </row>
    <row r="261" spans="2:13" x14ac:dyDescent="0.3">
      <c r="B261" s="12">
        <v>0.31664706083483307</v>
      </c>
      <c r="C261" s="12">
        <f t="shared" si="38"/>
        <v>1.9131535941566E-2</v>
      </c>
      <c r="D261" s="12">
        <f t="shared" si="39"/>
        <v>5.9954838257928071E-2</v>
      </c>
      <c r="E261" s="12">
        <f t="shared" si="40"/>
        <v>2.0838234791291734E-2</v>
      </c>
      <c r="F261" s="12">
        <f t="shared" si="41"/>
        <v>2.0835219367229405E-2</v>
      </c>
      <c r="G261" s="12">
        <f t="shared" si="42"/>
        <v>0.31539797900457528</v>
      </c>
      <c r="H261" s="12">
        <f t="shared" si="43"/>
        <v>7.9073361281770949E-2</v>
      </c>
      <c r="I261" s="12">
        <f t="shared" si="44"/>
        <v>0.31789614266509086</v>
      </c>
      <c r="J261" s="12">
        <f t="shared" si="45"/>
        <v>-4.0810289398638941E-2</v>
      </c>
      <c r="M261" s="123">
        <f t="shared" si="46"/>
        <v>-0.5</v>
      </c>
    </row>
    <row r="262" spans="2:13" x14ac:dyDescent="0.3">
      <c r="B262" s="12">
        <v>0.31894867893393375</v>
      </c>
      <c r="C262" s="12">
        <f t="shared" si="38"/>
        <v>1.9178835419180678E-2</v>
      </c>
      <c r="D262" s="12">
        <f t="shared" si="39"/>
        <v>5.9936838461494529E-2</v>
      </c>
      <c r="E262" s="12">
        <f t="shared" si="40"/>
        <v>2.0262830266516565E-2</v>
      </c>
      <c r="F262" s="12">
        <f t="shared" si="41"/>
        <v>2.0260057763068676E-2</v>
      </c>
      <c r="G262" s="12">
        <f t="shared" si="42"/>
        <v>0.31773443819676683</v>
      </c>
      <c r="H262" s="12">
        <f t="shared" si="43"/>
        <v>7.9103373166179561E-2</v>
      </c>
      <c r="I262" s="12">
        <f t="shared" si="44"/>
        <v>0.32016291967110067</v>
      </c>
      <c r="J262" s="12">
        <f t="shared" si="45"/>
        <v>-4.0745702327818212E-2</v>
      </c>
      <c r="M262" s="123">
        <f t="shared" si="46"/>
        <v>-0.5</v>
      </c>
    </row>
    <row r="263" spans="2:13" x14ac:dyDescent="0.3">
      <c r="B263" s="12">
        <v>0.3212570457022822</v>
      </c>
      <c r="C263" s="12">
        <f t="shared" si="38"/>
        <v>1.9224943393558441E-2</v>
      </c>
      <c r="D263" s="12">
        <f t="shared" si="39"/>
        <v>5.991656676991125E-2</v>
      </c>
      <c r="E263" s="12">
        <f t="shared" si="40"/>
        <v>1.9685738574429453E-2</v>
      </c>
      <c r="F263" s="12">
        <f t="shared" si="41"/>
        <v>1.9683196238583736E-2</v>
      </c>
      <c r="G263" s="12">
        <f t="shared" si="42"/>
        <v>0.32007777231134715</v>
      </c>
      <c r="H263" s="12">
        <f t="shared" si="43"/>
        <v>7.9129903853963263E-2</v>
      </c>
      <c r="I263" s="12">
        <f t="shared" si="44"/>
        <v>0.32243631909321724</v>
      </c>
      <c r="J263" s="12">
        <f t="shared" si="45"/>
        <v>-4.0680017066846388E-2</v>
      </c>
      <c r="M263" s="123">
        <f t="shared" si="46"/>
        <v>-0.5</v>
      </c>
    </row>
    <row r="264" spans="2:13" x14ac:dyDescent="0.3">
      <c r="B264" s="12">
        <v>0.32357213826582509</v>
      </c>
      <c r="C264" s="12">
        <f t="shared" si="38"/>
        <v>1.9269847743842734E-2</v>
      </c>
      <c r="D264" s="12">
        <f t="shared" si="39"/>
        <v>5.9894025025586314E-2</v>
      </c>
      <c r="E264" s="12">
        <f t="shared" si="40"/>
        <v>1.9106965433543729E-2</v>
      </c>
      <c r="F264" s="12">
        <f t="shared" si="41"/>
        <v>1.9104640777075167E-2</v>
      </c>
      <c r="G264" s="12">
        <f t="shared" si="42"/>
        <v>0.32242795403810054</v>
      </c>
      <c r="H264" s="12">
        <f t="shared" si="43"/>
        <v>7.915294282265932E-2</v>
      </c>
      <c r="I264" s="12">
        <f t="shared" si="44"/>
        <v>0.32471632249354965</v>
      </c>
      <c r="J264" s="12">
        <f t="shared" si="45"/>
        <v>-4.0613247334973845E-2</v>
      </c>
      <c r="M264" s="123">
        <f t="shared" si="46"/>
        <v>-0.5</v>
      </c>
    </row>
    <row r="265" spans="2:13" x14ac:dyDescent="0.3">
      <c r="B265" s="12">
        <v>0.32589393368386299</v>
      </c>
      <c r="C265" s="12">
        <f t="shared" si="38"/>
        <v>1.9313536366893539E-2</v>
      </c>
      <c r="D265" s="12">
        <f t="shared" si="39"/>
        <v>5.9869215173181674E-2</v>
      </c>
      <c r="E265" s="12">
        <f t="shared" si="40"/>
        <v>1.8526516579034254E-2</v>
      </c>
      <c r="F265" s="12">
        <f t="shared" si="41"/>
        <v>1.852439738546199E-2</v>
      </c>
      <c r="G265" s="12">
        <f t="shared" si="42"/>
        <v>0.32478495597827145</v>
      </c>
      <c r="H265" s="12">
        <f t="shared" si="43"/>
        <v>7.9172479674483154E-2</v>
      </c>
      <c r="I265" s="12">
        <f t="shared" si="44"/>
        <v>0.32700291138945453</v>
      </c>
      <c r="J265" s="12">
        <f t="shared" si="45"/>
        <v>-4.0545406940696083E-2</v>
      </c>
      <c r="M265" s="123">
        <f t="shared" si="46"/>
        <v>-0.5</v>
      </c>
    </row>
    <row r="266" spans="2:13" x14ac:dyDescent="0.3">
      <c r="B266" s="12">
        <v>0.3282224089492759</v>
      </c>
      <c r="C266" s="12">
        <f t="shared" si="38"/>
        <v>1.9355997177869375E-2</v>
      </c>
      <c r="D266" s="12">
        <f t="shared" si="39"/>
        <v>5.9842139258933211E-2</v>
      </c>
      <c r="E266" s="12">
        <f t="shared" si="40"/>
        <v>1.7944397762681027E-2</v>
      </c>
      <c r="F266" s="12">
        <f t="shared" si="41"/>
        <v>1.7942472094241345E-2</v>
      </c>
      <c r="G266" s="12">
        <f t="shared" si="42"/>
        <v>0.32714875064527527</v>
      </c>
      <c r="H266" s="12">
        <f t="shared" si="43"/>
        <v>7.9188504136309665E-2</v>
      </c>
      <c r="I266" s="12">
        <f t="shared" si="44"/>
        <v>0.32929606725327654</v>
      </c>
      <c r="J266" s="12">
        <f t="shared" si="45"/>
        <v>-4.0476509780570921E-2</v>
      </c>
      <c r="M266" s="123">
        <f t="shared" si="46"/>
        <v>-0.5</v>
      </c>
    </row>
    <row r="267" spans="2:13" x14ac:dyDescent="0.3">
      <c r="B267" s="12">
        <v>0.33055754098875223</v>
      </c>
      <c r="C267" s="12">
        <f t="shared" si="38"/>
        <v>1.9397218110808898E-2</v>
      </c>
      <c r="D267" s="12">
        <f t="shared" si="39"/>
        <v>5.9812799429950658E-2</v>
      </c>
      <c r="E267" s="12">
        <f t="shared" si="40"/>
        <v>1.7360614752811945E-2</v>
      </c>
      <c r="F267" s="12">
        <f t="shared" si="41"/>
        <v>1.7358870957446527E-2</v>
      </c>
      <c r="G267" s="12">
        <f t="shared" si="42"/>
        <v>0.32951931046541383</v>
      </c>
      <c r="H267" s="12">
        <f t="shared" si="43"/>
        <v>7.9201006059632956E-2</v>
      </c>
      <c r="I267" s="12">
        <f t="shared" si="44"/>
        <v>0.33159577151209063</v>
      </c>
      <c r="J267" s="12">
        <f t="shared" si="45"/>
        <v>-4.0406569838015161E-2</v>
      </c>
      <c r="M267" s="123">
        <f t="shared" si="46"/>
        <v>-0.5</v>
      </c>
    </row>
    <row r="268" spans="2:13" x14ac:dyDescent="0.3">
      <c r="B268" s="12">
        <v>0.33289930666301693</v>
      </c>
      <c r="C268" s="12">
        <f t="shared" si="38"/>
        <v>1.943718711921202E-2</v>
      </c>
      <c r="D268" s="12">
        <f t="shared" si="39"/>
        <v>5.9781197933497815E-2</v>
      </c>
      <c r="E268" s="12">
        <f t="shared" si="40"/>
        <v>1.6775173334245771E-2</v>
      </c>
      <c r="F268" s="12">
        <f t="shared" si="41"/>
        <v>1.6773600052604521E-2</v>
      </c>
      <c r="G268" s="12">
        <f t="shared" si="42"/>
        <v>0.33189660777859153</v>
      </c>
      <c r="H268" s="12">
        <f t="shared" si="43"/>
        <v>7.9209975420505244E-2</v>
      </c>
      <c r="I268" s="12">
        <f t="shared" si="44"/>
        <v>0.33390200554744232</v>
      </c>
      <c r="J268" s="12">
        <f t="shared" si="45"/>
        <v>-4.0335601182081196E-2</v>
      </c>
      <c r="M268" s="123">
        <f t="shared" si="46"/>
        <v>-0.5</v>
      </c>
    </row>
    <row r="269" spans="2:13" x14ac:dyDescent="0.3">
      <c r="B269" s="12">
        <v>0.33524768276706118</v>
      </c>
      <c r="C269" s="12">
        <f t="shared" si="38"/>
        <v>1.9475892176620605E-2</v>
      </c>
      <c r="D269" s="12">
        <f t="shared" si="39"/>
        <v>5.9747337116252207E-2</v>
      </c>
      <c r="E269" s="12">
        <f t="shared" si="40"/>
        <v>1.6188079308234706E-2</v>
      </c>
      <c r="F269" s="12">
        <f t="shared" si="41"/>
        <v>1.6186665480692315E-2</v>
      </c>
      <c r="G269" s="12">
        <f t="shared" si="42"/>
        <v>0.33428061483903393</v>
      </c>
      <c r="H269" s="12">
        <f t="shared" si="43"/>
        <v>7.9215402319453801E-2</v>
      </c>
      <c r="I269" s="12">
        <f t="shared" si="44"/>
        <v>0.33621475069508844</v>
      </c>
      <c r="J269" s="12">
        <f t="shared" si="45"/>
        <v>-4.0263617966212584E-2</v>
      </c>
      <c r="M269" s="123">
        <f t="shared" si="46"/>
        <v>-0.5</v>
      </c>
    </row>
    <row r="270" spans="2:13" x14ac:dyDescent="0.3">
      <c r="B270" s="12">
        <v>0.33760264603037182</v>
      </c>
      <c r="C270" s="12">
        <f t="shared" si="38"/>
        <v>1.9513321277198611E-2</v>
      </c>
      <c r="D270" s="12">
        <f t="shared" si="39"/>
        <v>5.9711219423545639E-2</v>
      </c>
      <c r="E270" s="12">
        <f t="shared" si="40"/>
        <v>1.5599338492407046E-2</v>
      </c>
      <c r="F270" s="12">
        <f t="shared" si="41"/>
        <v>1.5598073366092589E-2</v>
      </c>
      <c r="G270" s="12">
        <f t="shared" si="42"/>
        <v>0.33667130381600668</v>
      </c>
      <c r="H270" s="12">
        <f t="shared" si="43"/>
        <v>7.921727698137751E-2</v>
      </c>
      <c r="I270" s="12">
        <f t="shared" si="44"/>
        <v>0.33853398824473696</v>
      </c>
      <c r="J270" s="12">
        <f t="shared" si="45"/>
        <v>-4.019063442698028E-2</v>
      </c>
      <c r="M270" s="123">
        <f t="shared" si="46"/>
        <v>-0.5</v>
      </c>
    </row>
    <row r="271" spans="2:13" x14ac:dyDescent="0.3">
      <c r="B271" s="12">
        <v>0.33996417311716254</v>
      </c>
      <c r="C271" s="12">
        <f t="shared" si="38"/>
        <v>1.9549462436311747E-2</v>
      </c>
      <c r="D271" s="12">
        <f t="shared" si="39"/>
        <v>5.967284739858441E-2</v>
      </c>
      <c r="E271" s="12">
        <f t="shared" si="40"/>
        <v>1.5008956720709368E-2</v>
      </c>
      <c r="F271" s="12">
        <f t="shared" si="41"/>
        <v>1.5007829856548095E-2</v>
      </c>
      <c r="G271" s="12">
        <f t="shared" si="42"/>
        <v>0.33906864679453769</v>
      </c>
      <c r="H271" s="12">
        <f t="shared" si="43"/>
        <v>7.9215589755421603E-2</v>
      </c>
      <c r="I271" s="12">
        <f t="shared" si="44"/>
        <v>0.34085969943978739</v>
      </c>
      <c r="J271" s="12">
        <f t="shared" si="45"/>
        <v>-4.0116664882798109E-2</v>
      </c>
      <c r="M271" s="123">
        <f t="shared" si="46"/>
        <v>-0.5</v>
      </c>
    </row>
    <row r="272" spans="2:13" x14ac:dyDescent="0.3">
      <c r="B272" s="12">
        <v>0.34233224062660483</v>
      </c>
      <c r="C272" s="12">
        <f t="shared" si="38"/>
        <v>1.9584303691106527E-2</v>
      </c>
      <c r="D272" s="12">
        <f t="shared" si="39"/>
        <v>5.9632223681650429E-2</v>
      </c>
      <c r="E272" s="12">
        <f t="shared" si="40"/>
        <v>1.4416939843348794E-2</v>
      </c>
      <c r="F272" s="12">
        <f t="shared" si="41"/>
        <v>1.4415941123115393E-2</v>
      </c>
      <c r="G272" s="12">
        <f t="shared" si="42"/>
        <v>0.34147261577613913</v>
      </c>
      <c r="H272" s="12">
        <f t="shared" si="43"/>
        <v>7.9210331114831917E-2</v>
      </c>
      <c r="I272" s="12">
        <f t="shared" si="44"/>
        <v>0.34319186547707053</v>
      </c>
      <c r="J272" s="12">
        <f t="shared" si="45"/>
        <v>-4.0041723732618856E-2</v>
      </c>
      <c r="M272" s="123">
        <f t="shared" si="46"/>
        <v>-0.5</v>
      </c>
    </row>
    <row r="273" spans="2:13" x14ac:dyDescent="0.3">
      <c r="B273" s="12">
        <v>0.34470682509305983</v>
      </c>
      <c r="C273" s="12">
        <f t="shared" si="38"/>
        <v>1.9617833101088809E-2</v>
      </c>
      <c r="D273" s="12">
        <f t="shared" si="39"/>
        <v>5.9589351009282761E-2</v>
      </c>
      <c r="E273" s="12">
        <f t="shared" si="40"/>
        <v>1.3823293726735044E-2</v>
      </c>
      <c r="F273" s="12">
        <f t="shared" si="41"/>
        <v>1.3822413360117553E-2</v>
      </c>
      <c r="G273" s="12">
        <f t="shared" si="42"/>
        <v>0.34388318267953089</v>
      </c>
      <c r="H273" s="12">
        <f t="shared" si="43"/>
        <v>7.9201491656787998E-2</v>
      </c>
      <c r="I273" s="12">
        <f t="shared" si="44"/>
        <v>0.34553046750658878</v>
      </c>
      <c r="J273" s="12">
        <f t="shared" si="45"/>
        <v>-3.9965825454610374E-2</v>
      </c>
      <c r="M273" s="123">
        <f t="shared" si="46"/>
        <v>-0.5</v>
      </c>
    </row>
    <row r="274" spans="2:13" x14ac:dyDescent="0.3">
      <c r="B274" s="12">
        <v>0.34708790298631065</v>
      </c>
      <c r="C274" s="12">
        <f t="shared" si="38"/>
        <v>1.9650038748701738E-2</v>
      </c>
      <c r="D274" s="12">
        <f t="shared" si="39"/>
        <v>5.954423221343981E-2</v>
      </c>
      <c r="E274" s="12">
        <f t="shared" si="40"/>
        <v>1.322802425342234E-2</v>
      </c>
      <c r="F274" s="12">
        <f t="shared" si="41"/>
        <v>1.3227252785095938E-2</v>
      </c>
      <c r="G274" s="12">
        <f t="shared" si="42"/>
        <v>0.34630031934136529</v>
      </c>
      <c r="H274" s="12">
        <f t="shared" si="43"/>
        <v>7.9189062102215504E-2</v>
      </c>
      <c r="I274" s="12">
        <f t="shared" si="44"/>
        <v>0.347875486631256</v>
      </c>
      <c r="J274" s="12">
        <f t="shared" si="45"/>
        <v>-3.9888984604812022E-2</v>
      </c>
      <c r="M274" s="123">
        <f t="shared" si="46"/>
        <v>-0.5</v>
      </c>
    </row>
    <row r="275" spans="2:13" x14ac:dyDescent="0.3">
      <c r="B275" s="12">
        <v>0.34947545071179609</v>
      </c>
      <c r="C275" s="12">
        <f t="shared" si="38"/>
        <v>1.9680908739902976E-2</v>
      </c>
      <c r="D275" s="12">
        <f t="shared" si="39"/>
        <v>5.949687022064272E-2</v>
      </c>
      <c r="E275" s="12">
        <f t="shared" si="40"/>
        <v>1.263113732205098E-2</v>
      </c>
      <c r="F275" s="12">
        <f t="shared" si="41"/>
        <v>1.2630465638760862E-2</v>
      </c>
      <c r="G275" s="12">
        <f t="shared" si="42"/>
        <v>0.34872399751695277</v>
      </c>
      <c r="H275" s="12">
        <f t="shared" si="43"/>
        <v>7.9173033295578094E-2</v>
      </c>
      <c r="I275" s="12">
        <f t="shared" si="44"/>
        <v>0.35022690390663941</v>
      </c>
      <c r="J275" s="12">
        <f t="shared" si="45"/>
        <v>-3.9811215815772141E-2</v>
      </c>
      <c r="M275" s="123">
        <f t="shared" si="46"/>
        <v>-0.5</v>
      </c>
    </row>
    <row r="276" spans="2:13" x14ac:dyDescent="0.3">
      <c r="B276" s="12">
        <v>0.35186944461084391</v>
      </c>
      <c r="C276" s="12">
        <f t="shared" si="38"/>
        <v>1.9710431204741419E-2</v>
      </c>
      <c r="D276" s="12">
        <f t="shared" si="39"/>
        <v>5.9447268051099095E-2</v>
      </c>
      <c r="E276" s="12">
        <f t="shared" si="40"/>
        <v>1.2032638847289025E-2</v>
      </c>
      <c r="F276" s="12">
        <f t="shared" si="41"/>
        <v>1.2032058184941567E-2</v>
      </c>
      <c r="G276" s="12">
        <f t="shared" si="42"/>
        <v>0.35115418888098798</v>
      </c>
      <c r="H276" s="12">
        <f t="shared" si="43"/>
        <v>7.9153396204648147E-2</v>
      </c>
      <c r="I276" s="12">
        <f t="shared" si="44"/>
        <v>0.35258470034069983</v>
      </c>
      <c r="J276" s="12">
        <f t="shared" si="45"/>
        <v>-3.9732533795165302E-2</v>
      </c>
      <c r="M276" s="123">
        <f t="shared" si="46"/>
        <v>-0.5</v>
      </c>
    </row>
    <row r="277" spans="2:13" x14ac:dyDescent="0.3">
      <c r="B277" s="12">
        <v>0.35426986096090574</v>
      </c>
      <c r="C277" s="12">
        <f t="shared" si="38"/>
        <v>1.9738594297933135E-2</v>
      </c>
      <c r="D277" s="12">
        <f t="shared" si="39"/>
        <v>5.9395428817808835E-2</v>
      </c>
      <c r="E277" s="12">
        <f t="shared" si="40"/>
        <v>1.143253475977357E-2</v>
      </c>
      <c r="F277" s="12">
        <f t="shared" si="41"/>
        <v>1.1432036710534979E-2</v>
      </c>
      <c r="G277" s="12">
        <f t="shared" si="42"/>
        <v>0.35359086502827675</v>
      </c>
      <c r="H277" s="12">
        <f t="shared" si="43"/>
        <v>7.9130141920257885E-2</v>
      </c>
      <c r="I277" s="12">
        <f t="shared" si="44"/>
        <v>0.35494885689353473</v>
      </c>
      <c r="J277" s="12">
        <f t="shared" si="45"/>
        <v>-3.9652953324391622E-2</v>
      </c>
      <c r="M277" s="123">
        <f t="shared" si="46"/>
        <v>-0.5</v>
      </c>
    </row>
    <row r="278" spans="2:13" x14ac:dyDescent="0.3">
      <c r="B278" s="12">
        <v>0.35667667597579156</v>
      </c>
      <c r="C278" s="12">
        <f t="shared" si="38"/>
        <v>1.9765386199436682E-2</v>
      </c>
      <c r="D278" s="12">
        <f t="shared" si="39"/>
        <v>5.9341355725650372E-2</v>
      </c>
      <c r="E278" s="12">
        <f t="shared" si="40"/>
        <v>1.0830831006052115E-2</v>
      </c>
      <c r="F278" s="12">
        <f t="shared" si="41"/>
        <v>1.0830407525453768E-2</v>
      </c>
      <c r="G278" s="12">
        <f t="shared" si="42"/>
        <v>0.35603399747446302</v>
      </c>
      <c r="H278" s="12">
        <f t="shared" si="43"/>
        <v>7.9103261656029392E-2</v>
      </c>
      <c r="I278" s="12">
        <f t="shared" si="44"/>
        <v>0.3573193544771201</v>
      </c>
      <c r="J278" s="12">
        <f t="shared" si="45"/>
        <v>-3.9572489257156035E-2</v>
      </c>
      <c r="M278" s="123">
        <f t="shared" si="46"/>
        <v>-0.5</v>
      </c>
    </row>
    <row r="279" spans="2:13" x14ac:dyDescent="0.3">
      <c r="B279" s="12">
        <v>0.35908986580590629</v>
      </c>
      <c r="C279" s="12">
        <f t="shared" si="38"/>
        <v>1.9790795115027651E-2</v>
      </c>
      <c r="D279" s="12">
        <f t="shared" si="39"/>
        <v>5.9285052070449172E-2</v>
      </c>
      <c r="E279" s="12">
        <f t="shared" si="40"/>
        <v>1.022753354852343E-2</v>
      </c>
      <c r="F279" s="12">
        <f t="shared" si="41"/>
        <v>1.0227176962573092E-2</v>
      </c>
      <c r="G279" s="12">
        <f t="shared" si="42"/>
        <v>0.35848355765675727</v>
      </c>
      <c r="H279" s="12">
        <f t="shared" si="43"/>
        <v>7.9072746748084954E-2</v>
      </c>
      <c r="I279" s="12">
        <f t="shared" si="44"/>
        <v>0.35969617395505532</v>
      </c>
      <c r="J279" s="12">
        <f t="shared" si="45"/>
        <v>-3.9491156518029646E-2</v>
      </c>
      <c r="M279" s="123">
        <f t="shared" si="46"/>
        <v>-0.5</v>
      </c>
    </row>
    <row r="280" spans="2:13" x14ac:dyDescent="0.3">
      <c r="B280" s="12">
        <v>0.36150940653848485</v>
      </c>
      <c r="C280" s="12">
        <f t="shared" si="38"/>
        <v>1.9814809276872545E-2</v>
      </c>
      <c r="D280" s="12">
        <f t="shared" si="39"/>
        <v>5.9226521238027158E-2</v>
      </c>
      <c r="E280" s="12">
        <f t="shared" si="40"/>
        <v>9.6226483653787925E-3</v>
      </c>
      <c r="F280" s="12">
        <f t="shared" si="41"/>
        <v>9.6223513776768979E-3</v>
      </c>
      <c r="G280" s="12">
        <f t="shared" si="42"/>
        <v>0.36093951693466286</v>
      </c>
      <c r="H280" s="12">
        <f t="shared" si="43"/>
        <v>7.9038588654736786E-2</v>
      </c>
      <c r="I280" s="12">
        <f t="shared" si="44"/>
        <v>0.36207929614230683</v>
      </c>
      <c r="J280" s="12">
        <f t="shared" si="45"/>
        <v>-3.9408970100991703E-2</v>
      </c>
      <c r="M280" s="123">
        <f t="shared" si="46"/>
        <v>-0.5</v>
      </c>
    </row>
    <row r="281" spans="2:13" x14ac:dyDescent="0.3">
      <c r="B281" s="12">
        <v>0.36393527419783034</v>
      </c>
      <c r="C281" s="12">
        <f t="shared" si="38"/>
        <v>1.983741694410179E-2</v>
      </c>
      <c r="D281" s="12">
        <f t="shared" si="39"/>
        <v>5.9165766703234646E-2</v>
      </c>
      <c r="E281" s="12">
        <f t="shared" si="40"/>
        <v>9.0161814505424192E-3</v>
      </c>
      <c r="F281" s="12">
        <f t="shared" si="41"/>
        <v>9.0159371494026152E-3</v>
      </c>
      <c r="G281" s="12">
        <f t="shared" si="42"/>
        <v>0.36340184659070551</v>
      </c>
      <c r="H281" s="12">
        <f t="shared" si="43"/>
        <v>7.9000778956157411E-2</v>
      </c>
      <c r="I281" s="12">
        <f t="shared" si="44"/>
        <v>0.36446870180495516</v>
      </c>
      <c r="J281" s="12">
        <f t="shared" si="45"/>
        <v>-3.9325945067953838E-2</v>
      </c>
      <c r="M281" s="123">
        <f t="shared" si="46"/>
        <v>-0.5</v>
      </c>
    </row>
    <row r="282" spans="2:13" x14ac:dyDescent="0.3">
      <c r="B282" s="12">
        <v>0.36636744474555105</v>
      </c>
      <c r="C282" s="12">
        <f t="shared" si="38"/>
        <v>1.9858606403382054E-2</v>
      </c>
      <c r="D282" s="12">
        <f t="shared" si="39"/>
        <v>5.9102792028963624E-2</v>
      </c>
      <c r="E282" s="12">
        <f t="shared" si="40"/>
        <v>8.4081388136122408E-3</v>
      </c>
      <c r="F282" s="12">
        <f t="shared" si="41"/>
        <v>8.4079406791853686E-3</v>
      </c>
      <c r="G282" s="12">
        <f t="shared" si="42"/>
        <v>0.36587051783115992</v>
      </c>
      <c r="H282" s="12">
        <f t="shared" si="43"/>
        <v>7.8959309354029603E-2</v>
      </c>
      <c r="I282" s="12">
        <f t="shared" si="44"/>
        <v>0.36686437165994218</v>
      </c>
      <c r="J282" s="12">
        <f t="shared" si="45"/>
        <v>-3.9242096547265487E-2</v>
      </c>
      <c r="M282" s="123">
        <f t="shared" si="46"/>
        <v>-0.5</v>
      </c>
    </row>
    <row r="283" spans="2:13" x14ac:dyDescent="0.3">
      <c r="B283" s="12">
        <v>0.36880589408079867</v>
      </c>
      <c r="C283" s="12">
        <f t="shared" si="38"/>
        <v>1.9878365969487704E-2</v>
      </c>
      <c r="D283" s="12">
        <f t="shared" si="39"/>
        <v>5.9037600865143772E-2</v>
      </c>
      <c r="E283" s="12">
        <f t="shared" si="40"/>
        <v>7.7985264798003367E-3</v>
      </c>
      <c r="F283" s="12">
        <f t="shared" si="41"/>
        <v>7.7983683912010169E-3</v>
      </c>
      <c r="G283" s="12">
        <f t="shared" si="42"/>
        <v>0.36834550178677772</v>
      </c>
      <c r="H283" s="12">
        <f t="shared" si="43"/>
        <v>7.8914171671177175E-2</v>
      </c>
      <c r="I283" s="12">
        <f t="shared" si="44"/>
        <v>0.36926628637481962</v>
      </c>
      <c r="J283" s="12">
        <f t="shared" si="45"/>
        <v>-3.915743973220176E-2</v>
      </c>
      <c r="M283" s="123">
        <f t="shared" si="46"/>
        <v>-0.5</v>
      </c>
    </row>
    <row r="284" spans="2:13" x14ac:dyDescent="0.3">
      <c r="B284" s="12">
        <v>0.3712505980405072</v>
      </c>
      <c r="C284" s="12">
        <f t="shared" si="38"/>
        <v>1.9896683985871438E-2</v>
      </c>
      <c r="D284" s="12">
        <f t="shared" si="39"/>
        <v>5.8970196947720169E-2</v>
      </c>
      <c r="E284" s="12">
        <f t="shared" si="40"/>
        <v>7.1873504898732048E-3</v>
      </c>
      <c r="F284" s="12">
        <f t="shared" si="41"/>
        <v>7.1872267323082302E-3</v>
      </c>
      <c r="G284" s="12">
        <f t="shared" si="42"/>
        <v>0.37082676951351423</v>
      </c>
      <c r="H284" s="12">
        <f t="shared" si="43"/>
        <v>7.8865357851175655E-2</v>
      </c>
      <c r="I284" s="12">
        <f t="shared" si="44"/>
        <v>0.37167442656750016</v>
      </c>
      <c r="J284" s="12">
        <f t="shared" si="45"/>
        <v>-3.9071989879432771E-2</v>
      </c>
      <c r="M284" s="123">
        <f t="shared" si="46"/>
        <v>-0.5</v>
      </c>
    </row>
    <row r="285" spans="2:13" x14ac:dyDescent="0.3">
      <c r="B285" s="12">
        <v>0.37370153239963222</v>
      </c>
      <c r="C285" s="12">
        <f t="shared" si="38"/>
        <v>1.9913548825234051E-2</v>
      </c>
      <c r="D285" s="12">
        <f t="shared" si="39"/>
        <v>5.8900584097614221E-2</v>
      </c>
      <c r="E285" s="12">
        <f t="shared" si="40"/>
        <v>6.574616900091949E-3</v>
      </c>
      <c r="F285" s="12">
        <f t="shared" si="41"/>
        <v>6.5745221719896354E-3</v>
      </c>
      <c r="G285" s="12">
        <f t="shared" si="42"/>
        <v>0.37331429199325533</v>
      </c>
      <c r="H285" s="12">
        <f t="shared" si="43"/>
        <v>7.8812859957944209E-2</v>
      </c>
      <c r="I285" s="12">
        <f t="shared" si="44"/>
        <v>0.37408877280600911</v>
      </c>
      <c r="J285" s="12">
        <f t="shared" si="45"/>
        <v>-3.8985762307476107E-2</v>
      </c>
      <c r="M285" s="123">
        <f t="shared" si="46"/>
        <v>-0.5</v>
      </c>
    </row>
    <row r="286" spans="2:13" x14ac:dyDescent="0.3">
      <c r="B286" s="12">
        <v>0.37615867287139115</v>
      </c>
      <c r="C286" s="12">
        <f t="shared" si="38"/>
        <v>1.9928948890093327E-2</v>
      </c>
      <c r="D286" s="12">
        <f t="shared" si="39"/>
        <v>5.8828766219666664E-2</v>
      </c>
      <c r="E286" s="12">
        <f t="shared" si="40"/>
        <v>5.9603317821522155E-3</v>
      </c>
      <c r="F286" s="12">
        <f t="shared" si="41"/>
        <v>5.9602612022918869E-3</v>
      </c>
      <c r="G286" s="12">
        <f t="shared" si="42"/>
        <v>0.37580804013454322</v>
      </c>
      <c r="H286" s="12">
        <f t="shared" si="43"/>
        <v>7.8756670175317733E-2</v>
      </c>
      <c r="I286" s="12">
        <f t="shared" si="44"/>
        <v>0.37650930560823909</v>
      </c>
      <c r="J286" s="12">
        <f t="shared" si="45"/>
        <v>-3.8898772395131079E-2</v>
      </c>
      <c r="M286" s="123">
        <f t="shared" si="46"/>
        <v>-0.5</v>
      </c>
    </row>
    <row r="287" spans="2:13" x14ac:dyDescent="0.3">
      <c r="B287" s="12">
        <v>0.37862199510750394</v>
      </c>
      <c r="C287" s="12">
        <f t="shared" si="38"/>
        <v>1.9942872613352054E-2</v>
      </c>
      <c r="D287" s="12">
        <f t="shared" si="39"/>
        <v>5.8754747301563735E-2</v>
      </c>
      <c r="E287" s="12">
        <f t="shared" si="40"/>
        <v>5.3445012231240199E-3</v>
      </c>
      <c r="F287" s="12">
        <f t="shared" si="41"/>
        <v>5.3444503377647994E-3</v>
      </c>
      <c r="G287" s="12">
        <f t="shared" si="42"/>
        <v>0.3783079847733018</v>
      </c>
      <c r="H287" s="12">
        <f t="shared" si="43"/>
        <v>7.8696780806600142E-2</v>
      </c>
      <c r="I287" s="12">
        <f t="shared" si="44"/>
        <v>0.37893600544170608</v>
      </c>
      <c r="J287" s="12">
        <f t="shared" si="45"/>
        <v>-3.8811035579896042E-2</v>
      </c>
      <c r="M287" s="123">
        <f t="shared" si="46"/>
        <v>-0.5</v>
      </c>
    </row>
    <row r="288" spans="2:13" x14ac:dyDescent="0.3">
      <c r="B288" s="12">
        <v>0.38109147469843418</v>
      </c>
      <c r="C288" s="12">
        <f t="shared" si="38"/>
        <v>1.9955308458865006E-2</v>
      </c>
      <c r="D288" s="12">
        <f t="shared" si="39"/>
        <v>5.8678531412746496E-2</v>
      </c>
      <c r="E288" s="12">
        <f t="shared" si="40"/>
        <v>4.7271313253914584E-3</v>
      </c>
      <c r="F288" s="12">
        <f t="shared" si="41"/>
        <v>4.7270961153995207E-3</v>
      </c>
      <c r="G288" s="12">
        <f t="shared" si="42"/>
        <v>0.38081409667356059</v>
      </c>
      <c r="H288" s="12">
        <f t="shared" si="43"/>
        <v>7.8633184274098766E-2</v>
      </c>
      <c r="I288" s="12">
        <f t="shared" si="44"/>
        <v>0.38136885272330778</v>
      </c>
      <c r="J288" s="12">
        <f t="shared" si="45"/>
        <v>-3.8722567356368746E-2</v>
      </c>
      <c r="M288" s="123">
        <f t="shared" si="46"/>
        <v>-0.5</v>
      </c>
    </row>
    <row r="289" spans="2:13" x14ac:dyDescent="0.3">
      <c r="B289" s="12">
        <v>0.38356708717363108</v>
      </c>
      <c r="C289" s="12">
        <f t="shared" si="38"/>
        <v>1.9966244922005119E-2</v>
      </c>
      <c r="D289" s="12">
        <f t="shared" si="39"/>
        <v>5.8600122703303087E-2</v>
      </c>
      <c r="E289" s="12">
        <f t="shared" si="40"/>
        <v>4.108228206592234E-3</v>
      </c>
      <c r="F289" s="12">
        <f t="shared" si="41"/>
        <v>4.1082050945656888E-3</v>
      </c>
      <c r="G289" s="12">
        <f t="shared" si="42"/>
        <v>0.38332634652817787</v>
      </c>
      <c r="H289" s="12">
        <f t="shared" si="43"/>
        <v>7.8565873118639648E-2</v>
      </c>
      <c r="I289" s="12">
        <f t="shared" si="44"/>
        <v>0.38380782781908429</v>
      </c>
      <c r="J289" s="12">
        <f t="shared" si="45"/>
        <v>-3.863338327462941E-2</v>
      </c>
      <c r="M289" s="123">
        <f t="shared" si="46"/>
        <v>-0.5</v>
      </c>
    </row>
    <row r="290" spans="2:13" x14ac:dyDescent="0.3">
      <c r="B290" s="12">
        <v>0.38604880800177188</v>
      </c>
      <c r="C290" s="12">
        <f t="shared" si="38"/>
        <v>1.997567053022857E-2</v>
      </c>
      <c r="D290" s="12">
        <f t="shared" si="39"/>
        <v>5.8519525402844899E-2</v>
      </c>
      <c r="E290" s="12">
        <f t="shared" si="40"/>
        <v>3.4877979995570343E-3</v>
      </c>
      <c r="F290" s="12">
        <f t="shared" si="41"/>
        <v>3.4877838569475923E-3</v>
      </c>
      <c r="G290" s="12">
        <f t="shared" si="42"/>
        <v>0.38584470495956275</v>
      </c>
      <c r="H290" s="12">
        <f t="shared" si="43"/>
        <v>7.8494839999064758E-2</v>
      </c>
      <c r="I290" s="12">
        <f t="shared" si="44"/>
        <v>0.38625291104398102</v>
      </c>
      <c r="J290" s="12">
        <f t="shared" si="45"/>
        <v>-3.8543498938607625E-2</v>
      </c>
      <c r="M290" s="123">
        <f t="shared" si="46"/>
        <v>-0.5</v>
      </c>
    </row>
    <row r="291" spans="2:13" x14ac:dyDescent="0.3">
      <c r="B291" s="12">
        <v>0.3885366125910048</v>
      </c>
      <c r="C291" s="12">
        <f t="shared" si="38"/>
        <v>1.998357384363891E-2</v>
      </c>
      <c r="D291" s="12">
        <f t="shared" si="39"/>
        <v>5.843674381936588E-2</v>
      </c>
      <c r="E291" s="12">
        <f t="shared" si="40"/>
        <v>2.8658468522488041E-3</v>
      </c>
      <c r="F291" s="12">
        <f t="shared" si="41"/>
        <v>2.8658390064793832E-3</v>
      </c>
      <c r="G291" s="12">
        <f t="shared" si="42"/>
        <v>0.38836914252039539</v>
      </c>
      <c r="H291" s="12">
        <f t="shared" si="43"/>
        <v>7.8420077691710166E-2</v>
      </c>
      <c r="I291" s="12">
        <f t="shared" si="44"/>
        <v>0.38870408266161421</v>
      </c>
      <c r="J291" s="12">
        <f t="shared" si="45"/>
        <v>-3.8452930004432354E-2</v>
      </c>
      <c r="M291" s="123">
        <f t="shared" si="46"/>
        <v>-0.5</v>
      </c>
    </row>
    <row r="292" spans="2:13" x14ac:dyDescent="0.3">
      <c r="B292" s="12">
        <v>0.39103047628919319</v>
      </c>
      <c r="C292" s="12">
        <f t="shared" si="38"/>
        <v>1.998994345555016E-2</v>
      </c>
      <c r="D292" s="12">
        <f t="shared" si="39"/>
        <v>5.8351782338086133E-2</v>
      </c>
      <c r="E292" s="12">
        <f t="shared" si="40"/>
        <v>2.2423809277017088E-3</v>
      </c>
      <c r="F292" s="12">
        <f t="shared" si="41"/>
        <v>2.2423771692791357E-3</v>
      </c>
      <c r="G292" s="12">
        <f t="shared" si="42"/>
        <v>0.39089962969434661</v>
      </c>
      <c r="H292" s="12">
        <f t="shared" si="43"/>
        <v>7.8341579089866331E-2</v>
      </c>
      <c r="I292" s="12">
        <f t="shared" si="44"/>
        <v>0.39116132288403976</v>
      </c>
      <c r="J292" s="12">
        <f t="shared" si="45"/>
        <v>-3.8361692178766019E-2</v>
      </c>
      <c r="M292" s="123">
        <f t="shared" si="46"/>
        <v>-0.5</v>
      </c>
    </row>
    <row r="293" spans="2:13" x14ac:dyDescent="0.3">
      <c r="B293" s="12">
        <v>0.39353037438415939</v>
      </c>
      <c r="C293" s="12">
        <f t="shared" si="38"/>
        <v>1.9994767993048859E-2</v>
      </c>
      <c r="D293" s="12">
        <f t="shared" si="39"/>
        <v>5.826464542027944E-2</v>
      </c>
      <c r="E293" s="12">
        <f t="shared" si="40"/>
        <v>1.6174064039601583E-3</v>
      </c>
      <c r="F293" s="12">
        <f t="shared" si="41"/>
        <v>1.617404993582114E-3</v>
      </c>
      <c r="G293" s="12">
        <f t="shared" si="42"/>
        <v>0.39343613689679485</v>
      </c>
      <c r="H293" s="12">
        <f t="shared" si="43"/>
        <v>7.8259337203220355E-2</v>
      </c>
      <c r="I293" s="12">
        <f t="shared" si="44"/>
        <v>0.39362461187152392</v>
      </c>
      <c r="J293" s="12">
        <f t="shared" si="45"/>
        <v>-3.8269801217122645E-2</v>
      </c>
      <c r="M293" s="123">
        <f t="shared" si="46"/>
        <v>-0.5</v>
      </c>
    </row>
    <row r="294" spans="2:13" x14ac:dyDescent="0.3">
      <c r="B294" s="12">
        <v>0.3960362821039296</v>
      </c>
      <c r="C294" s="12">
        <f t="shared" si="38"/>
        <v>1.9998036117555046E-2</v>
      </c>
      <c r="D294" s="12">
        <f t="shared" si="39"/>
        <v>5.8175337602084987E-2</v>
      </c>
      <c r="E294" s="12">
        <f t="shared" si="40"/>
        <v>9.9092947401760423E-4</v>
      </c>
      <c r="F294" s="12">
        <f t="shared" si="41"/>
        <v>9.9092914967296238E-4</v>
      </c>
      <c r="G294" s="12">
        <f t="shared" si="42"/>
        <v>0.39597863447554205</v>
      </c>
      <c r="H294" s="12">
        <f t="shared" si="43"/>
        <v>7.817334515728E-2</v>
      </c>
      <c r="I294" s="12">
        <f t="shared" si="44"/>
        <v>0.39609392973231716</v>
      </c>
      <c r="J294" s="12">
        <f t="shared" si="45"/>
        <v>-3.8177272922169915E-2</v>
      </c>
      <c r="M294" s="123">
        <f t="shared" si="46"/>
        <v>-0.5</v>
      </c>
    </row>
    <row r="295" spans="2:13" x14ac:dyDescent="0.3">
      <c r="B295" s="12">
        <v>0.39854817461698</v>
      </c>
      <c r="C295" s="12">
        <f t="shared" si="38"/>
        <v>1.9999736525382148E-2</v>
      </c>
      <c r="D295" s="12">
        <f t="shared" si="39"/>
        <v>5.8083863493303516E-2</v>
      </c>
      <c r="E295" s="12">
        <f t="shared" si="40"/>
        <v>3.6295634575500552E-4</v>
      </c>
      <c r="F295" s="12">
        <f t="shared" si="41"/>
        <v>3.6295632981670937E-4</v>
      </c>
      <c r="G295" s="12">
        <f t="shared" si="42"/>
        <v>0.39852709271152775</v>
      </c>
      <c r="H295" s="12">
        <f t="shared" si="43"/>
        <v>7.8083596192780103E-2</v>
      </c>
      <c r="I295" s="12">
        <f t="shared" si="44"/>
        <v>0.39856925652243225</v>
      </c>
      <c r="J295" s="12">
        <f t="shared" si="45"/>
        <v>-3.8084123142015813E-2</v>
      </c>
      <c r="M295" s="123">
        <f t="shared" si="46"/>
        <v>-0.5</v>
      </c>
    </row>
    <row r="296" spans="2:13" x14ac:dyDescent="0.3">
      <c r="B296" s="12">
        <v>0.4010660270324814</v>
      </c>
      <c r="C296" s="12">
        <f t="shared" si="38"/>
        <v>1.9999936865909226E-2</v>
      </c>
      <c r="D296" s="12">
        <f t="shared" si="39"/>
        <v>5.799022777617855E-2</v>
      </c>
      <c r="E296" s="12">
        <f t="shared" si="40"/>
        <v>-1.1844744805348621E-4</v>
      </c>
      <c r="F296" s="12">
        <f t="shared" si="41"/>
        <v>-1.1844744749955496E-4</v>
      </c>
      <c r="G296" s="12">
        <f t="shared" si="42"/>
        <v>0.40107289582692535</v>
      </c>
      <c r="H296" s="12">
        <f t="shared" si="43"/>
        <v>7.7990164235292189E-2</v>
      </c>
      <c r="I296" s="12">
        <f t="shared" si="44"/>
        <v>0.40105915823803745</v>
      </c>
      <c r="J296" s="12">
        <f t="shared" si="45"/>
        <v>-3.7990290503473745E-2</v>
      </c>
      <c r="M296" s="123">
        <f t="shared" si="46"/>
        <v>-0.5</v>
      </c>
    </row>
    <row r="297" spans="2:13" x14ac:dyDescent="0.3">
      <c r="B297" s="12">
        <v>0.40358981440054742</v>
      </c>
      <c r="C297" s="12">
        <f t="shared" si="38"/>
        <v>1.9999284068476092E-2</v>
      </c>
      <c r="D297" s="12">
        <f t="shared" si="39"/>
        <v>5.7894435204162133E-2</v>
      </c>
      <c r="E297" s="12">
        <f t="shared" si="40"/>
        <v>-3.9886826672748865E-4</v>
      </c>
      <c r="F297" s="12">
        <f t="shared" si="41"/>
        <v>-3.9886824557472281E-4</v>
      </c>
      <c r="G297" s="12">
        <f t="shared" si="42"/>
        <v>0.40361290665173355</v>
      </c>
      <c r="H297" s="12">
        <f t="shared" si="43"/>
        <v>7.7893714667255309E-2</v>
      </c>
      <c r="I297" s="12">
        <f t="shared" si="44"/>
        <v>0.40356672214936129</v>
      </c>
      <c r="J297" s="12">
        <f t="shared" si="45"/>
        <v>-3.7895146530303125E-2</v>
      </c>
      <c r="M297" s="123">
        <f t="shared" si="46"/>
        <v>-0.5</v>
      </c>
    </row>
    <row r="298" spans="2:13" x14ac:dyDescent="0.3">
      <c r="B298" s="12">
        <v>0.40611951171248117</v>
      </c>
      <c r="C298" s="12">
        <f t="shared" si="38"/>
        <v>1.9997919532022266E-2</v>
      </c>
      <c r="D298" s="12">
        <f t="shared" si="39"/>
        <v>5.7796490600665849E-2</v>
      </c>
      <c r="E298" s="12">
        <f t="shared" si="40"/>
        <v>-6.7994574583123916E-4</v>
      </c>
      <c r="F298" s="12">
        <f t="shared" si="41"/>
        <v>-6.7994564104568664E-4</v>
      </c>
      <c r="G298" s="12">
        <f t="shared" si="42"/>
        <v>0.40615881018130473</v>
      </c>
      <c r="H298" s="12">
        <f t="shared" si="43"/>
        <v>7.7794396772276314E-2</v>
      </c>
      <c r="I298" s="12">
        <f t="shared" si="44"/>
        <v>0.40608021324365762</v>
      </c>
      <c r="J298" s="12">
        <f t="shared" si="45"/>
        <v>-3.7798557708231775E-2</v>
      </c>
      <c r="M298" s="123">
        <f t="shared" si="46"/>
        <v>-0.5</v>
      </c>
    </row>
    <row r="299" spans="2:13" x14ac:dyDescent="0.3">
      <c r="B299" s="12">
        <v>0.4086550939010225</v>
      </c>
      <c r="C299" s="12">
        <f t="shared" si="38"/>
        <v>1.9995838297198028E-2</v>
      </c>
      <c r="D299" s="12">
        <f t="shared" si="39"/>
        <v>5.7696398857797371E-2</v>
      </c>
      <c r="E299" s="12">
        <f t="shared" si="40"/>
        <v>-9.6167710011360911E-4</v>
      </c>
      <c r="F299" s="12">
        <f t="shared" si="41"/>
        <v>-9.6167680365345646E-4</v>
      </c>
      <c r="G299" s="12">
        <f t="shared" si="42"/>
        <v>0.40871057918090603</v>
      </c>
      <c r="H299" s="12">
        <f t="shared" si="43"/>
        <v>7.7692210475540036E-2</v>
      </c>
      <c r="I299" s="12">
        <f t="shared" si="44"/>
        <v>0.40859960862113898</v>
      </c>
      <c r="J299" s="12">
        <f t="shared" si="45"/>
        <v>-3.7700533881143986E-2</v>
      </c>
      <c r="M299" s="123">
        <f t="shared" si="46"/>
        <v>-0.5</v>
      </c>
    </row>
    <row r="300" spans="2:13" x14ac:dyDescent="0.3">
      <c r="B300" s="12">
        <v>0.41119653584059757</v>
      </c>
      <c r="C300" s="12">
        <f t="shared" si="38"/>
        <v>1.9993035421398343E-2</v>
      </c>
      <c r="D300" s="12">
        <f t="shared" si="39"/>
        <v>5.759416493508239E-2</v>
      </c>
      <c r="E300" s="12">
        <f t="shared" si="40"/>
        <v>-1.2440595378441716E-3</v>
      </c>
      <c r="F300" s="12">
        <f t="shared" si="41"/>
        <v>-1.2440588960410314E-3</v>
      </c>
      <c r="G300" s="12">
        <f t="shared" si="42"/>
        <v>0.41126818635536305</v>
      </c>
      <c r="H300" s="12">
        <f t="shared" si="43"/>
        <v>7.7587155787744833E-2</v>
      </c>
      <c r="I300" s="12">
        <f t="shared" si="44"/>
        <v>0.41112488532583208</v>
      </c>
      <c r="J300" s="12">
        <f t="shared" si="45"/>
        <v>-3.7601084944948154E-2</v>
      </c>
      <c r="M300" s="123">
        <f t="shared" si="46"/>
        <v>-0.5</v>
      </c>
    </row>
    <row r="301" spans="2:13" x14ac:dyDescent="0.3">
      <c r="B301" s="12">
        <v>0.41374381234756619</v>
      </c>
      <c r="C301" s="12">
        <f t="shared" si="38"/>
        <v>1.9989505979008605E-2</v>
      </c>
      <c r="D301" s="12">
        <f t="shared" si="39"/>
        <v>5.7489793858172496E-2</v>
      </c>
      <c r="E301" s="12">
        <f t="shared" si="40"/>
        <v>-1.527090260840685E-3</v>
      </c>
      <c r="F301" s="12">
        <f t="shared" si="41"/>
        <v>-1.5270890737818087E-3</v>
      </c>
      <c r="G301" s="12">
        <f t="shared" si="42"/>
        <v>0.41383160434949912</v>
      </c>
      <c r="H301" s="12">
        <f t="shared" si="43"/>
        <v>7.7479232804064616E-2</v>
      </c>
      <c r="I301" s="12">
        <f t="shared" si="44"/>
        <v>0.41365602034563326</v>
      </c>
      <c r="J301" s="12">
        <f t="shared" si="45"/>
        <v>-3.7500220846047413E-2</v>
      </c>
      <c r="M301" s="123">
        <f t="shared" si="46"/>
        <v>-0.5</v>
      </c>
    </row>
    <row r="302" spans="2:13" x14ac:dyDescent="0.3">
      <c r="B302" s="12">
        <v>0.41629689818047322</v>
      </c>
      <c r="C302" s="12">
        <f t="shared" si="38"/>
        <v>1.998524506164974E-2</v>
      </c>
      <c r="D302" s="12">
        <f t="shared" si="39"/>
        <v>5.7383290717539025E-2</v>
      </c>
      <c r="E302" s="12">
        <f t="shared" si="40"/>
        <v>-1.8107664644970219E-3</v>
      </c>
      <c r="F302" s="12">
        <f t="shared" si="41"/>
        <v>-1.8107644854085043E-3</v>
      </c>
      <c r="G302" s="12">
        <f t="shared" si="42"/>
        <v>0.41640080574857719</v>
      </c>
      <c r="H302" s="12">
        <f t="shared" si="43"/>
        <v>7.7368441703096008E-2</v>
      </c>
      <c r="I302" s="12">
        <f t="shared" si="44"/>
        <v>0.41619299061236925</v>
      </c>
      <c r="J302" s="12">
        <f t="shared" si="45"/>
        <v>-3.7397951579796536E-2</v>
      </c>
      <c r="M302" s="123">
        <f t="shared" si="46"/>
        <v>-0.5</v>
      </c>
    </row>
    <row r="303" spans="2:13" x14ac:dyDescent="0.3">
      <c r="B303" s="12">
        <v>0.41885576804029723</v>
      </c>
      <c r="C303" s="12">
        <f t="shared" si="38"/>
        <v>1.9980247778422805E-2</v>
      </c>
      <c r="D303" s="12">
        <f t="shared" si="39"/>
        <v>5.7274660667153449E-2</v>
      </c>
      <c r="E303" s="12">
        <f t="shared" si="40"/>
        <v>-2.0950853378108006E-3</v>
      </c>
      <c r="F303" s="12">
        <f t="shared" si="41"/>
        <v>-2.0950822724418502E-3</v>
      </c>
      <c r="G303" s="12">
        <f t="shared" si="42"/>
        <v>0.4189757630787373</v>
      </c>
      <c r="H303" s="12">
        <f t="shared" si="43"/>
        <v>7.7254782745791367E-2</v>
      </c>
      <c r="I303" s="12">
        <f t="shared" si="44"/>
        <v>0.41873577300185716</v>
      </c>
      <c r="J303" s="12">
        <f t="shared" si="45"/>
        <v>-3.7294287188945757E-2</v>
      </c>
      <c r="M303" s="123">
        <f t="shared" si="46"/>
        <v>-0.5</v>
      </c>
    </row>
    <row r="304" spans="2:13" x14ac:dyDescent="0.3">
      <c r="B304" s="12">
        <v>0.42142039657070196</v>
      </c>
      <c r="C304" s="12">
        <f t="shared" si="38"/>
        <v>1.9974509256152989E-2</v>
      </c>
      <c r="D304" s="12">
        <f t="shared" si="39"/>
        <v>5.716390892315406E-2</v>
      </c>
      <c r="E304" s="12">
        <f t="shared" si="40"/>
        <v>-2.3800440634113265E-3</v>
      </c>
      <c r="F304" s="12">
        <f t="shared" si="41"/>
        <v>-2.3800395694196699E-3</v>
      </c>
      <c r="G304" s="12">
        <f t="shared" si="42"/>
        <v>0.42155644880743504</v>
      </c>
      <c r="H304" s="12">
        <f t="shared" si="43"/>
        <v>7.7138256274377148E-2</v>
      </c>
      <c r="I304" s="12">
        <f t="shared" si="44"/>
        <v>0.42128434433396889</v>
      </c>
      <c r="J304" s="12">
        <f t="shared" si="45"/>
        <v>-3.7189237762071177E-2</v>
      </c>
      <c r="M304" s="123">
        <f t="shared" si="46"/>
        <v>-0.5</v>
      </c>
    </row>
    <row r="305" spans="2:13" x14ac:dyDescent="0.3">
      <c r="B305" s="12">
        <v>0.42399075835828748</v>
      </c>
      <c r="C305" s="12">
        <f t="shared" si="38"/>
        <v>1.9968024639633014E-2</v>
      </c>
      <c r="D305" s="12">
        <f t="shared" si="39"/>
        <v>5.7051040762499373E-2</v>
      </c>
      <c r="E305" s="12">
        <f t="shared" si="40"/>
        <v>-2.6656398175874951E-3</v>
      </c>
      <c r="F305" s="12">
        <f t="shared" si="41"/>
        <v>-2.6656335039259849E-3</v>
      </c>
      <c r="G305" s="12">
        <f t="shared" si="42"/>
        <v>0.42414283534387792</v>
      </c>
      <c r="H305" s="12">
        <f t="shared" si="43"/>
        <v>7.7018862711258379E-2</v>
      </c>
      <c r="I305" s="12">
        <f t="shared" si="44"/>
        <v>0.42383868137269703</v>
      </c>
      <c r="J305" s="12">
        <f t="shared" si="45"/>
        <v>-3.7082813431992358E-2</v>
      </c>
      <c r="M305" s="123">
        <f t="shared" si="46"/>
        <v>-0.5</v>
      </c>
    </row>
    <row r="306" spans="2:13" x14ac:dyDescent="0.3">
      <c r="B306" s="12">
        <v>0.42656682793284162</v>
      </c>
      <c r="C306" s="12">
        <f t="shared" si="38"/>
        <v>1.9960789091865935E-2</v>
      </c>
      <c r="D306" s="12">
        <f t="shared" si="39"/>
        <v>5.6936061521608954E-2</v>
      </c>
      <c r="E306" s="12">
        <f t="shared" si="40"/>
        <v>-2.9518697703157333E-3</v>
      </c>
      <c r="F306" s="12">
        <f t="shared" si="41"/>
        <v>-2.9518611966202328E-3</v>
      </c>
      <c r="G306" s="12">
        <f t="shared" si="42"/>
        <v>0.42673489503946038</v>
      </c>
      <c r="H306" s="12">
        <f t="shared" si="43"/>
        <v>7.6896602557909546E-2</v>
      </c>
      <c r="I306" s="12">
        <f t="shared" si="44"/>
        <v>0.42639876082622286</v>
      </c>
      <c r="J306" s="12">
        <f t="shared" si="45"/>
        <v>-3.697502437417767E-2</v>
      </c>
      <c r="M306" s="123">
        <f t="shared" si="46"/>
        <v>-0.5</v>
      </c>
    </row>
    <row r="307" spans="2:13" x14ac:dyDescent="0.3">
      <c r="B307" s="12">
        <v>0.42914857976759269</v>
      </c>
      <c r="C307" s="12">
        <f t="shared" si="38"/>
        <v>1.9952797794307347E-2</v>
      </c>
      <c r="D307" s="12">
        <f t="shared" si="39"/>
        <v>5.6818976594991147E-2</v>
      </c>
      <c r="E307" s="12">
        <f t="shared" si="40"/>
        <v>-3.2387310852880738E-3</v>
      </c>
      <c r="F307" s="12">
        <f t="shared" si="41"/>
        <v>-3.2387197612666857E-3</v>
      </c>
      <c r="G307" s="12">
        <f t="shared" si="42"/>
        <v>0.42933260018819769</v>
      </c>
      <c r="H307" s="12">
        <f t="shared" si="43"/>
        <v>7.6771476393751675E-2</v>
      </c>
      <c r="I307" s="12">
        <f t="shared" si="44"/>
        <v>0.42896455934698768</v>
      </c>
      <c r="J307" s="12">
        <f t="shared" si="45"/>
        <v>-3.6865880805136975E-2</v>
      </c>
      <c r="M307" s="123">
        <f t="shared" si="46"/>
        <v>-0.5</v>
      </c>
    </row>
    <row r="308" spans="2:13" x14ac:dyDescent="0.3">
      <c r="B308" s="12">
        <v>0.43173598827946269</v>
      </c>
      <c r="C308" s="12">
        <f t="shared" si="38"/>
        <v>1.9944045947106991E-2</v>
      </c>
      <c r="D308" s="12">
        <f t="shared" si="39"/>
        <v>5.6699791433858483E-2</v>
      </c>
      <c r="E308" s="12">
        <f t="shared" si="40"/>
        <v>-3.5262209199402967E-3</v>
      </c>
      <c r="F308" s="12">
        <f t="shared" si="41"/>
        <v>-3.5262063047640101E-3</v>
      </c>
      <c r="G308" s="12">
        <f t="shared" si="42"/>
        <v>0.43193592302715916</v>
      </c>
      <c r="H308" s="12">
        <f t="shared" si="43"/>
        <v>7.6643484875016279E-2</v>
      </c>
      <c r="I308" s="12">
        <f t="shared" si="44"/>
        <v>0.43153605353176622</v>
      </c>
      <c r="J308" s="12">
        <f t="shared" si="45"/>
        <v>-3.6755392980802298E-2</v>
      </c>
      <c r="M308" s="123">
        <f t="shared" si="46"/>
        <v>-0.5</v>
      </c>
    </row>
    <row r="309" spans="2:13" x14ac:dyDescent="0.3">
      <c r="B309" s="12">
        <v>0.43432902782932004</v>
      </c>
      <c r="C309" s="12">
        <f t="shared" si="38"/>
        <v>1.9934528769349653E-2</v>
      </c>
      <c r="D309" s="12">
        <f t="shared" si="39"/>
        <v>5.6578511544730849E-2</v>
      </c>
      <c r="E309" s="12">
        <f t="shared" si="40"/>
        <v>-3.8143364254800017E-3</v>
      </c>
      <c r="F309" s="12">
        <f t="shared" si="41"/>
        <v>-3.8143179271748237E-3</v>
      </c>
      <c r="G309" s="12">
        <f t="shared" si="42"/>
        <v>0.43454483573689812</v>
      </c>
      <c r="H309" s="12">
        <f t="shared" si="43"/>
        <v>7.6512628733596141E-2</v>
      </c>
      <c r="I309" s="12">
        <f t="shared" si="44"/>
        <v>0.43411321992174196</v>
      </c>
      <c r="J309" s="12">
        <f t="shared" si="45"/>
        <v>-3.6643571194896835E-2</v>
      </c>
      <c r="M309" s="123">
        <f t="shared" si="46"/>
        <v>-0.5</v>
      </c>
    </row>
    <row r="310" spans="2:13" x14ac:dyDescent="0.3">
      <c r="B310" s="12">
        <v>0.43692767272223476</v>
      </c>
      <c r="C310" s="12">
        <f t="shared" si="38"/>
        <v>1.9924241499295531E-2</v>
      </c>
      <c r="D310" s="12">
        <f t="shared" si="39"/>
        <v>5.6455142488026709E-2</v>
      </c>
      <c r="E310" s="12">
        <f t="shared" si="40"/>
        <v>-4.1030747469149717E-3</v>
      </c>
      <c r="F310" s="12">
        <f t="shared" si="41"/>
        <v>-4.1030517217556179E-3</v>
      </c>
      <c r="G310" s="12">
        <f t="shared" si="42"/>
        <v>0.43715931044188283</v>
      </c>
      <c r="H310" s="12">
        <f t="shared" si="43"/>
        <v>7.6378908775883339E-2</v>
      </c>
      <c r="I310" s="12">
        <f t="shared" si="44"/>
        <v>0.43669603500258669</v>
      </c>
      <c r="J310" s="12">
        <f t="shared" si="45"/>
        <v>-3.6530425777292277E-2</v>
      </c>
      <c r="M310" s="123">
        <f t="shared" si="46"/>
        <v>-0.5</v>
      </c>
    </row>
    <row r="311" spans="2:13" x14ac:dyDescent="0.3">
      <c r="B311" s="12">
        <v>0.43953189720773167</v>
      </c>
      <c r="C311" s="12">
        <f t="shared" si="38"/>
        <v>1.991317939461985E-2</v>
      </c>
      <c r="D311" s="12">
        <f t="shared" si="39"/>
        <v>5.6329689876642719E-2</v>
      </c>
      <c r="E311" s="12">
        <f t="shared" si="40"/>
        <v>-4.3924330230812941E-3</v>
      </c>
      <c r="F311" s="12">
        <f t="shared" si="41"/>
        <v>-4.3924047749865063E-3</v>
      </c>
      <c r="G311" s="12">
        <f t="shared" si="42"/>
        <v>0.43977931921092306</v>
      </c>
      <c r="H311" s="12">
        <f t="shared" si="43"/>
        <v>7.6242325881594797E-2</v>
      </c>
      <c r="I311" s="12">
        <f t="shared" si="44"/>
        <v>0.43928447520454028</v>
      </c>
      <c r="J311" s="12">
        <f t="shared" si="45"/>
        <v>-3.6415967092355103E-2</v>
      </c>
      <c r="M311" s="123">
        <f t="shared" si="46"/>
        <v>-0.5</v>
      </c>
    </row>
    <row r="312" spans="2:13" x14ac:dyDescent="0.3">
      <c r="B312" s="12">
        <v>0.4421416754800469</v>
      </c>
      <c r="C312" s="12">
        <f t="shared" si="38"/>
        <v>1.9901337732651913E-2</v>
      </c>
      <c r="D312" s="12">
        <f t="shared" si="39"/>
        <v>5.6202159374521603E-2</v>
      </c>
      <c r="E312" s="12">
        <f t="shared" si="40"/>
        <v>-4.6824083866718758E-3</v>
      </c>
      <c r="F312" s="12">
        <f t="shared" si="41"/>
        <v>-4.6823741666014405E-3</v>
      </c>
      <c r="G312" s="12">
        <f t="shared" si="42"/>
        <v>0.44240483405759795</v>
      </c>
      <c r="H312" s="12">
        <f t="shared" si="43"/>
        <v>7.6102881002585235E-2</v>
      </c>
      <c r="I312" s="12">
        <f t="shared" si="44"/>
        <v>0.44187851690249585</v>
      </c>
      <c r="J312" s="12">
        <f t="shared" si="45"/>
        <v>-3.6300205537281416E-2</v>
      </c>
      <c r="M312" s="123">
        <f t="shared" si="46"/>
        <v>-0.5</v>
      </c>
    </row>
    <row r="313" spans="2:13" x14ac:dyDescent="0.3">
      <c r="B313" s="12">
        <v>0.44475698167838285</v>
      </c>
      <c r="C313" s="12">
        <f t="shared" si="38"/>
        <v>1.9888711810613382E-2</v>
      </c>
      <c r="D313" s="12">
        <f t="shared" si="39"/>
        <v>5.6072556695209254E-2</v>
      </c>
      <c r="E313" s="12">
        <f t="shared" si="40"/>
        <v>-4.9729979642647582E-3</v>
      </c>
      <c r="F313" s="12">
        <f t="shared" si="41"/>
        <v>-4.9729569696182916E-3</v>
      </c>
      <c r="G313" s="12">
        <f t="shared" si="42"/>
        <v>0.44503582694068006</v>
      </c>
      <c r="H313" s="12">
        <f t="shared" si="43"/>
        <v>7.5960575161648461E-2</v>
      </c>
      <c r="I313" s="12">
        <f t="shared" si="44"/>
        <v>0.44447813641608563</v>
      </c>
      <c r="J313" s="12">
        <f t="shared" si="45"/>
        <v>-3.618315154042169E-2</v>
      </c>
      <c r="M313" s="123">
        <f t="shared" si="46"/>
        <v>-0.5</v>
      </c>
    </row>
    <row r="314" spans="2:13" x14ac:dyDescent="0.3">
      <c r="B314" s="12">
        <v>0.44737778988716459</v>
      </c>
      <c r="C314" s="12">
        <f t="shared" si="38"/>
        <v>1.9875296945855981E-2</v>
      </c>
      <c r="D314" s="12">
        <f t="shared" si="39"/>
        <v>5.5940887600400592E-2</v>
      </c>
      <c r="E314" s="12">
        <f t="shared" si="40"/>
        <v>-5.2641988763516192E-3</v>
      </c>
      <c r="F314" s="12">
        <f t="shared" si="41"/>
        <v>-5.264150250369198E-3</v>
      </c>
      <c r="G314" s="12">
        <f t="shared" si="42"/>
        <v>0.44767226976455876</v>
      </c>
      <c r="H314" s="12">
        <f t="shared" si="43"/>
        <v>7.5815409451306506E-2</v>
      </c>
      <c r="I314" s="12">
        <f t="shared" si="44"/>
        <v>0.44708331000977042</v>
      </c>
      <c r="J314" s="12">
        <f t="shared" si="45"/>
        <v>-3.6064815559594551E-2</v>
      </c>
      <c r="M314" s="123">
        <f t="shared" si="46"/>
        <v>-0.5</v>
      </c>
    </row>
    <row r="315" spans="2:13" x14ac:dyDescent="0.3">
      <c r="B315" s="12">
        <v>0.45000407413629695</v>
      </c>
      <c r="C315" s="12">
        <f t="shared" si="38"/>
        <v>1.9861088476098434E-2</v>
      </c>
      <c r="D315" s="12">
        <f t="shared" si="39"/>
        <v>5.5807157898474999E-2</v>
      </c>
      <c r="E315" s="12">
        <f t="shared" si="40"/>
        <v>-5.5560082373663257E-3</v>
      </c>
      <c r="F315" s="12">
        <f t="shared" si="41"/>
        <v>-5.5559510685310237E-3</v>
      </c>
      <c r="G315" s="12">
        <f t="shared" si="42"/>
        <v>0.45031413437966172</v>
      </c>
      <c r="H315" s="12">
        <f t="shared" si="43"/>
        <v>7.5667385032587506E-2</v>
      </c>
      <c r="I315" s="12">
        <f t="shared" si="44"/>
        <v>0.44969401389293218</v>
      </c>
      <c r="J315" s="12">
        <f t="shared" si="45"/>
        <v>-3.5945208080390645E-2</v>
      </c>
      <c r="M315" s="123">
        <f t="shared" si="46"/>
        <v>-0.5</v>
      </c>
    </row>
    <row r="316" spans="2:13" x14ac:dyDescent="0.3">
      <c r="B316" s="12">
        <v>0.45263580840142115</v>
      </c>
      <c r="C316" s="12">
        <f t="shared" si="38"/>
        <v>1.9846081759662716E-2</v>
      </c>
      <c r="D316" s="12">
        <f t="shared" si="39"/>
        <v>5.5671373443021199E-2</v>
      </c>
      <c r="E316" s="12">
        <f t="shared" si="40"/>
        <v>-5.8484231557134588E-3</v>
      </c>
      <c r="F316" s="12">
        <f t="shared" si="41"/>
        <v>-5.8483564771558685E-3</v>
      </c>
      <c r="G316" s="12">
        <f t="shared" si="42"/>
        <v>0.45296139258287393</v>
      </c>
      <c r="H316" s="12">
        <f t="shared" si="43"/>
        <v>7.5516503133792018E-2</v>
      </c>
      <c r="I316" s="12">
        <f t="shared" si="44"/>
        <v>0.45231022421996836</v>
      </c>
      <c r="J316" s="12">
        <f t="shared" si="45"/>
        <v>-3.5824339614466592E-2</v>
      </c>
      <c r="M316" s="123">
        <f t="shared" si="46"/>
        <v>-0.5</v>
      </c>
    </row>
    <row r="317" spans="2:13" x14ac:dyDescent="0.3">
      <c r="B317" s="12">
        <v>0.45527296660417349</v>
      </c>
      <c r="C317" s="12">
        <f t="shared" si="38"/>
        <v>1.9830272175709665E-2</v>
      </c>
      <c r="D317" s="12">
        <f t="shared" si="39"/>
        <v>5.5533540131352359E-2</v>
      </c>
      <c r="E317" s="12">
        <f t="shared" si="40"/>
        <v>-6.1414407337970524E-3</v>
      </c>
      <c r="F317" s="12">
        <f t="shared" si="41"/>
        <v>-6.1413635227018605E-3</v>
      </c>
      <c r="G317" s="12">
        <f t="shared" si="42"/>
        <v>0.45561401611795632</v>
      </c>
      <c r="H317" s="12">
        <f t="shared" si="43"/>
        <v>7.536276504924877E-2</v>
      </c>
      <c r="I317" s="12">
        <f t="shared" si="44"/>
        <v>0.45493191709039066</v>
      </c>
      <c r="J317" s="12">
        <f t="shared" si="45"/>
        <v>-3.570222069782944E-2</v>
      </c>
      <c r="M317" s="123">
        <f t="shared" si="46"/>
        <v>-0.5</v>
      </c>
    </row>
    <row r="318" spans="2:13" x14ac:dyDescent="0.3">
      <c r="B318" s="12">
        <v>0.45791552261244328</v>
      </c>
      <c r="C318" s="12">
        <f t="shared" si="38"/>
        <v>1.9813655124473754E-2</v>
      </c>
      <c r="D318" s="12">
        <f t="shared" si="39"/>
        <v>5.5393663903010835E-2</v>
      </c>
      <c r="E318" s="12">
        <f t="shared" si="40"/>
        <v>-6.4350580680492516E-3</v>
      </c>
      <c r="F318" s="12">
        <f t="shared" si="41"/>
        <v>-6.4349692450639357E-3</v>
      </c>
      <c r="G318" s="12">
        <f t="shared" si="42"/>
        <v>0.45827197667596109</v>
      </c>
      <c r="H318" s="12">
        <f t="shared" si="43"/>
        <v>7.5206172138058969E-2</v>
      </c>
      <c r="I318" s="12">
        <f t="shared" si="44"/>
        <v>0.45755906854892547</v>
      </c>
      <c r="J318" s="12">
        <f t="shared" si="45"/>
        <v>-3.5578861889111468E-2</v>
      </c>
      <c r="M318" s="123">
        <f t="shared" si="46"/>
        <v>-0.5</v>
      </c>
    </row>
    <row r="319" spans="2:13" x14ac:dyDescent="0.3">
      <c r="B319" s="12">
        <v>0.46056345024063217</v>
      </c>
      <c r="C319" s="12">
        <f t="shared" si="38"/>
        <v>1.9796226027497251E-2</v>
      </c>
      <c r="D319" s="12">
        <f t="shared" si="39"/>
        <v>5.5251750738264001E-2</v>
      </c>
      <c r="E319" s="12">
        <f t="shared" si="40"/>
        <v>-6.7292722489591273E-3</v>
      </c>
      <c r="F319" s="12">
        <f t="shared" si="41"/>
        <v>-6.7291706776048503E-3</v>
      </c>
      <c r="G319" s="12">
        <f t="shared" si="42"/>
        <v>0.46093524589564605</v>
      </c>
      <c r="H319" s="12">
        <f t="shared" si="43"/>
        <v>7.5046725822830951E-2</v>
      </c>
      <c r="I319" s="12">
        <f t="shared" si="44"/>
        <v>0.46019165458561828</v>
      </c>
      <c r="J319" s="12">
        <f t="shared" si="45"/>
        <v>-3.5454273767836442E-2</v>
      </c>
      <c r="M319" s="123">
        <f t="shared" si="46"/>
        <v>-0.5</v>
      </c>
    </row>
    <row r="320" spans="2:13" x14ac:dyDescent="0.3">
      <c r="B320" s="12">
        <v>0.46321672324991292</v>
      </c>
      <c r="C320" s="12">
        <f t="shared" si="38"/>
        <v>1.9777980327863549E-2</v>
      </c>
      <c r="D320" s="12">
        <f t="shared" si="39"/>
        <v>5.510780665659027E-2</v>
      </c>
      <c r="E320" s="12">
        <f t="shared" si="40"/>
        <v>-7.0240803611014337E-3</v>
      </c>
      <c r="F320" s="12">
        <f t="shared" si="41"/>
        <v>-7.0239648471862011E-3</v>
      </c>
      <c r="G320" s="12">
        <f t="shared" si="42"/>
        <v>0.46360379536388574</v>
      </c>
      <c r="H320" s="12">
        <f t="shared" si="43"/>
        <v>7.488442758840394E-2</v>
      </c>
      <c r="I320" s="12">
        <f t="shared" si="44"/>
        <v>0.4628296511359401</v>
      </c>
      <c r="J320" s="12">
        <f t="shared" si="45"/>
        <v>-3.5328466932676841E-2</v>
      </c>
      <c r="M320" s="123">
        <f t="shared" si="46"/>
        <v>-0.5</v>
      </c>
    </row>
    <row r="321" spans="2:13" x14ac:dyDescent="0.3">
      <c r="B321" s="12">
        <v>0.46587531534849058</v>
      </c>
      <c r="C321" s="12">
        <f t="shared" si="38"/>
        <v>1.9758913490429832E-2</v>
      </c>
      <c r="D321" s="12">
        <f t="shared" si="39"/>
        <v>5.4961837715156558E-2</v>
      </c>
      <c r="E321" s="12">
        <f t="shared" si="40"/>
        <v>-7.319479483165618E-3</v>
      </c>
      <c r="F321" s="12">
        <f t="shared" si="41"/>
        <v>-7.3193487741997727E-3</v>
      </c>
      <c r="G321" s="12">
        <f t="shared" si="42"/>
        <v>0.46627759661608287</v>
      </c>
      <c r="H321" s="12">
        <f t="shared" si="43"/>
        <v>7.4719278980562354E-2</v>
      </c>
      <c r="I321" s="12">
        <f t="shared" si="44"/>
        <v>0.4654730340808983</v>
      </c>
      <c r="J321" s="12">
        <f t="shared" si="45"/>
        <v>-3.520145199970269E-2</v>
      </c>
      <c r="M321" s="123">
        <f t="shared" si="46"/>
        <v>-0.5</v>
      </c>
    </row>
    <row r="322" spans="2:13" x14ac:dyDescent="0.3">
      <c r="B322" s="12">
        <v>0.46853920019186157</v>
      </c>
      <c r="C322" s="12">
        <f t="shared" ref="C322:C385" si="47">IF($A$1=0, 0, IF(B322&lt;=$A$2, ($A$1/$A$2^2)*(2*$A$2*B322-B322^2), ($A$1/(1-$A$2)^2)*((1-2*$A$2)+2*$A$2*B322-B322^2)))</f>
        <v>1.9739021002058883E-2</v>
      </c>
      <c r="D322" s="12">
        <f t="shared" ref="D322:D385" si="48">IF($Q$3, 5*$A$3*(0.2969*SQRT(B322)-0.126*B322-0.3516*B322^2+0.2843*B322^3-0.1036*B322^4), 5*$A$3*(0.2969*SQRT(B322)-0.126*B322-0.3516*B322^2+0.2843*B322^3-0.1015*B322^4))</f>
        <v>5.4813850007286766E-2</v>
      </c>
      <c r="E322" s="12">
        <f t="shared" ref="E322:E385" si="49">IF($A$1=0, 0, IF(B322&lt;=$A$2, ($A$1/$A$2^2) *(2*$A$2-2*B322), ($A$1/(1-$A$2)^2)*(2*$A$2-2*B322)))</f>
        <v>-7.6154666879846167E-3</v>
      </c>
      <c r="F322" s="12">
        <f t="shared" ref="F322:F385" si="50">IF($A$1=0, 0,  ATAN(E322))</f>
        <v>-7.6153194725987411E-3</v>
      </c>
      <c r="G322" s="12">
        <f t="shared" ref="G322:G385" si="51">B322-D322*SIN(F322)</f>
        <v>0.46895662113657444</v>
      </c>
      <c r="H322" s="12">
        <f t="shared" ref="H322:H385" si="52">C322+D322*COS(F322)</f>
        <v>7.4551281604740172E-2</v>
      </c>
      <c r="I322" s="12">
        <f t="shared" ref="I322:I385" si="53">B322+D322*SIN(F322)</f>
        <v>0.46812177924714871</v>
      </c>
      <c r="J322" s="12">
        <f t="shared" ref="J322:J385" si="54">C322-D322*COS(F322)</f>
        <v>-3.5073239600622398E-2</v>
      </c>
      <c r="M322" s="123">
        <f t="shared" ref="M322:M385" si="55">IF($Q$1,  C322, -0.5)</f>
        <v>-0.5</v>
      </c>
    </row>
    <row r="323" spans="2:13" x14ac:dyDescent="0.3">
      <c r="B323" s="12">
        <v>0.47120835138307604</v>
      </c>
      <c r="C323" s="12">
        <f t="shared" si="47"/>
        <v>1.9718298371850247E-2</v>
      </c>
      <c r="D323" s="12">
        <f t="shared" si="48"/>
        <v>5.466384966092195E-2</v>
      </c>
      <c r="E323" s="12">
        <f t="shared" si="49"/>
        <v>-7.9120390425640019E-3</v>
      </c>
      <c r="F323" s="12">
        <f t="shared" si="50"/>
        <v>-7.9118739499292965E-3</v>
      </c>
      <c r="G323" s="12">
        <f t="shared" si="51"/>
        <v>0.47164084035903875</v>
      </c>
      <c r="H323" s="12">
        <f t="shared" si="52"/>
        <v>7.4380437124715995E-2</v>
      </c>
      <c r="I323" s="12">
        <f t="shared" si="53"/>
        <v>0.47077586240711333</v>
      </c>
      <c r="J323" s="12">
        <f t="shared" si="54"/>
        <v>-3.4943840381015501E-2</v>
      </c>
      <c r="M323" s="123">
        <f t="shared" si="55"/>
        <v>-0.5</v>
      </c>
    </row>
    <row r="324" spans="2:13" x14ac:dyDescent="0.3">
      <c r="B324" s="12">
        <v>0.47388274247299855</v>
      </c>
      <c r="C324" s="12">
        <f t="shared" si="47"/>
        <v>1.9696741131370477E-2</v>
      </c>
      <c r="D324" s="12">
        <f t="shared" si="48"/>
        <v>5.4511842837072409E-2</v>
      </c>
      <c r="E324" s="12">
        <f t="shared" si="49"/>
        <v>-8.2091936081109488E-3</v>
      </c>
      <c r="F324" s="12">
        <f t="shared" si="50"/>
        <v>-8.2090092073621602E-3</v>
      </c>
      <c r="G324" s="12">
        <f t="shared" si="51"/>
        <v>0.47433022566689848</v>
      </c>
      <c r="H324" s="12">
        <f t="shared" si="52"/>
        <v>7.4206747261299139E-2</v>
      </c>
      <c r="I324" s="12">
        <f t="shared" si="53"/>
        <v>0.47343525927909863</v>
      </c>
      <c r="J324" s="12">
        <f t="shared" si="54"/>
        <v>-3.4813264998558177E-2</v>
      </c>
      <c r="M324" s="123">
        <f t="shared" si="55"/>
        <v>-0.5</v>
      </c>
    </row>
    <row r="325" spans="2:13" x14ac:dyDescent="0.3">
      <c r="B325" s="12">
        <v>0.47656234696057043</v>
      </c>
      <c r="C325" s="12">
        <f t="shared" si="47"/>
        <v>1.9674344834882729E-2</v>
      </c>
      <c r="D325" s="12">
        <f t="shared" si="48"/>
        <v>5.4357835728261999E-2</v>
      </c>
      <c r="E325" s="12">
        <f t="shared" si="49"/>
        <v>-8.506927440063379E-3</v>
      </c>
      <c r="F325" s="12">
        <f t="shared" si="50"/>
        <v>-8.5067222397243458E-3</v>
      </c>
      <c r="G325" s="12">
        <f t="shared" si="51"/>
        <v>0.47702474839372178</v>
      </c>
      <c r="H325" s="12">
        <f t="shared" si="52"/>
        <v>7.4030213791006827E-2</v>
      </c>
      <c r="I325" s="12">
        <f t="shared" si="53"/>
        <v>0.47609994552741908</v>
      </c>
      <c r="J325" s="12">
        <f t="shared" si="54"/>
        <v>-3.4681524121241376E-2</v>
      </c>
      <c r="M325" s="123">
        <f t="shared" si="55"/>
        <v>-0.5</v>
      </c>
    </row>
    <row r="326" spans="2:13" x14ac:dyDescent="0.3">
      <c r="B326" s="12">
        <v>0.47924713829307297</v>
      </c>
      <c r="C326" s="12">
        <f t="shared" si="47"/>
        <v>1.9651105059575475E-2</v>
      </c>
      <c r="D326" s="12">
        <f t="shared" si="48"/>
        <v>5.420183455696459E-2</v>
      </c>
      <c r="E326" s="12">
        <f t="shared" si="49"/>
        <v>-8.805237588119217E-3</v>
      </c>
      <c r="F326" s="12">
        <f t="shared" si="50"/>
        <v>-8.8050100355311061E-3</v>
      </c>
      <c r="G326" s="12">
        <f t="shared" si="51"/>
        <v>0.47972437982362254</v>
      </c>
      <c r="H326" s="12">
        <f t="shared" si="52"/>
        <v>7.3850838544732761E-2</v>
      </c>
      <c r="I326" s="12">
        <f t="shared" si="53"/>
        <v>0.47876989676252341</v>
      </c>
      <c r="J326" s="12">
        <f t="shared" si="54"/>
        <v>-3.4548628425581804E-2</v>
      </c>
      <c r="M326" s="123">
        <f t="shared" si="55"/>
        <v>-0.5</v>
      </c>
    </row>
    <row r="327" spans="2:13" x14ac:dyDescent="0.3">
      <c r="B327" s="12">
        <v>0.48193708986638928</v>
      </c>
      <c r="C327" s="12">
        <f t="shared" si="47"/>
        <v>1.9627017405790408E-2</v>
      </c>
      <c r="D327" s="12">
        <f t="shared" si="48"/>
        <v>5.4043845574033703E-2</v>
      </c>
      <c r="E327" s="12">
        <f t="shared" si="49"/>
        <v>-9.1041210962654728E-3</v>
      </c>
      <c r="F327" s="12">
        <f t="shared" si="50"/>
        <v>-9.1038695770177726E-3</v>
      </c>
      <c r="G327" s="12">
        <f t="shared" si="51"/>
        <v>0.48242909119165556</v>
      </c>
      <c r="H327" s="12">
        <f t="shared" si="52"/>
        <v>7.3668623406407549E-2</v>
      </c>
      <c r="I327" s="12">
        <f t="shared" si="53"/>
        <v>0.481445088541123</v>
      </c>
      <c r="J327" s="12">
        <f t="shared" si="54"/>
        <v>-3.4414588594826725E-2</v>
      </c>
      <c r="M327" s="123">
        <f t="shared" si="55"/>
        <v>-0.5</v>
      </c>
    </row>
    <row r="328" spans="2:13" x14ac:dyDescent="0.3">
      <c r="B328" s="12">
        <v>0.48463217502526945</v>
      </c>
      <c r="C328" s="12">
        <f t="shared" si="47"/>
        <v>1.960207749724956E-2</v>
      </c>
      <c r="D328" s="12">
        <f t="shared" si="48"/>
        <v>5.38838750571249E-2</v>
      </c>
      <c r="E328" s="12">
        <f t="shared" si="49"/>
        <v>-9.403575002807715E-3</v>
      </c>
      <c r="F328" s="12">
        <f t="shared" si="50"/>
        <v>-9.4032978401720653E-3</v>
      </c>
      <c r="G328" s="12">
        <f t="shared" si="51"/>
        <v>0.48513885368421295</v>
      </c>
      <c r="H328" s="12">
        <f t="shared" si="52"/>
        <v>7.3483570311651217E-2</v>
      </c>
      <c r="I328" s="12">
        <f t="shared" si="53"/>
        <v>0.48412549636632596</v>
      </c>
      <c r="J328" s="12">
        <f t="shared" si="54"/>
        <v>-3.4279415317152104E-2</v>
      </c>
      <c r="M328" s="123">
        <f t="shared" si="55"/>
        <v>-0.5</v>
      </c>
    </row>
    <row r="329" spans="2:13" x14ac:dyDescent="0.3">
      <c r="B329" s="12">
        <v>0.48733236706359295</v>
      </c>
      <c r="C329" s="12">
        <f t="shared" si="47"/>
        <v>1.9576280981281658E-2</v>
      </c>
      <c r="D329" s="12">
        <f t="shared" si="48"/>
        <v>5.3721929309111717E-2</v>
      </c>
      <c r="E329" s="12">
        <f t="shared" si="49"/>
        <v>-9.7035963403992159E-3</v>
      </c>
      <c r="F329" s="12">
        <f t="shared" si="50"/>
        <v>-9.7032917947661272E-3</v>
      </c>
      <c r="G329" s="12">
        <f t="shared" si="51"/>
        <v>0.48785363843941415</v>
      </c>
      <c r="H329" s="12">
        <f t="shared" si="52"/>
        <v>7.3295681246418137E-2</v>
      </c>
      <c r="I329" s="12">
        <f t="shared" si="53"/>
        <v>0.48681109568777176</v>
      </c>
      <c r="J329" s="12">
        <f t="shared" si="54"/>
        <v>-3.4143119283854828E-2</v>
      </c>
      <c r="M329" s="123">
        <f t="shared" si="55"/>
        <v>-0.5</v>
      </c>
    </row>
    <row r="330" spans="2:13" x14ac:dyDescent="0.3">
      <c r="B330" s="12">
        <v>0.49003763922463506</v>
      </c>
      <c r="C330" s="12">
        <f t="shared" si="47"/>
        <v>1.9549623529047464E-2</v>
      </c>
      <c r="D330" s="12">
        <f t="shared" si="48"/>
        <v>5.3558014656495068E-2</v>
      </c>
      <c r="E330" s="12">
        <f t="shared" si="49"/>
        <v>-1.000418213607056E-2</v>
      </c>
      <c r="F330" s="12">
        <f t="shared" si="50"/>
        <v>-1.0003848404389115E-2</v>
      </c>
      <c r="G330" s="12">
        <f t="shared" si="51"/>
        <v>0.49057341654749803</v>
      </c>
      <c r="H330" s="12">
        <f t="shared" si="52"/>
        <v>7.3104958245634261E-2</v>
      </c>
      <c r="I330" s="12">
        <f t="shared" si="53"/>
        <v>0.48950186190177208</v>
      </c>
      <c r="J330" s="12">
        <f t="shared" si="54"/>
        <v>-3.4005711187539325E-2</v>
      </c>
      <c r="M330" s="123">
        <f t="shared" si="55"/>
        <v>-0.5</v>
      </c>
    </row>
    <row r="331" spans="2:13" x14ac:dyDescent="0.3">
      <c r="B331" s="12">
        <v>0.49274796470133042</v>
      </c>
      <c r="C331" s="12">
        <f t="shared" si="47"/>
        <v>1.9522100835764489E-2</v>
      </c>
      <c r="D331" s="12">
        <f t="shared" si="48"/>
        <v>5.3392137447806728E-2</v>
      </c>
      <c r="E331" s="12">
        <f t="shared" si="49"/>
        <v>-1.0305329411258933E-2</v>
      </c>
      <c r="F331" s="12">
        <f t="shared" si="50"/>
        <v>-1.0304964626479526E-2</v>
      </c>
      <c r="G331" s="12">
        <f t="shared" si="51"/>
        <v>0.493298159051208</v>
      </c>
      <c r="H331" s="12">
        <f t="shared" si="52"/>
        <v>7.2911403391827612E-2</v>
      </c>
      <c r="I331" s="12">
        <f t="shared" si="53"/>
        <v>0.49219777035145285</v>
      </c>
      <c r="J331" s="12">
        <f t="shared" si="54"/>
        <v>-3.386720172029864E-2</v>
      </c>
      <c r="M331" s="123">
        <f t="shared" si="55"/>
        <v>-0.5</v>
      </c>
    </row>
    <row r="332" spans="2:13" x14ac:dyDescent="0.3">
      <c r="B332" s="12">
        <v>0.4954633166365402</v>
      </c>
      <c r="C332" s="12">
        <f t="shared" si="47"/>
        <v>1.9493708620930646E-2</v>
      </c>
      <c r="D332" s="12">
        <f t="shared" si="48"/>
        <v>5.3224304052006975E-2</v>
      </c>
      <c r="E332" s="12">
        <f t="shared" si="49"/>
        <v>-1.0607035181837797E-2</v>
      </c>
      <c r="F332" s="12">
        <f t="shared" si="50"/>
        <v>-1.0606637412357971E-2</v>
      </c>
      <c r="G332" s="12">
        <f t="shared" si="51"/>
        <v>0.49602783694617897</v>
      </c>
      <c r="H332" s="12">
        <f t="shared" si="52"/>
        <v>7.2715018813751822E-2</v>
      </c>
      <c r="I332" s="12">
        <f t="shared" si="53"/>
        <v>0.49489879632690142</v>
      </c>
      <c r="J332" s="12">
        <f t="shared" si="54"/>
        <v>-3.3727601571890531E-2</v>
      </c>
      <c r="M332" s="123">
        <f t="shared" si="55"/>
        <v>-0.5</v>
      </c>
    </row>
    <row r="333" spans="2:13" x14ac:dyDescent="0.3">
      <c r="B333" s="12">
        <v>0.4981836681233166</v>
      </c>
      <c r="C333" s="12">
        <f t="shared" si="47"/>
        <v>1.9464442628547247E-2</v>
      </c>
      <c r="D333" s="12">
        <f t="shared" si="48"/>
        <v>5.3054520856876917E-2</v>
      </c>
      <c r="E333" s="12">
        <f t="shared" si="49"/>
        <v>-1.0909296458146287E-2</v>
      </c>
      <c r="F333" s="12">
        <f t="shared" si="50"/>
        <v>-1.0908863707259775E-2</v>
      </c>
      <c r="G333" s="12">
        <f t="shared" si="51"/>
        <v>0.49876242118131753</v>
      </c>
      <c r="H333" s="12">
        <f t="shared" si="52"/>
        <v>7.2515806685003348E-2</v>
      </c>
      <c r="I333" s="12">
        <f t="shared" si="53"/>
        <v>0.49760491506531568</v>
      </c>
      <c r="J333" s="12">
        <f t="shared" si="54"/>
        <v>-3.3586921427908853E-2</v>
      </c>
      <c r="M333" s="123">
        <f t="shared" si="55"/>
        <v>-0.5</v>
      </c>
    </row>
    <row r="334" spans="2:13" x14ac:dyDescent="0.3">
      <c r="B334" s="12">
        <v>0.50090899220517071</v>
      </c>
      <c r="C334" s="12">
        <f t="shared" si="47"/>
        <v>1.9434298627340932E-2</v>
      </c>
      <c r="D334" s="12">
        <f t="shared" si="48"/>
        <v>5.2882794267405581E-2</v>
      </c>
      <c r="E334" s="12">
        <f t="shared" si="49"/>
        <v>-1.1212110245018966E-2</v>
      </c>
      <c r="F334" s="12">
        <f t="shared" si="50"/>
        <v>-1.1211640450367957E-2</v>
      </c>
      <c r="G334" s="12">
        <f t="shared" si="51"/>
        <v>0.50150188265918338</v>
      </c>
      <c r="H334" s="12">
        <f t="shared" si="52"/>
        <v>7.2313769222632301E-2</v>
      </c>
      <c r="I334" s="12">
        <f t="shared" si="53"/>
        <v>0.50031610175115804</v>
      </c>
      <c r="J334" s="12">
        <f t="shared" si="54"/>
        <v>-3.3445171967950445E-2</v>
      </c>
      <c r="M334" s="123">
        <f t="shared" si="55"/>
        <v>-0.5</v>
      </c>
    </row>
    <row r="335" spans="2:13" x14ac:dyDescent="0.3">
      <c r="B335" s="12">
        <v>0.50363926187633923</v>
      </c>
      <c r="C335" s="12">
        <f t="shared" si="47"/>
        <v>1.9403272410984867E-2</v>
      </c>
      <c r="D335" s="12">
        <f t="shared" si="48"/>
        <v>5.27091307041722E-2</v>
      </c>
      <c r="E335" s="12">
        <f t="shared" si="49"/>
        <v>-1.1515473541815468E-2</v>
      </c>
      <c r="F335" s="12">
        <f t="shared" si="50"/>
        <v>-1.1514964574846215E-2</v>
      </c>
      <c r="G335" s="12">
        <f t="shared" si="51"/>
        <v>0.5042461922363658</v>
      </c>
      <c r="H335" s="12">
        <f t="shared" si="52"/>
        <v>7.2108908685747611E-2</v>
      </c>
      <c r="I335" s="12">
        <f t="shared" si="53"/>
        <v>0.50303233151631266</v>
      </c>
      <c r="J335" s="12">
        <f t="shared" si="54"/>
        <v>-3.330236386377787E-2</v>
      </c>
      <c r="M335" s="123">
        <f t="shared" si="55"/>
        <v>-0.5</v>
      </c>
    </row>
    <row r="336" spans="2:13" x14ac:dyDescent="0.3">
      <c r="B336" s="12">
        <v>0.50637445008205195</v>
      </c>
      <c r="C336" s="12">
        <f t="shared" si="47"/>
        <v>1.937135979831894E-2</v>
      </c>
      <c r="D336" s="12">
        <f t="shared" si="48"/>
        <v>5.2533536601723795E-2</v>
      </c>
      <c r="E336" s="12">
        <f t="shared" si="49"/>
        <v>-1.1819383342450215E-2</v>
      </c>
      <c r="F336" s="12">
        <f t="shared" si="50"/>
        <v>-1.1818833007872016E-2</v>
      </c>
      <c r="G336" s="12">
        <f t="shared" si="51"/>
        <v>0.50699532072385844</v>
      </c>
      <c r="H336" s="12">
        <f t="shared" si="52"/>
        <v>7.1901227374116194E-2</v>
      </c>
      <c r="I336" s="12">
        <f t="shared" si="53"/>
        <v>0.50575357944024546</v>
      </c>
      <c r="J336" s="12">
        <f t="shared" si="54"/>
        <v>-3.3158507777478322E-2</v>
      </c>
      <c r="M336" s="123">
        <f t="shared" si="55"/>
        <v>-0.5</v>
      </c>
    </row>
    <row r="337" spans="2:13" x14ac:dyDescent="0.3">
      <c r="B337" s="12">
        <v>0.50911452971880011</v>
      </c>
      <c r="C337" s="12">
        <f t="shared" si="47"/>
        <v>1.9338556633569173E-2</v>
      </c>
      <c r="D337" s="12">
        <f t="shared" si="48"/>
        <v>5.2356018406949117E-2</v>
      </c>
      <c r="E337" s="12">
        <f t="shared" si="49"/>
        <v>-1.2123836635422233E-2</v>
      </c>
      <c r="F337" s="12">
        <f t="shared" si="50"/>
        <v>-1.2123242670669878E-2</v>
      </c>
      <c r="G337" s="12">
        <f t="shared" si="51"/>
        <v>0.50974923888743118</v>
      </c>
      <c r="H337" s="12">
        <f t="shared" si="52"/>
        <v>7.1690727626757697E-2</v>
      </c>
      <c r="I337" s="12">
        <f t="shared" si="53"/>
        <v>0.50847982055016905</v>
      </c>
      <c r="J337" s="12">
        <f t="shared" si="54"/>
        <v>-3.3013614359619359E-2</v>
      </c>
      <c r="M337" s="123">
        <f t="shared" si="55"/>
        <v>-0.5</v>
      </c>
    </row>
    <row r="338" spans="2:13" x14ac:dyDescent="0.3">
      <c r="B338" s="12">
        <v>0.51185947363460449</v>
      </c>
      <c r="C338" s="12">
        <f t="shared" si="47"/>
        <v>1.9304858786566067E-2</v>
      </c>
      <c r="D338" s="12">
        <f t="shared" si="48"/>
        <v>5.2176582577447915E-2</v>
      </c>
      <c r="E338" s="12">
        <f t="shared" si="49"/>
        <v>-1.2428830403844942E-2</v>
      </c>
      <c r="F338" s="12">
        <f t="shared" si="50"/>
        <v>-1.2428190478544689E-2</v>
      </c>
      <c r="G338" s="12">
        <f t="shared" si="51"/>
        <v>0.51250791744799928</v>
      </c>
      <c r="H338" s="12">
        <f t="shared" si="52"/>
        <v>7.1477411820533174E-2</v>
      </c>
      <c r="I338" s="12">
        <f t="shared" si="53"/>
        <v>0.51121102982120969</v>
      </c>
      <c r="J338" s="12">
        <f t="shared" si="54"/>
        <v>-3.2867694247401047E-2</v>
      </c>
      <c r="M338" s="123">
        <f t="shared" si="55"/>
        <v>-0.5</v>
      </c>
    </row>
    <row r="339" spans="2:13" x14ac:dyDescent="0.3">
      <c r="B339" s="12">
        <v>0.51460925462928531</v>
      </c>
      <c r="C339" s="12">
        <f t="shared" si="47"/>
        <v>1.9270262152962205E-2</v>
      </c>
      <c r="D339" s="12">
        <f t="shared" si="48"/>
        <v>5.1995235579897173E-2</v>
      </c>
      <c r="E339" s="12">
        <f t="shared" si="49"/>
        <v>-1.2734361625476144E-2</v>
      </c>
      <c r="F339" s="12">
        <f t="shared" si="50"/>
        <v>-1.2733673340915285E-2</v>
      </c>
      <c r="G339" s="12">
        <f t="shared" si="51"/>
        <v>0.5152713270819903</v>
      </c>
      <c r="H339" s="12">
        <f t="shared" si="52"/>
        <v>7.1261282368729986E-2</v>
      </c>
      <c r="I339" s="12">
        <f t="shared" si="53"/>
        <v>0.51394718217658031</v>
      </c>
      <c r="J339" s="12">
        <f t="shared" si="54"/>
        <v>-3.2720758062805583E-2</v>
      </c>
      <c r="M339" s="123">
        <f t="shared" si="55"/>
        <v>-0.5</v>
      </c>
    </row>
    <row r="340" spans="2:13" x14ac:dyDescent="0.3">
      <c r="B340" s="12">
        <v>0.51736384545473046</v>
      </c>
      <c r="C340" s="12">
        <f t="shared" si="47"/>
        <v>1.9234762654448786E-2</v>
      </c>
      <c r="D340" s="12">
        <f t="shared" si="48"/>
        <v>5.1811983888413939E-2</v>
      </c>
      <c r="E340" s="12">
        <f t="shared" si="49"/>
        <v>-1.3040427272747828E-2</v>
      </c>
      <c r="F340" s="12">
        <f t="shared" si="50"/>
        <v>-1.3039688161347927E-2</v>
      </c>
      <c r="G340" s="12">
        <f t="shared" si="51"/>
        <v>0.5180394384217073</v>
      </c>
      <c r="H340" s="12">
        <f t="shared" si="52"/>
        <v>7.104234171964191E-2</v>
      </c>
      <c r="I340" s="12">
        <f t="shared" si="53"/>
        <v>0.51668825248775363</v>
      </c>
      <c r="J340" s="12">
        <f t="shared" si="54"/>
        <v>-3.2572816410744346E-2</v>
      </c>
      <c r="M340" s="123">
        <f t="shared" si="55"/>
        <v>-0.5</v>
      </c>
    </row>
    <row r="341" spans="2:13" x14ac:dyDescent="0.3">
      <c r="B341" s="12">
        <v>0.52012321881516699</v>
      </c>
      <c r="C341" s="12">
        <f t="shared" si="47"/>
        <v>1.9198356238971304E-2</v>
      </c>
      <c r="D341" s="12">
        <f t="shared" si="48"/>
        <v>5.1626833982914989E-2</v>
      </c>
      <c r="E341" s="12">
        <f t="shared" si="49"/>
        <v>-1.3347024312796331E-2</v>
      </c>
      <c r="F341" s="12">
        <f t="shared" si="50"/>
        <v>-1.3346231837590192E-2</v>
      </c>
      <c r="G341" s="12">
        <f t="shared" si="51"/>
        <v>0.52081222205569044</v>
      </c>
      <c r="H341" s="12">
        <f t="shared" si="52"/>
        <v>7.0820592355145248E-2</v>
      </c>
      <c r="I341" s="12">
        <f t="shared" si="53"/>
        <v>0.51943421557464353</v>
      </c>
      <c r="J341" s="12">
        <f t="shared" si="54"/>
        <v>-3.2423879877202647E-2</v>
      </c>
      <c r="M341" s="123">
        <f t="shared" si="55"/>
        <v>-0.5</v>
      </c>
    </row>
    <row r="342" spans="2:13" x14ac:dyDescent="0.3">
      <c r="B342" s="12">
        <v>0.52288734736743059</v>
      </c>
      <c r="C342" s="12">
        <f t="shared" si="47"/>
        <v>1.9161038880944246E-2</v>
      </c>
      <c r="D342" s="12">
        <f t="shared" si="48"/>
        <v>5.1439792347474214E-2</v>
      </c>
      <c r="E342" s="12">
        <f t="shared" si="49"/>
        <v>-1.3654149707492286E-2</v>
      </c>
      <c r="F342" s="12">
        <f t="shared" si="50"/>
        <v>-1.3653301261604727E-2</v>
      </c>
      <c r="G342" s="12">
        <f t="shared" si="51"/>
        <v>0.52358964852907541</v>
      </c>
      <c r="H342" s="12">
        <f t="shared" si="52"/>
        <v>7.0596036789271399E-2</v>
      </c>
      <c r="I342" s="12">
        <f t="shared" si="53"/>
        <v>0.52218504620578576</v>
      </c>
      <c r="J342" s="12">
        <f t="shared" si="54"/>
        <v>-3.2273959027382906E-2</v>
      </c>
      <c r="M342" s="123">
        <f t="shared" si="55"/>
        <v>-0.5</v>
      </c>
    </row>
    <row r="343" spans="2:13" x14ac:dyDescent="0.3">
      <c r="B343" s="12">
        <v>0.52565620372123711</v>
      </c>
      <c r="C343" s="12">
        <f t="shared" si="47"/>
        <v>1.912280658146483E-2</v>
      </c>
      <c r="D343" s="12">
        <f t="shared" si="48"/>
        <v>5.1250865468677256E-2</v>
      </c>
      <c r="E343" s="12">
        <f t="shared" si="49"/>
        <v>-1.3961800413470789E-2</v>
      </c>
      <c r="F343" s="12">
        <f t="shared" si="50"/>
        <v>-1.3960893319603283E-2</v>
      </c>
      <c r="G343" s="12">
        <f t="shared" si="51"/>
        <v>0.52637168834394854</v>
      </c>
      <c r="H343" s="12">
        <f t="shared" si="52"/>
        <v>7.0368677566775617E-2</v>
      </c>
      <c r="I343" s="12">
        <f t="shared" si="53"/>
        <v>0.52494071909852569</v>
      </c>
      <c r="J343" s="12">
        <f t="shared" si="54"/>
        <v>-3.2123064403845963E-2</v>
      </c>
      <c r="M343" s="123">
        <f t="shared" si="55"/>
        <v>-0.5</v>
      </c>
    </row>
    <row r="344" spans="2:13" x14ac:dyDescent="0.3">
      <c r="B344" s="12">
        <v>0.52842976043945322</v>
      </c>
      <c r="C344" s="12">
        <f t="shared" si="47"/>
        <v>1.9083655368525819E-2</v>
      </c>
      <c r="D344" s="12">
        <f t="shared" si="48"/>
        <v>5.1060059833974651E-2</v>
      </c>
      <c r="E344" s="12">
        <f t="shared" si="49"/>
        <v>-1.4269973382161467E-2</v>
      </c>
      <c r="F344" s="12">
        <f t="shared" si="50"/>
        <v>-1.4269004892080729E-2</v>
      </c>
      <c r="G344" s="12">
        <f t="shared" si="51"/>
        <v>0.52915831195969876</v>
      </c>
      <c r="H344" s="12">
        <f t="shared" si="52"/>
        <v>7.0138517261703226E-2</v>
      </c>
      <c r="I344" s="12">
        <f t="shared" si="53"/>
        <v>0.52770120891920769</v>
      </c>
      <c r="J344" s="12">
        <f t="shared" si="54"/>
        <v>-3.1971206524651595E-2</v>
      </c>
      <c r="M344" s="123">
        <f t="shared" si="55"/>
        <v>-0.5</v>
      </c>
    </row>
    <row r="345" spans="2:13" x14ac:dyDescent="0.3">
      <c r="B345" s="12">
        <v>0.53120799003836905</v>
      </c>
      <c r="C345" s="12">
        <f t="shared" si="47"/>
        <v>1.9043581297227288E-2</v>
      </c>
      <c r="D345" s="12">
        <f t="shared" si="48"/>
        <v>5.0867381930032748E-2</v>
      </c>
      <c r="E345" s="12">
        <f t="shared" si="49"/>
        <v>-1.4578665559818781E-2</v>
      </c>
      <c r="F345" s="12">
        <f t="shared" si="50"/>
        <v>-1.4577632853849351E-2</v>
      </c>
      <c r="G345" s="12">
        <f t="shared" si="51"/>
        <v>0.53194948979336887</v>
      </c>
      <c r="H345" s="12">
        <f t="shared" si="52"/>
        <v>6.9905558475952437E-2</v>
      </c>
      <c r="I345" s="12">
        <f t="shared" si="53"/>
        <v>0.53046649028336923</v>
      </c>
      <c r="J345" s="12">
        <f t="shared" si="54"/>
        <v>-3.181839588149786E-2</v>
      </c>
      <c r="M345" s="123">
        <f t="shared" si="55"/>
        <v>-0.5</v>
      </c>
    </row>
    <row r="346" spans="2:13" x14ac:dyDescent="0.3">
      <c r="B346" s="12">
        <v>0.53399086498797033</v>
      </c>
      <c r="C346" s="12">
        <f t="shared" si="47"/>
        <v>1.9002580449987535E-2</v>
      </c>
      <c r="D346" s="12">
        <f t="shared" si="48"/>
        <v>5.0672838241083581E-2</v>
      </c>
      <c r="E346" s="12">
        <f t="shared" si="49"/>
        <v>-1.4887873887552257E-2</v>
      </c>
      <c r="F346" s="12">
        <f t="shared" si="50"/>
        <v>-1.4886774074073164E-2</v>
      </c>
      <c r="G346" s="12">
        <f t="shared" si="51"/>
        <v>0.53474519222000105</v>
      </c>
      <c r="H346" s="12">
        <f t="shared" si="52"/>
        <v>6.9669803837835026E-2</v>
      </c>
      <c r="I346" s="12">
        <f t="shared" si="53"/>
        <v>0.5332365377559396</v>
      </c>
      <c r="J346" s="12">
        <f t="shared" si="54"/>
        <v>-3.1664642937859949E-2</v>
      </c>
      <c r="M346" s="123">
        <f t="shared" si="55"/>
        <v>-0.5</v>
      </c>
    </row>
    <row r="347" spans="2:13" x14ac:dyDescent="0.3">
      <c r="B347" s="12">
        <v>0.53677835771221083</v>
      </c>
      <c r="C347" s="12">
        <f t="shared" si="47"/>
        <v>1.8960648936752807E-2</v>
      </c>
      <c r="D347" s="12">
        <f t="shared" si="48"/>
        <v>5.0476435247273646E-2</v>
      </c>
      <c r="E347" s="12">
        <f t="shared" si="49"/>
        <v>-1.5197595301356757E-2</v>
      </c>
      <c r="F347" s="12">
        <f t="shared" si="50"/>
        <v>-1.5196425416302332E-2</v>
      </c>
      <c r="G347" s="12">
        <f t="shared" si="51"/>
        <v>0.53754538957298148</v>
      </c>
      <c r="H347" s="12">
        <f t="shared" si="52"/>
        <v>6.9431256000634767E-2</v>
      </c>
      <c r="I347" s="12">
        <f t="shared" si="53"/>
        <v>0.53601132585144018</v>
      </c>
      <c r="J347" s="12">
        <f t="shared" si="54"/>
        <v>-3.1509958127129159E-2</v>
      </c>
      <c r="M347" s="123">
        <f t="shared" si="55"/>
        <v>-0.5</v>
      </c>
    </row>
    <row r="348" spans="2:13" x14ac:dyDescent="0.3">
      <c r="B348" s="12">
        <v>0.53957044058928638</v>
      </c>
      <c r="C348" s="12">
        <f t="shared" si="47"/>
        <v>1.8917782895206254E-2</v>
      </c>
      <c r="D348" s="12">
        <f t="shared" si="48"/>
        <v>5.0278179423011958E-2</v>
      </c>
      <c r="E348" s="12">
        <f t="shared" si="49"/>
        <v>-1.550782673214293E-2</v>
      </c>
      <c r="F348" s="12">
        <f t="shared" si="50"/>
        <v>-1.5506583738507811E-2</v>
      </c>
      <c r="G348" s="12">
        <f t="shared" si="51"/>
        <v>0.54035005214438159</v>
      </c>
      <c r="H348" s="12">
        <f t="shared" si="52"/>
        <v>6.9189917641164125E-2</v>
      </c>
      <c r="I348" s="12">
        <f t="shared" si="53"/>
        <v>0.53879082903419118</v>
      </c>
      <c r="J348" s="12">
        <f t="shared" si="54"/>
        <v>-3.1354351850751624E-2</v>
      </c>
      <c r="M348" s="123">
        <f t="shared" si="55"/>
        <v>-0.5</v>
      </c>
    </row>
    <row r="349" spans="2:13" x14ac:dyDescent="0.3">
      <c r="B349" s="12">
        <v>0.54236708595190763</v>
      </c>
      <c r="C349" s="12">
        <f t="shared" si="47"/>
        <v>1.8873978490975676E-2</v>
      </c>
      <c r="D349" s="12">
        <f t="shared" si="48"/>
        <v>5.0078077235317604E-2</v>
      </c>
      <c r="E349" s="12">
        <f t="shared" si="49"/>
        <v>-1.5818565105767513E-2</v>
      </c>
      <c r="F349" s="12">
        <f t="shared" si="50"/>
        <v>-1.5817245893115943E-2</v>
      </c>
      <c r="G349" s="12">
        <f t="shared" si="51"/>
        <v>0.54315915018529537</v>
      </c>
      <c r="H349" s="12">
        <f t="shared" si="52"/>
        <v>6.8945791458319125E-2</v>
      </c>
      <c r="I349" s="12">
        <f t="shared" si="53"/>
        <v>0.5415750217185199</v>
      </c>
      <c r="J349" s="12">
        <f t="shared" si="54"/>
        <v>-3.1197834476367772E-2</v>
      </c>
      <c r="M349" s="123">
        <f t="shared" si="55"/>
        <v>-0.5</v>
      </c>
    </row>
    <row r="350" spans="2:13" x14ac:dyDescent="0.3">
      <c r="B350" s="12">
        <v>0.54516826608757496</v>
      </c>
      <c r="C350" s="12">
        <f t="shared" si="47"/>
        <v>1.8829231917840392E-2</v>
      </c>
      <c r="D350" s="12">
        <f t="shared" si="48"/>
        <v>4.987613514216728E-2</v>
      </c>
      <c r="E350" s="12">
        <f t="shared" si="49"/>
        <v>-1.6129807343063882E-2</v>
      </c>
      <c r="F350" s="12">
        <f t="shared" si="50"/>
        <v>-1.6128408727043343E-2</v>
      </c>
      <c r="G350" s="12">
        <f t="shared" si="51"/>
        <v>0.545972653906175</v>
      </c>
      <c r="H350" s="12">
        <f t="shared" si="52"/>
        <v>6.8698880171633211E-2</v>
      </c>
      <c r="I350" s="12">
        <f t="shared" si="53"/>
        <v>0.54436387826897492</v>
      </c>
      <c r="J350" s="12">
        <f t="shared" si="54"/>
        <v>-3.104041633595243E-2</v>
      </c>
      <c r="M350" s="123">
        <f t="shared" si="55"/>
        <v>-0.5</v>
      </c>
    </row>
    <row r="351" spans="2:13" x14ac:dyDescent="0.3">
      <c r="B351" s="12">
        <v>0.54797395323885223</v>
      </c>
      <c r="C351" s="12">
        <f t="shared" si="47"/>
        <v>1.8783539397936998E-2</v>
      </c>
      <c r="D351" s="12">
        <f t="shared" si="48"/>
        <v>4.9672359590843186E-2</v>
      </c>
      <c r="E351" s="12">
        <f t="shared" si="49"/>
        <v>-1.6441550359872468E-2</v>
      </c>
      <c r="F351" s="12">
        <f t="shared" si="50"/>
        <v>-1.644006908173172E-2</v>
      </c>
      <c r="G351" s="12">
        <f t="shared" si="51"/>
        <v>0.54879053347716245</v>
      </c>
      <c r="H351" s="12">
        <f t="shared" si="52"/>
        <v>6.8449186519830341E-2</v>
      </c>
      <c r="I351" s="12">
        <f t="shared" si="53"/>
        <v>0.54715737300054201</v>
      </c>
      <c r="J351" s="12">
        <f t="shared" si="54"/>
        <v>-3.0882107723956338E-2</v>
      </c>
      <c r="M351" s="123">
        <f t="shared" si="55"/>
        <v>-0.5</v>
      </c>
    </row>
    <row r="352" spans="2:13" x14ac:dyDescent="0.3">
      <c r="B352" s="12">
        <v>0.55078411960364337</v>
      </c>
      <c r="C352" s="12">
        <f t="shared" si="47"/>
        <v>1.873689718196412E-2</v>
      </c>
      <c r="D352" s="12">
        <f t="shared" si="48"/>
        <v>4.946675701628122E-2</v>
      </c>
      <c r="E352" s="12">
        <f t="shared" si="49"/>
        <v>-1.6753791067071484E-2</v>
      </c>
      <c r="F352" s="12">
        <f t="shared" si="50"/>
        <v>-1.6752223793183085E-2</v>
      </c>
      <c r="G352" s="12">
        <f t="shared" si="51"/>
        <v>0.55161275902842011</v>
      </c>
      <c r="H352" s="12">
        <f t="shared" si="52"/>
        <v>6.819671325937704E-2</v>
      </c>
      <c r="I352" s="12">
        <f t="shared" si="53"/>
        <v>0.54995548017886664</v>
      </c>
      <c r="J352" s="12">
        <f t="shared" si="54"/>
        <v>-3.0722918895448793E-2</v>
      </c>
      <c r="M352" s="123">
        <f t="shared" si="55"/>
        <v>-0.5</v>
      </c>
    </row>
    <row r="353" spans="2:13" x14ac:dyDescent="0.3">
      <c r="B353" s="12">
        <v>0.55359873733546627</v>
      </c>
      <c r="C353" s="12">
        <f t="shared" si="47"/>
        <v>1.8689301549386136E-2</v>
      </c>
      <c r="D353" s="12">
        <f t="shared" si="48"/>
        <v>4.9259333839420279E-2</v>
      </c>
      <c r="E353" s="12">
        <f t="shared" si="49"/>
        <v>-1.7066526370607363E-2</v>
      </c>
      <c r="F353" s="12">
        <f t="shared" si="50"/>
        <v>-1.7064869691994739E-2</v>
      </c>
      <c r="G353" s="12">
        <f t="shared" si="51"/>
        <v>0.55443930065045499</v>
      </c>
      <c r="H353" s="12">
        <f t="shared" si="52"/>
        <v>6.7941463163034635E-2</v>
      </c>
      <c r="I353" s="12">
        <f t="shared" si="53"/>
        <v>0.55275817402047756</v>
      </c>
      <c r="J353" s="12">
        <f t="shared" si="54"/>
        <v>-3.056286006426236E-2</v>
      </c>
      <c r="M353" s="123">
        <f t="shared" si="55"/>
        <v>-0.5</v>
      </c>
    </row>
    <row r="354" spans="2:13" x14ac:dyDescent="0.3">
      <c r="B354" s="12">
        <v>0.55641777854372954</v>
      </c>
      <c r="C354" s="12">
        <f t="shared" si="47"/>
        <v>1.8640748808635827E-2</v>
      </c>
      <c r="D354" s="12">
        <f t="shared" si="48"/>
        <v>4.9050096465552882E-2</v>
      </c>
      <c r="E354" s="12">
        <f t="shared" si="49"/>
        <v>-1.7379753171525503E-2</v>
      </c>
      <c r="F354" s="12">
        <f t="shared" si="50"/>
        <v>-1.7378003603394605E-2</v>
      </c>
      <c r="G354" s="12">
        <f t="shared" si="51"/>
        <v>0.55727012839444301</v>
      </c>
      <c r="H354" s="12">
        <f t="shared" si="52"/>
        <v>6.7683439018411548E-2</v>
      </c>
      <c r="I354" s="12">
        <f t="shared" si="53"/>
        <v>0.55556542869301606</v>
      </c>
      <c r="J354" s="12">
        <f t="shared" si="54"/>
        <v>-3.0401941401139897E-2</v>
      </c>
      <c r="M354" s="123">
        <f t="shared" si="55"/>
        <v>-0.5</v>
      </c>
    </row>
    <row r="355" spans="2:13" x14ac:dyDescent="0.3">
      <c r="B355" s="12">
        <v>0.55924121529400872</v>
      </c>
      <c r="C355" s="12">
        <f t="shared" si="47"/>
        <v>1.8591235297315958E-2</v>
      </c>
      <c r="D355" s="12">
        <f t="shared" si="48"/>
        <v>4.8839051282676849E-2</v>
      </c>
      <c r="E355" s="12">
        <f t="shared" si="49"/>
        <v>-1.7693468366000966E-2</v>
      </c>
      <c r="F355" s="12">
        <f t="shared" si="50"/>
        <v>-1.7691622347276618E-2</v>
      </c>
      <c r="G355" s="12">
        <f t="shared" si="51"/>
        <v>0.56010521227254872</v>
      </c>
      <c r="H355" s="12">
        <f t="shared" si="52"/>
        <v>6.7422643626515441E-2</v>
      </c>
      <c r="I355" s="12">
        <f t="shared" si="53"/>
        <v>0.55837721831546872</v>
      </c>
      <c r="J355" s="12">
        <f t="shared" si="54"/>
        <v>-3.0240173031883529E-2</v>
      </c>
      <c r="M355" s="123">
        <f t="shared" si="55"/>
        <v>-0.5</v>
      </c>
    </row>
    <row r="356" spans="2:13" x14ac:dyDescent="0.3">
      <c r="B356" s="12">
        <v>0.56206901960832267</v>
      </c>
      <c r="C356" s="12">
        <f t="shared" si="47"/>
        <v>1.8540757382399846E-2</v>
      </c>
      <c r="D356" s="12">
        <f t="shared" si="48"/>
        <v>4.862620465984948E-2</v>
      </c>
      <c r="E356" s="12">
        <f t="shared" si="49"/>
        <v>-1.8007668845369185E-2</v>
      </c>
      <c r="F356" s="12">
        <f t="shared" si="50"/>
        <v>-1.8005722738236165E-2</v>
      </c>
      <c r="G356" s="12">
        <f t="shared" si="51"/>
        <v>0.56294452225824176</v>
      </c>
      <c r="H356" s="12">
        <f t="shared" si="52"/>
        <v>6.7159079800306776E-2</v>
      </c>
      <c r="I356" s="12">
        <f t="shared" si="53"/>
        <v>0.56119351695840358</v>
      </c>
      <c r="J356" s="12">
        <f t="shared" si="54"/>
        <v>-3.0077565035507091E-2</v>
      </c>
      <c r="M356" s="123">
        <f t="shared" si="55"/>
        <v>-0.5</v>
      </c>
    </row>
    <row r="357" spans="2:13" x14ac:dyDescent="0.3">
      <c r="B357" s="12">
        <v>0.56490116346541219</v>
      </c>
      <c r="C357" s="12">
        <f t="shared" si="47"/>
        <v>1.8489311460430743E-2</v>
      </c>
      <c r="D357" s="12">
        <f t="shared" si="48"/>
        <v>4.8411562945543482E-2</v>
      </c>
      <c r="E357" s="12">
        <f t="shared" si="49"/>
        <v>-1.8322351496156908E-2</v>
      </c>
      <c r="F357" s="12">
        <f t="shared" si="50"/>
        <v>-1.8320301585605828E-2</v>
      </c>
      <c r="G357" s="12">
        <f t="shared" si="51"/>
        <v>0.56578802828661245</v>
      </c>
      <c r="H357" s="12">
        <f t="shared" si="52"/>
        <v>6.6892750363252887E-2</v>
      </c>
      <c r="I357" s="12">
        <f t="shared" si="53"/>
        <v>0.56401429864421193</v>
      </c>
      <c r="J357" s="12">
        <f t="shared" si="54"/>
        <v>-2.99141274423914E-2</v>
      </c>
      <c r="M357" s="123">
        <f t="shared" si="55"/>
        <v>-0.5</v>
      </c>
    </row>
    <row r="358" spans="2:13" x14ac:dyDescent="0.3">
      <c r="B358" s="12">
        <v>0.56773761880101548</v>
      </c>
      <c r="C358" s="12">
        <f t="shared" si="47"/>
        <v>1.8436893957720291E-2</v>
      </c>
      <c r="D358" s="12">
        <f t="shared" si="48"/>
        <v>4.8195132466005444E-2</v>
      </c>
      <c r="E358" s="12">
        <f t="shared" si="49"/>
        <v>-1.863751320011283E-2</v>
      </c>
      <c r="F358" s="12">
        <f t="shared" si="50"/>
        <v>-1.8635355693490892E-2</v>
      </c>
      <c r="G358" s="12">
        <f t="shared" si="51"/>
        <v>0.56863570025468035</v>
      </c>
      <c r="H358" s="12">
        <f t="shared" si="52"/>
        <v>6.6623658147883499E-2</v>
      </c>
      <c r="I358" s="12">
        <f t="shared" si="53"/>
        <v>0.5668395373473506</v>
      </c>
      <c r="J358" s="12">
        <f t="shared" si="54"/>
        <v>-2.9749870232442913E-2</v>
      </c>
      <c r="M358" s="123">
        <f t="shared" si="55"/>
        <v>-0.5</v>
      </c>
    </row>
    <row r="359" spans="2:13" x14ac:dyDescent="0.3">
      <c r="B359" s="12">
        <v>0.57057835750814878</v>
      </c>
      <c r="C359" s="12">
        <f t="shared" si="47"/>
        <v>1.8383501330545678E-2</v>
      </c>
      <c r="D359" s="12">
        <f t="shared" si="48"/>
        <v>4.7976919523617566E-2</v>
      </c>
      <c r="E359" s="12">
        <f t="shared" si="49"/>
        <v>-1.8953150834238753E-2</v>
      </c>
      <c r="F359" s="12">
        <f t="shared" si="50"/>
        <v>-1.8950881860805423E-2</v>
      </c>
      <c r="G359" s="12">
        <f t="shared" si="51"/>
        <v>0.57148750802170456</v>
      </c>
      <c r="H359" s="12">
        <f t="shared" si="52"/>
        <v>6.6351805994348187E-2</v>
      </c>
      <c r="I359" s="12">
        <f t="shared" si="53"/>
        <v>0.569669206994593</v>
      </c>
      <c r="J359" s="12">
        <f t="shared" si="54"/>
        <v>-2.9584803333256832E-2</v>
      </c>
      <c r="M359" s="123">
        <f t="shared" si="55"/>
        <v>-0.5</v>
      </c>
    </row>
    <row r="360" spans="2:13" x14ac:dyDescent="0.3">
      <c r="B360" s="12">
        <v>0.5734233514373821</v>
      </c>
      <c r="C360" s="12">
        <f t="shared" si="47"/>
        <v>1.8329130065345901E-2</v>
      </c>
      <c r="D360" s="12">
        <f t="shared" si="48"/>
        <v>4.7756930395262014E-2</v>
      </c>
      <c r="E360" s="12">
        <f t="shared" si="49"/>
        <v>-1.9269261270820234E-2</v>
      </c>
      <c r="F360" s="12">
        <f t="shared" si="50"/>
        <v>-1.9266876881307928E-2</v>
      </c>
      <c r="G360" s="12">
        <f t="shared" si="51"/>
        <v>0.57434342140948547</v>
      </c>
      <c r="H360" s="12">
        <f t="shared" si="52"/>
        <v>6.6077196748975456E-2</v>
      </c>
      <c r="I360" s="12">
        <f t="shared" si="53"/>
        <v>0.57250328146527873</v>
      </c>
      <c r="J360" s="12">
        <f t="shared" si="54"/>
        <v>-2.9418936618283653E-2</v>
      </c>
      <c r="M360" s="123">
        <f t="shared" si="55"/>
        <v>-0.5</v>
      </c>
    </row>
    <row r="361" spans="2:13" x14ac:dyDescent="0.3">
      <c r="B361" s="12">
        <v>0.57627257239712093</v>
      </c>
      <c r="C361" s="12">
        <f t="shared" si="47"/>
        <v>1.8273776678916765E-2</v>
      </c>
      <c r="D361" s="12">
        <f t="shared" si="48"/>
        <v>4.7535171330689088E-2</v>
      </c>
      <c r="E361" s="12">
        <f t="shared" si="49"/>
        <v>-1.9585841377457881E-2</v>
      </c>
      <c r="F361" s="12">
        <f t="shared" si="50"/>
        <v>-1.95833375436377E-2</v>
      </c>
      <c r="G361" s="12">
        <f t="shared" si="51"/>
        <v>0.57720341020266963</v>
      </c>
      <c r="H361" s="12">
        <f t="shared" si="52"/>
        <v>6.5799833262834256E-2</v>
      </c>
      <c r="I361" s="12">
        <f t="shared" si="53"/>
        <v>0.57534173459157223</v>
      </c>
      <c r="J361" s="12">
        <f t="shared" si="54"/>
        <v>-2.925227990500073E-2</v>
      </c>
      <c r="M361" s="123">
        <f t="shared" si="55"/>
        <v>-0.5</v>
      </c>
    </row>
    <row r="362" spans="2:13" x14ac:dyDescent="0.3">
      <c r="B362" s="12">
        <v>0.5791259921538835</v>
      </c>
      <c r="C362" s="12">
        <f t="shared" si="47"/>
        <v>1.8217437718604828E-2</v>
      </c>
      <c r="D362" s="12">
        <f t="shared" si="48"/>
        <v>4.7311648550889228E-2</v>
      </c>
      <c r="E362" s="12">
        <f t="shared" si="49"/>
        <v>-1.9902888017098164E-2</v>
      </c>
      <c r="F362" s="12">
        <f t="shared" si="50"/>
        <v>-1.9900260631350759E-2</v>
      </c>
      <c r="G362" s="12">
        <f t="shared" si="51"/>
        <v>0.58006744414904554</v>
      </c>
      <c r="H362" s="12">
        <f t="shared" si="52"/>
        <v>6.5519718390298284E-2</v>
      </c>
      <c r="I362" s="12">
        <f t="shared" si="53"/>
        <v>0.57818454015872145</v>
      </c>
      <c r="J362" s="12">
        <f t="shared" si="54"/>
        <v>-2.9084842953088632E-2</v>
      </c>
      <c r="M362" s="123">
        <f t="shared" si="55"/>
        <v>-0.5</v>
      </c>
    </row>
    <row r="363" spans="2:13" x14ac:dyDescent="0.3">
      <c r="B363" s="12">
        <v>0.58198358243258186</v>
      </c>
      <c r="C363" s="12">
        <f t="shared" si="47"/>
        <v>1.8160109762500206E-2</v>
      </c>
      <c r="D363" s="12">
        <f t="shared" si="48"/>
        <v>4.7086368246469057E-2</v>
      </c>
      <c r="E363" s="12">
        <f t="shared" si="49"/>
        <v>-2.022039804806465E-2</v>
      </c>
      <c r="F363" s="12">
        <f t="shared" si="50"/>
        <v>-2.0217642922956261E-2</v>
      </c>
      <c r="G363" s="12">
        <f t="shared" si="51"/>
        <v>0.58293549295984093</v>
      </c>
      <c r="H363" s="12">
        <f t="shared" si="52"/>
        <v>6.523685498761303E-2</v>
      </c>
      <c r="I363" s="12">
        <f t="shared" si="53"/>
        <v>0.58103167190532279</v>
      </c>
      <c r="J363" s="12">
        <f t="shared" si="54"/>
        <v>-2.8916635462612614E-2</v>
      </c>
      <c r="M363" s="123">
        <f t="shared" si="55"/>
        <v>-0.5</v>
      </c>
    </row>
    <row r="364" spans="2:13" x14ac:dyDescent="0.3">
      <c r="B364" s="12">
        <v>0.58484531491680136</v>
      </c>
      <c r="C364" s="12">
        <f t="shared" si="47"/>
        <v>1.8101789419628252E-2</v>
      </c>
      <c r="D364" s="12">
        <f t="shared" si="48"/>
        <v>4.6859336576031869E-2</v>
      </c>
      <c r="E364" s="12">
        <f t="shared" si="49"/>
        <v>-2.0538368324089038E-2</v>
      </c>
      <c r="F364" s="12">
        <f t="shared" si="50"/>
        <v>-2.0535481191952799E-2</v>
      </c>
      <c r="G364" s="12">
        <f t="shared" si="51"/>
        <v>0.58580752631001409</v>
      </c>
      <c r="H364" s="12">
        <f t="shared" si="52"/>
        <v>6.4951245911466129E-2</v>
      </c>
      <c r="I364" s="12">
        <f t="shared" si="53"/>
        <v>0.58388310352358863</v>
      </c>
      <c r="J364" s="12">
        <f t="shared" si="54"/>
        <v>-2.8747667072209621E-2</v>
      </c>
      <c r="M364" s="123">
        <f t="shared" si="55"/>
        <v>-0.5</v>
      </c>
    </row>
    <row r="365" spans="2:13" x14ac:dyDescent="0.3">
      <c r="B365" s="12">
        <v>0.58771116124908085</v>
      </c>
      <c r="C365" s="12">
        <f t="shared" si="47"/>
        <v>1.8042473330140089E-2</v>
      </c>
      <c r="D365" s="12">
        <f t="shared" si="48"/>
        <v>4.6630559664563295E-2</v>
      </c>
      <c r="E365" s="12">
        <f t="shared" si="49"/>
        <v>-2.0856795694342317E-2</v>
      </c>
      <c r="F365" s="12">
        <f t="shared" si="50"/>
        <v>-2.0853772206864855E-2</v>
      </c>
      <c r="G365" s="12">
        <f t="shared" si="51"/>
        <v>0.58868351383854267</v>
      </c>
      <c r="H365" s="12">
        <f t="shared" si="52"/>
        <v>6.4662894017561645E-2</v>
      </c>
      <c r="I365" s="12">
        <f t="shared" si="53"/>
        <v>0.58673880865961903</v>
      </c>
      <c r="J365" s="12">
        <f t="shared" si="54"/>
        <v>-2.8577947357281471E-2</v>
      </c>
      <c r="M365" s="123">
        <f t="shared" si="55"/>
        <v>-0.5</v>
      </c>
    </row>
    <row r="366" spans="2:13" x14ac:dyDescent="0.3">
      <c r="B366" s="12">
        <v>0.59058109303119544</v>
      </c>
      <c r="C366" s="12">
        <f t="shared" si="47"/>
        <v>1.798215816550194E-2</v>
      </c>
      <c r="D366" s="12">
        <f t="shared" si="48"/>
        <v>4.6400043601821379E-2</v>
      </c>
      <c r="E366" s="12">
        <f t="shared" si="49"/>
        <v>-2.1175677003466158E-2</v>
      </c>
      <c r="F366" s="12">
        <f t="shared" si="50"/>
        <v>-2.117251273127958E-2</v>
      </c>
      <c r="G366" s="12">
        <f t="shared" si="51"/>
        <v>0.59156342514871174</v>
      </c>
      <c r="H366" s="12">
        <f t="shared" si="52"/>
        <v>6.4371802159197564E-2</v>
      </c>
      <c r="I366" s="12">
        <f t="shared" si="53"/>
        <v>0.58959876091367913</v>
      </c>
      <c r="J366" s="12">
        <f t="shared" si="54"/>
        <v>-2.8407485828193687E-2</v>
      </c>
      <c r="M366" s="123">
        <f t="shared" si="55"/>
        <v>-0.5</v>
      </c>
    </row>
    <row r="367" spans="2:13" x14ac:dyDescent="0.3">
      <c r="B367" s="12">
        <v>0.59345508182443574</v>
      </c>
      <c r="C367" s="12">
        <f t="shared" si="47"/>
        <v>1.7920840628683384E-2</v>
      </c>
      <c r="D367" s="12">
        <f t="shared" si="48"/>
        <v>4.6167794440732955E-2</v>
      </c>
      <c r="E367" s="12">
        <f t="shared" si="49"/>
        <v>-2.149500909160397E-2</v>
      </c>
      <c r="F367" s="12">
        <f t="shared" si="50"/>
        <v>-2.1491699523883266E-2</v>
      </c>
      <c r="G367" s="12">
        <f t="shared" si="51"/>
        <v>0.59444722980839437</v>
      </c>
      <c r="H367" s="12">
        <f t="shared" si="52"/>
        <v>6.4077973185848375E-2</v>
      </c>
      <c r="I367" s="12">
        <f t="shared" si="53"/>
        <v>0.5924629338404771</v>
      </c>
      <c r="J367" s="12">
        <f t="shared" si="54"/>
        <v>-2.8236291928481601E-2</v>
      </c>
      <c r="M367" s="123">
        <f t="shared" si="55"/>
        <v>-0.5</v>
      </c>
    </row>
    <row r="368" spans="2:13" x14ac:dyDescent="0.3">
      <c r="B368" s="12">
        <v>0.59633309914989119</v>
      </c>
      <c r="C368" s="12">
        <f t="shared" si="47"/>
        <v>1.7858517454344389E-2</v>
      </c>
      <c r="D368" s="12">
        <f t="shared" si="48"/>
        <v>4.5933818195795208E-2</v>
      </c>
      <c r="E368" s="12">
        <f t="shared" si="49"/>
        <v>-2.1814788794432355E-2</v>
      </c>
      <c r="F368" s="12">
        <f t="shared" si="50"/>
        <v>-2.1811329338498324E-2</v>
      </c>
      <c r="G368" s="12">
        <f t="shared" si="51"/>
        <v>0.5973348973503334</v>
      </c>
      <c r="H368" s="12">
        <f t="shared" si="52"/>
        <v>6.3781409941751549E-2</v>
      </c>
      <c r="I368" s="12">
        <f t="shared" si="53"/>
        <v>0.59533130094944897</v>
      </c>
      <c r="J368" s="12">
        <f t="shared" si="54"/>
        <v>-2.8064375033062774E-2</v>
      </c>
      <c r="M368" s="123">
        <f t="shared" si="55"/>
        <v>-0.5</v>
      </c>
    </row>
    <row r="369" spans="2:13" x14ac:dyDescent="0.3">
      <c r="B369" s="12">
        <v>0.59921511648873138</v>
      </c>
      <c r="C369" s="12">
        <f t="shared" si="47"/>
        <v>1.7795185409021173E-2</v>
      </c>
      <c r="D369" s="12">
        <f t="shared" si="48"/>
        <v>4.5698120841483496E-2</v>
      </c>
      <c r="E369" s="12">
        <f t="shared" si="49"/>
        <v>-2.2135012943192374E-2</v>
      </c>
      <c r="F369" s="12">
        <f t="shared" si="50"/>
        <v>-2.2131398924120076E-2</v>
      </c>
      <c r="G369" s="12">
        <f t="shared" si="51"/>
        <v>0.60022639727241711</v>
      </c>
      <c r="H369" s="12">
        <f t="shared" si="52"/>
        <v>6.3482115264499275E-2</v>
      </c>
      <c r="I369" s="12">
        <f t="shared" si="53"/>
        <v>0.59820383570504565</v>
      </c>
      <c r="J369" s="12">
        <f t="shared" si="54"/>
        <v>-2.7891744446456927E-2</v>
      </c>
      <c r="M369" s="123">
        <f t="shared" si="55"/>
        <v>-0.5</v>
      </c>
    </row>
    <row r="370" spans="2:13" x14ac:dyDescent="0.3">
      <c r="B370" s="12">
        <v>0.6021011052824895</v>
      </c>
      <c r="C370" s="12">
        <f t="shared" si="47"/>
        <v>1.7730841291310896E-2</v>
      </c>
      <c r="D370" s="12">
        <f t="shared" si="48"/>
        <v>4.5460708310665766E-2</v>
      </c>
      <c r="E370" s="12">
        <f t="shared" si="49"/>
        <v>-2.2455678364721055E-2</v>
      </c>
      <c r="F370" s="12">
        <f t="shared" si="50"/>
        <v>-2.2451905024953901E-2</v>
      </c>
      <c r="G370" s="12">
        <f t="shared" si="51"/>
        <v>0.60312169903795387</v>
      </c>
      <c r="H370" s="12">
        <f t="shared" si="52"/>
        <v>6.3180091983635223E-2</v>
      </c>
      <c r="I370" s="12">
        <f t="shared" si="53"/>
        <v>0.60108051152702513</v>
      </c>
      <c r="J370" s="12">
        <f t="shared" si="54"/>
        <v>-2.7718409401013423E-2</v>
      </c>
      <c r="M370" s="123">
        <f t="shared" si="55"/>
        <v>-0.5</v>
      </c>
    </row>
    <row r="371" spans="2:13" x14ac:dyDescent="0.3">
      <c r="B371" s="12">
        <v>0.60499103693334377</v>
      </c>
      <c r="C371" s="12">
        <f t="shared" si="47"/>
        <v>1.7665481932055142E-2</v>
      </c>
      <c r="D371" s="12">
        <f t="shared" si="48"/>
        <v>4.5221586493023776E-2</v>
      </c>
      <c r="E371" s="12">
        <f t="shared" si="49"/>
        <v>-2.277678188148264E-2</v>
      </c>
      <c r="F371" s="12">
        <f t="shared" si="50"/>
        <v>-2.2772844380452153E-2</v>
      </c>
      <c r="G371" s="12">
        <f t="shared" si="51"/>
        <v>0.60602077207594141</v>
      </c>
      <c r="H371" s="12">
        <f t="shared" si="52"/>
        <v>6.2875342919257143E-2</v>
      </c>
      <c r="I371" s="12">
        <f t="shared" si="53"/>
        <v>0.60396130179074614</v>
      </c>
      <c r="J371" s="12">
        <f t="shared" si="54"/>
        <v>-2.7544379055146864E-2</v>
      </c>
      <c r="M371" s="123">
        <f t="shared" si="55"/>
        <v>-0.5</v>
      </c>
    </row>
    <row r="372" spans="2:13" x14ac:dyDescent="0.3">
      <c r="B372" s="12">
        <v>0.60788488280440323</v>
      </c>
      <c r="C372" s="12">
        <f t="shared" si="47"/>
        <v>1.7599104194522198E-2</v>
      </c>
      <c r="D372" s="12">
        <f t="shared" si="48"/>
        <v>4.4980761233480757E-2</v>
      </c>
      <c r="E372" s="12">
        <f t="shared" si="49"/>
        <v>-2.3098320311600359E-2</v>
      </c>
      <c r="F372" s="12">
        <f t="shared" si="50"/>
        <v>-2.309421372535167E-2</v>
      </c>
      <c r="G372" s="12">
        <f t="shared" si="51"/>
        <v>0.60892358578133643</v>
      </c>
      <c r="H372" s="12">
        <f t="shared" si="52"/>
        <v>6.2567870880624626E-2</v>
      </c>
      <c r="I372" s="12">
        <f t="shared" si="53"/>
        <v>0.60684617982747002</v>
      </c>
      <c r="J372" s="12">
        <f t="shared" si="54"/>
        <v>-2.7369662491580227E-2</v>
      </c>
      <c r="M372" s="123">
        <f t="shared" si="55"/>
        <v>-0.5</v>
      </c>
    </row>
    <row r="373" spans="2:13" x14ac:dyDescent="0.3">
      <c r="B373" s="12">
        <v>0.61078261421998925</v>
      </c>
      <c r="C373" s="12">
        <f t="shared" si="47"/>
        <v>1.753170497458818E-2</v>
      </c>
      <c r="D373" s="12">
        <f t="shared" si="48"/>
        <v>4.4738238330637413E-2</v>
      </c>
      <c r="E373" s="12">
        <f t="shared" si="49"/>
        <v>-2.3420290468887692E-2</v>
      </c>
      <c r="F373" s="12">
        <f t="shared" si="50"/>
        <v>-2.3416009789710836E-2</v>
      </c>
      <c r="G373" s="12">
        <f t="shared" si="51"/>
        <v>0.61183010951531724</v>
      </c>
      <c r="H373" s="12">
        <f t="shared" si="52"/>
        <v>6.2257678664773844E-2</v>
      </c>
      <c r="I373" s="12">
        <f t="shared" si="53"/>
        <v>0.60973511892466126</v>
      </c>
      <c r="J373" s="12">
        <f t="shared" si="54"/>
        <v>-2.7194268715597488E-2</v>
      </c>
      <c r="M373" s="123">
        <f t="shared" si="55"/>
        <v>-0.5</v>
      </c>
    </row>
    <row r="374" spans="2:13" x14ac:dyDescent="0.3">
      <c r="B374" s="12">
        <v>0.61368420246592092</v>
      </c>
      <c r="C374" s="12">
        <f t="shared" si="47"/>
        <v>1.7463281200916846E-2</v>
      </c>
      <c r="D374" s="12">
        <f t="shared" si="48"/>
        <v>4.449402353521513E-2</v>
      </c>
      <c r="E374" s="12">
        <f t="shared" si="49"/>
        <v>-2.3742689162880103E-2</v>
      </c>
      <c r="F374" s="12">
        <f t="shared" si="50"/>
        <v>-2.3738229298947169E-2</v>
      </c>
      <c r="G374" s="12">
        <f t="shared" si="51"/>
        <v>0.61474031260554618</v>
      </c>
      <c r="H374" s="12">
        <f t="shared" si="52"/>
        <v>6.1944769055138391E-2</v>
      </c>
      <c r="I374" s="12">
        <f t="shared" si="53"/>
        <v>0.61262809232629567</v>
      </c>
      <c r="J374" s="12">
        <f t="shared" si="54"/>
        <v>-2.7018206653304695E-2</v>
      </c>
      <c r="M374" s="123">
        <f t="shared" si="55"/>
        <v>-0.5</v>
      </c>
    </row>
    <row r="375" spans="2:13" x14ac:dyDescent="0.3">
      <c r="B375" s="12">
        <v>0.61658961878979923</v>
      </c>
      <c r="C375" s="12">
        <f t="shared" si="47"/>
        <v>1.7393829835138305E-2</v>
      </c>
      <c r="D375" s="12">
        <f t="shared" si="48"/>
        <v>4.4248122548507109E-2</v>
      </c>
      <c r="E375" s="12">
        <f t="shared" si="49"/>
        <v>-2.406551319886658E-2</v>
      </c>
      <c r="F375" s="12">
        <f t="shared" si="50"/>
        <v>-2.4060868973874768E-2</v>
      </c>
      <c r="G375" s="12">
        <f t="shared" si="51"/>
        <v>0.61765416434642773</v>
      </c>
      <c r="H375" s="12">
        <f t="shared" si="52"/>
        <v>6.1629144820176743E-2</v>
      </c>
      <c r="I375" s="12">
        <f t="shared" si="53"/>
        <v>0.61552507323317074</v>
      </c>
      <c r="J375" s="12">
        <f t="shared" si="54"/>
        <v>-2.6841485149900132E-2</v>
      </c>
      <c r="M375" s="123">
        <f t="shared" si="55"/>
        <v>-0.5</v>
      </c>
    </row>
    <row r="376" spans="2:13" x14ac:dyDescent="0.3">
      <c r="B376" s="12">
        <v>0.61949883440129161</v>
      </c>
      <c r="C376" s="12">
        <f t="shared" si="47"/>
        <v>1.7323347872026353E-2</v>
      </c>
      <c r="D376" s="12">
        <f t="shared" si="48"/>
        <v>4.4000541020838287E-2</v>
      </c>
      <c r="E376" s="12">
        <f t="shared" si="49"/>
        <v>-2.4388759377921287E-2</v>
      </c>
      <c r="F376" s="12">
        <f t="shared" si="50"/>
        <v>-2.4383925530741951E-2</v>
      </c>
      <c r="G376" s="12">
        <f t="shared" si="51"/>
        <v>0.62057163399936366</v>
      </c>
      <c r="H376" s="12">
        <f t="shared" si="52"/>
        <v>6.1310808712007211E-2</v>
      </c>
      <c r="I376" s="12">
        <f t="shared" si="53"/>
        <v>0.61842603480321956</v>
      </c>
      <c r="J376" s="12">
        <f t="shared" si="54"/>
        <v>-2.6664112967954502E-2</v>
      </c>
      <c r="M376" s="123">
        <f t="shared" si="55"/>
        <v>-0.5</v>
      </c>
    </row>
    <row r="377" spans="2:13" x14ac:dyDescent="0.3">
      <c r="B377" s="12">
        <v>0.6224118204724185</v>
      </c>
      <c r="C377" s="12">
        <f t="shared" si="47"/>
        <v>1.7251832339674707E-2</v>
      </c>
      <c r="D377" s="12">
        <f t="shared" si="48"/>
        <v>4.3751284550033603E-2</v>
      </c>
      <c r="E377" s="12">
        <f t="shared" si="49"/>
        <v>-2.4712424496935389E-2</v>
      </c>
      <c r="F377" s="12">
        <f t="shared" si="50"/>
        <v>-2.4707395681269097E-2</v>
      </c>
      <c r="G377" s="12">
        <f t="shared" si="51"/>
        <v>0.62349269079300651</v>
      </c>
      <c r="H377" s="12">
        <f t="shared" si="52"/>
        <v>6.0989763465050091E-2</v>
      </c>
      <c r="I377" s="12">
        <f t="shared" si="53"/>
        <v>0.62133095015183049</v>
      </c>
      <c r="J377" s="12">
        <f t="shared" si="54"/>
        <v>-2.6486098785700678E-2</v>
      </c>
      <c r="M377" s="123">
        <f t="shared" si="55"/>
        <v>-0.5</v>
      </c>
    </row>
    <row r="378" spans="2:13" x14ac:dyDescent="0.3">
      <c r="B378" s="12">
        <v>0.625328548137837</v>
      </c>
      <c r="C378" s="12">
        <f t="shared" si="47"/>
        <v>1.7179280299671914E-2</v>
      </c>
      <c r="D378" s="12">
        <f t="shared" si="48"/>
        <v>4.3500358679895469E-2</v>
      </c>
      <c r="E378" s="12">
        <f t="shared" si="49"/>
        <v>-2.5036505348648555E-2</v>
      </c>
      <c r="F378" s="12">
        <f t="shared" si="50"/>
        <v>-2.5031276132686242E-2</v>
      </c>
      <c r="G378" s="12">
        <f t="shared" si="51"/>
        <v>0.62641730392350692</v>
      </c>
      <c r="H378" s="12">
        <f t="shared" si="52"/>
        <v>6.0666011794677691E-2</v>
      </c>
      <c r="I378" s="12">
        <f t="shared" si="53"/>
        <v>0.62423979235216709</v>
      </c>
      <c r="J378" s="12">
        <f t="shared" si="54"/>
        <v>-2.6307451195333859E-2</v>
      </c>
      <c r="M378" s="123">
        <f t="shared" si="55"/>
        <v>-0.5</v>
      </c>
    </row>
    <row r="379" spans="2:13" x14ac:dyDescent="0.3">
      <c r="B379" s="12">
        <v>0.62824898849512922</v>
      </c>
      <c r="C379" s="12">
        <f t="shared" si="47"/>
        <v>1.7105688847275018E-2</v>
      </c>
      <c r="D379" s="12">
        <f t="shared" si="48"/>
        <v>4.3247768898690593E-2</v>
      </c>
      <c r="E379" s="12">
        <f t="shared" si="49"/>
        <v>-2.5360998721681023E-2</v>
      </c>
      <c r="F379" s="12">
        <f t="shared" si="50"/>
        <v>-2.5355563587771284E-2</v>
      </c>
      <c r="G379" s="12">
        <f t="shared" si="51"/>
        <v>0.62934544255476255</v>
      </c>
      <c r="H379" s="12">
        <f t="shared" si="52"/>
        <v>6.0339556395872421E-2</v>
      </c>
      <c r="I379" s="12">
        <f t="shared" si="53"/>
        <v>0.6271525344354959</v>
      </c>
      <c r="J379" s="12">
        <f t="shared" si="54"/>
        <v>-2.6128178701322381E-2</v>
      </c>
      <c r="M379" s="123">
        <f t="shared" si="55"/>
        <v>-0.5</v>
      </c>
    </row>
    <row r="380" spans="2:13" x14ac:dyDescent="0.3">
      <c r="B380" s="12">
        <v>0.63117311260508657</v>
      </c>
      <c r="C380" s="12">
        <f t="shared" si="47"/>
        <v>1.7031055111582E-2</v>
      </c>
      <c r="D380" s="12">
        <f t="shared" si="48"/>
        <v>4.2993520637646152E-2</v>
      </c>
      <c r="E380" s="12">
        <f t="shared" si="49"/>
        <v>-2.5685901400565175E-2</v>
      </c>
      <c r="F380" s="12">
        <f t="shared" si="50"/>
        <v>-2.5680254744887762E-2</v>
      </c>
      <c r="G380" s="12">
        <f t="shared" si="51"/>
        <v>0.63227707581865888</v>
      </c>
      <c r="H380" s="12">
        <f t="shared" si="52"/>
        <v>6.0010399941893042E-2</v>
      </c>
      <c r="I380" s="12">
        <f t="shared" si="53"/>
        <v>0.63006914939151426</v>
      </c>
      <c r="J380" s="12">
        <f t="shared" si="54"/>
        <v>-2.5948289718729044E-2</v>
      </c>
      <c r="M380" s="123">
        <f t="shared" si="55"/>
        <v>-0.5</v>
      </c>
    </row>
    <row r="381" spans="2:13" x14ac:dyDescent="0.3">
      <c r="B381" s="12">
        <v>0.63410089149199766</v>
      </c>
      <c r="C381" s="12">
        <f t="shared" si="47"/>
        <v>1.6955376255702884E-2</v>
      </c>
      <c r="D381" s="12">
        <f t="shared" si="48"/>
        <v>4.2737619269456316E-2</v>
      </c>
      <c r="E381" s="12">
        <f t="shared" si="49"/>
        <v>-2.6011210165777517E-2</v>
      </c>
      <c r="F381" s="12">
        <f t="shared" si="50"/>
        <v>-2.6005346298023084E-2</v>
      </c>
      <c r="G381" s="12">
        <f t="shared" si="51"/>
        <v>0.63521217281531117</v>
      </c>
      <c r="H381" s="12">
        <f t="shared" si="52"/>
        <v>5.967854508294998E-2</v>
      </c>
      <c r="I381" s="12">
        <f t="shared" si="53"/>
        <v>0.63298961016868416</v>
      </c>
      <c r="J381" s="12">
        <f t="shared" si="54"/>
        <v>-2.5767792571544212E-2</v>
      </c>
      <c r="M381" s="123">
        <f t="shared" si="55"/>
        <v>-0.5</v>
      </c>
    </row>
    <row r="382" spans="2:13" x14ac:dyDescent="0.3">
      <c r="B382" s="12">
        <v>0.63703229614393531</v>
      </c>
      <c r="C382" s="12">
        <f t="shared" si="47"/>
        <v>1.6878649476929655E-2</v>
      </c>
      <c r="D382" s="12">
        <f t="shared" si="48"/>
        <v>4.2480070106798946E-2</v>
      </c>
      <c r="E382" s="12">
        <f t="shared" si="49"/>
        <v>-2.633692179377059E-2</v>
      </c>
      <c r="F382" s="12">
        <f t="shared" si="50"/>
        <v>-2.6330834936826759E-2</v>
      </c>
      <c r="G382" s="12">
        <f t="shared" si="51"/>
        <v>0.63815070261330198</v>
      </c>
      <c r="H382" s="12">
        <f t="shared" si="52"/>
        <v>5.9343994444889497E-2</v>
      </c>
      <c r="I382" s="12">
        <f t="shared" si="53"/>
        <v>0.63591388967456863</v>
      </c>
      <c r="J382" s="12">
        <f t="shared" si="54"/>
        <v>-2.5586695491030185E-2</v>
      </c>
      <c r="M382" s="123">
        <f t="shared" si="55"/>
        <v>-0.5</v>
      </c>
    </row>
    <row r="383" spans="2:13" x14ac:dyDescent="0.3">
      <c r="B383" s="12">
        <v>0.63996729751304415</v>
      </c>
      <c r="C383" s="12">
        <f t="shared" si="47"/>
        <v>1.6800872006904787E-2</v>
      </c>
      <c r="D383" s="12">
        <f t="shared" si="48"/>
        <v>4.2220878400862527E-2</v>
      </c>
      <c r="E383" s="12">
        <f t="shared" si="49"/>
        <v>-2.6663033057004907E-2</v>
      </c>
      <c r="F383" s="12">
        <f t="shared" si="50"/>
        <v>-2.6656717346648696E-2</v>
      </c>
      <c r="G383" s="12">
        <f t="shared" si="51"/>
        <v>0.64109263424991536</v>
      </c>
      <c r="H383" s="12">
        <f t="shared" si="52"/>
        <v>5.9006750627886823E-2</v>
      </c>
      <c r="I383" s="12">
        <f t="shared" si="53"/>
        <v>0.63884196077617295</v>
      </c>
      <c r="J383" s="12">
        <f t="shared" si="54"/>
        <v>-2.5405006614077245E-2</v>
      </c>
      <c r="M383" s="123">
        <f t="shared" si="55"/>
        <v>-0.5</v>
      </c>
    </row>
    <row r="384" spans="2:13" x14ac:dyDescent="0.3">
      <c r="B384" s="12">
        <v>0.64290586651582782</v>
      </c>
      <c r="C384" s="12">
        <f t="shared" si="47"/>
        <v>1.6722041111788603E-2</v>
      </c>
      <c r="D384" s="12">
        <f t="shared" si="48"/>
        <v>4.1960049339884571E-2</v>
      </c>
      <c r="E384" s="12">
        <f t="shared" si="49"/>
        <v>-2.6989540723980868E-2</v>
      </c>
      <c r="F384" s="12">
        <f t="shared" si="50"/>
        <v>-2.6982990208577536E-2</v>
      </c>
      <c r="G384" s="12">
        <f t="shared" si="51"/>
        <v>0.64403793673136833</v>
      </c>
      <c r="H384" s="12">
        <f t="shared" si="52"/>
        <v>5.8666816205149561E-2</v>
      </c>
      <c r="I384" s="12">
        <f t="shared" si="53"/>
        <v>0.6417737963002873</v>
      </c>
      <c r="J384" s="12">
        <f t="shared" si="54"/>
        <v>-2.5222733981572359E-2</v>
      </c>
      <c r="M384" s="123">
        <f t="shared" si="55"/>
        <v>-0.5</v>
      </c>
    </row>
    <row r="385" spans="2:13" x14ac:dyDescent="0.3">
      <c r="B385" s="12">
        <v>0.64584797403343797</v>
      </c>
      <c r="C385" s="12">
        <f t="shared" si="47"/>
        <v>1.6642154092425223E-2</v>
      </c>
      <c r="D385" s="12">
        <f t="shared" si="48"/>
        <v>4.1697588047700872E-2</v>
      </c>
      <c r="E385" s="12">
        <f t="shared" si="49"/>
        <v>-2.7316441559270883E-2</v>
      </c>
      <c r="F385" s="12">
        <f t="shared" si="50"/>
        <v>-2.730965019947925E-2</v>
      </c>
      <c r="G385" s="12">
        <f t="shared" si="51"/>
        <v>0.64698657903304035</v>
      </c>
      <c r="H385" s="12">
        <f t="shared" si="52"/>
        <v>5.8324193721630599E-2</v>
      </c>
      <c r="I385" s="12">
        <f t="shared" si="53"/>
        <v>0.64470936903383558</v>
      </c>
      <c r="J385" s="12">
        <f t="shared" si="54"/>
        <v>-2.5039885536780149E-2</v>
      </c>
      <c r="M385" s="123">
        <f t="shared" si="55"/>
        <v>-0.5</v>
      </c>
    </row>
    <row r="386" spans="2:13" x14ac:dyDescent="0.3">
      <c r="B386" s="12">
        <v>0.64879359091196209</v>
      </c>
      <c r="C386" s="12">
        <f t="shared" ref="C386:C449" si="56">IF($A$1=0, 0, IF(B386&lt;=$A$2, ($A$1/$A$2^2)*(2*$A$2*B386-B386^2), ($A$1/(1-$A$2)^2)*((1-2*$A$2)+2*$A$2*B386-B386^2)))</f>
        <v>1.6561208284507294E-2</v>
      </c>
      <c r="D386" s="12">
        <f t="shared" ref="D386:D449" si="57">IF($Q$3, 5*$A$3*(0.2969*SQRT(B386)-0.126*B386-0.3516*B386^2+0.2843*B386^3-0.1036*B386^4), 5*$A$3*(0.2969*SQRT(B386)-0.126*B386-0.3516*B386^2+0.2843*B386^3-0.1015*B386^4))</f>
        <v>4.1433499582306424E-2</v>
      </c>
      <c r="E386" s="12">
        <f t="shared" ref="E386:E449" si="58">IF($A$1=0, 0, IF(B386&lt;=$A$2, ($A$1/$A$2^2) *(2*$A$2-2*B386), ($A$1/(1-$A$2)^2)*(2*$A$2-2*B386)))</f>
        <v>-2.7643732323551343E-2</v>
      </c>
      <c r="F386" s="12">
        <f t="shared" ref="F386:F449" si="59">IF($A$1=0, 0,  ATAN(E386))</f>
        <v>-2.7636693992035648E-2</v>
      </c>
      <c r="G386" s="12">
        <f t="shared" ref="G386:G449" si="60">B386-D386*SIN(F386)</f>
        <v>0.64993853009969882</v>
      </c>
      <c r="H386" s="12">
        <f t="shared" ref="H386:H449" si="61">C386+D386*COS(F386)</f>
        <v>5.7978885692751371E-2</v>
      </c>
      <c r="I386" s="12">
        <f t="shared" ref="I386:I449" si="62">B386+D386*SIN(F386)</f>
        <v>0.64764865172422537</v>
      </c>
      <c r="J386" s="12">
        <f t="shared" ref="J386:J449" si="63">C386-D386*COS(F386)</f>
        <v>-2.4856469123736784E-2</v>
      </c>
      <c r="M386" s="123">
        <f t="shared" ref="M386:M449" si="64">IF($Q$1,  C386, -0.5)</f>
        <v>-0.5</v>
      </c>
    </row>
    <row r="387" spans="2:13" x14ac:dyDescent="0.3">
      <c r="B387" s="12">
        <v>0.65174268796271284</v>
      </c>
      <c r="C387" s="12">
        <f t="shared" si="56"/>
        <v>1.6479201058739346E-2</v>
      </c>
      <c r="D387" s="12">
        <f t="shared" si="57"/>
        <v>4.1167788934428025E-2</v>
      </c>
      <c r="E387" s="12">
        <f t="shared" si="58"/>
        <v>-2.797140977363476E-2</v>
      </c>
      <c r="F387" s="12">
        <f t="shared" si="59"/>
        <v>-2.796411825478309E-2</v>
      </c>
      <c r="G387" s="12">
        <f t="shared" si="60"/>
        <v>0.65289375884572221</v>
      </c>
      <c r="H387" s="12">
        <f t="shared" si="61"/>
        <v>5.7630894603135578E-2</v>
      </c>
      <c r="I387" s="12">
        <f t="shared" si="62"/>
        <v>0.65059161707970348</v>
      </c>
      <c r="J387" s="12">
        <f t="shared" si="63"/>
        <v>-2.4672492485656887E-2</v>
      </c>
      <c r="M387" s="123">
        <f t="shared" si="64"/>
        <v>-0.5</v>
      </c>
    </row>
    <row r="388" spans="2:13" x14ac:dyDescent="0.3">
      <c r="B388" s="12">
        <v>0.65469523596251733</v>
      </c>
      <c r="C388" s="12">
        <f t="shared" si="56"/>
        <v>1.6396129820999864E-2</v>
      </c>
      <c r="D388" s="12">
        <f t="shared" si="57"/>
        <v>4.090046102610919E-2</v>
      </c>
      <c r="E388" s="12">
        <f t="shared" si="58"/>
        <v>-2.8299470662501925E-2</v>
      </c>
      <c r="F388" s="12">
        <f t="shared" si="59"/>
        <v>-2.8291919652151283E-2</v>
      </c>
      <c r="G388" s="12">
        <f t="shared" si="60"/>
        <v>0.65585223415532101</v>
      </c>
      <c r="H388" s="12">
        <f t="shared" si="61"/>
        <v>5.7280222905353909E-2</v>
      </c>
      <c r="I388" s="12">
        <f t="shared" si="62"/>
        <v>0.65353823776971365</v>
      </c>
      <c r="J388" s="12">
        <f t="shared" si="63"/>
        <v>-2.4487963263354177E-2</v>
      </c>
      <c r="M388" s="123">
        <f t="shared" si="64"/>
        <v>-0.5</v>
      </c>
    </row>
    <row r="389" spans="2:13" x14ac:dyDescent="0.3">
      <c r="B389" s="12">
        <v>0.65765120565400648</v>
      </c>
      <c r="C389" s="12">
        <f t="shared" si="56"/>
        <v>1.6311992012502049E-2</v>
      </c>
      <c r="D389" s="12">
        <f t="shared" si="57"/>
        <v>4.0631520709307554E-2</v>
      </c>
      <c r="E389" s="12">
        <f t="shared" si="58"/>
        <v>-2.8627911739334051E-2</v>
      </c>
      <c r="F389" s="12">
        <f t="shared" si="59"/>
        <v>-2.8620094844502099E-2</v>
      </c>
      <c r="G389" s="12">
        <f t="shared" si="60"/>
        <v>0.65881392488275492</v>
      </c>
      <c r="H389" s="12">
        <f t="shared" si="61"/>
        <v>5.6926873018679908E-2</v>
      </c>
      <c r="I389" s="12">
        <f t="shared" si="62"/>
        <v>0.65648848642525803</v>
      </c>
      <c r="J389" s="12">
        <f t="shared" si="63"/>
        <v>-2.4302888993675813E-2</v>
      </c>
      <c r="M389" s="123">
        <f t="shared" si="64"/>
        <v>-0.5</v>
      </c>
    </row>
    <row r="390" spans="2:13" x14ac:dyDescent="0.3">
      <c r="B390" s="12">
        <v>0.6606105677459051</v>
      </c>
      <c r="C390" s="12">
        <f t="shared" si="56"/>
        <v>1.6226785109953165E-2</v>
      </c>
      <c r="D390" s="12">
        <f t="shared" si="57"/>
        <v>4.0360972764504739E-2</v>
      </c>
      <c r="E390" s="12">
        <f t="shared" si="58"/>
        <v>-2.895672974954501E-2</v>
      </c>
      <c r="F390" s="12">
        <f t="shared" si="59"/>
        <v>-2.8948640488168569E-2</v>
      </c>
      <c r="G390" s="12">
        <f t="shared" si="60"/>
        <v>0.66177879985254773</v>
      </c>
      <c r="H390" s="12">
        <f t="shared" si="61"/>
        <v>5.6570847327857089E-2</v>
      </c>
      <c r="I390" s="12">
        <f t="shared" si="62"/>
        <v>0.65944233563926247</v>
      </c>
      <c r="J390" s="12">
        <f t="shared" si="63"/>
        <v>-2.4117277107950759E-2</v>
      </c>
      <c r="M390" s="123">
        <f t="shared" si="64"/>
        <v>-0.5</v>
      </c>
    </row>
    <row r="391" spans="2:13" x14ac:dyDescent="0.3">
      <c r="B391" s="12">
        <v>0.66357329291332134</v>
      </c>
      <c r="C391" s="12">
        <f t="shared" si="56"/>
        <v>1.6140506625712692E-2</v>
      </c>
      <c r="D391" s="12">
        <f t="shared" si="57"/>
        <v>4.0088821899329656E-2</v>
      </c>
      <c r="E391" s="12">
        <f t="shared" si="58"/>
        <v>-2.9285921434813483E-2</v>
      </c>
      <c r="F391" s="12">
        <f t="shared" si="59"/>
        <v>-2.9277553235493806E-2</v>
      </c>
      <c r="G391" s="12">
        <f t="shared" si="60"/>
        <v>0.66474682785969919</v>
      </c>
      <c r="H391" s="12">
        <f t="shared" si="61"/>
        <v>5.6212148181878099E-2</v>
      </c>
      <c r="I391" s="12">
        <f t="shared" si="62"/>
        <v>0.6623997579669435</v>
      </c>
      <c r="J391" s="12">
        <f t="shared" si="63"/>
        <v>-2.3931134930452718E-2</v>
      </c>
      <c r="M391" s="123">
        <f t="shared" si="64"/>
        <v>-0.5</v>
      </c>
    </row>
    <row r="392" spans="2:13" x14ac:dyDescent="0.3">
      <c r="B392" s="12">
        <v>0.66653935179803925</v>
      </c>
      <c r="C392" s="12">
        <f t="shared" si="56"/>
        <v>1.6053154107948952E-2</v>
      </c>
      <c r="D392" s="12">
        <f t="shared" si="57"/>
        <v>3.9815072747194778E-2</v>
      </c>
      <c r="E392" s="12">
        <f t="shared" si="58"/>
        <v>-2.961548353311547E-2</v>
      </c>
      <c r="F392" s="12">
        <f t="shared" si="59"/>
        <v>-2.9606829734870353E-2</v>
      </c>
      <c r="G392" s="12">
        <f t="shared" si="60"/>
        <v>0.66771797766989593</v>
      </c>
      <c r="H392" s="12">
        <f t="shared" si="61"/>
        <v>5.5850777892775635E-2</v>
      </c>
      <c r="I392" s="12">
        <f t="shared" si="62"/>
        <v>0.66536072592618256</v>
      </c>
      <c r="J392" s="12">
        <f t="shared" si="63"/>
        <v>-2.3744469676877728E-2</v>
      </c>
      <c r="M392" s="123">
        <f t="shared" si="64"/>
        <v>-0.5</v>
      </c>
    </row>
    <row r="393" spans="2:13" x14ac:dyDescent="0.3">
      <c r="B393" s="12">
        <v>0.66950871500880726</v>
      </c>
      <c r="C393" s="12">
        <f t="shared" si="56"/>
        <v>1.5964725140794528E-2</v>
      </c>
      <c r="D393" s="12">
        <f t="shared" si="57"/>
        <v>3.9539729865946539E-2</v>
      </c>
      <c r="E393" s="12">
        <f t="shared" si="58"/>
        <v>-2.9945412778756363E-2</v>
      </c>
      <c r="F393" s="12">
        <f t="shared" si="59"/>
        <v>-2.9936466630779167E-2</v>
      </c>
      <c r="G393" s="12">
        <f t="shared" si="60"/>
        <v>0.67069221801971624</v>
      </c>
      <c r="H393" s="12">
        <f t="shared" si="61"/>
        <v>5.5486738734426042E-2</v>
      </c>
      <c r="I393" s="12">
        <f t="shared" si="62"/>
        <v>0.66832521199789829</v>
      </c>
      <c r="J393" s="12">
        <f t="shared" si="63"/>
        <v>-2.3557288452836986E-2</v>
      </c>
      <c r="M393" s="123">
        <f t="shared" si="64"/>
        <v>-0.5</v>
      </c>
    </row>
    <row r="394" spans="2:13" x14ac:dyDescent="0.3">
      <c r="B394" s="12">
        <v>0.67248135312163138</v>
      </c>
      <c r="C394" s="12">
        <f t="shared" si="56"/>
        <v>1.5875217344500269E-2</v>
      </c>
      <c r="D394" s="12">
        <f t="shared" si="57"/>
        <v>3.9262797736529138E-2</v>
      </c>
      <c r="E394" s="12">
        <f t="shared" si="58"/>
        <v>-3.0275705902403485E-2</v>
      </c>
      <c r="F394" s="12">
        <f t="shared" si="59"/>
        <v>-3.0266460563829062E-2</v>
      </c>
      <c r="G394" s="12">
        <f t="shared" si="60"/>
        <v>0.67366951761683613</v>
      </c>
      <c r="H394" s="12">
        <f t="shared" si="61"/>
        <v>5.5120032941365193E-2</v>
      </c>
      <c r="I394" s="12">
        <f t="shared" si="62"/>
        <v>0.67129318862642662</v>
      </c>
      <c r="J394" s="12">
        <f t="shared" si="63"/>
        <v>-2.3369598252364659E-2</v>
      </c>
      <c r="M394" s="123">
        <f t="shared" si="64"/>
        <v>-0.5</v>
      </c>
    </row>
    <row r="395" spans="2:13" x14ac:dyDescent="0.3">
      <c r="B395" s="12">
        <v>0.6754572366800653</v>
      </c>
      <c r="C395" s="12">
        <f t="shared" si="56"/>
        <v>1.5784628375587913E-2</v>
      </c>
      <c r="D395" s="12">
        <f t="shared" si="57"/>
        <v>3.8984280761663111E-2</v>
      </c>
      <c r="E395" s="12">
        <f t="shared" si="58"/>
        <v>-3.0606359631118366E-2</v>
      </c>
      <c r="F395" s="12">
        <f t="shared" si="59"/>
        <v>-3.0596808170795999E-2</v>
      </c>
      <c r="G395" s="12">
        <f t="shared" si="60"/>
        <v>0.67664984514022986</v>
      </c>
      <c r="H395" s="12">
        <f t="shared" si="61"/>
        <v>5.4750662707617651E-2</v>
      </c>
      <c r="I395" s="12">
        <f t="shared" si="62"/>
        <v>0.67426462821990074</v>
      </c>
      <c r="J395" s="12">
        <f t="shared" si="63"/>
        <v>-2.3181405956441827E-2</v>
      </c>
      <c r="M395" s="123">
        <f t="shared" si="64"/>
        <v>-0.5</v>
      </c>
    </row>
    <row r="396" spans="2:13" x14ac:dyDescent="0.3">
      <c r="B396" s="12">
        <v>0.67843633619550392</v>
      </c>
      <c r="C396" s="12">
        <f t="shared" si="56"/>
        <v>1.5692955927001352E-2</v>
      </c>
      <c r="D396" s="12">
        <f t="shared" si="57"/>
        <v>3.8704183264537999E-2</v>
      </c>
      <c r="E396" s="12">
        <f t="shared" si="58"/>
        <v>-3.0937370688389323E-2</v>
      </c>
      <c r="F396" s="12">
        <f t="shared" si="59"/>
        <v>-3.092750608466269E-2</v>
      </c>
      <c r="G396" s="12">
        <f t="shared" si="60"/>
        <v>0.67963316924037054</v>
      </c>
      <c r="H396" s="12">
        <f t="shared" si="61"/>
        <v>5.4378630185538693E-2</v>
      </c>
      <c r="I396" s="12">
        <f t="shared" si="62"/>
        <v>0.6772395031506373</v>
      </c>
      <c r="J396" s="12">
        <f t="shared" si="63"/>
        <v>-2.2992718331535988E-2</v>
      </c>
      <c r="M396" s="123">
        <f t="shared" si="64"/>
        <v>-0.5</v>
      </c>
    </row>
    <row r="397" spans="2:13" x14ac:dyDescent="0.3">
      <c r="B397" s="12">
        <v>0.68141862214747362</v>
      </c>
      <c r="C397" s="12">
        <f t="shared" si="56"/>
        <v>1.5600197728256528E-2</v>
      </c>
      <c r="D397" s="12">
        <f t="shared" si="57"/>
        <v>3.8422509487520198E-2</v>
      </c>
      <c r="E397" s="12">
        <f t="shared" si="58"/>
        <v>-3.1268735794163734E-2</v>
      </c>
      <c r="F397" s="12">
        <f t="shared" si="59"/>
        <v>-3.1258550934657965E-2</v>
      </c>
      <c r="G397" s="12">
        <f t="shared" si="60"/>
        <v>0.68261945853942474</v>
      </c>
      <c r="H397" s="12">
        <f t="shared" si="61"/>
        <v>5.4003937484670167E-2</v>
      </c>
      <c r="I397" s="12">
        <f t="shared" si="62"/>
        <v>0.6802177857555225</v>
      </c>
      <c r="J397" s="12">
        <f t="shared" si="63"/>
        <v>-2.2803542028157112E-2</v>
      </c>
      <c r="M397" s="123">
        <f t="shared" si="64"/>
        <v>-0.5</v>
      </c>
    </row>
    <row r="398" spans="2:13" x14ac:dyDescent="0.3">
      <c r="B398" s="12">
        <v>0.68440406498392603</v>
      </c>
      <c r="C398" s="12">
        <f t="shared" si="56"/>
        <v>1.5506351545589931E-2</v>
      </c>
      <c r="D398" s="12">
        <f t="shared" si="57"/>
        <v>3.8139263590875903E-2</v>
      </c>
      <c r="E398" s="12">
        <f t="shared" si="58"/>
        <v>-3.1600451664880673E-2</v>
      </c>
      <c r="F398" s="12">
        <f t="shared" si="59"/>
        <v>-3.1589939346296517E-2</v>
      </c>
      <c r="G398" s="12">
        <f t="shared" si="60"/>
        <v>0.68560868163144817</v>
      </c>
      <c r="H398" s="12">
        <f t="shared" si="61"/>
        <v>5.3626586670610141E-2</v>
      </c>
      <c r="I398" s="12">
        <f t="shared" si="62"/>
        <v>0.68319944833640389</v>
      </c>
      <c r="J398" s="12">
        <f t="shared" si="63"/>
        <v>-2.2613883579430283E-2</v>
      </c>
      <c r="M398" s="123">
        <f t="shared" si="64"/>
        <v>-0.5</v>
      </c>
    </row>
    <row r="399" spans="2:13" x14ac:dyDescent="0.3">
      <c r="B399" s="12">
        <v>0.68739263512153115</v>
      </c>
      <c r="C399" s="12">
        <f t="shared" si="56"/>
        <v>1.5411415182105693E-2</v>
      </c>
      <c r="D399" s="12">
        <f t="shared" si="57"/>
        <v>3.785444965150897E-2</v>
      </c>
      <c r="E399" s="12">
        <f t="shared" si="58"/>
        <v>-3.1932515013503464E-2</v>
      </c>
      <c r="F399" s="12">
        <f t="shared" si="59"/>
        <v>-3.1921667941418673E-2</v>
      </c>
      <c r="G399" s="12">
        <f t="shared" si="60"/>
        <v>0.68860080708257754</v>
      </c>
      <c r="H399" s="12">
        <f t="shared" si="61"/>
        <v>5.3246579763896115E-2</v>
      </c>
      <c r="I399" s="12">
        <f t="shared" si="62"/>
        <v>0.68618446316048476</v>
      </c>
      <c r="J399" s="12">
        <f t="shared" si="63"/>
        <v>-2.2423749399684733E-2</v>
      </c>
      <c r="M399" s="123">
        <f t="shared" si="64"/>
        <v>-0.5</v>
      </c>
    </row>
    <row r="400" spans="2:13" x14ac:dyDescent="0.3">
      <c r="B400" s="12">
        <v>0.6903843029459692</v>
      </c>
      <c r="C400" s="12">
        <f t="shared" si="56"/>
        <v>1.5315386477921314E-2</v>
      </c>
      <c r="D400" s="12">
        <f t="shared" si="57"/>
        <v>3.7568071661715455E-2</v>
      </c>
      <c r="E400" s="12">
        <f t="shared" si="58"/>
        <v>-3.2264922549552134E-2</v>
      </c>
      <c r="F400" s="12">
        <f t="shared" si="59"/>
        <v>-3.2253733338230013E-2</v>
      </c>
      <c r="G400" s="12">
        <f t="shared" si="60"/>
        <v>0.69159580343121918</v>
      </c>
      <c r="H400" s="12">
        <f t="shared" si="61"/>
        <v>5.2863918738903594E-2</v>
      </c>
      <c r="I400" s="12">
        <f t="shared" si="62"/>
        <v>0.68917280246071921</v>
      </c>
      <c r="J400" s="12">
        <f t="shared" si="63"/>
        <v>-2.2233145783060966E-2</v>
      </c>
      <c r="M400" s="123">
        <f t="shared" si="64"/>
        <v>-0.5</v>
      </c>
    </row>
    <row r="401" spans="2:13" x14ac:dyDescent="0.3">
      <c r="B401" s="12">
        <v>0.69337903881222562</v>
      </c>
      <c r="C401" s="12">
        <f t="shared" si="56"/>
        <v>1.5218263310311919E-2</v>
      </c>
      <c r="D401" s="12">
        <f t="shared" si="57"/>
        <v>3.7280133527952966E-2</v>
      </c>
      <c r="E401" s="12">
        <f t="shared" si="58"/>
        <v>-3.2597670979136177E-2</v>
      </c>
      <c r="F401" s="12">
        <f t="shared" si="59"/>
        <v>-3.2586132151341464E-2</v>
      </c>
      <c r="G401" s="12">
        <f t="shared" si="60"/>
        <v>0.69459363918823691</v>
      </c>
      <c r="H401" s="12">
        <f t="shared" si="61"/>
        <v>5.2478605522758064E-2</v>
      </c>
      <c r="I401" s="12">
        <f t="shared" si="62"/>
        <v>0.69216443843621434</v>
      </c>
      <c r="J401" s="12">
        <f t="shared" si="63"/>
        <v>-2.2042078902134228E-2</v>
      </c>
      <c r="M401" s="123">
        <f t="shared" si="64"/>
        <v>-0.5</v>
      </c>
    </row>
    <row r="402" spans="2:13" x14ac:dyDescent="0.3">
      <c r="B402" s="12">
        <v>0.69637681304488286</v>
      </c>
      <c r="C402" s="12">
        <f t="shared" si="56"/>
        <v>1.5120043593853254E-2</v>
      </c>
      <c r="D402" s="12">
        <f t="shared" si="57"/>
        <v>3.6990639069627372E-2</v>
      </c>
      <c r="E402" s="12">
        <f t="shared" si="58"/>
        <v>-3.2930757004986981E-2</v>
      </c>
      <c r="F402" s="12">
        <f t="shared" si="59"/>
        <v>-3.2918860991808997E-2</v>
      </c>
      <c r="G402" s="12">
        <f t="shared" si="60"/>
        <v>0.69759428283713576</v>
      </c>
      <c r="H402" s="12">
        <f t="shared" si="61"/>
        <v>5.2090641994263207E-2</v>
      </c>
      <c r="I402" s="12">
        <f t="shared" si="62"/>
        <v>0.69515934325262996</v>
      </c>
      <c r="J402" s="12">
        <f t="shared" si="63"/>
        <v>-2.1850554806556694E-2</v>
      </c>
      <c r="M402" s="123">
        <f t="shared" si="64"/>
        <v>-0.5</v>
      </c>
    </row>
    <row r="403" spans="2:13" x14ac:dyDescent="0.3">
      <c r="B403" s="12">
        <v>0.69937759593841675</v>
      </c>
      <c r="C403" s="12">
        <f t="shared" si="56"/>
        <v>1.5020725280563E-2</v>
      </c>
      <c r="D403" s="12">
        <f t="shared" si="57"/>
        <v>3.6699592017895237E-2</v>
      </c>
      <c r="E403" s="12">
        <f t="shared" si="58"/>
        <v>-3.326417732649075E-2</v>
      </c>
      <c r="F403" s="12">
        <f t="shared" si="59"/>
        <v>-3.3251916467173938E-2</v>
      </c>
      <c r="G403" s="12">
        <f t="shared" si="60"/>
        <v>0.70059770283424583</v>
      </c>
      <c r="H403" s="12">
        <f t="shared" si="61"/>
        <v>5.1700029982843142E-2</v>
      </c>
      <c r="I403" s="12">
        <f t="shared" si="62"/>
        <v>0.69815748904258768</v>
      </c>
      <c r="J403" s="12">
        <f t="shared" si="63"/>
        <v>-2.1658579421717138E-2</v>
      </c>
      <c r="M403" s="123">
        <f t="shared" si="64"/>
        <v>-0.5</v>
      </c>
    </row>
    <row r="404" spans="2:13" x14ac:dyDescent="0.3">
      <c r="B404" s="12">
        <v>0.70238135775748911</v>
      </c>
      <c r="C404" s="12">
        <f t="shared" si="56"/>
        <v>1.4920306360040967E-2</v>
      </c>
      <c r="D404" s="12">
        <f t="shared" si="57"/>
        <v>3.6406996014483453E-2</v>
      </c>
      <c r="E404" s="12">
        <f t="shared" si="58"/>
        <v>-3.3597928639721011E-2</v>
      </c>
      <c r="F404" s="12">
        <f t="shared" si="59"/>
        <v>-3.3585295181502842E-2</v>
      </c>
      <c r="G404" s="12">
        <f t="shared" si="60"/>
        <v>0.7036038676089017</v>
      </c>
      <c r="H404" s="12">
        <f t="shared" si="61"/>
        <v>5.1306771267500897E-2</v>
      </c>
      <c r="I404" s="12">
        <f t="shared" si="62"/>
        <v>0.70115884790607652</v>
      </c>
      <c r="J404" s="12">
        <f t="shared" si="63"/>
        <v>-2.1466158547418967E-2</v>
      </c>
      <c r="M404" s="123">
        <f t="shared" si="64"/>
        <v>-0.5</v>
      </c>
    </row>
    <row r="405" spans="2:13" x14ac:dyDescent="0.3">
      <c r="B405" s="12">
        <v>0.70538806873724358</v>
      </c>
      <c r="C405" s="12">
        <f t="shared" si="56"/>
        <v>1.4818784859607591E-2</v>
      </c>
      <c r="D405" s="12">
        <f t="shared" si="57"/>
        <v>3.6112854610526018E-2</v>
      </c>
      <c r="E405" s="12">
        <f t="shared" si="58"/>
        <v>-3.3932007637471506E-2</v>
      </c>
      <c r="F405" s="12">
        <f t="shared" si="59"/>
        <v>-3.3918993735427873E-2</v>
      </c>
      <c r="G405" s="12">
        <f t="shared" si="60"/>
        <v>0.70661274556362141</v>
      </c>
      <c r="H405" s="12">
        <f t="shared" si="61"/>
        <v>5.0910867575792357E-2</v>
      </c>
      <c r="I405" s="12">
        <f t="shared" si="62"/>
        <v>0.70416339191086574</v>
      </c>
      <c r="J405" s="12">
        <f t="shared" si="63"/>
        <v>-2.1273297856577177E-2</v>
      </c>
      <c r="M405" s="123">
        <f t="shared" si="64"/>
        <v>-0.5</v>
      </c>
    </row>
    <row r="406" spans="2:13" x14ac:dyDescent="0.3">
      <c r="B406" s="12">
        <v>0.70839769908359895</v>
      </c>
      <c r="C406" s="12">
        <f t="shared" si="56"/>
        <v>1.471615884444122E-2</v>
      </c>
      <c r="D406" s="12">
        <f t="shared" si="57"/>
        <v>3.5817171265418002E-2</v>
      </c>
      <c r="E406" s="12">
        <f t="shared" si="58"/>
        <v>-3.4266411009288775E-2</v>
      </c>
      <c r="F406" s="12">
        <f t="shared" si="59"/>
        <v>-3.4253008726186841E-2</v>
      </c>
      <c r="G406" s="12">
        <f t="shared" si="60"/>
        <v>0.70962430507428109</v>
      </c>
      <c r="H406" s="12">
        <f t="shared" si="61"/>
        <v>5.0512320582816295E-2</v>
      </c>
      <c r="I406" s="12">
        <f t="shared" si="62"/>
        <v>0.70717109309291681</v>
      </c>
      <c r="J406" s="12">
        <f t="shared" si="63"/>
        <v>-2.1080002893933858E-2</v>
      </c>
      <c r="M406" s="123">
        <f t="shared" si="64"/>
        <v>-0.5</v>
      </c>
    </row>
    <row r="407" spans="2:13" x14ac:dyDescent="0.3">
      <c r="B407" s="12">
        <v>0.71141021897354673</v>
      </c>
      <c r="C407" s="12">
        <f t="shared" si="56"/>
        <v>1.4612426417713759E-2</v>
      </c>
      <c r="D407" s="12">
        <f t="shared" si="57"/>
        <v>3.5519949345687286E-2</v>
      </c>
      <c r="E407" s="12">
        <f t="shared" si="58"/>
        <v>-3.4601135441505192E-2</v>
      </c>
      <c r="F407" s="12">
        <f t="shared" si="59"/>
        <v>-3.4587336747663788E-2</v>
      </c>
      <c r="G407" s="12">
        <f t="shared" si="60"/>
        <v>0.71263851449029103</v>
      </c>
      <c r="H407" s="12">
        <f t="shared" si="61"/>
        <v>5.0111131910220617E-2</v>
      </c>
      <c r="I407" s="12">
        <f t="shared" si="62"/>
        <v>0.71018192345680242</v>
      </c>
      <c r="J407" s="12">
        <f t="shared" si="63"/>
        <v>-2.0886279074793103E-2</v>
      </c>
      <c r="M407" s="123">
        <f t="shared" si="64"/>
        <v>-0.5</v>
      </c>
    </row>
    <row r="408" spans="2:13" x14ac:dyDescent="0.3">
      <c r="B408" s="12">
        <v>0.71442559855544452</v>
      </c>
      <c r="C408" s="12">
        <f t="shared" si="56"/>
        <v>1.4507585720725026E-2</v>
      </c>
      <c r="D408" s="12">
        <f t="shared" si="57"/>
        <v>3.5221192123883971E-2</v>
      </c>
      <c r="E408" s="12">
        <f t="shared" si="58"/>
        <v>-3.4936177617271615E-2</v>
      </c>
      <c r="F408" s="12">
        <f t="shared" si="59"/>
        <v>-3.4921974390429211E-2</v>
      </c>
      <c r="G408" s="12">
        <f t="shared" si="60"/>
        <v>0.71565534213476589</v>
      </c>
      <c r="H408" s="12">
        <f t="shared" si="61"/>
        <v>4.9707303125225082E-2</v>
      </c>
      <c r="I408" s="12">
        <f t="shared" si="62"/>
        <v>0.71319585497612314</v>
      </c>
      <c r="J408" s="12">
        <f t="shared" si="63"/>
        <v>-2.0692131683775032E-2</v>
      </c>
      <c r="M408" s="123">
        <f t="shared" si="64"/>
        <v>-0.5</v>
      </c>
    </row>
    <row r="409" spans="2:13" x14ac:dyDescent="0.3">
      <c r="B409" s="12">
        <v>0.71744380794931262</v>
      </c>
      <c r="C409" s="12">
        <f t="shared" si="56"/>
        <v>1.4401634933035553E-2</v>
      </c>
      <c r="D409" s="12">
        <f t="shared" si="57"/>
        <v>3.4920902777488529E-2</v>
      </c>
      <c r="E409" s="12">
        <f t="shared" si="58"/>
        <v>-3.5271534216590288E-2</v>
      </c>
      <c r="F409" s="12">
        <f t="shared" si="59"/>
        <v>-3.5256918241780559E-2</v>
      </c>
      <c r="G409" s="12">
        <f t="shared" si="60"/>
        <v>0.71867475630469513</v>
      </c>
      <c r="H409" s="12">
        <f t="shared" si="61"/>
        <v>4.9300835739661299E-2</v>
      </c>
      <c r="I409" s="12">
        <f t="shared" si="62"/>
        <v>0.71621285959393011</v>
      </c>
      <c r="J409" s="12">
        <f t="shared" si="63"/>
        <v>-2.0497565873590189E-2</v>
      </c>
      <c r="M409" s="123">
        <f t="shared" si="64"/>
        <v>-0.5</v>
      </c>
    </row>
    <row r="410" spans="2:13" x14ac:dyDescent="0.3">
      <c r="B410" s="12">
        <v>0.72046481724713085</v>
      </c>
      <c r="C410" s="12">
        <f t="shared" si="56"/>
        <v>1.4294572272597944E-2</v>
      </c>
      <c r="D410" s="12">
        <f t="shared" si="57"/>
        <v>3.4619084387837534E-2</v>
      </c>
      <c r="E410" s="12">
        <f t="shared" si="58"/>
        <v>-3.5607201916347871E-2</v>
      </c>
      <c r="F410" s="12">
        <f t="shared" si="59"/>
        <v>-3.5592164885782936E-2</v>
      </c>
      <c r="G410" s="12">
        <f t="shared" si="60"/>
        <v>0.72169672527111228</v>
      </c>
      <c r="H410" s="12">
        <f t="shared" si="61"/>
        <v>4.8891731209028927E-2</v>
      </c>
      <c r="I410" s="12">
        <f t="shared" si="62"/>
        <v>0.71923290922314942</v>
      </c>
      <c r="J410" s="12">
        <f t="shared" si="63"/>
        <v>-2.0302586663833042E-2</v>
      </c>
      <c r="M410" s="123">
        <f t="shared" si="64"/>
        <v>-0.5</v>
      </c>
    </row>
    <row r="411" spans="2:13" x14ac:dyDescent="0.3">
      <c r="B411" s="12">
        <v>0.72348859651313369</v>
      </c>
      <c r="C411" s="12">
        <f t="shared" si="56"/>
        <v>1.4186395995886831E-2</v>
      </c>
      <c r="D411" s="12">
        <f t="shared" si="57"/>
        <v>3.4315739939068834E-2</v>
      </c>
      <c r="E411" s="12">
        <f t="shared" si="58"/>
        <v>-3.5943177390348184E-2</v>
      </c>
      <c r="F411" s="12">
        <f t="shared" si="59"/>
        <v>-3.5927710903309512E-2</v>
      </c>
      <c r="G411" s="12">
        <f t="shared" si="60"/>
        <v>0.72472121727925964</v>
      </c>
      <c r="H411" s="12">
        <f t="shared" si="61"/>
        <v>4.8479990931570065E-2</v>
      </c>
      <c r="I411" s="12">
        <f t="shared" si="62"/>
        <v>0.72225597574700773</v>
      </c>
      <c r="J411" s="12">
        <f t="shared" si="63"/>
        <v>-2.0107198939796407E-2</v>
      </c>
      <c r="M411" s="123">
        <f t="shared" si="64"/>
        <v>-0.5</v>
      </c>
    </row>
    <row r="412" spans="2:13" x14ac:dyDescent="0.3">
      <c r="B412" s="12">
        <v>0.72651511578410766</v>
      </c>
      <c r="C412" s="12">
        <f t="shared" si="56"/>
        <v>1.407710439802726E-2</v>
      </c>
      <c r="D412" s="12">
        <f t="shared" si="57"/>
        <v>3.4010872317085356E-2</v>
      </c>
      <c r="E412" s="12">
        <f t="shared" si="58"/>
        <v>-3.6279457309345294E-2</v>
      </c>
      <c r="F412" s="12">
        <f t="shared" si="59"/>
        <v>-3.6263552872082376E-2</v>
      </c>
      <c r="G412" s="12">
        <f t="shared" si="60"/>
        <v>0.72774820054875378</v>
      </c>
      <c r="H412" s="12">
        <f t="shared" si="61"/>
        <v>4.8065616247360721E-2</v>
      </c>
      <c r="I412" s="12">
        <f t="shared" si="62"/>
        <v>0.72528203101946154</v>
      </c>
      <c r="J412" s="12">
        <f t="shared" si="63"/>
        <v>-1.9911407451306196E-2</v>
      </c>
      <c r="M412" s="123">
        <f t="shared" si="64"/>
        <v>-0.5</v>
      </c>
    </row>
    <row r="413" spans="2:13" x14ac:dyDescent="0.3">
      <c r="B413" s="12">
        <v>0.72954434506968779</v>
      </c>
      <c r="C413" s="12">
        <f t="shared" si="56"/>
        <v>1.3966695812921698E-2</v>
      </c>
      <c r="D413" s="12">
        <f t="shared" si="57"/>
        <v>3.3704484308538098E-2</v>
      </c>
      <c r="E413" s="12">
        <f t="shared" si="58"/>
        <v>-3.6616038341076421E-2</v>
      </c>
      <c r="F413" s="12">
        <f t="shared" si="59"/>
        <v>-3.6599687366713186E-2</v>
      </c>
      <c r="G413" s="12">
        <f t="shared" si="60"/>
        <v>0.73077764327374717</v>
      </c>
      <c r="H413" s="12">
        <f t="shared" si="61"/>
        <v>4.7648608437420248E-2</v>
      </c>
      <c r="I413" s="12">
        <f t="shared" si="62"/>
        <v>0.72831104686562842</v>
      </c>
      <c r="J413" s="12">
        <f t="shared" si="63"/>
        <v>-1.9715216811576855E-2</v>
      </c>
      <c r="M413" s="123">
        <f t="shared" si="64"/>
        <v>-0.5</v>
      </c>
    </row>
    <row r="414" spans="2:13" x14ac:dyDescent="0.3">
      <c r="B414" s="12">
        <v>0.73257625435265572</v>
      </c>
      <c r="C414" s="12">
        <f t="shared" si="56"/>
        <v>1.385516861337543E-2</v>
      </c>
      <c r="D414" s="12">
        <f t="shared" si="57"/>
        <v>3.339657859982869E-2</v>
      </c>
      <c r="E414" s="12">
        <f t="shared" si="58"/>
        <v>-3.6952917150295077E-2</v>
      </c>
      <c r="F414" s="12">
        <f t="shared" si="59"/>
        <v>-3.6936110958744127E-2</v>
      </c>
      <c r="G414" s="12">
        <f t="shared" si="60"/>
        <v>0.73380951362309121</v>
      </c>
      <c r="H414" s="12">
        <f t="shared" si="61"/>
        <v>4.7228968722838847E-2</v>
      </c>
      <c r="I414" s="12">
        <f t="shared" si="62"/>
        <v>0.73134299508222023</v>
      </c>
      <c r="J414" s="12">
        <f t="shared" si="63"/>
        <v>-1.9518631496087992E-2</v>
      </c>
      <c r="M414" s="123">
        <f t="shared" si="64"/>
        <v>-0.5</v>
      </c>
    </row>
    <row r="415" spans="2:13" x14ac:dyDescent="0.3">
      <c r="B415" s="12">
        <v>0.73561081358923541</v>
      </c>
      <c r="C415" s="12">
        <f t="shared" si="56"/>
        <v>1.3742521211220635E-2</v>
      </c>
      <c r="D415" s="12">
        <f t="shared" si="57"/>
        <v>3.308715777613154E-2</v>
      </c>
      <c r="E415" s="12">
        <f t="shared" si="58"/>
        <v>-3.7290090398803932E-2</v>
      </c>
      <c r="F415" s="12">
        <f t="shared" si="59"/>
        <v>-3.727282021668861E-2</v>
      </c>
      <c r="G415" s="12">
        <f t="shared" si="60"/>
        <v>0.73684377974049275</v>
      </c>
      <c r="H415" s="12">
        <f t="shared" si="61"/>
        <v>4.6806698263923391E-2</v>
      </c>
      <c r="I415" s="12">
        <f t="shared" si="62"/>
        <v>0.73437784743797807</v>
      </c>
      <c r="J415" s="12">
        <f t="shared" si="63"/>
        <v>-1.9321655841482124E-2</v>
      </c>
      <c r="M415" s="123">
        <f t="shared" si="64"/>
        <v>-0.5</v>
      </c>
    </row>
    <row r="416" spans="2:13" x14ac:dyDescent="0.3">
      <c r="B416" s="12">
        <v>0.7386479927093933</v>
      </c>
      <c r="C416" s="12">
        <f t="shared" si="56"/>
        <v>1.3628752057438817E-2</v>
      </c>
      <c r="D416" s="12">
        <f t="shared" si="57"/>
        <v>3.2776224320435976E-2</v>
      </c>
      <c r="E416" s="12">
        <f t="shared" si="58"/>
        <v>-3.7627554745488144E-2</v>
      </c>
      <c r="F416" s="12">
        <f t="shared" si="59"/>
        <v>-3.7609811706072499E-2</v>
      </c>
      <c r="G416" s="12">
        <f t="shared" si="60"/>
        <v>0.73988040974467495</v>
      </c>
      <c r="H416" s="12">
        <f t="shared" si="61"/>
        <v>4.6381798159361713E-2</v>
      </c>
      <c r="I416" s="12">
        <f t="shared" si="62"/>
        <v>0.73741557567411165</v>
      </c>
      <c r="J416" s="12">
        <f t="shared" si="63"/>
        <v>-1.9124294044484076E-2</v>
      </c>
      <c r="M416" s="123">
        <f t="shared" si="64"/>
        <v>-0.5</v>
      </c>
    </row>
    <row r="417" spans="2:13" x14ac:dyDescent="0.3">
      <c r="B417" s="12">
        <v>0.74168776161713368</v>
      </c>
      <c r="C417" s="12">
        <f t="shared" si="56"/>
        <v>1.3513859642281826E-2</v>
      </c>
      <c r="D417" s="12">
        <f t="shared" si="57"/>
        <v>3.2463780612608795E-2</v>
      </c>
      <c r="E417" s="12">
        <f t="shared" si="58"/>
        <v>-3.7965306846348183E-2</v>
      </c>
      <c r="F417" s="12">
        <f t="shared" si="59"/>
        <v>-3.7947081989474843E-2</v>
      </c>
      <c r="G417" s="12">
        <f t="shared" si="60"/>
        <v>0.7429193717295306</v>
      </c>
      <c r="H417" s="12">
        <f t="shared" si="61"/>
        <v>4.5954269445406024E-2</v>
      </c>
      <c r="I417" s="12">
        <f t="shared" si="62"/>
        <v>0.74045615150473676</v>
      </c>
      <c r="J417" s="12">
        <f t="shared" si="63"/>
        <v>-1.8926550160842368E-2</v>
      </c>
      <c r="M417" s="123">
        <f t="shared" si="64"/>
        <v>-0.5</v>
      </c>
    </row>
    <row r="418" spans="2:13" x14ac:dyDescent="0.3">
      <c r="B418" s="12">
        <v>0.7447300901907985</v>
      </c>
      <c r="C418" s="12">
        <f t="shared" si="56"/>
        <v>1.3397842495391334E-2</v>
      </c>
      <c r="D418" s="12">
        <f t="shared" si="57"/>
        <v>3.2149828928476766E-2</v>
      </c>
      <c r="E418" s="12">
        <f t="shared" si="58"/>
        <v>-3.8303343354533163E-2</v>
      </c>
      <c r="F418" s="12">
        <f t="shared" si="59"/>
        <v>-3.8284627626569152E-2</v>
      </c>
      <c r="G418" s="12">
        <f t="shared" si="60"/>
        <v>0.74596063376427879</v>
      </c>
      <c r="H418" s="12">
        <f t="shared" si="61"/>
        <v>4.5524113095074821E-2</v>
      </c>
      <c r="I418" s="12">
        <f t="shared" si="62"/>
        <v>0.74349954661731821</v>
      </c>
      <c r="J418" s="12">
        <f t="shared" si="63"/>
        <v>-1.8728428104292157E-2</v>
      </c>
      <c r="M418" s="123">
        <f t="shared" si="64"/>
        <v>-0.5</v>
      </c>
    </row>
    <row r="419" spans="2:13" x14ac:dyDescent="0.3">
      <c r="B419" s="12">
        <v>0.74777494828336577</v>
      </c>
      <c r="C419" s="12">
        <f t="shared" si="56"/>
        <v>1.3280699185916791E-2</v>
      </c>
      <c r="D419" s="12">
        <f t="shared" si="57"/>
        <v>3.1834371438930247E-2</v>
      </c>
      <c r="E419" s="12">
        <f t="shared" si="58"/>
        <v>-3.8641660920373973E-2</v>
      </c>
      <c r="F419" s="12">
        <f t="shared" si="59"/>
        <v>-3.8622445174164528E-2</v>
      </c>
      <c r="G419" s="12">
        <f t="shared" si="60"/>
        <v>0.74900416389361812</v>
      </c>
      <c r="H419" s="12">
        <f t="shared" si="61"/>
        <v>4.5091330017374524E-2</v>
      </c>
      <c r="I419" s="12">
        <f t="shared" si="62"/>
        <v>0.74654573267311342</v>
      </c>
      <c r="J419" s="12">
        <f t="shared" si="63"/>
        <v>-1.8529931645540947E-2</v>
      </c>
      <c r="M419" s="123">
        <f t="shared" si="64"/>
        <v>-0.5</v>
      </c>
    </row>
    <row r="420" spans="2:13" x14ac:dyDescent="0.3">
      <c r="B420" s="12">
        <v>0.75082230572274766</v>
      </c>
      <c r="C420" s="12">
        <f t="shared" si="56"/>
        <v>1.3162428322631944E-2</v>
      </c>
      <c r="D420" s="12">
        <f t="shared" si="57"/>
        <v>3.1517410209047685E-2</v>
      </c>
      <c r="E420" s="12">
        <f t="shared" si="58"/>
        <v>-3.8980256191416408E-2</v>
      </c>
      <c r="F420" s="12">
        <f t="shared" si="59"/>
        <v>-3.8960531186246809E-2</v>
      </c>
      <c r="G420" s="12">
        <f t="shared" si="60"/>
        <v>0.75204993013787791</v>
      </c>
      <c r="H420" s="12">
        <f t="shared" si="61"/>
        <v>4.4655921056540634E-2</v>
      </c>
      <c r="I420" s="12">
        <f t="shared" si="62"/>
        <v>0.74959468130761742</v>
      </c>
      <c r="J420" s="12">
        <f t="shared" si="63"/>
        <v>-1.8331064411276743E-2</v>
      </c>
      <c r="M420" s="123">
        <f t="shared" si="64"/>
        <v>-0.5</v>
      </c>
    </row>
    <row r="421" spans="2:13" x14ac:dyDescent="0.3">
      <c r="B421" s="12">
        <v>0.75387213231209049</v>
      </c>
      <c r="C421" s="12">
        <f t="shared" si="56"/>
        <v>1.304302855404969E-2</v>
      </c>
      <c r="D421" s="12">
        <f t="shared" si="57"/>
        <v>3.1198947197240725E-2</v>
      </c>
      <c r="E421" s="12">
        <f t="shared" si="58"/>
        <v>-3.9319125812454503E-2</v>
      </c>
      <c r="F421" s="12">
        <f t="shared" si="59"/>
        <v>-3.9298882214019969E-2</v>
      </c>
      <c r="G421" s="12">
        <f t="shared" si="60"/>
        <v>0.75509790049317016</v>
      </c>
      <c r="H421" s="12">
        <f t="shared" si="61"/>
        <v>4.4217886991297931E-2</v>
      </c>
      <c r="I421" s="12">
        <f t="shared" si="62"/>
        <v>0.75264636413101083</v>
      </c>
      <c r="J421" s="12">
        <f t="shared" si="63"/>
        <v>-1.8131829883198548E-2</v>
      </c>
      <c r="M421" s="123">
        <f t="shared" si="64"/>
        <v>-0.5</v>
      </c>
    </row>
    <row r="422" spans="2:13" x14ac:dyDescent="0.3">
      <c r="B422" s="12">
        <v>0.75692439783007204</v>
      </c>
      <c r="C422" s="12">
        <f t="shared" si="56"/>
        <v>1.2922498568535582E-2</v>
      </c>
      <c r="D422" s="12">
        <f t="shared" si="57"/>
        <v>3.0878984254421513E-2</v>
      </c>
      <c r="E422" s="12">
        <f t="shared" si="58"/>
        <v>-3.9658266425563561E-2</v>
      </c>
      <c r="F422" s="12">
        <f t="shared" si="59"/>
        <v>-3.9637494805947193E-2</v>
      </c>
      <c r="G422" s="12">
        <f t="shared" si="60"/>
        <v>0.75814804293153681</v>
      </c>
      <c r="H422" s="12">
        <f t="shared" si="61"/>
        <v>4.3777228534141711E-2</v>
      </c>
      <c r="I422" s="12">
        <f t="shared" si="62"/>
        <v>0.75570075272860726</v>
      </c>
      <c r="J422" s="12">
        <f t="shared" si="63"/>
        <v>-1.793223139707055E-2</v>
      </c>
      <c r="M422" s="123">
        <f t="shared" si="64"/>
        <v>-0.5</v>
      </c>
    </row>
    <row r="423" spans="2:13" x14ac:dyDescent="0.3">
      <c r="B423" s="12">
        <v>0.75997907203120352</v>
      </c>
      <c r="C423" s="12">
        <f t="shared" si="56"/>
        <v>1.2800837094419643E-2</v>
      </c>
      <c r="D423" s="12">
        <f t="shared" si="57"/>
        <v>3.0557523123190825E-2</v>
      </c>
      <c r="E423" s="12">
        <f t="shared" si="58"/>
        <v>-3.9997674670133723E-2</v>
      </c>
      <c r="F423" s="12">
        <f t="shared" si="59"/>
        <v>-3.9976365507792627E-2</v>
      </c>
      <c r="G423" s="12">
        <f t="shared" si="60"/>
        <v>0.7612003254011015</v>
      </c>
      <c r="H423" s="12">
        <f t="shared" si="61"/>
        <v>4.3333946330638203E-2</v>
      </c>
      <c r="I423" s="12">
        <f t="shared" si="62"/>
        <v>0.75875781866130554</v>
      </c>
      <c r="J423" s="12">
        <f t="shared" si="63"/>
        <v>-1.7732272141798913E-2</v>
      </c>
      <c r="M423" s="123">
        <f t="shared" si="64"/>
        <v>-0.5</v>
      </c>
    </row>
    <row r="424" spans="2:13" x14ac:dyDescent="0.3">
      <c r="B424" s="12">
        <v>0.76303612464612713</v>
      </c>
      <c r="C424" s="12">
        <f t="shared" si="56"/>
        <v>1.2678042900106755E-2</v>
      </c>
      <c r="D424" s="12">
        <f t="shared" si="57"/>
        <v>3.0234565437048597E-2</v>
      </c>
      <c r="E424" s="12">
        <f t="shared" si="58"/>
        <v>-4.0337347182903015E-2</v>
      </c>
      <c r="F424" s="12">
        <f t="shared" si="59"/>
        <v>-4.0315490862662499E-2</v>
      </c>
      <c r="G424" s="12">
        <f t="shared" si="60"/>
        <v>0.76425471582621329</v>
      </c>
      <c r="H424" s="12">
        <f t="shared" si="61"/>
        <v>4.288804095874605E-2</v>
      </c>
      <c r="I424" s="12">
        <f t="shared" si="62"/>
        <v>0.76181753346604097</v>
      </c>
      <c r="J424" s="12">
        <f t="shared" si="63"/>
        <v>-1.7531955158532536E-2</v>
      </c>
      <c r="M424" s="123">
        <f t="shared" si="64"/>
        <v>-0.5</v>
      </c>
    </row>
    <row r="425" spans="2:13" x14ac:dyDescent="0.3">
      <c r="B425" s="12">
        <v>0.76609552538191783</v>
      </c>
      <c r="C425" s="12">
        <f t="shared" si="56"/>
        <v>1.255411479418542E-2</v>
      </c>
      <c r="D425" s="12">
        <f t="shared" si="57"/>
        <v>2.9910112719625865E-2</v>
      </c>
      <c r="E425" s="12">
        <f t="shared" si="58"/>
        <v>-4.0677280597990868E-2</v>
      </c>
      <c r="F425" s="12">
        <f t="shared" si="59"/>
        <v>-4.0654867411046881E-2</v>
      </c>
      <c r="G425" s="12">
        <f t="shared" si="60"/>
        <v>0.76731118210759608</v>
      </c>
      <c r="H425" s="12">
        <f t="shared" si="61"/>
        <v>4.2439512928157772E-2</v>
      </c>
      <c r="I425" s="12">
        <f t="shared" si="62"/>
        <v>0.76487986865623958</v>
      </c>
      <c r="J425" s="12">
        <f t="shared" si="63"/>
        <v>-1.7331283339786934E-2</v>
      </c>
      <c r="M425" s="123">
        <f t="shared" si="64"/>
        <v>-0.5</v>
      </c>
    </row>
    <row r="426" spans="2:13" x14ac:dyDescent="0.3">
      <c r="B426" s="12">
        <v>0.76915724392238149</v>
      </c>
      <c r="C426" s="12">
        <f t="shared" si="56"/>
        <v>1.2429051625535075E-2</v>
      </c>
      <c r="D426" s="12">
        <f t="shared" si="57"/>
        <v>2.9584166383939729E-2</v>
      </c>
      <c r="E426" s="12">
        <f t="shared" si="58"/>
        <v>-4.1017471546931278E-2</v>
      </c>
      <c r="F426" s="12">
        <f t="shared" si="59"/>
        <v>-4.0994491690861029E-2</v>
      </c>
      <c r="G426" s="12">
        <f t="shared" si="60"/>
        <v>0.77036969212249107</v>
      </c>
      <c r="H426" s="12">
        <f t="shared" si="61"/>
        <v>4.1988362679662855E-2</v>
      </c>
      <c r="I426" s="12">
        <f t="shared" si="62"/>
        <v>0.76794479572227192</v>
      </c>
      <c r="J426" s="12">
        <f t="shared" si="63"/>
        <v>-1.7130259428592701E-2</v>
      </c>
      <c r="M426" s="123">
        <f t="shared" si="64"/>
        <v>-0.5</v>
      </c>
    </row>
    <row r="427" spans="2:13" x14ac:dyDescent="0.3">
      <c r="B427" s="12">
        <v>0.77222124992835761</v>
      </c>
      <c r="C427" s="12">
        <f t="shared" si="56"/>
        <v>1.2302852283431729E-2</v>
      </c>
      <c r="D427" s="12">
        <f t="shared" si="57"/>
        <v>2.9256727731669936E-2</v>
      </c>
      <c r="E427" s="12">
        <f t="shared" si="58"/>
        <v>-4.1357916658706403E-2</v>
      </c>
      <c r="F427" s="12">
        <f t="shared" si="59"/>
        <v>-4.1334360237487211E-2</v>
      </c>
      <c r="G427" s="12">
        <f t="shared" si="60"/>
        <v>0.77343021372480358</v>
      </c>
      <c r="H427" s="12">
        <f t="shared" si="61"/>
        <v>4.1534590584530892E-2</v>
      </c>
      <c r="I427" s="12">
        <f t="shared" si="62"/>
        <v>0.77101228613191164</v>
      </c>
      <c r="J427" s="12">
        <f t="shared" si="63"/>
        <v>-1.6928886017667431E-2</v>
      </c>
      <c r="M427" s="123">
        <f t="shared" si="64"/>
        <v>-0.5</v>
      </c>
    </row>
    <row r="428" spans="2:13" x14ac:dyDescent="0.3">
      <c r="B428" s="12">
        <v>0.77528751303801791</v>
      </c>
      <c r="C428" s="12">
        <f t="shared" si="56"/>
        <v>1.2175515697652198E-2</v>
      </c>
      <c r="D428" s="12">
        <f t="shared" si="57"/>
        <v>2.8927797952458825E-2</v>
      </c>
      <c r="E428" s="12">
        <f t="shared" si="58"/>
        <v>-4.1698612559779767E-2</v>
      </c>
      <c r="F428" s="12">
        <f t="shared" si="59"/>
        <v>-4.1674469583816202E-2</v>
      </c>
      <c r="G428" s="12">
        <f t="shared" si="60"/>
        <v>0.77649271474524473</v>
      </c>
      <c r="H428" s="12">
        <f t="shared" si="61"/>
        <v>4.1078196943916852E-2</v>
      </c>
      <c r="I428" s="12">
        <f t="shared" si="62"/>
        <v>0.77408231133079108</v>
      </c>
      <c r="J428" s="12">
        <f t="shared" si="63"/>
        <v>-1.6727165548612456E-2</v>
      </c>
      <c r="M428" s="123">
        <f t="shared" si="64"/>
        <v>-0.5</v>
      </c>
    </row>
    <row r="429" spans="2:13" x14ac:dyDescent="0.3">
      <c r="B429" s="12">
        <v>0.77835600286716788</v>
      </c>
      <c r="C429" s="12">
        <f t="shared" si="56"/>
        <v>1.2047040838576649E-2</v>
      </c>
      <c r="D429" s="12">
        <f t="shared" si="57"/>
        <v>2.8597378123233704E-2</v>
      </c>
      <c r="E429" s="12">
        <f t="shared" si="58"/>
        <v>-4.2039555874129768E-2</v>
      </c>
      <c r="F429" s="12">
        <f t="shared" si="59"/>
        <v>-4.2014816260289044E-2</v>
      </c>
      <c r="G429" s="12">
        <f t="shared" si="60"/>
        <v>0.77955716299147471</v>
      </c>
      <c r="H429" s="12">
        <f t="shared" si="61"/>
        <v>4.0619181988287165E-2</v>
      </c>
      <c r="I429" s="12">
        <f t="shared" si="62"/>
        <v>0.77715484274286106</v>
      </c>
      <c r="J429" s="12">
        <f t="shared" si="63"/>
        <v>-1.652510031113387E-2</v>
      </c>
      <c r="M429" s="123">
        <f t="shared" si="64"/>
        <v>-0.5</v>
      </c>
    </row>
    <row r="430" spans="2:13" x14ac:dyDescent="0.3">
      <c r="B430" s="12">
        <v>0.78142668900954892</v>
      </c>
      <c r="C430" s="12">
        <f t="shared" si="56"/>
        <v>1.1917426717289601E-2</v>
      </c>
      <c r="D430" s="12">
        <f t="shared" si="57"/>
        <v>2.8265469207552345E-2</v>
      </c>
      <c r="E430" s="12">
        <f t="shared" si="58"/>
        <v>-4.2380743223283217E-2</v>
      </c>
      <c r="F430" s="12">
        <f t="shared" si="59"/>
        <v>-4.2355396794938958E-2</v>
      </c>
      <c r="G430" s="12">
        <f t="shared" si="60"/>
        <v>0.78262352624824594</v>
      </c>
      <c r="H430" s="12">
        <f t="shared" si="61"/>
        <v>4.0157545876867484E-2</v>
      </c>
      <c r="I430" s="12">
        <f t="shared" si="62"/>
        <v>0.78022985177085191</v>
      </c>
      <c r="J430" s="12">
        <f t="shared" si="63"/>
        <v>-1.6322692442288282E-2</v>
      </c>
      <c r="M430" s="123">
        <f t="shared" si="64"/>
        <v>-0.5</v>
      </c>
    </row>
    <row r="431" spans="2:13" x14ac:dyDescent="0.3">
      <c r="B431" s="12">
        <v>0.78449954103713782</v>
      </c>
      <c r="C431" s="12">
        <f t="shared" si="56"/>
        <v>1.1786672385679469E-2</v>
      </c>
      <c r="D431" s="12">
        <f t="shared" si="57"/>
        <v>2.7932072054972057E-2</v>
      </c>
      <c r="E431" s="12">
        <f t="shared" si="58"/>
        <v>-4.2722171226348644E-2</v>
      </c>
      <c r="F431" s="12">
        <f t="shared" si="59"/>
        <v>-4.2696207713432952E-2</v>
      </c>
      <c r="G431" s="12">
        <f t="shared" si="60"/>
        <v>0.78569177227754283</v>
      </c>
      <c r="H431" s="12">
        <f t="shared" si="61"/>
        <v>3.9693288697112736E-2</v>
      </c>
      <c r="I431" s="12">
        <f t="shared" si="62"/>
        <v>0.7833073097967328</v>
      </c>
      <c r="J431" s="12">
        <f t="shared" si="63"/>
        <v>-1.6119943925753798E-2</v>
      </c>
      <c r="M431" s="123">
        <f t="shared" si="64"/>
        <v>-0.5</v>
      </c>
    </row>
    <row r="432" spans="2:13" x14ac:dyDescent="0.3">
      <c r="B432" s="12">
        <v>0.78757452850045018</v>
      </c>
      <c r="C432" s="12">
        <f t="shared" si="56"/>
        <v>1.1654776936536321E-2</v>
      </c>
      <c r="D432" s="12">
        <f t="shared" si="57"/>
        <v>2.7597187400441769E-2</v>
      </c>
      <c r="E432" s="12">
        <f t="shared" si="58"/>
        <v>-4.3063836500050023E-2</v>
      </c>
      <c r="F432" s="12">
        <f t="shared" si="59"/>
        <v>-4.3037245539113929E-2</v>
      </c>
      <c r="G432" s="12">
        <f t="shared" si="60"/>
        <v>0.78876186881872468</v>
      </c>
      <c r="H432" s="12">
        <f t="shared" si="61"/>
        <v>3.922641046419844E-2</v>
      </c>
      <c r="I432" s="12">
        <f t="shared" si="62"/>
        <v>0.78638718818217568</v>
      </c>
      <c r="J432" s="12">
        <f t="shared" si="63"/>
        <v>-1.5916856591125794E-2</v>
      </c>
      <c r="M432" s="123">
        <f t="shared" si="64"/>
        <v>-0.5</v>
      </c>
    </row>
    <row r="433" spans="2:13" x14ac:dyDescent="0.3">
      <c r="B433" s="12">
        <v>0.79065162092883967</v>
      </c>
      <c r="C433" s="12">
        <f t="shared" si="56"/>
        <v>1.152173950364834E-2</v>
      </c>
      <c r="D433" s="12">
        <f t="shared" si="57"/>
        <v>2.7260815863718174E-2</v>
      </c>
      <c r="E433" s="12">
        <f t="shared" si="58"/>
        <v>-4.3405735658759964E-2</v>
      </c>
      <c r="F433" s="12">
        <f t="shared" si="59"/>
        <v>-4.3378506793042303E-2</v>
      </c>
      <c r="G433" s="12">
        <f t="shared" si="60"/>
        <v>0.79183378358866319</v>
      </c>
      <c r="H433" s="12">
        <f t="shared" si="61"/>
        <v>3.8756911120534976E-2</v>
      </c>
      <c r="I433" s="12">
        <f t="shared" si="62"/>
        <v>0.78946945826901616</v>
      </c>
      <c r="J433" s="12">
        <f t="shared" si="63"/>
        <v>-1.5713432113238293E-2</v>
      </c>
      <c r="M433" s="123">
        <f t="shared" si="64"/>
        <v>-0.5</v>
      </c>
    </row>
    <row r="434" spans="2:13" x14ac:dyDescent="0.3">
      <c r="B434" s="12">
        <v>0.79373078783080309</v>
      </c>
      <c r="C434" s="12">
        <f t="shared" si="56"/>
        <v>1.1387559261896392E-2</v>
      </c>
      <c r="D434" s="12">
        <f t="shared" si="57"/>
        <v>2.6922957948805309E-2</v>
      </c>
      <c r="E434" s="12">
        <f t="shared" si="58"/>
        <v>-4.3747865314533674E-2</v>
      </c>
      <c r="F434" s="12">
        <f t="shared" si="59"/>
        <v>-4.3719987994038319E-2</v>
      </c>
      <c r="G434" s="12">
        <f t="shared" si="60"/>
        <v>0.79490748428188596</v>
      </c>
      <c r="H434" s="12">
        <f t="shared" si="61"/>
        <v>3.8284790535303474E-2</v>
      </c>
      <c r="I434" s="12">
        <f t="shared" si="62"/>
        <v>0.79255409137972022</v>
      </c>
      <c r="J434" s="12">
        <f t="shared" si="63"/>
        <v>-1.550967201151069E-2</v>
      </c>
      <c r="M434" s="123">
        <f t="shared" si="64"/>
        <v>-0.5</v>
      </c>
    </row>
    <row r="435" spans="2:13" x14ac:dyDescent="0.3">
      <c r="B435" s="12">
        <v>0.79681199869427966</v>
      </c>
      <c r="C435" s="12">
        <f t="shared" si="56"/>
        <v>1.1252235427347275E-2</v>
      </c>
      <c r="D435" s="12">
        <f t="shared" si="57"/>
        <v>2.6583614043418642E-2</v>
      </c>
      <c r="E435" s="12">
        <f t="shared" si="58"/>
        <v>-4.4090222077142187E-2</v>
      </c>
      <c r="F435" s="12">
        <f t="shared" si="59"/>
        <v>-4.4061685658723815E-2</v>
      </c>
      <c r="G435" s="12">
        <f t="shared" si="60"/>
        <v>0.79798293857071312</v>
      </c>
      <c r="H435" s="12">
        <f t="shared" si="61"/>
        <v>3.7810048504014988E-2</v>
      </c>
      <c r="I435" s="12">
        <f t="shared" si="62"/>
        <v>0.79564105881784619</v>
      </c>
      <c r="J435" s="12">
        <f t="shared" si="63"/>
        <v>-1.5305577649320438E-2</v>
      </c>
      <c r="M435" s="123">
        <f t="shared" si="64"/>
        <v>-0.5</v>
      </c>
    </row>
    <row r="436" spans="2:13" x14ac:dyDescent="0.3">
      <c r="B436" s="12">
        <v>0.79989522298695537</v>
      </c>
      <c r="C436" s="12">
        <f t="shared" si="56"/>
        <v>1.1115767257345182E-2</v>
      </c>
      <c r="D436" s="12">
        <f t="shared" si="57"/>
        <v>2.6242784418472623E-2</v>
      </c>
      <c r="E436" s="12">
        <f t="shared" si="58"/>
        <v>-4.443280255410615E-2</v>
      </c>
      <c r="F436" s="12">
        <f t="shared" si="59"/>
        <v>-4.4403596301564374E-2</v>
      </c>
      <c r="G436" s="12">
        <f t="shared" si="60"/>
        <v>0.80106011410539901</v>
      </c>
      <c r="H436" s="12">
        <f t="shared" si="61"/>
        <v>3.733268474809151E-2</v>
      </c>
      <c r="I436" s="12">
        <f t="shared" si="62"/>
        <v>0.79873033186851172</v>
      </c>
      <c r="J436" s="12">
        <f t="shared" si="63"/>
        <v>-1.5101150233401143E-2</v>
      </c>
      <c r="M436" s="123">
        <f t="shared" si="64"/>
        <v>-0.5</v>
      </c>
    </row>
    <row r="437" spans="2:13" x14ac:dyDescent="0.3">
      <c r="B437" s="12">
        <v>0.80298043015656417</v>
      </c>
      <c r="C437" s="12">
        <f t="shared" si="56"/>
        <v>1.0978154050601695E-2</v>
      </c>
      <c r="D437" s="12">
        <f t="shared" si="57"/>
        <v>2.5900469227593662E-2</v>
      </c>
      <c r="E437" s="12">
        <f t="shared" si="58"/>
        <v>-4.4775603350729352E-2</v>
      </c>
      <c r="F437" s="12">
        <f t="shared" si="59"/>
        <v>-4.4745716434911431E-2</v>
      </c>
      <c r="G437" s="12">
        <f t="shared" si="60"/>
        <v>0.80413897851426941</v>
      </c>
      <c r="H437" s="12">
        <f t="shared" si="61"/>
        <v>3.6852698914470988E-2</v>
      </c>
      <c r="I437" s="12">
        <f t="shared" si="62"/>
        <v>0.80182188179885894</v>
      </c>
      <c r="J437" s="12">
        <f t="shared" si="63"/>
        <v>-1.4896390813267596E-2</v>
      </c>
      <c r="M437" s="123">
        <f t="shared" si="64"/>
        <v>-0.5</v>
      </c>
    </row>
    <row r="438" spans="2:13" x14ac:dyDescent="0.3">
      <c r="B438" s="12">
        <v>0.80606758963119207</v>
      </c>
      <c r="C438" s="12">
        <f t="shared" si="56"/>
        <v>1.0839395147284098E-2</v>
      </c>
      <c r="D438" s="12">
        <f t="shared" si="57"/>
        <v>2.5556668506656478E-2</v>
      </c>
      <c r="E438" s="12">
        <f t="shared" si="58"/>
        <v>-4.5118621070132453E-2</v>
      </c>
      <c r="F438" s="12">
        <f t="shared" si="59"/>
        <v>-4.5088042569044438E-2</v>
      </c>
      <c r="G438" s="12">
        <f t="shared" si="60"/>
        <v>0.80721949940386273</v>
      </c>
      <c r="H438" s="12">
        <f t="shared" si="61"/>
        <v>3.6370090575234215E-2</v>
      </c>
      <c r="I438" s="12">
        <f t="shared" si="62"/>
        <v>0.80491567985852142</v>
      </c>
      <c r="J438" s="12">
        <f t="shared" si="63"/>
        <v>-1.4691300280666017E-2</v>
      </c>
      <c r="M438" s="123">
        <f t="shared" si="64"/>
        <v>-0.5</v>
      </c>
    </row>
    <row r="439" spans="2:13" x14ac:dyDescent="0.3">
      <c r="B439" s="12">
        <v>0.80915667081957843</v>
      </c>
      <c r="C439" s="12">
        <f t="shared" si="56"/>
        <v>1.0699489929102178E-2</v>
      </c>
      <c r="D439" s="12">
        <f t="shared" si="57"/>
        <v>2.5211382173346172E-2</v>
      </c>
      <c r="E439" s="12">
        <f t="shared" si="58"/>
        <v>-4.5461852313286491E-2</v>
      </c>
      <c r="F439" s="12">
        <f t="shared" si="59"/>
        <v>-4.5430571212212965E-2</v>
      </c>
      <c r="G439" s="12">
        <f t="shared" si="60"/>
        <v>0.81030164435906671</v>
      </c>
      <c r="H439" s="12">
        <f t="shared" si="61"/>
        <v>3.5884859227255997E-2</v>
      </c>
      <c r="I439" s="12">
        <f t="shared" si="62"/>
        <v>0.80801169728009015</v>
      </c>
      <c r="J439" s="12">
        <f t="shared" si="63"/>
        <v>-1.4485879369051638E-2</v>
      </c>
      <c r="M439" s="123">
        <f t="shared" si="64"/>
        <v>-0.5</v>
      </c>
    </row>
    <row r="440" spans="2:13" x14ac:dyDescent="0.3">
      <c r="B440" s="12">
        <v>0.81224764311142017</v>
      </c>
      <c r="C440" s="12">
        <f t="shared" si="56"/>
        <v>1.0558437819393283E-2</v>
      </c>
      <c r="D440" s="12">
        <f t="shared" si="57"/>
        <v>2.4864610026744529E-2</v>
      </c>
      <c r="E440" s="12">
        <f t="shared" si="58"/>
        <v>-4.5805293679046684E-2</v>
      </c>
      <c r="F440" s="12">
        <f t="shared" si="59"/>
        <v>-4.5773298870679005E-2</v>
      </c>
      <c r="G440" s="12">
        <f t="shared" si="60"/>
        <v>0.81338538094325885</v>
      </c>
      <c r="H440" s="12">
        <f t="shared" si="61"/>
        <v>3.539700429187892E-2</v>
      </c>
      <c r="I440" s="12">
        <f t="shared" si="62"/>
        <v>0.81110990527958149</v>
      </c>
      <c r="J440" s="12">
        <f t="shared" si="63"/>
        <v>-1.4280128653092351E-2</v>
      </c>
      <c r="M440" s="123">
        <f t="shared" si="64"/>
        <v>-0.5</v>
      </c>
    </row>
    <row r="441" spans="2:13" x14ac:dyDescent="0.3">
      <c r="B441" s="12">
        <v>0.81534047587767555</v>
      </c>
      <c r="C441" s="12">
        <f t="shared" si="56"/>
        <v>1.0416238283205889E-2</v>
      </c>
      <c r="D441" s="12">
        <f t="shared" si="57"/>
        <v>2.4516351746941573E-2</v>
      </c>
      <c r="E441" s="12">
        <f t="shared" si="58"/>
        <v>-4.6148941764186172E-2</v>
      </c>
      <c r="F441" s="12">
        <f t="shared" si="59"/>
        <v>-4.611622204875928E-2</v>
      </c>
      <c r="G441" s="12">
        <f t="shared" si="60"/>
        <v>0.81647067669844631</v>
      </c>
      <c r="H441" s="12">
        <f t="shared" si="61"/>
        <v>3.4906525114610995E-2</v>
      </c>
      <c r="I441" s="12">
        <f t="shared" si="62"/>
        <v>0.8142102750569048</v>
      </c>
      <c r="J441" s="12">
        <f t="shared" si="63"/>
        <v>-1.4074048548199216E-2</v>
      </c>
      <c r="M441" s="123">
        <f t="shared" si="64"/>
        <v>-0.5</v>
      </c>
    </row>
    <row r="442" spans="2:13" x14ac:dyDescent="0.3">
      <c r="B442" s="12">
        <v>0.81843513847086635</v>
      </c>
      <c r="C442" s="12">
        <f t="shared" si="56"/>
        <v>1.0272890827381495E-2</v>
      </c>
      <c r="D442" s="12">
        <f t="shared" si="57"/>
        <v>2.4166606894672361E-2</v>
      </c>
      <c r="E442" s="12">
        <f t="shared" si="58"/>
        <v>-4.6492793163429594E-2</v>
      </c>
      <c r="F442" s="12">
        <f t="shared" si="59"/>
        <v>-4.6459337248867458E-2</v>
      </c>
      <c r="G442" s="12">
        <f t="shared" si="60"/>
        <v>0.8195574991454031</v>
      </c>
      <c r="H442" s="12">
        <f t="shared" si="61"/>
        <v>3.4413420964846973E-2</v>
      </c>
      <c r="I442" s="12">
        <f t="shared" si="62"/>
        <v>0.8173127777963296</v>
      </c>
      <c r="J442" s="12">
        <f t="shared" si="63"/>
        <v>-1.3867639310083986E-2</v>
      </c>
      <c r="M442" s="123">
        <f t="shared" si="64"/>
        <v>-0.5</v>
      </c>
    </row>
    <row r="443" spans="2:13" x14ac:dyDescent="0.3">
      <c r="B443" s="12">
        <v>0.82153160022538252</v>
      </c>
      <c r="C443" s="12">
        <f t="shared" si="56"/>
        <v>1.0128395000634907E-2</v>
      </c>
      <c r="D443" s="12">
        <f t="shared" si="57"/>
        <v>2.3815374910979136E-2</v>
      </c>
      <c r="E443" s="12">
        <f t="shared" si="58"/>
        <v>-4.6836844469486945E-2</v>
      </c>
      <c r="F443" s="12">
        <f t="shared" si="59"/>
        <v>-4.6802640971556557E-2</v>
      </c>
      <c r="G443" s="12">
        <f t="shared" si="60"/>
        <v>0.82264581578381135</v>
      </c>
      <c r="H443" s="12">
        <f t="shared" si="61"/>
        <v>3.3917691035613526E-2</v>
      </c>
      <c r="I443" s="12">
        <f t="shared" si="62"/>
        <v>0.82041738466695369</v>
      </c>
      <c r="J443" s="12">
        <f t="shared" si="63"/>
        <v>-1.3660901034343715E-2</v>
      </c>
      <c r="M443" s="123">
        <f t="shared" si="64"/>
        <v>-0.5</v>
      </c>
    </row>
    <row r="444" spans="2:13" x14ac:dyDescent="0.3">
      <c r="B444" s="12">
        <v>0.82462983045778548</v>
      </c>
      <c r="C444" s="12">
        <f t="shared" si="56"/>
        <v>9.9827503936329078E-3</v>
      </c>
      <c r="D444" s="12">
        <f t="shared" si="57"/>
        <v>2.3462655116898826E-2</v>
      </c>
      <c r="E444" s="12">
        <f t="shared" si="58"/>
        <v>-4.7181092273087276E-2</v>
      </c>
      <c r="F444" s="12">
        <f t="shared" si="59"/>
        <v>-4.7146129715561279E-2</v>
      </c>
      <c r="G444" s="12">
        <f t="shared" si="60"/>
        <v>0.8257355940924006</v>
      </c>
      <c r="H444" s="12">
        <f t="shared" si="61"/>
        <v>3.3419334443338222E-2</v>
      </c>
      <c r="I444" s="12">
        <f t="shared" si="62"/>
        <v>0.82352406682317036</v>
      </c>
      <c r="J444" s="12">
        <f t="shared" si="63"/>
        <v>-1.3453833656072405E-2</v>
      </c>
      <c r="M444" s="123">
        <f t="shared" si="64"/>
        <v>-0.5</v>
      </c>
    </row>
    <row r="445" spans="2:13" x14ac:dyDescent="0.3">
      <c r="B445" s="12">
        <v>0.82772979846711325</v>
      </c>
      <c r="C445" s="12">
        <f t="shared" si="56"/>
        <v>9.8359566390712628E-3</v>
      </c>
      <c r="D445" s="12">
        <f t="shared" si="57"/>
        <v>2.3108446713176332E-2</v>
      </c>
      <c r="E445" s="12">
        <f t="shared" si="58"/>
        <v>-4.7525533163012584E-2</v>
      </c>
      <c r="F445" s="12">
        <f t="shared" si="59"/>
        <v>-4.7489799977840565E-2</v>
      </c>
      <c r="G445" s="12">
        <f t="shared" si="60"/>
        <v>0.82882680152908861</v>
      </c>
      <c r="H445" s="12">
        <f t="shared" si="61"/>
        <v>3.2918350227642765E-2</v>
      </c>
      <c r="I445" s="12">
        <f t="shared" si="62"/>
        <v>0.8266327954051379</v>
      </c>
      <c r="J445" s="12">
        <f t="shared" si="63"/>
        <v>-1.3246436949500237E-2</v>
      </c>
      <c r="M445" s="123">
        <f t="shared" si="64"/>
        <v>-0.5</v>
      </c>
    </row>
    <row r="446" spans="2:13" x14ac:dyDescent="0.3">
      <c r="B446" s="12">
        <v>0.8308314735351825</v>
      </c>
      <c r="C446" s="12">
        <f t="shared" si="56"/>
        <v>9.6880134117501848E-3</v>
      </c>
      <c r="D446" s="12">
        <f t="shared" si="57"/>
        <v>2.2752748780003499E-2</v>
      </c>
      <c r="E446" s="12">
        <f t="shared" si="58"/>
        <v>-4.7870163726131391E-2</v>
      </c>
      <c r="F446" s="12">
        <f t="shared" si="59"/>
        <v>-4.7833648253619777E-2</v>
      </c>
      <c r="G446" s="12">
        <f t="shared" si="60"/>
        <v>0.83191940553112065</v>
      </c>
      <c r="H446" s="12">
        <f t="shared" si="61"/>
        <v>3.2414737351160475E-2</v>
      </c>
      <c r="I446" s="12">
        <f t="shared" si="62"/>
        <v>0.82974354153924434</v>
      </c>
      <c r="J446" s="12">
        <f t="shared" si="63"/>
        <v>-1.3038710527660105E-2</v>
      </c>
      <c r="M446" s="123">
        <f t="shared" si="64"/>
        <v>-0.5</v>
      </c>
    </row>
    <row r="447" spans="2:13" x14ac:dyDescent="0.3">
      <c r="B447" s="12">
        <v>0.83393482492689608</v>
      </c>
      <c r="C447" s="12">
        <f t="shared" si="56"/>
        <v>9.5389204286480071E-3</v>
      </c>
      <c r="D447" s="12">
        <f t="shared" si="57"/>
        <v>2.2395560276784077E-2</v>
      </c>
      <c r="E447" s="12">
        <f t="shared" si="58"/>
        <v>-4.8214980547432895E-2</v>
      </c>
      <c r="F447" s="12">
        <f t="shared" si="59"/>
        <v>-4.8177671036433563E-2</v>
      </c>
      <c r="G447" s="12">
        <f t="shared" si="60"/>
        <v>0.83501337351521365</v>
      </c>
      <c r="H447" s="12">
        <f t="shared" si="61"/>
        <v>3.1908494699378037E-2</v>
      </c>
      <c r="I447" s="12">
        <f t="shared" si="62"/>
        <v>0.83285627633857851</v>
      </c>
      <c r="J447" s="12">
        <f t="shared" si="63"/>
        <v>-1.2830653842082025E-2</v>
      </c>
      <c r="M447" s="123">
        <f t="shared" si="64"/>
        <v>-0.5</v>
      </c>
    </row>
    <row r="448" spans="2:13" x14ac:dyDescent="0.3">
      <c r="B448" s="12">
        <v>0.83703982189054416</v>
      </c>
      <c r="C448" s="12">
        <f t="shared" si="56"/>
        <v>9.3886774489934169E-3</v>
      </c>
      <c r="D448" s="12">
        <f t="shared" si="57"/>
        <v>2.203688004192482E-2</v>
      </c>
      <c r="E448" s="12">
        <f t="shared" si="58"/>
        <v>-4.8559980210060465E-2</v>
      </c>
      <c r="F448" s="12">
        <f t="shared" si="59"/>
        <v>-4.8521864818167997E-2</v>
      </c>
      <c r="G448" s="12">
        <f t="shared" si="60"/>
        <v>0.83810867287769497</v>
      </c>
      <c r="H448" s="12">
        <f t="shared" si="61"/>
        <v>3.1399621080502066E-2</v>
      </c>
      <c r="I448" s="12">
        <f t="shared" si="62"/>
        <v>0.83597097090339334</v>
      </c>
      <c r="J448" s="12">
        <f t="shared" si="63"/>
        <v>-1.2622266182515232E-2</v>
      </c>
      <c r="M448" s="123">
        <f t="shared" si="64"/>
        <v>-0.5</v>
      </c>
    </row>
    <row r="449" spans="2:13" x14ac:dyDescent="0.3">
      <c r="B449" s="12">
        <v>0.8401464336581117</v>
      </c>
      <c r="C449" s="12">
        <f t="shared" si="56"/>
        <v>9.2372842743358562E-3</v>
      </c>
      <c r="D449" s="12">
        <f t="shared" si="57"/>
        <v>2.1676706792652278E-2</v>
      </c>
      <c r="E449" s="12">
        <f t="shared" si="58"/>
        <v>-4.8905159295345745E-2</v>
      </c>
      <c r="F449" s="12">
        <f t="shared" si="59"/>
        <v>-4.8866226089103376E-2</v>
      </c>
      <c r="G449" s="12">
        <f t="shared" si="60"/>
        <v>0.84120527099464759</v>
      </c>
      <c r="H449" s="12">
        <f t="shared" si="61"/>
        <v>3.0888115225349608E-2</v>
      </c>
      <c r="I449" s="12">
        <f t="shared" si="62"/>
        <v>0.83908759632157581</v>
      </c>
      <c r="J449" s="12">
        <f t="shared" si="63"/>
        <v>-1.2413546676677894E-2</v>
      </c>
      <c r="M449" s="123">
        <f t="shared" si="64"/>
        <v>-0.5</v>
      </c>
    </row>
    <row r="450" spans="2:13" x14ac:dyDescent="0.3">
      <c r="B450" s="12">
        <v>0.84325462944558205</v>
      </c>
      <c r="C450" s="12">
        <f t="shared" ref="C450:C500" si="65">IF($A$1=0, 0, IF(B450&lt;=$A$2, ($A$1/$A$2^2)*(2*$A$2*B450-B450^2), ($A$1/(1-$A$2)^2)*((1-2*$A$2)+2*$A$2*B450-B450^2)))</f>
        <v>9.0847407486144352E-3</v>
      </c>
      <c r="D450" s="12">
        <f t="shared" ref="D450:D500" si="66">IF($Q$3, 5*$A$3*(0.2969*SQRT(B450)-0.126*B450-0.3516*B450^2+0.2843*B450^3-0.1036*B450^4), 5*$A$3*(0.2969*SQRT(B450)-0.126*B450-0.3516*B450^2+0.2843*B450^3-0.1015*B450^4))</f>
        <v>2.131503912485682E-2</v>
      </c>
      <c r="E450" s="12">
        <f t="shared" ref="E450:E500" si="67">IF($A$1=0, 0, IF(B450&lt;=$A$2, ($A$1/$A$2^2) *(2*$A$2-2*B450), ($A$1/(1-$A$2)^2)*(2*$A$2-2*B450)))</f>
        <v>-4.9250514382842447E-2</v>
      </c>
      <c r="F450" s="12">
        <f t="shared" ref="F450:F500" si="68">IF($A$1=0, 0,  ATAN(E450))</f>
        <v>-4.9210751337956743E-2</v>
      </c>
      <c r="G450" s="12">
        <f t="shared" ref="G450:G500" si="69">B450-D450*SIN(F450)</f>
        <v>0.8443031352220528</v>
      </c>
      <c r="H450" s="12">
        <f t="shared" ref="H450:H500" si="70">C450+D450*COS(F450)</f>
        <v>3.0373975787264473E-2</v>
      </c>
      <c r="I450" s="12">
        <f t="shared" ref="I450:I500" si="71">B450+D450*SIN(F450)</f>
        <v>0.8422061236691113</v>
      </c>
      <c r="J450" s="12">
        <f t="shared" ref="J450:J500" si="72">C450-D450*COS(F450)</f>
        <v>-1.2204494290035603E-2</v>
      </c>
      <c r="M450" s="123">
        <f t="shared" ref="M450:M500" si="73">IF($Q$1,  C450, -0.5)</f>
        <v>-0.5</v>
      </c>
    </row>
    <row r="451" spans="2:13" x14ac:dyDescent="0.3">
      <c r="B451" s="12">
        <v>0.84636437845324164</v>
      </c>
      <c r="C451" s="12">
        <f t="shared" si="65"/>
        <v>8.9310467582250676E-3</v>
      </c>
      <c r="D451" s="12">
        <f t="shared" si="66"/>
        <v>2.0951875512962025E-2</v>
      </c>
      <c r="E451" s="12">
        <f t="shared" si="67"/>
        <v>-4.9596042050360181E-2</v>
      </c>
      <c r="F451" s="12">
        <f t="shared" si="68"/>
        <v>-4.9555437051924396E-2</v>
      </c>
      <c r="G451" s="12">
        <f t="shared" si="69"/>
        <v>0.84740223289593375</v>
      </c>
      <c r="H451" s="12">
        <f t="shared" si="70"/>
        <v>2.9857201342057282E-2</v>
      </c>
      <c r="I451" s="12">
        <f t="shared" si="71"/>
        <v>0.84532652401054953</v>
      </c>
      <c r="J451" s="12">
        <f t="shared" si="72"/>
        <v>-1.1995107825607147E-2</v>
      </c>
      <c r="M451" s="123">
        <f t="shared" si="73"/>
        <v>-0.5</v>
      </c>
    </row>
    <row r="452" spans="2:13" x14ac:dyDescent="0.3">
      <c r="B452" s="12">
        <v>0.84947564986598656</v>
      </c>
      <c r="C452" s="12">
        <f t="shared" si="65"/>
        <v>8.776202232086059E-3</v>
      </c>
      <c r="D452" s="12">
        <f t="shared" si="66"/>
        <v>2.0587214309821297E-2</v>
      </c>
      <c r="E452" s="12">
        <f t="shared" si="67"/>
        <v>-4.9941738873998505E-2</v>
      </c>
      <c r="F452" s="12">
        <f t="shared" si="68"/>
        <v>-4.9900279716724706E-2</v>
      </c>
      <c r="G452" s="12">
        <f t="shared" si="69"/>
        <v>0.85050253133250253</v>
      </c>
      <c r="H452" s="12">
        <f t="shared" si="70"/>
        <v>2.9337790387971217E-2</v>
      </c>
      <c r="I452" s="12">
        <f t="shared" si="71"/>
        <v>0.84844876839947059</v>
      </c>
      <c r="J452" s="12">
        <f t="shared" si="72"/>
        <v>-1.1785385923799099E-2</v>
      </c>
      <c r="M452" s="123">
        <f t="shared" si="73"/>
        <v>-0.5</v>
      </c>
    </row>
    <row r="453" spans="2:13" x14ac:dyDescent="0.3">
      <c r="B453" s="12">
        <v>0.85258841285362663</v>
      </c>
      <c r="C453" s="12">
        <f t="shared" si="65"/>
        <v>8.620207141701957E-3</v>
      </c>
      <c r="D453" s="12">
        <f t="shared" si="66"/>
        <v>2.0221053746640894E-2</v>
      </c>
      <c r="E453" s="12">
        <f t="shared" si="67"/>
        <v>-5.0287601428180735E-2</v>
      </c>
      <c r="F453" s="12">
        <f t="shared" si="68"/>
        <v>-5.0245275816640622E-2</v>
      </c>
      <c r="G453" s="12">
        <f t="shared" si="69"/>
        <v>0.85360399782830509</v>
      </c>
      <c r="H453" s="12">
        <f t="shared" si="70"/>
        <v>2.8815741345672573E-2</v>
      </c>
      <c r="I453" s="12">
        <f t="shared" si="71"/>
        <v>0.85157282787894817</v>
      </c>
      <c r="J453" s="12">
        <f t="shared" si="72"/>
        <v>-1.1575327062268659E-2</v>
      </c>
      <c r="M453" s="123">
        <f t="shared" si="73"/>
        <v>-0.5</v>
      </c>
    </row>
    <row r="454" spans="2:13" x14ac:dyDescent="0.3">
      <c r="B454" s="12">
        <v>0.85570263657119128</v>
      </c>
      <c r="C454" s="12">
        <f t="shared" si="65"/>
        <v>8.4630615012258204E-3</v>
      </c>
      <c r="D454" s="12">
        <f t="shared" si="66"/>
        <v>1.9853391932929978E-2</v>
      </c>
      <c r="E454" s="12">
        <f t="shared" si="67"/>
        <v>-5.0633626285687919E-2</v>
      </c>
      <c r="F454" s="12">
        <f t="shared" si="68"/>
        <v>-5.0590421834562402E-2</v>
      </c>
      <c r="G454" s="12">
        <f t="shared" si="69"/>
        <v>0.85670659966036944</v>
      </c>
      <c r="H454" s="12">
        <f t="shared" si="70"/>
        <v>2.8291052558266798E-2</v>
      </c>
      <c r="I454" s="12">
        <f t="shared" si="71"/>
        <v>0.85469867348201312</v>
      </c>
      <c r="J454" s="12">
        <f t="shared" si="72"/>
        <v>-1.1364929555815155E-2</v>
      </c>
      <c r="M454" s="123">
        <f t="shared" si="73"/>
        <v>-0.5</v>
      </c>
    </row>
    <row r="455" spans="2:13" x14ac:dyDescent="0.3">
      <c r="B455" s="12">
        <v>0.85881829015923528</v>
      </c>
      <c r="C455" s="12">
        <f t="shared" si="65"/>
        <v>8.3047653675197668E-3</v>
      </c>
      <c r="D455" s="12">
        <f t="shared" si="66"/>
        <v>1.9484226856477008E-2</v>
      </c>
      <c r="E455" s="12">
        <f t="shared" si="67"/>
        <v>-5.0979810017692813E-2</v>
      </c>
      <c r="F455" s="12">
        <f t="shared" si="68"/>
        <v>-5.0935714252030348E-2</v>
      </c>
      <c r="G455" s="12">
        <f t="shared" si="69"/>
        <v>0.85981030408635406</v>
      </c>
      <c r="H455" s="12">
        <f t="shared" si="70"/>
        <v>2.7763722291339252E-2</v>
      </c>
      <c r="I455" s="12">
        <f t="shared" si="71"/>
        <v>0.85782627623211649</v>
      </c>
      <c r="J455" s="12">
        <f t="shared" si="72"/>
        <v>-1.1154191556299719E-2</v>
      </c>
      <c r="M455" s="123">
        <f t="shared" si="73"/>
        <v>-0.5</v>
      </c>
    </row>
    <row r="456" spans="2:13" x14ac:dyDescent="0.3">
      <c r="B456" s="12">
        <v>0.86193534274414518</v>
      </c>
      <c r="C456" s="12">
        <f t="shared" si="65"/>
        <v>8.1453188402138381E-3</v>
      </c>
      <c r="D456" s="12">
        <f t="shared" si="66"/>
        <v>1.9113556383353394E-2</v>
      </c>
      <c r="E456" s="12">
        <f t="shared" si="67"/>
        <v>-5.1326149193793913E-2</v>
      </c>
      <c r="F456" s="12">
        <f t="shared" si="68"/>
        <v>-5.1281149549277608E-2</v>
      </c>
      <c r="G456" s="12">
        <f t="shared" si="69"/>
        <v>0.86291507834469872</v>
      </c>
      <c r="H456" s="12">
        <f t="shared" si="70"/>
        <v>2.7233748733021611E-2</v>
      </c>
      <c r="I456" s="12">
        <f t="shared" si="71"/>
        <v>0.86095560714359165</v>
      </c>
      <c r="J456" s="12">
        <f t="shared" si="72"/>
        <v>-1.0943111052593935E-2</v>
      </c>
      <c r="M456" s="123">
        <f t="shared" si="73"/>
        <v>-0.5</v>
      </c>
    </row>
    <row r="457" spans="2:13" x14ac:dyDescent="0.3">
      <c r="B457" s="12">
        <v>0.86505376343844365</v>
      </c>
      <c r="C457" s="12">
        <f t="shared" si="65"/>
        <v>7.9847220617633354E-3</v>
      </c>
      <c r="D457" s="12">
        <f t="shared" si="66"/>
        <v>1.8741378257944336E-2</v>
      </c>
      <c r="E457" s="12">
        <f t="shared" si="67"/>
        <v>-5.1672640382049294E-2</v>
      </c>
      <c r="F457" s="12">
        <f t="shared" si="68"/>
        <v>-5.1626724205272756E-2</v>
      </c>
      <c r="G457" s="12">
        <f t="shared" si="69"/>
        <v>0.8660208896547742</v>
      </c>
      <c r="H457" s="12">
        <f t="shared" si="70"/>
        <v>2.6701129994083972E-2</v>
      </c>
      <c r="I457" s="12">
        <f t="shared" si="71"/>
        <v>0.8640866372221131</v>
      </c>
      <c r="J457" s="12">
        <f t="shared" si="72"/>
        <v>-1.0731685870557299E-2</v>
      </c>
      <c r="M457" s="123">
        <f t="shared" si="73"/>
        <v>-0.5</v>
      </c>
    </row>
    <row r="458" spans="2:13" x14ac:dyDescent="0.3">
      <c r="B458" s="12">
        <v>0.86817352134109738</v>
      </c>
      <c r="C458" s="12">
        <f t="shared" si="65"/>
        <v>7.8229752175042779E-3</v>
      </c>
      <c r="D458" s="12">
        <f t="shared" si="66"/>
        <v>1.8367690103006627E-2</v>
      </c>
      <c r="E458" s="12">
        <f t="shared" si="67"/>
        <v>-5.2019280149010819E-2</v>
      </c>
      <c r="F458" s="12">
        <f t="shared" si="68"/>
        <v>-5.1972434697762769E-2</v>
      </c>
      <c r="G458" s="12">
        <f t="shared" si="69"/>
        <v>0.86912770521703697</v>
      </c>
      <c r="H458" s="12">
        <f t="shared" si="70"/>
        <v>2.6165864108052148E-2</v>
      </c>
      <c r="I458" s="12">
        <f t="shared" si="71"/>
        <v>0.86721933746515778</v>
      </c>
      <c r="J458" s="12">
        <f t="shared" si="72"/>
        <v>-1.0519913673043592E-2</v>
      </c>
      <c r="M458" s="123">
        <f t="shared" si="73"/>
        <v>-0.5</v>
      </c>
    </row>
    <row r="459" spans="2:13" x14ac:dyDescent="0.3">
      <c r="B459" s="12">
        <v>0.87129458553782158</v>
      </c>
      <c r="C459" s="12">
        <f t="shared" si="65"/>
        <v>7.6600785357073889E-3</v>
      </c>
      <c r="D459" s="12">
        <f t="shared" si="66"/>
        <v>1.799248941975375E-2</v>
      </c>
      <c r="E459" s="12">
        <f t="shared" si="67"/>
        <v>-5.2366065059757952E-2</v>
      </c>
      <c r="F459" s="12">
        <f t="shared" si="68"/>
        <v>-5.2318277503315663E-2</v>
      </c>
      <c r="G459" s="12">
        <f t="shared" si="69"/>
        <v>0.87223549221318175</v>
      </c>
      <c r="H459" s="12">
        <f t="shared" si="70"/>
        <v>2.5627949031350808E-2</v>
      </c>
      <c r="I459" s="12">
        <f t="shared" si="71"/>
        <v>0.8703536788624614</v>
      </c>
      <c r="J459" s="12">
        <f t="shared" si="72"/>
        <v>-1.030779195993603E-2</v>
      </c>
      <c r="M459" s="123">
        <f t="shared" si="73"/>
        <v>-0.5</v>
      </c>
    </row>
    <row r="460" spans="2:13" x14ac:dyDescent="0.3">
      <c r="B460" s="12">
        <v>0.87441692510138791</v>
      </c>
      <c r="C460" s="12">
        <f t="shared" si="65"/>
        <v>7.4960322876302266E-3</v>
      </c>
      <c r="D460" s="12">
        <f t="shared" si="66"/>
        <v>1.7615773587968057E-2</v>
      </c>
      <c r="E460" s="12">
        <f t="shared" si="67"/>
        <v>-5.2712991677931989E-2</v>
      </c>
      <c r="F460" s="12">
        <f t="shared" si="68"/>
        <v>-5.2664249097363461E-2</v>
      </c>
      <c r="G460" s="12">
        <f t="shared" si="69"/>
        <v>0.87534421780629901</v>
      </c>
      <c r="H460" s="12">
        <f t="shared" si="70"/>
        <v>2.508738264347192E-2</v>
      </c>
      <c r="I460" s="12">
        <f t="shared" si="71"/>
        <v>0.87348963239647681</v>
      </c>
      <c r="J460" s="12">
        <f t="shared" si="72"/>
        <v>-1.0095318068211468E-2</v>
      </c>
      <c r="M460" s="123">
        <f t="shared" si="73"/>
        <v>-0.5</v>
      </c>
    </row>
    <row r="461" spans="2:13" x14ac:dyDescent="0.3">
      <c r="B461" s="12">
        <v>0.87754050909192971</v>
      </c>
      <c r="C461" s="12">
        <f t="shared" si="65"/>
        <v>7.330836787567809E-3</v>
      </c>
      <c r="D461" s="12">
        <f t="shared" si="66"/>
        <v>1.7237539866140787E-2</v>
      </c>
      <c r="E461" s="12">
        <f t="shared" si="67"/>
        <v>-5.3060056565769967E-2</v>
      </c>
      <c r="F461" s="12">
        <f t="shared" si="68"/>
        <v>-5.3010345954244885E-2</v>
      </c>
      <c r="G461" s="12">
        <f t="shared" si="69"/>
        <v>0.8784538491410312</v>
      </c>
      <c r="H461" s="12">
        <f t="shared" si="70"/>
        <v>2.4544162747169581E-2</v>
      </c>
      <c r="I461" s="12">
        <f t="shared" si="71"/>
        <v>0.87662716904282822</v>
      </c>
      <c r="J461" s="12">
        <f t="shared" si="72"/>
        <v>-9.8824891720339612E-3</v>
      </c>
      <c r="M461" s="123">
        <f t="shared" si="73"/>
        <v>-0.5</v>
      </c>
    </row>
    <row r="462" spans="2:13" x14ac:dyDescent="0.3">
      <c r="B462" s="12">
        <v>0.88066530655724884</v>
      </c>
      <c r="C462" s="12">
        <f t="shared" si="65"/>
        <v>7.1644923929014498E-3</v>
      </c>
      <c r="D462" s="12">
        <f t="shared" si="66"/>
        <v>1.6857785391639148E-2</v>
      </c>
      <c r="E462" s="12">
        <f t="shared" si="67"/>
        <v>-5.3407256284138761E-2</v>
      </c>
      <c r="F462" s="12">
        <f t="shared" si="68"/>
        <v>-5.3356564547248284E-2</v>
      </c>
      <c r="G462" s="12">
        <f t="shared" si="69"/>
        <v>0.88156435334373273</v>
      </c>
      <c r="H462" s="12">
        <f t="shared" si="70"/>
        <v>2.3998287068680148E-2</v>
      </c>
      <c r="I462" s="12">
        <f t="shared" si="71"/>
        <v>0.87976625977076495</v>
      </c>
      <c r="J462" s="12">
        <f t="shared" si="72"/>
        <v>-9.6693022828772505E-3</v>
      </c>
      <c r="M462" s="123">
        <f t="shared" si="73"/>
        <v>-0.5</v>
      </c>
    </row>
    <row r="463" spans="2:13" x14ac:dyDescent="0.3">
      <c r="B463" s="12">
        <v>0.88379128653312367</v>
      </c>
      <c r="C463" s="12">
        <f t="shared" si="65"/>
        <v>6.9969995041458408E-3</v>
      </c>
      <c r="D463" s="12">
        <f t="shared" si="66"/>
        <v>1.6476507180900848E-2</v>
      </c>
      <c r="E463" s="12">
        <f t="shared" si="67"/>
        <v>-5.3754587392569296E-2</v>
      </c>
      <c r="F463" s="12">
        <f t="shared" si="68"/>
        <v>-5.3702901348654582E-2</v>
      </c>
      <c r="G463" s="12">
        <f t="shared" si="69"/>
        <v>0.88467569752263198</v>
      </c>
      <c r="H463" s="12">
        <f t="shared" si="70"/>
        <v>2.3449753257968154E-2</v>
      </c>
      <c r="I463" s="12">
        <f t="shared" si="71"/>
        <v>0.88290687554361535</v>
      </c>
      <c r="J463" s="12">
        <f t="shared" si="72"/>
        <v>-9.4557542496764742E-3</v>
      </c>
      <c r="M463" s="123">
        <f t="shared" si="73"/>
        <v>-0.5</v>
      </c>
    </row>
    <row r="464" spans="2:13" x14ac:dyDescent="0.3">
      <c r="B464" s="12">
        <v>0.88691841804361304</v>
      </c>
      <c r="C464" s="12">
        <f t="shared" si="65"/>
        <v>6.8283585649947399E-3</v>
      </c>
      <c r="D464" s="12">
        <f t="shared" si="66"/>
        <v>1.6093702129656912E-2</v>
      </c>
      <c r="E464" s="12">
        <f t="shared" si="67"/>
        <v>-5.4102046449290342E-2</v>
      </c>
      <c r="F464" s="12">
        <f t="shared" si="68"/>
        <v>-5.4049352829779899E-2</v>
      </c>
      <c r="G464" s="12">
        <f t="shared" si="69"/>
        <v>0.88778784876799177</v>
      </c>
      <c r="H464" s="12">
        <f t="shared" si="70"/>
        <v>2.2898558888999096E-2</v>
      </c>
      <c r="I464" s="12">
        <f t="shared" si="71"/>
        <v>0.88604898731923432</v>
      </c>
      <c r="J464" s="12">
        <f t="shared" si="72"/>
        <v>-9.2418417590096179E-3</v>
      </c>
      <c r="M464" s="123">
        <f t="shared" si="73"/>
        <v>-0.5</v>
      </c>
    </row>
    <row r="465" spans="2:13" x14ac:dyDescent="0.3">
      <c r="B465" s="12">
        <v>0.89004667010136695</v>
      </c>
      <c r="C465" s="12">
        <f t="shared" si="65"/>
        <v>6.6585700623645579E-3</v>
      </c>
      <c r="D465" s="12">
        <f t="shared" si="66"/>
        <v>1.5709367013181125E-2</v>
      </c>
      <c r="E465" s="12">
        <f t="shared" si="67"/>
        <v>-5.4449630011262996E-2</v>
      </c>
      <c r="F465" s="12">
        <f t="shared" si="68"/>
        <v>-5.4395915461018823E-2</v>
      </c>
      <c r="G465" s="12">
        <f t="shared" si="69"/>
        <v>0.89090077415227831</v>
      </c>
      <c r="H465" s="12">
        <f t="shared" si="70"/>
        <v>2.234470146003684E-2</v>
      </c>
      <c r="I465" s="12">
        <f t="shared" si="71"/>
        <v>0.8891925660504556</v>
      </c>
      <c r="J465" s="12">
        <f t="shared" si="72"/>
        <v>-9.0275613353077259E-3</v>
      </c>
      <c r="M465" s="123">
        <f t="shared" si="73"/>
        <v>-0.5</v>
      </c>
    </row>
    <row r="466" spans="2:13" x14ac:dyDescent="0.3">
      <c r="B466" s="12">
        <v>0.89317601170793026</v>
      </c>
      <c r="C466" s="12">
        <f t="shared" si="65"/>
        <v>6.4876345264366373E-3</v>
      </c>
      <c r="D466" s="12">
        <f t="shared" si="66"/>
        <v>1.5323498486568079E-2</v>
      </c>
      <c r="E466" s="12">
        <f t="shared" si="67"/>
        <v>-5.4797334634214476E-2</v>
      </c>
      <c r="F466" s="12">
        <f t="shared" si="68"/>
        <v>-5.4742585711886962E-2</v>
      </c>
      <c r="G466" s="12">
        <f t="shared" si="69"/>
        <v>0.89401444073032488</v>
      </c>
      <c r="H466" s="12">
        <f t="shared" si="70"/>
        <v>2.1788178393968294E-2</v>
      </c>
      <c r="I466" s="12">
        <f t="shared" si="71"/>
        <v>0.89233758268553565</v>
      </c>
      <c r="J466" s="12">
        <f t="shared" si="72"/>
        <v>-8.812909341095021E-3</v>
      </c>
      <c r="M466" s="123">
        <f t="shared" si="73"/>
        <v>-0.5</v>
      </c>
    </row>
    <row r="467" spans="2:13" x14ac:dyDescent="0.3">
      <c r="B467" s="12">
        <v>0.89630641185405224</v>
      </c>
      <c r="C467" s="12">
        <f t="shared" si="65"/>
        <v>6.3155525306975505E-3</v>
      </c>
      <c r="D467" s="12">
        <f t="shared" si="66"/>
        <v>1.4936093085038328E-2</v>
      </c>
      <c r="E467" s="12">
        <f t="shared" si="67"/>
        <v>-5.514515687267247E-2</v>
      </c>
      <c r="F467" s="12">
        <f t="shared" si="68"/>
        <v>-5.5089360051064122E-2</v>
      </c>
      <c r="G467" s="12">
        <f t="shared" si="69"/>
        <v>0.89712881553950374</v>
      </c>
      <c r="H467" s="12">
        <f t="shared" si="70"/>
        <v>2.1228987038653307E-2</v>
      </c>
      <c r="I467" s="12">
        <f t="shared" si="71"/>
        <v>0.89548400816860074</v>
      </c>
      <c r="J467" s="12">
        <f t="shared" si="72"/>
        <v>-8.5978819772582048E-3</v>
      </c>
      <c r="M467" s="123">
        <f t="shared" si="73"/>
        <v>-0.5</v>
      </c>
    </row>
    <row r="468" spans="2:13" x14ac:dyDescent="0.3">
      <c r="B468" s="12">
        <v>0.8994378395199919</v>
      </c>
      <c r="C468" s="12">
        <f t="shared" si="65"/>
        <v>6.1423246919779396E-3</v>
      </c>
      <c r="D468" s="12">
        <f t="shared" si="66"/>
        <v>1.4547147224271858E-2</v>
      </c>
      <c r="E468" s="12">
        <f t="shared" si="67"/>
        <v>-5.5493093279999101E-2</v>
      </c>
      <c r="F468" s="12">
        <f t="shared" si="68"/>
        <v>-5.5436234946437034E-2</v>
      </c>
      <c r="G468" s="12">
        <f t="shared" si="69"/>
        <v>0.90024386559989589</v>
      </c>
      <c r="H468" s="12">
        <f t="shared" si="70"/>
        <v>2.0667124667301355E-2</v>
      </c>
      <c r="I468" s="12">
        <f t="shared" si="71"/>
        <v>0.89863181344008791</v>
      </c>
      <c r="J468" s="12">
        <f t="shared" si="72"/>
        <v>-8.3824752833454759E-3</v>
      </c>
      <c r="M468" s="123">
        <f t="shared" si="73"/>
        <v>-0.5</v>
      </c>
    </row>
    <row r="469" spans="2:13" x14ac:dyDescent="0.3">
      <c r="B469" s="12">
        <v>0.9025702636758276</v>
      </c>
      <c r="C469" s="12">
        <f t="shared" si="65"/>
        <v>5.9679516704893949E-3</v>
      </c>
      <c r="D469" s="12">
        <f t="shared" si="66"/>
        <v>1.4156657200768859E-2</v>
      </c>
      <c r="E469" s="12">
        <f t="shared" si="67"/>
        <v>-5.5841140408425291E-2</v>
      </c>
      <c r="F469" s="12">
        <f t="shared" si="68"/>
        <v>-5.5783206865142494E-2</v>
      </c>
      <c r="G469" s="12">
        <f t="shared" si="69"/>
        <v>0.90335955791446665</v>
      </c>
      <c r="H469" s="12">
        <f t="shared" si="70"/>
        <v>2.0102588478873681E-2</v>
      </c>
      <c r="I469" s="12">
        <f t="shared" si="71"/>
        <v>0.90178096943718855</v>
      </c>
      <c r="J469" s="12">
        <f t="shared" si="72"/>
        <v>-8.1666851378948899E-3</v>
      </c>
      <c r="M469" s="123">
        <f t="shared" si="73"/>
        <v>-0.5</v>
      </c>
    </row>
    <row r="470" spans="2:13" x14ac:dyDescent="0.3">
      <c r="B470" s="12">
        <v>0.90570365328176206</v>
      </c>
      <c r="C470" s="12">
        <f t="shared" si="65"/>
        <v>5.7924341698599663E-3</v>
      </c>
      <c r="D470" s="12">
        <f t="shared" si="66"/>
        <v>1.3764619192238824E-2</v>
      </c>
      <c r="E470" s="12">
        <f t="shared" si="67"/>
        <v>-5.6189294809084675E-2</v>
      </c>
      <c r="F470" s="12">
        <f t="shared" si="68"/>
        <v>-5.6130272273610095E-2</v>
      </c>
      <c r="G470" s="12">
        <f t="shared" si="69"/>
        <v>0.90647585946924059</v>
      </c>
      <c r="H470" s="12">
        <f t="shared" si="70"/>
        <v>1.9535375598512324E-2</v>
      </c>
      <c r="I470" s="12">
        <f t="shared" si="71"/>
        <v>0.90493144709428353</v>
      </c>
      <c r="J470" s="12">
        <f t="shared" si="72"/>
        <v>-7.9505072587923893E-3</v>
      </c>
      <c r="M470" s="123">
        <f t="shared" si="73"/>
        <v>-0.5</v>
      </c>
    </row>
    <row r="471" spans="2:13" x14ac:dyDescent="0.3">
      <c r="B471" s="12">
        <v>0.90883797728843208</v>
      </c>
      <c r="C471" s="12">
        <f t="shared" si="65"/>
        <v>5.6157729371676159E-3</v>
      </c>
      <c r="D471" s="12">
        <f t="shared" si="66"/>
        <v>1.3371029258017442E-2</v>
      </c>
      <c r="E471" s="12">
        <f t="shared" si="67"/>
        <v>-5.6537553032048007E-2</v>
      </c>
      <c r="F471" s="12">
        <f t="shared" si="68"/>
        <v>-5.6477427637605368E-2</v>
      </c>
      <c r="G471" s="12">
        <f t="shared" si="69"/>
        <v>0.90959273723348155</v>
      </c>
      <c r="H471" s="12">
        <f t="shared" si="70"/>
        <v>1.8965483077994921E-2</v>
      </c>
      <c r="I471" s="12">
        <f t="shared" si="71"/>
        <v>0.9080832173433826</v>
      </c>
      <c r="J471" s="12">
        <f t="shared" si="72"/>
        <v>-7.7339372036596878E-3</v>
      </c>
      <c r="M471" s="123">
        <f t="shared" si="73"/>
        <v>-0.5</v>
      </c>
    </row>
    <row r="472" spans="2:13" x14ac:dyDescent="0.3">
      <c r="B472" s="12">
        <v>0.91197320463721476</v>
      </c>
      <c r="C472" s="12">
        <f t="shared" si="65"/>
        <v>5.4379687629722562E-3</v>
      </c>
      <c r="D472" s="12">
        <f t="shared" si="66"/>
        <v>1.2975883339510982E-2</v>
      </c>
      <c r="E472" s="12">
        <f t="shared" si="67"/>
        <v>-5.68859116263572E-2</v>
      </c>
      <c r="F472" s="12">
        <f t="shared" si="68"/>
        <v>-5.6824669422272607E-2</v>
      </c>
      <c r="G472" s="12">
        <f t="shared" si="69"/>
        <v>0.91271015815987333</v>
      </c>
      <c r="H472" s="12">
        <f t="shared" si="70"/>
        <v>1.8392907896215602E-2</v>
      </c>
      <c r="I472" s="12">
        <f t="shared" si="71"/>
        <v>0.91123625111455619</v>
      </c>
      <c r="J472" s="12">
        <f t="shared" si="72"/>
        <v>-7.5169703702710911E-3</v>
      </c>
      <c r="M472" s="123">
        <f t="shared" si="73"/>
        <v>-0.5</v>
      </c>
    </row>
    <row r="473" spans="2:13" x14ac:dyDescent="0.3">
      <c r="B473" s="12">
        <v>0.91510930426053605</v>
      </c>
      <c r="C473" s="12">
        <f t="shared" si="65"/>
        <v>5.2590224813459166E-3</v>
      </c>
      <c r="D473" s="12">
        <f t="shared" si="66"/>
        <v>1.2579177260669499E-2</v>
      </c>
      <c r="E473" s="12">
        <f t="shared" si="67"/>
        <v>-5.7234367140059562E-2</v>
      </c>
      <c r="F473" s="12">
        <f t="shared" si="68"/>
        <v>-5.7171994092177873E-2</v>
      </c>
      <c r="G473" s="12">
        <f t="shared" si="69"/>
        <v>0.91582808918470393</v>
      </c>
      <c r="H473" s="12">
        <f t="shared" si="70"/>
        <v>1.7817646959692804E-2</v>
      </c>
      <c r="I473" s="12">
        <f t="shared" si="71"/>
        <v>0.91439051933636817</v>
      </c>
      <c r="J473" s="12">
        <f t="shared" si="72"/>
        <v>-7.2996019970009707E-3</v>
      </c>
      <c r="M473" s="123">
        <f t="shared" si="73"/>
        <v>-0.5</v>
      </c>
    </row>
    <row r="474" spans="2:13" x14ac:dyDescent="0.3">
      <c r="B474" s="12">
        <v>0.91824624508217823</v>
      </c>
      <c r="C474" s="12">
        <f t="shared" si="65"/>
        <v>5.0789349699012689E-3</v>
      </c>
      <c r="D474" s="12">
        <f t="shared" si="66"/>
        <v>1.2180906728487175E-2</v>
      </c>
      <c r="E474" s="12">
        <f t="shared" si="67"/>
        <v>-5.7582916120242029E-2</v>
      </c>
      <c r="F474" s="12">
        <f t="shared" si="68"/>
        <v>-5.7519398111351996E-2</v>
      </c>
      <c r="G474" s="12">
        <f t="shared" si="69"/>
        <v>0.91894649722805255</v>
      </c>
      <c r="H474" s="12">
        <f t="shared" si="70"/>
        <v>1.7239697103102566E-2</v>
      </c>
      <c r="I474" s="12">
        <f t="shared" si="71"/>
        <v>0.9175459929363039</v>
      </c>
      <c r="J474" s="12">
        <f t="shared" si="72"/>
        <v>-7.0818271633000269E-3</v>
      </c>
      <c r="M474" s="123">
        <f t="shared" si="73"/>
        <v>-0.5</v>
      </c>
    </row>
    <row r="475" spans="2:13" x14ac:dyDescent="0.3">
      <c r="B475" s="12">
        <v>0.92138399601758791</v>
      </c>
      <c r="C475" s="12">
        <f t="shared" si="65"/>
        <v>4.897707149818434E-3</v>
      </c>
      <c r="D475" s="12">
        <f t="shared" si="66"/>
        <v>1.1781067333530926E-2</v>
      </c>
      <c r="E475" s="12">
        <f t="shared" si="67"/>
        <v>-5.7931555113065324E-2</v>
      </c>
      <c r="F475" s="12">
        <f t="shared" si="68"/>
        <v>-5.7866877943333436E-2</v>
      </c>
      <c r="G475" s="12">
        <f t="shared" si="69"/>
        <v>0.92206534919397909</v>
      </c>
      <c r="H475" s="12">
        <f t="shared" si="70"/>
        <v>1.6659055089838365E-2</v>
      </c>
      <c r="I475" s="12">
        <f t="shared" si="71"/>
        <v>0.92070264284119674</v>
      </c>
      <c r="J475" s="12">
        <f t="shared" si="72"/>
        <v>-6.8636407902014978E-3</v>
      </c>
      <c r="M475" s="123">
        <f t="shared" si="73"/>
        <v>-0.5</v>
      </c>
    </row>
    <row r="476" spans="2:13" x14ac:dyDescent="0.3">
      <c r="B476" s="12">
        <v>0.92452252597418461</v>
      </c>
      <c r="C476" s="12">
        <f t="shared" si="65"/>
        <v>4.7153399858700434E-3</v>
      </c>
      <c r="D476" s="12">
        <f t="shared" si="66"/>
        <v>1.1379654550497425E-2</v>
      </c>
      <c r="E476" s="12">
        <f t="shared" si="67"/>
        <v>-5.8280280663798291E-2</v>
      </c>
      <c r="F476" s="12">
        <f t="shared" si="68"/>
        <v>-5.8214430051211422E-2</v>
      </c>
      <c r="G476" s="12">
        <f t="shared" si="69"/>
        <v>0.925184611970717</v>
      </c>
      <c r="H476" s="12">
        <f t="shared" si="70"/>
        <v>1.6075717612597618E-2</v>
      </c>
      <c r="I476" s="12">
        <f t="shared" si="71"/>
        <v>0.92386043997765221</v>
      </c>
      <c r="J476" s="12">
        <f t="shared" si="72"/>
        <v>-6.6450376408575306E-3</v>
      </c>
      <c r="M476" s="123">
        <f t="shared" si="73"/>
        <v>-0.5</v>
      </c>
    </row>
    <row r="477" spans="2:13" x14ac:dyDescent="0.3">
      <c r="B477" s="12">
        <v>0.92766180385166763</v>
      </c>
      <c r="C477" s="12">
        <f t="shared" si="65"/>
        <v>4.5318344864446747E-3</v>
      </c>
      <c r="D477" s="12">
        <f t="shared" si="66"/>
        <v>1.0976663738797203E-2</v>
      </c>
      <c r="E477" s="12">
        <f t="shared" si="67"/>
        <v>-5.8629089316851964E-2</v>
      </c>
      <c r="F477" s="12">
        <f t="shared" si="68"/>
        <v>-5.8562050897668694E-2</v>
      </c>
      <c r="G477" s="12">
        <f t="shared" si="69"/>
        <v>0.92830425243086778</v>
      </c>
      <c r="H477" s="12">
        <f t="shared" si="70"/>
        <v>1.548968129399355E-2</v>
      </c>
      <c r="I477" s="12">
        <f t="shared" si="71"/>
        <v>0.92701935527246748</v>
      </c>
      <c r="J477" s="12">
        <f t="shared" si="72"/>
        <v>-6.4260123211042006E-3</v>
      </c>
      <c r="M477" s="123">
        <f t="shared" si="73"/>
        <v>-0.5</v>
      </c>
    </row>
    <row r="478" spans="2:13" x14ac:dyDescent="0.3">
      <c r="B478" s="12">
        <v>0.93080179854232581</v>
      </c>
      <c r="C478" s="12">
        <f t="shared" si="65"/>
        <v>4.3471917035684537E-3</v>
      </c>
      <c r="D478" s="12">
        <f t="shared" si="66"/>
        <v>1.0572090143167711E-2</v>
      </c>
      <c r="E478" s="12">
        <f t="shared" si="67"/>
        <v>-5.8977977615813977E-2</v>
      </c>
      <c r="F478" s="12">
        <f t="shared" si="68"/>
        <v>-5.8909736945024681E-2</v>
      </c>
      <c r="G478" s="12">
        <f t="shared" si="69"/>
        <v>0.93142423743160097</v>
      </c>
      <c r="H478" s="12">
        <f t="shared" si="70"/>
        <v>1.4900942687194219E-2</v>
      </c>
      <c r="I478" s="12">
        <f t="shared" si="71"/>
        <v>0.93017935965305065</v>
      </c>
      <c r="J478" s="12">
        <f t="shared" si="72"/>
        <v>-6.2065592800573111E-3</v>
      </c>
      <c r="M478" s="123">
        <f t="shared" si="73"/>
        <v>-0.5</v>
      </c>
    </row>
    <row r="479" spans="2:13" x14ac:dyDescent="0.3">
      <c r="B479" s="12">
        <v>0.93394247893134419</v>
      </c>
      <c r="C479" s="12">
        <f t="shared" si="65"/>
        <v>4.1614127329250607E-3</v>
      </c>
      <c r="D479" s="12">
        <f t="shared" si="66"/>
        <v>1.0165928894313789E-2</v>
      </c>
      <c r="E479" s="12">
        <f t="shared" si="67"/>
        <v>-5.9326942103482688E-2</v>
      </c>
      <c r="F479" s="12">
        <f t="shared" si="68"/>
        <v>-5.9257484655278303E-2</v>
      </c>
      <c r="G479" s="12">
        <f t="shared" si="69"/>
        <v>0.93454453381485425</v>
      </c>
      <c r="H479" s="12">
        <f t="shared" si="70"/>
        <v>1.4309498276587259E-2</v>
      </c>
      <c r="I479" s="12">
        <f t="shared" si="71"/>
        <v>0.93334042404783413</v>
      </c>
      <c r="J479" s="12">
        <f t="shared" si="72"/>
        <v>-5.9866728107371373E-3</v>
      </c>
      <c r="M479" s="123">
        <f t="shared" si="73"/>
        <v>-0.5</v>
      </c>
    </row>
    <row r="480" spans="2:13" x14ac:dyDescent="0.3">
      <c r="B480" s="12">
        <v>0.9370838138971137</v>
      </c>
      <c r="C480" s="12">
        <f t="shared" si="65"/>
        <v>3.9744987138739226E-3</v>
      </c>
      <c r="D480" s="12">
        <f t="shared" si="66"/>
        <v>9.7581750095761168E-3</v>
      </c>
      <c r="E480" s="12">
        <f t="shared" si="67"/>
        <v>-5.9675979321901523E-2</v>
      </c>
      <c r="F480" s="12">
        <f t="shared" si="68"/>
        <v>-5.9605290490151022E-2</v>
      </c>
      <c r="G480" s="12">
        <f t="shared" si="69"/>
        <v>0.93766510840753958</v>
      </c>
      <c r="H480" s="12">
        <f t="shared" si="70"/>
        <v>1.3715344478470781E-2</v>
      </c>
      <c r="I480" s="12">
        <f t="shared" si="71"/>
        <v>0.93650251938668783</v>
      </c>
      <c r="J480" s="12">
        <f t="shared" si="72"/>
        <v>-5.7663470507229352E-3</v>
      </c>
      <c r="M480" s="123">
        <f t="shared" si="73"/>
        <v>-0.5</v>
      </c>
    </row>
    <row r="481" spans="2:13" x14ac:dyDescent="0.3">
      <c r="B481" s="12">
        <v>0.94022577231153837</v>
      </c>
      <c r="C481" s="12">
        <f t="shared" si="65"/>
        <v>3.7864508294667702E-3</v>
      </c>
      <c r="D481" s="12">
        <f t="shared" si="66"/>
        <v>9.3488233936280356E-3</v>
      </c>
      <c r="E481" s="12">
        <f t="shared" si="67"/>
        <v>-6.0025085812393152E-2</v>
      </c>
      <c r="F481" s="12">
        <f t="shared" si="68"/>
        <v>-5.995315091112971E-2</v>
      </c>
      <c r="G481" s="12">
        <f t="shared" si="69"/>
        <v>0.94078592802175043</v>
      </c>
      <c r="H481" s="12">
        <f t="shared" si="70"/>
        <v>1.3118477641770921E-2</v>
      </c>
      <c r="I481" s="12">
        <f t="shared" si="71"/>
        <v>0.9396656166013263</v>
      </c>
      <c r="J481" s="12">
        <f t="shared" si="72"/>
        <v>-5.5455759828373814E-3</v>
      </c>
      <c r="M481" s="123">
        <f t="shared" si="73"/>
        <v>-0.5</v>
      </c>
    </row>
    <row r="482" spans="2:13" x14ac:dyDescent="0.3">
      <c r="B482" s="12">
        <v>0.94336832304034501</v>
      </c>
      <c r="C482" s="12">
        <f t="shared" si="65"/>
        <v>3.5972703064624033E-3</v>
      </c>
      <c r="D482" s="12">
        <f t="shared" si="66"/>
        <v>8.937868839199772E-3</v>
      </c>
      <c r="E482" s="12">
        <f t="shared" si="67"/>
        <v>-6.0374258115593889E-2</v>
      </c>
      <c r="F482" s="12">
        <f t="shared" si="68"/>
        <v>-6.0301062379509732E-2</v>
      </c>
      <c r="G482" s="12">
        <f t="shared" si="69"/>
        <v>0.94390695945497416</v>
      </c>
      <c r="H482" s="12">
        <f t="shared" si="70"/>
        <v>1.2518894048784968E-2</v>
      </c>
      <c r="I482" s="12">
        <f t="shared" si="71"/>
        <v>0.94282968662571587</v>
      </c>
      <c r="J482" s="12">
        <f t="shared" si="72"/>
        <v>-5.3243534358601609E-3</v>
      </c>
      <c r="M482" s="123">
        <f t="shared" si="73"/>
        <v>-0.5</v>
      </c>
    </row>
    <row r="483" spans="2:13" x14ac:dyDescent="0.3">
      <c r="B483" s="12">
        <v>0.94651143494339052</v>
      </c>
      <c r="C483" s="12">
        <f t="shared" si="65"/>
        <v>3.4069584153397906E-3</v>
      </c>
      <c r="D483" s="12">
        <f t="shared" si="66"/>
        <v>8.5253060278309614E-3</v>
      </c>
      <c r="E483" s="12">
        <f t="shared" si="67"/>
        <v>-6.0723492771487836E-2</v>
      </c>
      <c r="F483" s="12">
        <f t="shared" si="68"/>
        <v>-6.064902135643771E-2</v>
      </c>
      <c r="G483" s="12">
        <f t="shared" si="69"/>
        <v>0.94702816949030588</v>
      </c>
      <c r="H483" s="12">
        <f t="shared" si="70"/>
        <v>1.1916589915951029E-2</v>
      </c>
      <c r="I483" s="12">
        <f t="shared" si="71"/>
        <v>0.94599470039647515</v>
      </c>
      <c r="J483" s="12">
        <f t="shared" si="72"/>
        <v>-5.1026730852714482E-3</v>
      </c>
      <c r="M483" s="123">
        <f t="shared" si="73"/>
        <v>-0.5</v>
      </c>
    </row>
    <row r="484" spans="2:13" x14ac:dyDescent="0.3">
      <c r="B484" s="12">
        <v>0.9496550768749713</v>
      </c>
      <c r="C484" s="12">
        <f t="shared" si="65"/>
        <v>3.2155164703094076E-3</v>
      </c>
      <c r="D484" s="12">
        <f t="shared" si="66"/>
        <v>8.1111295306509588E-3</v>
      </c>
      <c r="E484" s="12">
        <f t="shared" si="67"/>
        <v>-6.1072786319441255E-2</v>
      </c>
      <c r="F484" s="12">
        <f t="shared" si="68"/>
        <v>-6.0997024302954582E-2</v>
      </c>
      <c r="G484" s="12">
        <f t="shared" si="69"/>
        <v>0.95014952489666782</v>
      </c>
      <c r="H484" s="12">
        <f t="shared" si="70"/>
        <v>1.1311561394643666E-2</v>
      </c>
      <c r="I484" s="12">
        <f t="shared" si="71"/>
        <v>0.94916062885327479</v>
      </c>
      <c r="J484" s="12">
        <f t="shared" si="72"/>
        <v>-4.880528454024851E-3</v>
      </c>
      <c r="M484" s="123">
        <f t="shared" si="73"/>
        <v>-0.5</v>
      </c>
    </row>
    <row r="485" spans="2:13" x14ac:dyDescent="0.3">
      <c r="B485" s="12">
        <v>0.95279921768413134</v>
      </c>
      <c r="C485" s="12">
        <f t="shared" si="65"/>
        <v>3.022945829322912E-3</v>
      </c>
      <c r="D485" s="12">
        <f t="shared" si="66"/>
        <v>7.6953338091870268E-3</v>
      </c>
      <c r="E485" s="12">
        <f t="shared" si="67"/>
        <v>-6.142213529823682E-2</v>
      </c>
      <c r="F485" s="12">
        <f t="shared" si="68"/>
        <v>-6.1345067680038452E-2</v>
      </c>
      <c r="G485" s="12">
        <f t="shared" si="69"/>
        <v>0.95327099242903046</v>
      </c>
      <c r="H485" s="12">
        <f t="shared" si="70"/>
        <v>1.0703804571995655E-2</v>
      </c>
      <c r="I485" s="12">
        <f t="shared" si="71"/>
        <v>0.95232744293923222</v>
      </c>
      <c r="J485" s="12">
        <f t="shared" si="72"/>
        <v>-4.6579129133498317E-3</v>
      </c>
      <c r="M485" s="123">
        <f t="shared" si="73"/>
        <v>-0.5</v>
      </c>
    </row>
    <row r="486" spans="2:13" x14ac:dyDescent="0.3">
      <c r="B486" s="12">
        <v>0.9559438262149712</v>
      </c>
      <c r="C486" s="12">
        <f t="shared" si="65"/>
        <v>2.8292478940809924E-3</v>
      </c>
      <c r="D486" s="12">
        <f t="shared" si="66"/>
        <v>7.2779132161999464E-3</v>
      </c>
      <c r="E486" s="12">
        <f t="shared" si="67"/>
        <v>-6.1771536246107914E-2</v>
      </c>
      <c r="F486" s="12">
        <f t="shared" si="68"/>
        <v>-6.1693147948647512E-2</v>
      </c>
      <c r="G486" s="12">
        <f t="shared" si="69"/>
        <v>0.95639253882863906</v>
      </c>
      <c r="H486" s="12">
        <f t="shared" si="70"/>
        <v>1.0093315471745259E-2</v>
      </c>
      <c r="I486" s="12">
        <f t="shared" si="71"/>
        <v>0.95549511360130335</v>
      </c>
      <c r="J486" s="12">
        <f t="shared" si="72"/>
        <v>-4.4348196835832738E-3</v>
      </c>
      <c r="M486" s="123">
        <f t="shared" si="73"/>
        <v>-0.5</v>
      </c>
    </row>
    <row r="487" spans="2:13" x14ac:dyDescent="0.3">
      <c r="B487" s="12">
        <v>0.95908887130695719</v>
      </c>
      <c r="C487" s="12">
        <f t="shared" si="65"/>
        <v>2.6344241100395944E-3</v>
      </c>
      <c r="D487" s="12">
        <f t="shared" si="66"/>
        <v>6.8588619965483039E-3</v>
      </c>
      <c r="E487" s="12">
        <f t="shared" si="67"/>
        <v>-6.2120985700773027E-2</v>
      </c>
      <c r="F487" s="12">
        <f t="shared" si="68"/>
        <v>-6.2041261569763022E-2</v>
      </c>
      <c r="G487" s="12">
        <f t="shared" si="69"/>
        <v>0.95951413082324322</v>
      </c>
      <c r="H487" s="12">
        <f t="shared" si="70"/>
        <v>9.480090055110444E-3</v>
      </c>
      <c r="I487" s="12">
        <f t="shared" si="71"/>
        <v>0.95866361179067117</v>
      </c>
      <c r="J487" s="12">
        <f t="shared" si="72"/>
        <v>-4.2112418350312552E-3</v>
      </c>
      <c r="M487" s="123">
        <f t="shared" si="73"/>
        <v>-0.5</v>
      </c>
    </row>
    <row r="488" spans="2:13" x14ac:dyDescent="0.3">
      <c r="B488" s="12">
        <v>0.96223432179522894</v>
      </c>
      <c r="C488" s="12">
        <f t="shared" si="65"/>
        <v>2.4384759664143824E-3</v>
      </c>
      <c r="D488" s="12">
        <f t="shared" si="66"/>
        <v>6.4381742880793543E-3</v>
      </c>
      <c r="E488" s="12">
        <f t="shared" si="67"/>
        <v>-6.2470480199469887E-2</v>
      </c>
      <c r="F488" s="12">
        <f t="shared" si="68"/>
        <v>-6.2389405004432047E-2</v>
      </c>
      <c r="G488" s="12">
        <f t="shared" si="69"/>
        <v>0.96263573512732881</v>
      </c>
      <c r="H488" s="12">
        <f t="shared" si="70"/>
        <v>8.8641242216878236E-3</v>
      </c>
      <c r="I488" s="12">
        <f t="shared" si="71"/>
        <v>0.96183290846312908</v>
      </c>
      <c r="J488" s="12">
        <f t="shared" si="72"/>
        <v>-3.9871722888590588E-3</v>
      </c>
      <c r="M488" s="123">
        <f t="shared" si="73"/>
        <v>-0.5</v>
      </c>
    </row>
    <row r="489" spans="2:13" x14ac:dyDescent="0.3">
      <c r="B489" s="12">
        <v>0.96538014651090975</v>
      </c>
      <c r="C489" s="12">
        <f t="shared" si="65"/>
        <v>2.2414049961834532E-3</v>
      </c>
      <c r="D489" s="12">
        <f t="shared" si="66"/>
        <v>6.0158441225484803E-3</v>
      </c>
      <c r="E489" s="12">
        <f t="shared" si="67"/>
        <v>-6.2820016278989976E-2</v>
      </c>
      <c r="F489" s="12">
        <f t="shared" si="68"/>
        <v>-6.2737574713810473E-2</v>
      </c>
      <c r="G489" s="12">
        <f t="shared" si="69"/>
        <v>0.96575731844235668</v>
      </c>
      <c r="H489" s="12">
        <f t="shared" si="70"/>
        <v>8.2454138103783235E-3</v>
      </c>
      <c r="I489" s="12">
        <f t="shared" si="71"/>
        <v>0.96500297457946282</v>
      </c>
      <c r="J489" s="12">
        <f t="shared" si="72"/>
        <v>-3.7626038180114171E-3</v>
      </c>
      <c r="M489" s="123">
        <f t="shared" si="73"/>
        <v>-0.5</v>
      </c>
    </row>
    <row r="490" spans="2:13" x14ac:dyDescent="0.3">
      <c r="B490" s="12">
        <v>0.96852631428141356</v>
      </c>
      <c r="C490" s="12">
        <f t="shared" si="65"/>
        <v>2.043212776088414E-3</v>
      </c>
      <c r="D490" s="12">
        <f t="shared" si="66"/>
        <v>5.5918654265659003E-3</v>
      </c>
      <c r="E490" s="12">
        <f t="shared" si="67"/>
        <v>-6.316959047571262E-2</v>
      </c>
      <c r="F490" s="12">
        <f t="shared" si="68"/>
        <v>-6.3085767159205705E-2</v>
      </c>
      <c r="G490" s="12">
        <f t="shared" si="69"/>
        <v>0.96887884745700215</v>
      </c>
      <c r="H490" s="12">
        <f t="shared" si="70"/>
        <v>7.623954600338349E-3</v>
      </c>
      <c r="I490" s="12">
        <f t="shared" si="71"/>
        <v>0.96817378110582497</v>
      </c>
      <c r="J490" s="12">
        <f t="shared" si="72"/>
        <v>-3.537529048161521E-3</v>
      </c>
      <c r="M490" s="123">
        <f t="shared" si="73"/>
        <v>-0.5</v>
      </c>
    </row>
    <row r="491" spans="2:13" x14ac:dyDescent="0.3">
      <c r="B491" s="12">
        <v>0.9716727939307559</v>
      </c>
      <c r="C491" s="12">
        <f t="shared" si="65"/>
        <v>1.8439009266335263E-3</v>
      </c>
      <c r="D491" s="12">
        <f t="shared" si="66"/>
        <v>5.1662320225706933E-3</v>
      </c>
      <c r="E491" s="12">
        <f t="shared" si="67"/>
        <v>-6.3519199325639542E-2</v>
      </c>
      <c r="F491" s="12">
        <f t="shared" si="68"/>
        <v>-6.3433978802119664E-2</v>
      </c>
      <c r="G491" s="12">
        <f t="shared" si="69"/>
        <v>0.97200028884740164</v>
      </c>
      <c r="H491" s="12">
        <f t="shared" si="70"/>
        <v>6.9997423119562072E-3</v>
      </c>
      <c r="I491" s="12">
        <f t="shared" si="71"/>
        <v>0.97134529901411015</v>
      </c>
      <c r="J491" s="12">
        <f t="shared" si="72"/>
        <v>-3.311940458689155E-3</v>
      </c>
      <c r="M491" s="123">
        <f t="shared" si="73"/>
        <v>-0.5</v>
      </c>
    </row>
    <row r="492" spans="2:13" x14ac:dyDescent="0.3">
      <c r="B492" s="12">
        <v>0.97481955427986144</v>
      </c>
      <c r="C492" s="12">
        <f t="shared" si="65"/>
        <v>1.6434711120834179E-3</v>
      </c>
      <c r="D492" s="12">
        <f t="shared" si="66"/>
        <v>4.7389376298328399E-3</v>
      </c>
      <c r="E492" s="12">
        <f t="shared" si="67"/>
        <v>-6.3868839364429053E-2</v>
      </c>
      <c r="F492" s="12">
        <f t="shared" si="68"/>
        <v>-6.3782206104291514E-2</v>
      </c>
      <c r="G492" s="12">
        <f t="shared" si="69"/>
        <v>0.97512160927740088</v>
      </c>
      <c r="H492" s="12">
        <f t="shared" si="70"/>
        <v>6.3727726078549839E-3</v>
      </c>
      <c r="I492" s="12">
        <f t="shared" si="71"/>
        <v>0.97451749928232201</v>
      </c>
      <c r="J492" s="12">
        <f t="shared" si="72"/>
        <v>-3.0858303836881484E-3</v>
      </c>
      <c r="M492" s="123">
        <f t="shared" si="73"/>
        <v>-0.5</v>
      </c>
    </row>
    <row r="493" spans="2:13" x14ac:dyDescent="0.3">
      <c r="B493" s="12">
        <v>0.977966564146873</v>
      </c>
      <c r="C493" s="12">
        <f t="shared" si="65"/>
        <v>1.4419250404588075E-3</v>
      </c>
      <c r="D493" s="12">
        <f t="shared" si="66"/>
        <v>4.3099758654820903E-3</v>
      </c>
      <c r="E493" s="12">
        <f t="shared" si="67"/>
        <v>-6.4218507127430338E-2</v>
      </c>
      <c r="F493" s="12">
        <f t="shared" si="68"/>
        <v>-6.4130445527740429E-2</v>
      </c>
      <c r="G493" s="12">
        <f t="shared" si="69"/>
        <v>0.97824277539880811</v>
      </c>
      <c r="H493" s="12">
        <f t="shared" si="70"/>
        <v>5.7430410939201103E-3</v>
      </c>
      <c r="I493" s="12">
        <f t="shared" si="71"/>
        <v>0.97769035289493789</v>
      </c>
      <c r="J493" s="12">
        <f t="shared" si="72"/>
        <v>-2.8591910130024954E-3</v>
      </c>
      <c r="M493" s="123">
        <f t="shared" si="73"/>
        <v>-0.5</v>
      </c>
    </row>
    <row r="494" spans="2:13" x14ac:dyDescent="0.3">
      <c r="B494" s="12">
        <v>0.98111379234746177</v>
      </c>
      <c r="C494" s="12">
        <f t="shared" si="65"/>
        <v>1.2392644635306144E-3</v>
      </c>
      <c r="D494" s="12">
        <f t="shared" si="66"/>
        <v>3.8793402455646136E-3</v>
      </c>
      <c r="E494" s="12">
        <f t="shared" si="67"/>
        <v>-6.4568199149717981E-2</v>
      </c>
      <c r="F494" s="12">
        <f t="shared" si="68"/>
        <v>-6.4478693534808534E-2</v>
      </c>
      <c r="G494" s="12">
        <f t="shared" si="69"/>
        <v>0.9813637538516532</v>
      </c>
      <c r="H494" s="12">
        <f t="shared" si="70"/>
        <v>5.1105433203529555E-3</v>
      </c>
      <c r="I494" s="12">
        <f t="shared" si="71"/>
        <v>0.98086383084327033</v>
      </c>
      <c r="J494" s="12">
        <f t="shared" si="72"/>
        <v>-2.6320143932917267E-3</v>
      </c>
      <c r="M494" s="123">
        <f t="shared" si="73"/>
        <v>-0.5</v>
      </c>
    </row>
    <row r="495" spans="2:13" x14ac:dyDescent="0.3">
      <c r="B495" s="12">
        <v>0.98426120769513414</v>
      </c>
      <c r="C495" s="12">
        <f t="shared" si="65"/>
        <v>1.0354911768124038E-3</v>
      </c>
      <c r="D495" s="12">
        <f t="shared" si="66"/>
        <v>3.4470241861267932E-3</v>
      </c>
      <c r="E495" s="12">
        <f t="shared" si="67"/>
        <v>-6.4917911966126021E-2</v>
      </c>
      <c r="F495" s="12">
        <f t="shared" si="68"/>
        <v>-6.4826946588203413E-2</v>
      </c>
      <c r="G495" s="12">
        <f t="shared" si="69"/>
        <v>0.98448451126444692</v>
      </c>
      <c r="H495" s="12">
        <f t="shared" si="70"/>
        <v>4.4752747827497396E-3</v>
      </c>
      <c r="I495" s="12">
        <f t="shared" si="71"/>
        <v>0.98403790412582137</v>
      </c>
      <c r="J495" s="12">
        <f t="shared" si="72"/>
        <v>-2.4042924291249324E-3</v>
      </c>
      <c r="M495" s="123">
        <f t="shared" si="73"/>
        <v>-0.5</v>
      </c>
    </row>
    <row r="496" spans="2:13" x14ac:dyDescent="0.3">
      <c r="B496" s="12">
        <v>0.98740877900154345</v>
      </c>
      <c r="C496" s="12">
        <f t="shared" si="65"/>
        <v>8.3060701955088123E-4</v>
      </c>
      <c r="D496" s="12">
        <f t="shared" si="66"/>
        <v>3.013021004325708E-3</v>
      </c>
      <c r="E496" s="12">
        <f t="shared" si="67"/>
        <v>-6.5267642111282609E-2</v>
      </c>
      <c r="F496" s="12">
        <f t="shared" si="68"/>
        <v>-6.5175201151041154E-2</v>
      </c>
      <c r="G496" s="12">
        <f t="shared" si="69"/>
        <v>0.98760501425445035</v>
      </c>
      <c r="H496" s="12">
        <f t="shared" si="70"/>
        <v>3.8372309232050207E-3</v>
      </c>
      <c r="I496" s="12">
        <f t="shared" si="71"/>
        <v>0.98721254374863654</v>
      </c>
      <c r="J496" s="12">
        <f t="shared" si="72"/>
        <v>-2.1760168841032579E-3</v>
      </c>
      <c r="M496" s="123">
        <f t="shared" si="73"/>
        <v>-0.5</v>
      </c>
    </row>
    <row r="497" spans="2:13" x14ac:dyDescent="0.3">
      <c r="B497" s="12">
        <v>0.99055647507679634</v>
      </c>
      <c r="C497" s="12">
        <f t="shared" si="65"/>
        <v>6.2461387471495714E-4</v>
      </c>
      <c r="D497" s="12">
        <f t="shared" si="66"/>
        <v>2.5773239195677144E-3</v>
      </c>
      <c r="E497" s="12">
        <f t="shared" si="67"/>
        <v>-6.5617386119644044E-2</v>
      </c>
      <c r="F497" s="12">
        <f t="shared" si="68"/>
        <v>-6.5523453686888763E-2</v>
      </c>
      <c r="G497" s="12">
        <f t="shared" si="69"/>
        <v>0.99072522942794283</v>
      </c>
      <c r="H497" s="12">
        <f t="shared" si="70"/>
        <v>3.1964071314416714E-3</v>
      </c>
      <c r="I497" s="12">
        <f t="shared" si="71"/>
        <v>0.99038772072564984</v>
      </c>
      <c r="J497" s="12">
        <f t="shared" si="72"/>
        <v>-1.9471793820117571E-3</v>
      </c>
      <c r="M497" s="123">
        <f t="shared" si="73"/>
        <v>-0.5</v>
      </c>
    </row>
    <row r="498" spans="2:13" x14ac:dyDescent="0.3">
      <c r="B498" s="12">
        <v>0.99370426472976414</v>
      </c>
      <c r="C498" s="12">
        <f t="shared" si="65"/>
        <v>4.1751366898278795E-4</v>
      </c>
      <c r="D498" s="12">
        <f t="shared" si="66"/>
        <v>2.1399260546728777E-3</v>
      </c>
      <c r="E498" s="12">
        <f t="shared" si="67"/>
        <v>-6.596714052552935E-2</v>
      </c>
      <c r="F498" s="12">
        <f t="shared" si="68"/>
        <v>-6.5871700659807089E-2</v>
      </c>
      <c r="G498" s="12">
        <f t="shared" si="69"/>
        <v>0.99384512338049946</v>
      </c>
      <c r="H498" s="12">
        <f t="shared" si="70"/>
        <v>2.5527987459645135E-3</v>
      </c>
      <c r="I498" s="12">
        <f t="shared" si="71"/>
        <v>0.99356340607902882</v>
      </c>
      <c r="J498" s="12">
        <f t="shared" si="72"/>
        <v>-1.7177714079989375E-3</v>
      </c>
      <c r="M498" s="123">
        <f t="shared" si="73"/>
        <v>-0.5</v>
      </c>
    </row>
    <row r="499" spans="2:13" x14ac:dyDescent="0.3">
      <c r="B499" s="12">
        <v>0.99685211676839014</v>
      </c>
      <c r="C499" s="12">
        <f t="shared" si="65"/>
        <v>2.0930837272733731E-4</v>
      </c>
      <c r="D499" s="12">
        <f t="shared" si="66"/>
        <v>1.70082043706693E-3</v>
      </c>
      <c r="E499" s="12">
        <f t="shared" si="67"/>
        <v>-6.6316901863154462E-2</v>
      </c>
      <c r="F499" s="12">
        <f t="shared" si="68"/>
        <v>-6.6219938534393341E-2</v>
      </c>
      <c r="G499" s="12">
        <f t="shared" si="69"/>
        <v>0.99696466269726902</v>
      </c>
      <c r="H499" s="12">
        <f t="shared" si="70"/>
        <v>1.9064010552397976E-3</v>
      </c>
      <c r="I499" s="12">
        <f t="shared" si="71"/>
        <v>0.99673957083951126</v>
      </c>
      <c r="J499" s="12">
        <f t="shared" si="72"/>
        <v>-1.4877843097851229E-3</v>
      </c>
      <c r="M499" s="123">
        <f t="shared" si="73"/>
        <v>-0.5</v>
      </c>
    </row>
    <row r="500" spans="2:13" x14ac:dyDescent="0.3">
      <c r="B500" s="12">
        <v>0.99999999999999989</v>
      </c>
      <c r="C500" s="12">
        <f t="shared" si="65"/>
        <v>6.1679056923619812E-18</v>
      </c>
      <c r="D500" s="12">
        <f t="shared" si="66"/>
        <v>1.2599999999999862E-3</v>
      </c>
      <c r="E500" s="12">
        <f t="shared" si="67"/>
        <v>-6.6666666666666652E-2</v>
      </c>
      <c r="F500" s="12">
        <f t="shared" si="68"/>
        <v>-6.6568163775823794E-2</v>
      </c>
      <c r="G500" s="12">
        <f t="shared" si="69"/>
        <v>1.0000838139532597</v>
      </c>
      <c r="H500" s="12">
        <f t="shared" si="70"/>
        <v>1.2572092988993196E-3</v>
      </c>
      <c r="I500" s="12">
        <f t="shared" si="71"/>
        <v>0.99991618604673993</v>
      </c>
      <c r="J500" s="12">
        <f t="shared" si="72"/>
        <v>-1.2572092988993074E-3</v>
      </c>
      <c r="M500" s="123">
        <f t="shared" si="73"/>
        <v>-0.5</v>
      </c>
    </row>
    <row r="501" spans="2:13" x14ac:dyDescent="0.3">
      <c r="G501" s="12">
        <v>1</v>
      </c>
      <c r="H501" s="12">
        <v>0</v>
      </c>
      <c r="I501" s="12">
        <v>1</v>
      </c>
      <c r="J501" s="12">
        <v>0</v>
      </c>
    </row>
  </sheetData>
  <sheetProtection algorithmName="SHA-512" hashValue="Q0odjrIMwCE+O017zOkAXHKlyFWD6wdpkWTFEFah/L6CcY5D2e+mEkSqLQvx7MlN7SnF9pDDoF8OgUOHTvFMPw==" saltValue="gxam60lq/xzD/bL8Zwym0Q==" spinCount="100000" sheet="1" objects="1" scenarios="1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3116-A4E7-4334-BDF0-B86B1258A737}">
  <sheetPr codeName="Sheet2">
    <pageSetUpPr autoPageBreaks="0" fitToPage="1"/>
  </sheetPr>
  <dimension ref="A1:Q52"/>
  <sheetViews>
    <sheetView showGridLines="0" showRowColHeaders="0" showWhiteSpace="0" zoomScale="130" zoomScaleNormal="130" zoomScaleSheetLayoutView="130" workbookViewId="0"/>
  </sheetViews>
  <sheetFormatPr defaultRowHeight="14.4" x14ac:dyDescent="0.3"/>
  <cols>
    <col min="1" max="1" width="7" customWidth="1"/>
    <col min="2" max="2" width="8.33203125" customWidth="1"/>
    <col min="3" max="3" width="18" customWidth="1"/>
    <col min="4" max="4" width="5.5546875" style="3" customWidth="1"/>
    <col min="5" max="5" width="19.33203125" customWidth="1"/>
    <col min="6" max="6" width="18" style="5" customWidth="1"/>
    <col min="7" max="7" width="7" style="5" customWidth="1"/>
    <col min="8" max="8" width="19.88671875" style="5" customWidth="1"/>
    <col min="9" max="9" width="18.77734375" style="5" customWidth="1"/>
    <col min="10" max="10" width="5.6640625" style="5" customWidth="1"/>
    <col min="11" max="11" width="24.77734375" style="5" customWidth="1"/>
    <col min="12" max="12" width="11.88671875" style="5" customWidth="1"/>
    <col min="17" max="17" width="8.88671875" style="2"/>
  </cols>
  <sheetData>
    <row r="1" spans="1:17" s="9" customFormat="1" ht="19.8" customHeight="1" x14ac:dyDescent="0.3">
      <c r="A1" s="131" t="s">
        <v>16</v>
      </c>
      <c r="B1" s="41"/>
      <c r="C1" s="84"/>
      <c r="D1" s="41"/>
      <c r="E1" s="151" t="s">
        <v>1</v>
      </c>
      <c r="F1" s="152">
        <f>Data1!O1*1000+Data1!O2*100+Data1!O3</f>
        <v>2412</v>
      </c>
      <c r="G1" s="59"/>
      <c r="H1" s="60"/>
      <c r="I1" s="60"/>
      <c r="K1" s="87"/>
      <c r="O1" s="10"/>
    </row>
    <row r="2" spans="1:17" ht="28.2" customHeight="1" x14ac:dyDescent="0.3">
      <c r="B2" s="83"/>
      <c r="C2" s="85"/>
      <c r="D2" s="43"/>
      <c r="E2" s="111" t="s">
        <v>2</v>
      </c>
      <c r="F2" s="112">
        <f>IF(Data1!$P$1=1, "-", Data1!A1)</f>
        <v>0.02</v>
      </c>
      <c r="G2" s="61"/>
      <c r="H2" s="63" t="s">
        <v>0</v>
      </c>
      <c r="I2" s="64">
        <f xml:space="preserve"> Data1!R2</f>
        <v>1.5866929799999999E-2</v>
      </c>
      <c r="J2" s="88"/>
      <c r="K2" s="89"/>
      <c r="L2"/>
      <c r="O2" s="1"/>
      <c r="Q2"/>
    </row>
    <row r="3" spans="1:17" s="8" customFormat="1" ht="27" customHeight="1" x14ac:dyDescent="0.3">
      <c r="B3" s="82"/>
      <c r="C3" s="86"/>
      <c r="D3" s="44"/>
      <c r="E3" s="113" t="s">
        <v>3</v>
      </c>
      <c r="F3" s="114">
        <f>IF(Data1!$P$1=1, "-", Data1!A2)</f>
        <v>0.4</v>
      </c>
      <c r="G3" s="62"/>
      <c r="H3" s="65" t="s">
        <v>12</v>
      </c>
      <c r="I3" s="145">
        <f>DEGREES(2*ATAN(1.16925*F4))</f>
        <v>15.974059813936858</v>
      </c>
      <c r="J3" s="90"/>
      <c r="K3" s="155"/>
      <c r="O3" s="7"/>
    </row>
    <row r="4" spans="1:17" ht="27" customHeight="1" x14ac:dyDescent="0.3">
      <c r="B4" s="42"/>
      <c r="C4" s="42"/>
      <c r="D4" s="45"/>
      <c r="E4" s="115" t="s">
        <v>9</v>
      </c>
      <c r="F4" s="116">
        <f>Data1!A3</f>
        <v>0.12</v>
      </c>
      <c r="G4" s="119"/>
      <c r="H4" s="120"/>
      <c r="I4" s="120"/>
      <c r="J4" s="153"/>
      <c r="K4" s="154"/>
      <c r="L4" s="42"/>
      <c r="O4" s="2"/>
      <c r="Q4"/>
    </row>
    <row r="5" spans="1:17" ht="13.2" customHeight="1" x14ac:dyDescent="0.3">
      <c r="B5" s="42"/>
      <c r="C5" s="42"/>
      <c r="D5" s="42"/>
      <c r="E5" s="49"/>
      <c r="F5" s="50"/>
      <c r="G5"/>
      <c r="H5"/>
      <c r="I5"/>
      <c r="J5"/>
      <c r="K5" s="42"/>
      <c r="L5" s="42"/>
      <c r="O5" s="2"/>
      <c r="Q5"/>
    </row>
    <row r="6" spans="1:17" x14ac:dyDescent="0.3">
      <c r="B6" s="42"/>
      <c r="C6" s="42"/>
      <c r="D6" s="43"/>
      <c r="G6"/>
      <c r="H6"/>
      <c r="I6"/>
      <c r="J6"/>
      <c r="K6" s="42"/>
      <c r="L6" s="42"/>
    </row>
    <row r="7" spans="1:17" ht="14.4" customHeight="1" x14ac:dyDescent="0.5">
      <c r="B7" s="42"/>
      <c r="C7" s="42"/>
      <c r="D7" s="42"/>
      <c r="E7" s="2"/>
      <c r="F7"/>
      <c r="G7"/>
      <c r="H7"/>
      <c r="I7"/>
      <c r="J7"/>
      <c r="K7" s="42"/>
      <c r="L7" s="42"/>
      <c r="P7" s="6"/>
    </row>
    <row r="8" spans="1:17" x14ac:dyDescent="0.3">
      <c r="B8" s="42"/>
      <c r="C8" s="42"/>
      <c r="D8" s="42"/>
      <c r="E8" s="2"/>
      <c r="F8"/>
      <c r="G8"/>
      <c r="H8"/>
      <c r="I8"/>
      <c r="J8"/>
      <c r="K8" s="42"/>
      <c r="L8" s="42"/>
    </row>
    <row r="9" spans="1:17" x14ac:dyDescent="0.3">
      <c r="B9" s="42"/>
      <c r="C9" s="42"/>
      <c r="D9" s="42"/>
      <c r="E9" s="2"/>
      <c r="F9"/>
      <c r="G9"/>
      <c r="H9"/>
      <c r="I9"/>
      <c r="J9"/>
      <c r="K9" s="42"/>
      <c r="L9" s="42"/>
    </row>
    <row r="10" spans="1:17" x14ac:dyDescent="0.3">
      <c r="B10" s="42"/>
      <c r="C10" s="42"/>
      <c r="D10" s="42"/>
      <c r="E10" s="2"/>
      <c r="F10"/>
      <c r="G10"/>
      <c r="H10"/>
      <c r="I10"/>
      <c r="J10"/>
      <c r="K10" s="42"/>
      <c r="L10" s="42"/>
    </row>
    <row r="11" spans="1:17" x14ac:dyDescent="0.3">
      <c r="B11" s="42"/>
      <c r="C11" s="42"/>
      <c r="D11" s="42"/>
      <c r="E11" s="2"/>
      <c r="F11"/>
      <c r="G11"/>
      <c r="H11"/>
      <c r="I11"/>
      <c r="J11"/>
      <c r="K11" s="42"/>
      <c r="L11" s="42"/>
    </row>
    <row r="12" spans="1:17" x14ac:dyDescent="0.3">
      <c r="B12" s="42"/>
      <c r="C12" s="42"/>
      <c r="D12" s="42"/>
      <c r="E12" s="2"/>
      <c r="F12"/>
      <c r="G12"/>
      <c r="H12"/>
      <c r="I12"/>
      <c r="J12"/>
      <c r="K12" s="42"/>
      <c r="L12" s="42"/>
    </row>
    <row r="13" spans="1:17" x14ac:dyDescent="0.3">
      <c r="B13" s="42"/>
      <c r="C13" s="42"/>
      <c r="D13" s="42"/>
      <c r="E13" s="2"/>
      <c r="F13"/>
      <c r="G13"/>
      <c r="H13"/>
      <c r="I13"/>
      <c r="J13"/>
      <c r="K13" s="42"/>
      <c r="L13" s="42"/>
    </row>
    <row r="14" spans="1:17" ht="17.399999999999999" customHeight="1" x14ac:dyDescent="0.3">
      <c r="B14" s="42"/>
      <c r="C14" s="42"/>
      <c r="D14" s="42"/>
      <c r="E14" s="7"/>
      <c r="F14"/>
      <c r="G14"/>
      <c r="H14"/>
      <c r="I14"/>
      <c r="J14"/>
      <c r="K14" s="42"/>
      <c r="L14" s="42"/>
    </row>
    <row r="15" spans="1:17" x14ac:dyDescent="0.3">
      <c r="B15" s="42"/>
      <c r="C15" s="42"/>
      <c r="D15" s="42"/>
      <c r="E15" s="2"/>
      <c r="F15"/>
      <c r="G15"/>
      <c r="H15"/>
      <c r="I15"/>
      <c r="J15"/>
      <c r="K15" s="42"/>
      <c r="L15" s="42"/>
    </row>
    <row r="16" spans="1:17" x14ac:dyDescent="0.3">
      <c r="B16" s="42"/>
      <c r="C16" s="42"/>
      <c r="D16" s="42"/>
      <c r="E16" s="2"/>
      <c r="F16"/>
      <c r="G16"/>
      <c r="H16"/>
      <c r="I16"/>
      <c r="J16"/>
      <c r="K16" s="42"/>
      <c r="L16" s="42"/>
    </row>
    <row r="17" spans="2:17" x14ac:dyDescent="0.3">
      <c r="B17" s="42"/>
      <c r="C17" s="42"/>
      <c r="D17" s="42"/>
      <c r="E17" s="2"/>
      <c r="F17"/>
      <c r="G17"/>
      <c r="H17"/>
      <c r="I17"/>
      <c r="J17"/>
      <c r="K17" s="42"/>
      <c r="L17" s="42"/>
    </row>
    <row r="18" spans="2:17" x14ac:dyDescent="0.3">
      <c r="B18" s="42"/>
      <c r="C18" s="42"/>
      <c r="D18" s="42"/>
      <c r="E18" s="2"/>
      <c r="F18"/>
      <c r="G18"/>
      <c r="H18"/>
      <c r="I18"/>
      <c r="J18"/>
      <c r="K18" s="42"/>
      <c r="L18" s="42"/>
    </row>
    <row r="19" spans="2:17" x14ac:dyDescent="0.3">
      <c r="B19" s="42"/>
      <c r="C19" s="42"/>
      <c r="D19" s="42"/>
      <c r="E19" s="2"/>
      <c r="F19"/>
      <c r="G19"/>
      <c r="H19"/>
      <c r="I19"/>
      <c r="J19"/>
      <c r="K19" s="42"/>
      <c r="L19" s="42"/>
    </row>
    <row r="20" spans="2:17" x14ac:dyDescent="0.3">
      <c r="B20" s="42"/>
      <c r="C20" s="42"/>
      <c r="D20" s="42"/>
      <c r="E20" s="2"/>
      <c r="F20"/>
      <c r="G20"/>
      <c r="H20"/>
      <c r="I20"/>
      <c r="J20"/>
      <c r="K20" s="42"/>
      <c r="L20" s="42"/>
    </row>
    <row r="21" spans="2:17" x14ac:dyDescent="0.3">
      <c r="B21" s="42"/>
      <c r="C21" s="42"/>
      <c r="D21" s="42"/>
      <c r="E21" s="2"/>
      <c r="F21"/>
      <c r="G21"/>
      <c r="H21"/>
      <c r="I21"/>
      <c r="J21"/>
      <c r="K21" s="42"/>
      <c r="L21" s="42"/>
    </row>
    <row r="22" spans="2:17" ht="14.4" customHeight="1" x14ac:dyDescent="0.3">
      <c r="B22" s="42"/>
      <c r="C22" s="42"/>
      <c r="D22" s="43"/>
      <c r="F22"/>
      <c r="G22"/>
      <c r="H22"/>
      <c r="I22"/>
      <c r="J22"/>
      <c r="K22" s="46"/>
      <c r="L22" s="42"/>
    </row>
    <row r="23" spans="2:17" ht="11.4" customHeight="1" x14ac:dyDescent="0.3">
      <c r="B23" s="46"/>
      <c r="C23" s="46"/>
      <c r="D23" s="47"/>
      <c r="E23" s="51"/>
      <c r="F23" s="51"/>
      <c r="G23" s="51"/>
      <c r="I23" s="51"/>
      <c r="J23"/>
      <c r="K23" s="42"/>
      <c r="L23" s="42"/>
      <c r="N23" s="2"/>
      <c r="Q23"/>
    </row>
    <row r="24" spans="2:17" x14ac:dyDescent="0.3">
      <c r="B24" s="48"/>
      <c r="C24" s="48"/>
      <c r="D24" s="43"/>
      <c r="G24"/>
      <c r="H24"/>
      <c r="I24"/>
      <c r="J24"/>
      <c r="K24" s="46"/>
      <c r="L24" s="42"/>
    </row>
    <row r="25" spans="2:17" x14ac:dyDescent="0.3">
      <c r="B25" s="42"/>
      <c r="C25" s="42"/>
      <c r="D25" s="42"/>
      <c r="F25"/>
      <c r="G25"/>
      <c r="H25"/>
      <c r="I25"/>
      <c r="J25"/>
      <c r="K25" s="42"/>
      <c r="L25" s="42"/>
    </row>
    <row r="26" spans="2:17" x14ac:dyDescent="0.3">
      <c r="D26"/>
      <c r="F26"/>
      <c r="G26"/>
      <c r="H26"/>
      <c r="I26"/>
      <c r="J26"/>
      <c r="K26" s="46"/>
      <c r="L26" s="42"/>
    </row>
    <row r="27" spans="2:17" x14ac:dyDescent="0.3">
      <c r="D27"/>
      <c r="F27"/>
      <c r="G27"/>
      <c r="H27"/>
      <c r="I27"/>
      <c r="J27"/>
      <c r="K27" s="46"/>
      <c r="L27" s="42"/>
    </row>
    <row r="28" spans="2:17" x14ac:dyDescent="0.3">
      <c r="D28"/>
      <c r="F28"/>
      <c r="G28"/>
      <c r="H28"/>
      <c r="I28"/>
      <c r="J28"/>
      <c r="K28"/>
      <c r="L28"/>
    </row>
    <row r="29" spans="2:17" x14ac:dyDescent="0.3">
      <c r="E29" s="3"/>
      <c r="F29"/>
      <c r="G29"/>
      <c r="H29"/>
      <c r="I29"/>
      <c r="J29"/>
      <c r="K29"/>
      <c r="L29"/>
    </row>
    <row r="30" spans="2:17" x14ac:dyDescent="0.3">
      <c r="E30" s="3"/>
      <c r="F30"/>
      <c r="G30"/>
      <c r="H30"/>
      <c r="I30"/>
      <c r="J30"/>
      <c r="K30"/>
      <c r="L30"/>
    </row>
    <row r="31" spans="2:17" x14ac:dyDescent="0.3">
      <c r="E31" s="3"/>
      <c r="F31"/>
      <c r="G31"/>
      <c r="H31"/>
      <c r="I31"/>
      <c r="J31"/>
      <c r="K31"/>
      <c r="L31"/>
    </row>
    <row r="32" spans="2:17" x14ac:dyDescent="0.3">
      <c r="E32" s="3"/>
      <c r="F32"/>
      <c r="G32"/>
      <c r="H32"/>
      <c r="I32"/>
      <c r="J32"/>
      <c r="K32"/>
      <c r="L32"/>
    </row>
    <row r="33" spans="5:6" x14ac:dyDescent="0.3">
      <c r="E33" s="3"/>
      <c r="F33" s="4"/>
    </row>
    <row r="34" spans="5:6" x14ac:dyDescent="0.3">
      <c r="E34" s="3"/>
      <c r="F34" s="4"/>
    </row>
    <row r="35" spans="5:6" x14ac:dyDescent="0.3">
      <c r="E35" s="3"/>
      <c r="F35" s="4"/>
    </row>
    <row r="36" spans="5:6" x14ac:dyDescent="0.3">
      <c r="E36" s="3"/>
      <c r="F36" s="4"/>
    </row>
    <row r="37" spans="5:6" x14ac:dyDescent="0.3">
      <c r="E37" s="3"/>
      <c r="F37" s="4"/>
    </row>
    <row r="38" spans="5:6" x14ac:dyDescent="0.3">
      <c r="E38" s="3"/>
      <c r="F38" s="4"/>
    </row>
    <row r="39" spans="5:6" x14ac:dyDescent="0.3">
      <c r="E39" s="3"/>
      <c r="F39" s="4"/>
    </row>
    <row r="40" spans="5:6" x14ac:dyDescent="0.3">
      <c r="E40" s="3"/>
      <c r="F40" s="4"/>
    </row>
    <row r="41" spans="5:6" x14ac:dyDescent="0.3">
      <c r="E41" s="3"/>
      <c r="F41" s="4"/>
    </row>
    <row r="42" spans="5:6" x14ac:dyDescent="0.3">
      <c r="E42" s="3"/>
      <c r="F42" s="4"/>
    </row>
    <row r="43" spans="5:6" x14ac:dyDescent="0.3">
      <c r="E43" s="3"/>
      <c r="F43" s="4"/>
    </row>
    <row r="44" spans="5:6" x14ac:dyDescent="0.3">
      <c r="E44" s="3"/>
      <c r="F44" s="4"/>
    </row>
    <row r="45" spans="5:6" x14ac:dyDescent="0.3">
      <c r="E45" s="3"/>
      <c r="F45" s="4"/>
    </row>
    <row r="46" spans="5:6" x14ac:dyDescent="0.3">
      <c r="E46" s="3"/>
      <c r="F46" s="4"/>
    </row>
    <row r="47" spans="5:6" x14ac:dyDescent="0.3">
      <c r="E47" s="3"/>
      <c r="F47" s="4"/>
    </row>
    <row r="48" spans="5:6" x14ac:dyDescent="0.3">
      <c r="E48" s="3"/>
      <c r="F48" s="4"/>
    </row>
    <row r="49" spans="6:6" x14ac:dyDescent="0.3">
      <c r="F49" s="4"/>
    </row>
    <row r="50" spans="6:6" x14ac:dyDescent="0.3">
      <c r="F50" s="4"/>
    </row>
    <row r="51" spans="6:6" x14ac:dyDescent="0.3">
      <c r="F51" s="4"/>
    </row>
    <row r="52" spans="6:6" x14ac:dyDescent="0.3">
      <c r="F52" s="4"/>
    </row>
  </sheetData>
  <sheetProtection algorithmName="SHA-512" hashValue="qKsJ/Nd9bXns5427CYyK2KV5v6J89Q4W6kbvvxGQep2X7IRNtMCI8yWXi9QdhDqUOdeHWfBFPFvL7zy70Aynzw==" saltValue="wPEnVEMZk9Rqy5fZSmKFxg==" spinCount="100000" sheet="1" objects="1" scenarios="1"/>
  <hyperlinks>
    <hyperlink ref="A1" location="Start_page!A1" display="BACK" xr:uid="{418CBA0E-F2BB-4D86-9395-636926BA1DB2}"/>
  </hyperlinks>
  <pageMargins left="0.25" right="0.25" top="0.75" bottom="0.75" header="0.3" footer="0.3"/>
  <pageSetup paperSize="9" scale="82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6" r:id="rId4" name="Spinner 4">
              <controlPr locked="0" defaultSize="0" autoPict="0">
                <anchor moveWithCells="1" sizeWithCells="1">
                  <from>
                    <xdr:col>6</xdr:col>
                    <xdr:colOff>0</xdr:colOff>
                    <xdr:row>1</xdr:row>
                    <xdr:rowOff>22860</xdr:rowOff>
                  </from>
                  <to>
                    <xdr:col>6</xdr:col>
                    <xdr:colOff>144780</xdr:colOff>
                    <xdr:row>1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5" name="Spinner 8">
              <controlPr locked="0" defaultSize="0" autoPict="0">
                <anchor moveWithCells="1" sizeWithCells="1">
                  <from>
                    <xdr:col>6</xdr:col>
                    <xdr:colOff>0</xdr:colOff>
                    <xdr:row>2</xdr:row>
                    <xdr:rowOff>22860</xdr:rowOff>
                  </from>
                  <to>
                    <xdr:col>6</xdr:col>
                    <xdr:colOff>144780</xdr:colOff>
                    <xdr:row>2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6" name="Spinner 9">
              <controlPr locked="0" defaultSize="0" autoPict="0">
                <anchor moveWithCells="1" sizeWithCells="1">
                  <from>
                    <xdr:col>6</xdr:col>
                    <xdr:colOff>0</xdr:colOff>
                    <xdr:row>3</xdr:row>
                    <xdr:rowOff>22860</xdr:rowOff>
                  </from>
                  <to>
                    <xdr:col>6</xdr:col>
                    <xdr:colOff>144780</xdr:colOff>
                    <xdr:row>3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7" name="Option Button 11">
              <controlPr locked="0" defaultSize="0" autoFill="0" autoLine="0" autoPict="0" altText="Symmetric Airfoil_x000a_">
                <anchor moveWithCells="1">
                  <from>
                    <xdr:col>2</xdr:col>
                    <xdr:colOff>83820</xdr:colOff>
                    <xdr:row>1</xdr:row>
                    <xdr:rowOff>68580</xdr:rowOff>
                  </from>
                  <to>
                    <xdr:col>2</xdr:col>
                    <xdr:colOff>1158240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8" name="Option Button 12">
              <controlPr locked="0" defaultSize="0" autoFill="0" autoLine="0" autoPict="0" altText="Cambered Airfoil_x000a_">
                <anchor moveWithCells="1">
                  <from>
                    <xdr:col>2</xdr:col>
                    <xdr:colOff>83820</xdr:colOff>
                    <xdr:row>1</xdr:row>
                    <xdr:rowOff>327660</xdr:rowOff>
                  </from>
                  <to>
                    <xdr:col>2</xdr:col>
                    <xdr:colOff>1158240</xdr:colOff>
                    <xdr:row>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9" name="Check Box 14">
              <controlPr locked="0" defaultSize="0" autoFill="0" autoLine="0" autoPict="0">
                <anchor moveWithCells="1">
                  <from>
                    <xdr:col>10</xdr:col>
                    <xdr:colOff>129540</xdr:colOff>
                    <xdr:row>1</xdr:row>
                    <xdr:rowOff>30480</xdr:rowOff>
                  </from>
                  <to>
                    <xdr:col>10</xdr:col>
                    <xdr:colOff>1059180</xdr:colOff>
                    <xdr:row>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0" name="Check Box 15">
              <controlPr locked="0" defaultSize="0" autoFill="0" autoLine="0" autoPict="0">
                <anchor moveWithCells="1">
                  <from>
                    <xdr:col>10</xdr:col>
                    <xdr:colOff>129540</xdr:colOff>
                    <xdr:row>1</xdr:row>
                    <xdr:rowOff>350520</xdr:rowOff>
                  </from>
                  <to>
                    <xdr:col>10</xdr:col>
                    <xdr:colOff>1592580</xdr:colOff>
                    <xdr:row>2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1" name="Check Box 16">
              <controlPr locked="0" defaultSize="0" autoFill="0" autoLine="0" autoPict="0">
                <anchor moveWithCells="1">
                  <from>
                    <xdr:col>10</xdr:col>
                    <xdr:colOff>129540</xdr:colOff>
                    <xdr:row>2</xdr:row>
                    <xdr:rowOff>297180</xdr:rowOff>
                  </from>
                  <to>
                    <xdr:col>10</xdr:col>
                    <xdr:colOff>1592580</xdr:colOff>
                    <xdr:row>3</xdr:row>
                    <xdr:rowOff>289560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2F68-5F9A-4AB9-AE07-B60638DF1377}">
  <sheetPr codeName="Sheet3"/>
  <dimension ref="A1:X2000"/>
  <sheetViews>
    <sheetView zoomScale="80" zoomScaleNormal="80" workbookViewId="0">
      <selection activeCell="T3" sqref="T3"/>
    </sheetView>
  </sheetViews>
  <sheetFormatPr defaultRowHeight="14.4" x14ac:dyDescent="0.3"/>
  <cols>
    <col min="1" max="1" width="12.6640625" bestFit="1" customWidth="1"/>
    <col min="2" max="2" width="8.88671875" style="16"/>
    <col min="4" max="4" width="9.21875" bestFit="1" customWidth="1"/>
    <col min="5" max="9" width="9.21875" style="16" bestFit="1" customWidth="1"/>
    <col min="10" max="10" width="9.21875" bestFit="1" customWidth="1"/>
    <col min="11" max="12" width="9.21875" style="16" bestFit="1" customWidth="1"/>
    <col min="13" max="14" width="8.88671875" style="16"/>
    <col min="15" max="15" width="9.21875" bestFit="1" customWidth="1"/>
    <col min="16" max="16" width="9.5546875" style="16" customWidth="1"/>
    <col min="18" max="18" width="8.88671875" style="5"/>
    <col min="22" max="24" width="8.88671875" style="40"/>
  </cols>
  <sheetData>
    <row r="1" spans="1:24" x14ac:dyDescent="0.3">
      <c r="A1">
        <v>1000</v>
      </c>
      <c r="B1" s="16" cm="1">
        <f t="array" ref="B1:B500">1-COS((_xlfn.SEQUENCE(500,1,0,1)*PI())/(2*(500-1)))</f>
        <v>0</v>
      </c>
      <c r="C1" s="16">
        <f>IF(AND($Q$1=2, $A$3=1), 0, IF($T$3, 5*$A$7*(0.2969*SQRT(B1)-0.126*B1-0.3516*(B1^2)+0.2843*(B1^3)-0.1036*(B1^4)),  5*$A$7*(0.2969*SQRT(B1)-0.126*B1-0.3516*(B1^2)+0.2843*(B1^3)-0.1015*(B1^4))))</f>
        <v>0</v>
      </c>
      <c r="D1" s="16" t="str">
        <f>IF($Q$1=1, IF(B1&lt;$A$8, ($A$10/6)*((B1^3)-3*$A$8*(B1^2)+($A$8^2)*(3-$A$8)*B1), (($A$10*($A$8^3))/6)*(1-B1)), " ")</f>
        <v xml:space="preserve"> </v>
      </c>
      <c r="E1" s="16" t="str">
        <f t="shared" ref="E1:E64" si="0">IF($Q$1=1,IF(B1&lt;$A$8, ($A$10/6)*(3*(B1^2)-6*$A$8*B1+($A$8^2)*(3-$A$8)), -($A$10*($A$8^3))/6), " ")</f>
        <v xml:space="preserve"> </v>
      </c>
      <c r="F1" s="16" t="str">
        <f>IF($Q$1=1, ATAN(E1), " ")</f>
        <v xml:space="preserve"> </v>
      </c>
      <c r="G1" s="16">
        <f>IF($Q$1=2, IF(A3&lt;&gt;1, IF(B1&lt;$A$11, ($A$12/6)*((B1-$A$11)^3-$A$13*((1-$A$11)^3)*B1-($A$11^3)*B1+$A$11^3), ($A$12/6)*($A$13*(B1-$A$11)^3-$A$13*((1-$A$11)^3)*B1-($A$11^3)*B1+$A$11^3)), 0), " ")</f>
        <v>0</v>
      </c>
      <c r="H1" s="16">
        <f>IF($Q$1=2, IF(A3&lt;&gt;1, IF(B1&lt;$A$11, ($A$12/6)*(3*(B1-$A$11)^2-$A$13*((1-$A$11)^3)-($A$11^3)), ($A$12/6)*(3*$A$13*(B1-$A$11)^2-$A$13*((1-$A$11)^3)-($A$11^3))),0 ), " ")</f>
        <v>0.33638762924077248</v>
      </c>
      <c r="I1" s="16">
        <f>IF($Q$1=2, IF(A3&lt;&gt;1,  ATAN(H1), 0), " ")</f>
        <v>0.32449689735909665</v>
      </c>
      <c r="J1" s="16">
        <f t="shared" ref="J1:J64" si="1">IF($Q$1=1, D1, G1)</f>
        <v>0</v>
      </c>
      <c r="K1" s="16">
        <f>IF($Q$1=1, F1, I1)</f>
        <v>0.32449689735909665</v>
      </c>
      <c r="L1" s="16">
        <f>B1-C1*SIN(K1)</f>
        <v>0</v>
      </c>
      <c r="M1" s="16">
        <f>J1+C1*COS(K1)</f>
        <v>0</v>
      </c>
      <c r="N1" s="16">
        <f>B1+C1*SIN(K1)</f>
        <v>0</v>
      </c>
      <c r="O1" s="16">
        <f>J1-C1*COS(K1)</f>
        <v>0</v>
      </c>
      <c r="P1" s="16">
        <v>0.2</v>
      </c>
      <c r="Q1" s="19">
        <v>2</v>
      </c>
      <c r="R1" s="5">
        <f>IF($T$1, J1, -0.5)</f>
        <v>-0.5</v>
      </c>
      <c r="T1" s="19" t="b">
        <v>0</v>
      </c>
      <c r="U1" s="16">
        <f>ATAN(K1)</f>
        <v>0.31377679267857678</v>
      </c>
      <c r="V1" s="40" cm="1">
        <f t="array" ref="V1:V50">_xlfn.SEQUENCE(50, 1, 0, (2*PI())/(50-1))</f>
        <v>0</v>
      </c>
      <c r="W1" s="40">
        <f>$U$2*(COS($U$1)+COS(V1))</f>
        <v>3.0959150997382542E-2</v>
      </c>
      <c r="X1" s="40">
        <f>IF($T$2, $U$2*(SIN($U$1)+SIN(V1)), -0.5)</f>
        <v>-0.5</v>
      </c>
    </row>
    <row r="2" spans="1:24" x14ac:dyDescent="0.3">
      <c r="A2" s="19">
        <v>2</v>
      </c>
      <c r="B2" s="16">
        <v>4.9545966939179564E-6</v>
      </c>
      <c r="C2" s="16">
        <f t="shared" ref="C2:C65" si="2">IF(AND($Q$1=2, $A$3=1), 0, IF($T$3, 5*$A$7*(0.2969*SQRT(B2)-0.126*B2-0.3516*(B2^2)+0.2843*(B2^3)-0.1036*(B2^4)),  5*$A$7*(0.2969*SQRT(B2)-0.126*B2-0.3516*(B2^2)+0.2843*(B2^3)-0.1015*(B2^4))))</f>
        <v>3.9614588814456303E-4</v>
      </c>
      <c r="D2" s="16" t="str">
        <f t="shared" ref="D2:D64" si="3">IF($Q$1=1, IF(B2&lt;$A$8, ($A$10/6)*((B2^3)-3*$A$8*(B2^2)+($A$8^2)*(3-$A$8)*B2), (($A$10*($A$8^3))/6)*(1-B2)), " ")</f>
        <v xml:space="preserve"> </v>
      </c>
      <c r="E2" s="16" t="str">
        <f t="shared" si="0"/>
        <v xml:space="preserve"> </v>
      </c>
      <c r="F2" s="16" t="str">
        <f t="shared" ref="F2:F64" si="4">IF($Q$1=1, ATAN(E2), " ")</f>
        <v xml:space="preserve"> </v>
      </c>
      <c r="G2" s="16">
        <f t="shared" ref="G2:G65" si="5">IF($Q$1=2, IF(A4&lt;&gt;1, IF(B2&lt;$A$11, ($A$12/6)*((B2-$A$11)^3-$A$13*((1-$A$11)^3)*B2-($A$11^3)*B2+$A$11^3), ($A$12/6)*($A$13*(B2-$A$11)^3-$A$13*((1-$A$11)^3)*B2-($A$11^3)*B2+$A$11^3)), 0), " ")</f>
        <v>1.6666229719934967E-6</v>
      </c>
      <c r="H2" s="16">
        <f t="shared" ref="H2:H65" si="6">IF($Q$1=2, IF(A4&lt;&gt;1, IF(B2&lt;$A$11, ($A$12/6)*(3*(B2-$A$11)^2-$A$13*((1-$A$11)^3)-($A$11^3)), ($A$12/6)*(3*$A$13*(B2-$A$11)^2-$A$13*((1-$A$11)^3)-($A$11^3))),0 ), " ")</f>
        <v>0.33637064963042357</v>
      </c>
      <c r="I2" s="16">
        <f t="shared" ref="I2:I65" si="7">IF($Q$1=2, IF(A4&lt;&gt;1,  ATAN(H2), 0), " ")</f>
        <v>0.32448164371292831</v>
      </c>
      <c r="J2" s="16">
        <f t="shared" si="1"/>
        <v>1.6666229719934967E-6</v>
      </c>
      <c r="K2" s="16">
        <f t="shared" ref="K2:K65" si="8">IF($Q$1=1, F2, I2)</f>
        <v>0.32448164371292831</v>
      </c>
      <c r="L2" s="16">
        <f t="shared" ref="L2:L65" si="9">B2-C2*SIN(K2)</f>
        <v>-1.2134365382136762E-4</v>
      </c>
      <c r="M2" s="16">
        <f t="shared" ref="M2:M65" si="10">J2+C2*COS(K2)</f>
        <v>3.7714007957128867E-4</v>
      </c>
      <c r="N2" s="16">
        <f t="shared" ref="N2:N65" si="11">B2+C2*SIN(K2)</f>
        <v>1.3125284720920353E-4</v>
      </c>
      <c r="O2" s="16">
        <f t="shared" ref="O2:O65" si="12">J2-C2*COS(K2)</f>
        <v>-3.738068336273017E-4</v>
      </c>
      <c r="P2" s="16">
        <f>P1-(P1-P1*SQRT(P1/3)-$A$5)/(1-SQRT(3*P1)/2)</f>
        <v>0.20267630731575903</v>
      </c>
      <c r="R2" s="5">
        <f t="shared" ref="R2:R65" si="13">IF($T$1, J2, -0.5)</f>
        <v>-0.5</v>
      </c>
      <c r="T2" s="19" t="b">
        <v>0</v>
      </c>
      <c r="U2">
        <f>(0.2969^2/2)*(A7/0.2)^2</f>
        <v>1.5866929799999999E-2</v>
      </c>
      <c r="V2" s="40">
        <v>0.12822827157509359</v>
      </c>
      <c r="W2" s="40">
        <f t="shared" ref="W2:W50" si="14">$U$2*(COS($U$1)+COS(V2))</f>
        <v>3.0828883723057015E-2</v>
      </c>
      <c r="X2" s="40">
        <f t="shared" ref="X2:X50" si="15">IF($T$2, $U$2*(SIN($U$1)+SIN(V2)), -0.5)</f>
        <v>-0.5</v>
      </c>
    </row>
    <row r="3" spans="1:24" x14ac:dyDescent="0.3">
      <c r="A3" s="19">
        <v>3</v>
      </c>
      <c r="B3" s="16">
        <v>1.9818337679722298E-5</v>
      </c>
      <c r="C3" s="16">
        <f t="shared" si="2"/>
        <v>7.9154159018328309E-4</v>
      </c>
      <c r="D3" s="16" t="str">
        <f t="shared" si="3"/>
        <v xml:space="preserve"> </v>
      </c>
      <c r="E3" s="16" t="str">
        <f t="shared" si="0"/>
        <v xml:space="preserve"> </v>
      </c>
      <c r="F3" s="16" t="str">
        <f t="shared" si="4"/>
        <v xml:space="preserve"> </v>
      </c>
      <c r="G3" s="16">
        <f t="shared" si="5"/>
        <v>6.6659706267435096E-6</v>
      </c>
      <c r="H3" s="16">
        <f t="shared" si="6"/>
        <v>0.3363197132937395</v>
      </c>
      <c r="I3" s="16">
        <f t="shared" si="7"/>
        <v>0.32443588407615032</v>
      </c>
      <c r="J3" s="16">
        <f t="shared" si="1"/>
        <v>6.6659706267435096E-6</v>
      </c>
      <c r="K3" s="16">
        <f t="shared" si="8"/>
        <v>0.32443588407615032</v>
      </c>
      <c r="L3" s="16">
        <f t="shared" si="9"/>
        <v>-2.3250466009001934E-4</v>
      </c>
      <c r="M3" s="16">
        <f t="shared" si="10"/>
        <v>7.5691339233932185E-4</v>
      </c>
      <c r="N3" s="16">
        <f t="shared" si="11"/>
        <v>2.7214133544946394E-4</v>
      </c>
      <c r="O3" s="16">
        <f t="shared" si="12"/>
        <v>-7.4358145108583491E-4</v>
      </c>
      <c r="P3" s="16">
        <f t="shared" ref="P3:P20" si="16">P2-(P2-P2*SQRT(P2/3)-$A$5)/(1-SQRT(3*P2)/2)</f>
        <v>0.20268197816703676</v>
      </c>
      <c r="R3" s="5">
        <f t="shared" si="13"/>
        <v>-0.5</v>
      </c>
      <c r="T3" s="19" t="b">
        <v>0</v>
      </c>
      <c r="V3" s="40">
        <v>0.25645654315018718</v>
      </c>
      <c r="W3" s="40">
        <f t="shared" si="14"/>
        <v>3.0440220885123437E-2</v>
      </c>
      <c r="X3" s="40">
        <f t="shared" si="15"/>
        <v>-0.5</v>
      </c>
    </row>
    <row r="4" spans="1:24" x14ac:dyDescent="0.3">
      <c r="A4" s="19">
        <v>12</v>
      </c>
      <c r="B4" s="16">
        <v>4.4591075669564439E-5</v>
      </c>
      <c r="C4" s="16">
        <f t="shared" si="2"/>
        <v>1.1861859485331602E-3</v>
      </c>
      <c r="D4" s="16" t="str">
        <f t="shared" si="3"/>
        <v xml:space="preserve"> </v>
      </c>
      <c r="E4" s="16" t="str">
        <f t="shared" si="0"/>
        <v xml:space="preserve"> </v>
      </c>
      <c r="F4" s="16" t="str">
        <f t="shared" si="4"/>
        <v xml:space="preserve"> </v>
      </c>
      <c r="G4" s="16">
        <f t="shared" si="5"/>
        <v>1.4996479320869721E-5</v>
      </c>
      <c r="H4" s="16">
        <f t="shared" si="6"/>
        <v>0.33623482771369234</v>
      </c>
      <c r="I4" s="16">
        <f t="shared" si="7"/>
        <v>0.32435962235481025</v>
      </c>
      <c r="J4" s="16">
        <f t="shared" si="1"/>
        <v>1.4996479320869721E-5</v>
      </c>
      <c r="K4" s="16">
        <f t="shared" si="8"/>
        <v>0.32435962235481025</v>
      </c>
      <c r="L4" s="16">
        <f t="shared" si="9"/>
        <v>-3.3344859965318211E-4</v>
      </c>
      <c r="M4" s="16">
        <f t="shared" si="10"/>
        <v>1.1393287737869609E-3</v>
      </c>
      <c r="N4" s="16">
        <f t="shared" si="11"/>
        <v>4.2263075099231099E-4</v>
      </c>
      <c r="O4" s="16">
        <f t="shared" si="12"/>
        <v>-1.1093358151452216E-3</v>
      </c>
      <c r="P4" s="16">
        <f t="shared" si="16"/>
        <v>0.20268197819238526</v>
      </c>
      <c r="R4" s="5">
        <f t="shared" si="13"/>
        <v>-0.5</v>
      </c>
      <c r="V4" s="40">
        <v>0.38468481472528077</v>
      </c>
      <c r="W4" s="40">
        <f t="shared" si="14"/>
        <v>2.9799544316635503E-2</v>
      </c>
      <c r="X4" s="40">
        <f t="shared" si="15"/>
        <v>-0.5</v>
      </c>
    </row>
    <row r="5" spans="1:24" x14ac:dyDescent="0.3">
      <c r="A5">
        <f>0.05*$A$3</f>
        <v>0.15000000000000002</v>
      </c>
      <c r="B5" s="16">
        <v>7.9272565185806165E-5</v>
      </c>
      <c r="C5" s="16">
        <f t="shared" si="2"/>
        <v>1.580077688805182E-3</v>
      </c>
      <c r="D5" s="16" t="str">
        <f t="shared" si="3"/>
        <v xml:space="preserve"> </v>
      </c>
      <c r="E5" s="16" t="str">
        <f t="shared" si="0"/>
        <v xml:space="preserve"> </v>
      </c>
      <c r="F5" s="16" t="str">
        <f t="shared" si="4"/>
        <v xml:space="preserve"> </v>
      </c>
      <c r="G5" s="16">
        <f t="shared" si="5"/>
        <v>2.6655543450227353E-5</v>
      </c>
      <c r="H5" s="16">
        <f t="shared" si="6"/>
        <v>0.33611600536151121</v>
      </c>
      <c r="I5" s="16">
        <f t="shared" si="7"/>
        <v>0.32425286506187267</v>
      </c>
      <c r="J5" s="16">
        <f t="shared" si="1"/>
        <v>2.6655543450227353E-5</v>
      </c>
      <c r="K5" s="16">
        <f t="shared" si="8"/>
        <v>0.32425286506187267</v>
      </c>
      <c r="L5" s="16">
        <f t="shared" si="9"/>
        <v>-4.2414125117957383E-4</v>
      </c>
      <c r="M5" s="16">
        <f t="shared" si="10"/>
        <v>1.524393849080543E-3</v>
      </c>
      <c r="N5" s="16">
        <f t="shared" si="11"/>
        <v>5.8268638155118617E-4</v>
      </c>
      <c r="O5" s="16">
        <f t="shared" si="12"/>
        <v>-1.4710827621800884E-3</v>
      </c>
      <c r="P5" s="16">
        <f t="shared" si="16"/>
        <v>0.20268197819238526</v>
      </c>
      <c r="R5" s="5">
        <f t="shared" si="13"/>
        <v>-0.5</v>
      </c>
      <c r="V5" s="40">
        <v>0.51291308630037435</v>
      </c>
      <c r="W5" s="40">
        <f t="shared" si="14"/>
        <v>2.8917373909135333E-2</v>
      </c>
      <c r="X5" s="40">
        <f t="shared" si="15"/>
        <v>-0.5</v>
      </c>
    </row>
    <row r="6" spans="1:24" x14ac:dyDescent="0.3">
      <c r="A6">
        <f>IF(Q1=1, A2/100, 0.02)</f>
        <v>0.02</v>
      </c>
      <c r="B6" s="16">
        <v>1.2386246256268496E-4</v>
      </c>
      <c r="C6" s="16">
        <f t="shared" si="2"/>
        <v>1.9732154198450957E-3</v>
      </c>
      <c r="D6" s="16" t="str">
        <f t="shared" si="3"/>
        <v xml:space="preserve"> </v>
      </c>
      <c r="E6" s="16" t="str">
        <f t="shared" si="0"/>
        <v xml:space="preserve"> </v>
      </c>
      <c r="F6" s="16" t="str">
        <f t="shared" si="4"/>
        <v xml:space="preserve"> </v>
      </c>
      <c r="G6" s="16">
        <f t="shared" si="5"/>
        <v>4.1639516151759516E-5</v>
      </c>
      <c r="H6" s="16">
        <f t="shared" si="6"/>
        <v>0.33596326369610008</v>
      </c>
      <c r="I6" s="16">
        <f t="shared" si="7"/>
        <v>0.32411562132154847</v>
      </c>
      <c r="J6" s="16">
        <f t="shared" si="1"/>
        <v>4.1639516151759516E-5</v>
      </c>
      <c r="K6" s="16">
        <f t="shared" si="8"/>
        <v>0.32411562132154847</v>
      </c>
      <c r="L6" s="16">
        <f t="shared" si="9"/>
        <v>-5.0454859468592871E-4</v>
      </c>
      <c r="M6" s="16">
        <f t="shared" si="10"/>
        <v>1.9121150268821558E-3</v>
      </c>
      <c r="N6" s="16">
        <f t="shared" si="11"/>
        <v>7.5227351981129863E-4</v>
      </c>
      <c r="O6" s="16">
        <f t="shared" si="12"/>
        <v>-1.8288359945786367E-3</v>
      </c>
      <c r="P6" s="16">
        <f t="shared" si="16"/>
        <v>0.20268197819238526</v>
      </c>
      <c r="R6" s="5">
        <f t="shared" si="13"/>
        <v>-0.5</v>
      </c>
      <c r="V6" s="40">
        <v>0.64114135787546789</v>
      </c>
      <c r="W6" s="40">
        <f t="shared" si="14"/>
        <v>2.7808194876325156E-2</v>
      </c>
      <c r="X6" s="40">
        <f t="shared" si="15"/>
        <v>-0.5</v>
      </c>
    </row>
    <row r="7" spans="1:24" x14ac:dyDescent="0.3">
      <c r="A7">
        <f>A4/100</f>
        <v>0.12</v>
      </c>
      <c r="B7" s="16">
        <v>1.7836032595031082E-4</v>
      </c>
      <c r="C7" s="16">
        <f t="shared" si="2"/>
        <v>2.365597633818405E-3</v>
      </c>
      <c r="D7" s="16" t="str">
        <f t="shared" si="3"/>
        <v xml:space="preserve"> </v>
      </c>
      <c r="E7" s="16" t="str">
        <f t="shared" si="0"/>
        <v xml:space="preserve"> </v>
      </c>
      <c r="F7" s="16" t="str">
        <f t="shared" si="4"/>
        <v xml:space="preserve"> </v>
      </c>
      <c r="G7" s="16">
        <f t="shared" si="5"/>
        <v>5.9943710286268609E-5</v>
      </c>
      <c r="H7" s="16">
        <f t="shared" si="6"/>
        <v>0.33577662516321727</v>
      </c>
      <c r="I7" s="16">
        <f t="shared" si="7"/>
        <v>0.32394790287534764</v>
      </c>
      <c r="J7" s="16">
        <f t="shared" si="1"/>
        <v>5.9943710286268609E-5</v>
      </c>
      <c r="K7" s="16">
        <f t="shared" si="8"/>
        <v>0.32394790287534764</v>
      </c>
      <c r="L7" s="16">
        <f t="shared" si="9"/>
        <v>-5.7463681512787655E-4</v>
      </c>
      <c r="M7" s="16">
        <f t="shared" si="10"/>
        <v>2.3024974935109458E-3</v>
      </c>
      <c r="N7" s="16">
        <f t="shared" si="11"/>
        <v>9.3135746702849818E-4</v>
      </c>
      <c r="O7" s="16">
        <f t="shared" si="12"/>
        <v>-2.182610072938409E-3</v>
      </c>
      <c r="P7" s="16">
        <f t="shared" si="16"/>
        <v>0.20268197819238526</v>
      </c>
      <c r="R7" s="5">
        <f t="shared" si="13"/>
        <v>-0.5</v>
      </c>
      <c r="V7" s="40">
        <v>0.76936962945056142</v>
      </c>
      <c r="W7" s="40">
        <f t="shared" si="14"/>
        <v>2.6490219907258809E-2</v>
      </c>
      <c r="X7" s="40">
        <f t="shared" si="15"/>
        <v>-0.5</v>
      </c>
    </row>
    <row r="8" spans="1:24" x14ac:dyDescent="0.3">
      <c r="A8" s="40">
        <f>IF(Q1=1, IF(A3=1, 0.058, IF(A3=2, 0.126, IF(A3=3,  0.2025, IF(A3=4, 0.29, 0.391)))), 0)</f>
        <v>0</v>
      </c>
      <c r="B8" s="16">
        <v>2.4276561531888508E-4</v>
      </c>
      <c r="C8" s="16">
        <f t="shared" si="2"/>
        <v>2.7572227063043524E-3</v>
      </c>
      <c r="D8" s="16" t="str">
        <f t="shared" si="3"/>
        <v xml:space="preserve"> </v>
      </c>
      <c r="E8" s="16" t="str">
        <f t="shared" si="0"/>
        <v xml:space="preserve"> </v>
      </c>
      <c r="F8" s="16" t="str">
        <f t="shared" si="4"/>
        <v xml:space="preserve"> </v>
      </c>
      <c r="G8" s="16">
        <f t="shared" si="5"/>
        <v>8.1562399701745974E-5</v>
      </c>
      <c r="H8" s="16">
        <f t="shared" si="6"/>
        <v>0.33555611719442419</v>
      </c>
      <c r="I8" s="16">
        <f t="shared" si="7"/>
        <v>0.32374972408985797</v>
      </c>
      <c r="J8" s="16">
        <f t="shared" si="1"/>
        <v>8.1562399701745974E-5</v>
      </c>
      <c r="K8" s="16">
        <f t="shared" si="8"/>
        <v>0.32374972408985797</v>
      </c>
      <c r="L8" s="16">
        <f t="shared" si="9"/>
        <v>-6.3437230605242355E-4</v>
      </c>
      <c r="M8" s="16">
        <f t="shared" si="10"/>
        <v>2.6955452074211689E-3</v>
      </c>
      <c r="N8" s="16">
        <f t="shared" si="11"/>
        <v>1.1199035366901938E-3</v>
      </c>
      <c r="O8" s="16">
        <f t="shared" si="12"/>
        <v>-2.532420408017677E-3</v>
      </c>
      <c r="P8" s="16">
        <f t="shared" si="16"/>
        <v>0.20268197819238526</v>
      </c>
      <c r="R8" s="5">
        <f t="shared" si="13"/>
        <v>-0.5</v>
      </c>
      <c r="V8" s="40">
        <v>0.89759790102565495</v>
      </c>
      <c r="W8" s="40">
        <f t="shared" si="14"/>
        <v>2.4985090114490981E-2</v>
      </c>
      <c r="X8" s="40">
        <f t="shared" si="15"/>
        <v>-0.5</v>
      </c>
    </row>
    <row r="9" spans="1:24" x14ac:dyDescent="0.3">
      <c r="A9">
        <f>IF(Q1=1, (3*A8-7*A8^2+8*A8^3-4*A8^4)/SQRT(A8-A8^2)-1.5*(1-2*A8)*(PI()/2-ASIN(1-2*A8)), 0)</f>
        <v>0</v>
      </c>
      <c r="B9" s="16">
        <v>3.1707769246391848E-4</v>
      </c>
      <c r="C9" s="16">
        <f t="shared" si="2"/>
        <v>3.1480888964132612E-3</v>
      </c>
      <c r="D9" s="16" t="str">
        <f t="shared" si="3"/>
        <v xml:space="preserve"> </v>
      </c>
      <c r="E9" s="16" t="str">
        <f t="shared" si="0"/>
        <v xml:space="preserve"> </v>
      </c>
      <c r="F9" s="16" t="str">
        <f t="shared" si="4"/>
        <v xml:space="preserve"> </v>
      </c>
      <c r="G9" s="16">
        <f t="shared" si="5"/>
        <v>1.0648882077689003E-4</v>
      </c>
      <c r="H9" s="16">
        <f t="shared" si="6"/>
        <v>0.33530177220579982</v>
      </c>
      <c r="I9" s="16">
        <f t="shared" si="7"/>
        <v>0.32352110196624168</v>
      </c>
      <c r="J9" s="16">
        <f t="shared" si="1"/>
        <v>1.0648882077689003E-4</v>
      </c>
      <c r="K9" s="16">
        <f t="shared" si="8"/>
        <v>0.32352110196624168</v>
      </c>
      <c r="L9" s="16">
        <f t="shared" si="9"/>
        <v>-6.8372167332211051E-4</v>
      </c>
      <c r="M9" s="16">
        <f t="shared" si="10"/>
        <v>3.0912608940117537E-3</v>
      </c>
      <c r="N9" s="16">
        <f t="shared" si="11"/>
        <v>1.3178770582499475E-3</v>
      </c>
      <c r="O9" s="16">
        <f t="shared" si="12"/>
        <v>-2.8782832524579735E-3</v>
      </c>
      <c r="P9" s="16">
        <f t="shared" si="16"/>
        <v>0.20268197819238526</v>
      </c>
      <c r="R9" s="5">
        <f t="shared" si="13"/>
        <v>-0.5</v>
      </c>
      <c r="V9" s="40">
        <v>1.0258261726007485</v>
      </c>
      <c r="W9" s="40">
        <f t="shared" si="14"/>
        <v>2.3317519687607351E-2</v>
      </c>
      <c r="X9" s="40">
        <f t="shared" si="15"/>
        <v>-0.5</v>
      </c>
    </row>
    <row r="10" spans="1:24" x14ac:dyDescent="0.3">
      <c r="A10">
        <f>IF(Q1=1, (6*0.15*A2)/A9, 0)</f>
        <v>0</v>
      </c>
      <c r="B10" s="16">
        <v>4.0129582101267047E-4</v>
      </c>
      <c r="C10" s="16">
        <f t="shared" si="2"/>
        <v>3.5381943469263259E-3</v>
      </c>
      <c r="D10" s="16" t="str">
        <f t="shared" si="3"/>
        <v xml:space="preserve"> </v>
      </c>
      <c r="E10" s="16" t="str">
        <f t="shared" si="0"/>
        <v xml:space="preserve"> </v>
      </c>
      <c r="F10" s="16" t="str">
        <f t="shared" si="4"/>
        <v xml:space="preserve"> </v>
      </c>
      <c r="G10" s="16">
        <f t="shared" si="5"/>
        <v>1.3471517424512792E-4</v>
      </c>
      <c r="H10" s="16">
        <f t="shared" si="6"/>
        <v>0.33501362759642045</v>
      </c>
      <c r="I10" s="16">
        <f t="shared" si="7"/>
        <v>0.32326205615144321</v>
      </c>
      <c r="J10" s="16">
        <f t="shared" si="1"/>
        <v>1.3471517424512792E-4</v>
      </c>
      <c r="K10" s="16">
        <f t="shared" si="8"/>
        <v>0.32326205615144321</v>
      </c>
      <c r="L10" s="16">
        <f t="shared" si="9"/>
        <v>-7.2265173891649737E-4</v>
      </c>
      <c r="M10" s="16">
        <f t="shared" si="10"/>
        <v>3.4896460407684128E-3</v>
      </c>
      <c r="N10" s="16">
        <f t="shared" si="11"/>
        <v>1.5252433809418383E-3</v>
      </c>
      <c r="O10" s="16">
        <f t="shared" si="12"/>
        <v>-3.2202156922781569E-3</v>
      </c>
      <c r="P10" s="16">
        <f t="shared" si="16"/>
        <v>0.20268197819238526</v>
      </c>
      <c r="R10" s="5">
        <f t="shared" si="13"/>
        <v>-0.5</v>
      </c>
      <c r="V10" s="40">
        <v>1.154054444175842</v>
      </c>
      <c r="W10" s="40">
        <f t="shared" si="14"/>
        <v>2.1514890086914883E-2</v>
      </c>
      <c r="X10" s="40">
        <f t="shared" si="15"/>
        <v>-0.5</v>
      </c>
    </row>
    <row r="11" spans="1:24" x14ac:dyDescent="0.3">
      <c r="A11">
        <f>IF(Q1=2, IF(A3=2, 0.13, IF(A3=3, 0.217, IF(A3=4, 0.318, IF(A3=5, 0.441, 0)))), 0)</f>
        <v>0.217</v>
      </c>
      <c r="B11" s="16">
        <v>4.9541916643136563E-4</v>
      </c>
      <c r="C11" s="16">
        <f t="shared" si="2"/>
        <v>3.9275370844550125E-3</v>
      </c>
      <c r="D11" s="16" t="str">
        <f t="shared" si="3"/>
        <v xml:space="preserve"> </v>
      </c>
      <c r="E11" s="16" t="str">
        <f t="shared" si="0"/>
        <v xml:space="preserve"> </v>
      </c>
      <c r="F11" s="16" t="str">
        <f t="shared" si="4"/>
        <v xml:space="preserve"> </v>
      </c>
      <c r="G11" s="16">
        <f t="shared" si="5"/>
        <v>1.6623262729842375E-4</v>
      </c>
      <c r="H11" s="16">
        <f t="shared" si="6"/>
        <v>0.33469172574660788</v>
      </c>
      <c r="I11" s="16">
        <f t="shared" si="7"/>
        <v>0.32297260895110458</v>
      </c>
      <c r="J11" s="16">
        <f t="shared" si="1"/>
        <v>1.6623262729842375E-4</v>
      </c>
      <c r="K11" s="16">
        <f t="shared" si="8"/>
        <v>0.32297260895110458</v>
      </c>
      <c r="L11" s="16">
        <f t="shared" si="9"/>
        <v>-7.5112954481658563E-4</v>
      </c>
      <c r="M11" s="16">
        <f t="shared" si="10"/>
        <v>3.8907008927365184E-3</v>
      </c>
      <c r="N11" s="16">
        <f t="shared" si="11"/>
        <v>1.7419678776793169E-3</v>
      </c>
      <c r="O11" s="16">
        <f t="shared" si="12"/>
        <v>-3.5582356381396707E-3</v>
      </c>
      <c r="P11" s="16">
        <f t="shared" si="16"/>
        <v>0.20268197819238526</v>
      </c>
      <c r="R11" s="5">
        <f t="shared" si="13"/>
        <v>-0.5</v>
      </c>
      <c r="V11" s="40">
        <v>1.2822827157509356</v>
      </c>
      <c r="W11" s="40">
        <f t="shared" si="14"/>
        <v>1.9606800440620558E-2</v>
      </c>
      <c r="X11" s="40">
        <f t="shared" si="15"/>
        <v>-0.5</v>
      </c>
    </row>
    <row r="12" spans="1:24" x14ac:dyDescent="0.3">
      <c r="A12">
        <f>IF(Q1=2, IF(A3=2, 51.99, IF(A3=3, 15.793, IF(A3=4, 6.52, IF(A3=5, 3.191,0)))), 0)</f>
        <v>15.792999999999999</v>
      </c>
      <c r="B12" s="16">
        <v>5.9944679603363138E-4</v>
      </c>
      <c r="C12" s="16">
        <f t="shared" si="2"/>
        <v>4.3161150196224908E-3</v>
      </c>
      <c r="D12" s="16" t="str">
        <f t="shared" si="3"/>
        <v xml:space="preserve"> </v>
      </c>
      <c r="E12" s="16" t="str">
        <f t="shared" si="0"/>
        <v xml:space="preserve"> </v>
      </c>
      <c r="F12" s="16" t="str">
        <f t="shared" si="4"/>
        <v xml:space="preserve"> </v>
      </c>
      <c r="G12" s="16">
        <f t="shared" si="5"/>
        <v>2.010313159710425E-4</v>
      </c>
      <c r="H12" s="16">
        <f t="shared" si="6"/>
        <v>0.33433611401594121</v>
      </c>
      <c r="I12" s="16">
        <f t="shared" si="7"/>
        <v>0.32265278534417435</v>
      </c>
      <c r="J12" s="16">
        <f t="shared" si="1"/>
        <v>2.010313159710425E-4</v>
      </c>
      <c r="K12" s="16">
        <f t="shared" si="8"/>
        <v>0.32265278534417435</v>
      </c>
      <c r="L12" s="16">
        <f t="shared" si="9"/>
        <v>-7.6912235697844389E-4</v>
      </c>
      <c r="M12" s="16">
        <f t="shared" si="10"/>
        <v>4.2944244483289241E-3</v>
      </c>
      <c r="N12" s="16">
        <f t="shared" si="11"/>
        <v>1.9680159490457066E-3</v>
      </c>
      <c r="O12" s="16">
        <f t="shared" si="12"/>
        <v>-3.8923618163868388E-3</v>
      </c>
      <c r="P12" s="16">
        <f t="shared" si="16"/>
        <v>0.20268197819238526</v>
      </c>
      <c r="R12" s="5">
        <f t="shared" si="13"/>
        <v>-0.5</v>
      </c>
      <c r="V12" s="40">
        <v>1.4105109873260291</v>
      </c>
      <c r="W12" s="40">
        <f t="shared" si="14"/>
        <v>1.7624581527964547E-2</v>
      </c>
      <c r="X12" s="40">
        <f t="shared" si="15"/>
        <v>-0.5</v>
      </c>
    </row>
    <row r="13" spans="1:24" x14ac:dyDescent="0.3">
      <c r="A13">
        <f>IF(Q1=2, IF(A3&lt;&gt;1, IF(A3=2, 0.000764,IF(A3=3, 0.00677,IF(A3=4, 0.0303, 0.1355))), 0), 0)</f>
        <v>6.77E-3</v>
      </c>
      <c r="B13" s="16">
        <v>7.133776789896018E-4</v>
      </c>
      <c r="C13" s="16">
        <f t="shared" si="2"/>
        <v>4.7039259472645674E-3</v>
      </c>
      <c r="D13" s="16" t="str">
        <f t="shared" si="3"/>
        <v xml:space="preserve"> </v>
      </c>
      <c r="E13" s="16" t="str">
        <f t="shared" si="0"/>
        <v xml:space="preserve"> </v>
      </c>
      <c r="F13" s="16" t="str">
        <f t="shared" si="4"/>
        <v xml:space="preserve"> </v>
      </c>
      <c r="G13" s="16">
        <f t="shared" si="5"/>
        <v>2.3910034780255237E-4</v>
      </c>
      <c r="H13" s="16">
        <f t="shared" si="6"/>
        <v>0.33394684474103786</v>
      </c>
      <c r="I13" s="16">
        <f t="shared" si="7"/>
        <v>0.32230261299920743</v>
      </c>
      <c r="J13" s="16">
        <f t="shared" si="1"/>
        <v>2.3910034780255237E-4</v>
      </c>
      <c r="K13" s="16">
        <f t="shared" si="8"/>
        <v>0.32230261299920743</v>
      </c>
      <c r="L13" s="16">
        <f t="shared" si="9"/>
        <v>-7.7659766940163912E-4</v>
      </c>
      <c r="M13" s="16">
        <f t="shared" si="10"/>
        <v>4.7008144554673698E-3</v>
      </c>
      <c r="N13" s="16">
        <f t="shared" si="11"/>
        <v>2.2033530273808427E-3</v>
      </c>
      <c r="O13" s="16">
        <f t="shared" si="12"/>
        <v>-4.2226137598622652E-3</v>
      </c>
      <c r="P13" s="16">
        <f t="shared" si="16"/>
        <v>0.20268197819238526</v>
      </c>
      <c r="R13" s="5">
        <f t="shared" si="13"/>
        <v>-0.5</v>
      </c>
      <c r="V13" s="40">
        <v>1.5387392589011226</v>
      </c>
      <c r="W13" s="40">
        <f t="shared" si="14"/>
        <v>1.5600781328691259E-2</v>
      </c>
      <c r="X13" s="40">
        <f t="shared" si="15"/>
        <v>-0.5</v>
      </c>
    </row>
    <row r="14" spans="1:24" x14ac:dyDescent="0.3">
      <c r="A14">
        <f>IF(Q1=2, 0.3, 0.15*A2)</f>
        <v>0.3</v>
      </c>
      <c r="B14" s="16">
        <v>8.3721068633602069E-4</v>
      </c>
      <c r="C14" s="16">
        <f t="shared" si="2"/>
        <v>5.090967546651848E-3</v>
      </c>
      <c r="D14" s="16" t="str">
        <f t="shared" si="3"/>
        <v xml:space="preserve"> </v>
      </c>
      <c r="E14" s="16" t="str">
        <f t="shared" si="0"/>
        <v xml:space="preserve"> </v>
      </c>
      <c r="F14" s="16" t="str">
        <f t="shared" si="4"/>
        <v xml:space="preserve"> </v>
      </c>
      <c r="G14" s="16">
        <f t="shared" si="5"/>
        <v>2.8042780478009373E-4</v>
      </c>
      <c r="H14" s="16">
        <f t="shared" si="6"/>
        <v>0.33352397523310051</v>
      </c>
      <c r="I14" s="16">
        <f t="shared" si="7"/>
        <v>0.3219221222923403</v>
      </c>
      <c r="J14" s="16">
        <f t="shared" si="1"/>
        <v>2.8042780478009373E-4</v>
      </c>
      <c r="K14" s="16">
        <f t="shared" si="8"/>
        <v>0.3219221222923403</v>
      </c>
      <c r="L14" s="16">
        <f t="shared" si="9"/>
        <v>-7.7352320829839971E-4</v>
      </c>
      <c r="M14" s="16">
        <f t="shared" si="10"/>
        <v>5.1098674080610135E-3</v>
      </c>
      <c r="N14" s="16">
        <f t="shared" si="11"/>
        <v>2.4479445809704411E-3</v>
      </c>
      <c r="O14" s="16">
        <f t="shared" si="12"/>
        <v>-4.5490117985008257E-3</v>
      </c>
      <c r="P14" s="16">
        <f t="shared" si="16"/>
        <v>0.20268197819238526</v>
      </c>
      <c r="R14" s="5">
        <f t="shared" si="13"/>
        <v>-0.5</v>
      </c>
      <c r="V14" s="40">
        <v>1.6669675304762162</v>
      </c>
      <c r="W14" s="40">
        <f t="shared" si="14"/>
        <v>1.3568630586121785E-2</v>
      </c>
      <c r="X14" s="40">
        <f t="shared" si="15"/>
        <v>-0.5</v>
      </c>
    </row>
    <row r="15" spans="1:24" x14ac:dyDescent="0.3">
      <c r="B15" s="16">
        <v>9.7094459098767683E-4</v>
      </c>
      <c r="C15" s="16">
        <f t="shared" si="2"/>
        <v>5.4772373817337967E-3</v>
      </c>
      <c r="D15" s="16" t="str">
        <f t="shared" si="3"/>
        <v xml:space="preserve"> </v>
      </c>
      <c r="E15" s="16" t="str">
        <f t="shared" si="0"/>
        <v xml:space="preserve"> </v>
      </c>
      <c r="F15" s="16" t="str">
        <f t="shared" si="4"/>
        <v xml:space="preserve"> </v>
      </c>
      <c r="G15" s="16">
        <f t="shared" si="5"/>
        <v>3.250007465594251E-4</v>
      </c>
      <c r="H15" s="16">
        <f t="shared" si="6"/>
        <v>0.33306756777522922</v>
      </c>
      <c r="I15" s="16">
        <f t="shared" si="7"/>
        <v>0.32151134632693085</v>
      </c>
      <c r="J15" s="16">
        <f t="shared" si="1"/>
        <v>3.250007465594251E-4</v>
      </c>
      <c r="K15" s="16">
        <f t="shared" si="8"/>
        <v>0.32151134632693085</v>
      </c>
      <c r="L15" s="16">
        <f t="shared" si="9"/>
        <v>-7.5986693636897248E-4</v>
      </c>
      <c r="M15" s="16">
        <f t="shared" si="10"/>
        <v>5.5215785428241399E-3</v>
      </c>
      <c r="N15" s="16">
        <f t="shared" si="11"/>
        <v>2.7017561183443261E-3</v>
      </c>
      <c r="O15" s="16">
        <f t="shared" si="12"/>
        <v>-4.8715770497052896E-3</v>
      </c>
      <c r="P15" s="16">
        <f t="shared" si="16"/>
        <v>0.20268197819238526</v>
      </c>
      <c r="R15" s="5">
        <f t="shared" si="13"/>
        <v>-0.5</v>
      </c>
      <c r="V15" s="40">
        <v>1.7951958020513097</v>
      </c>
      <c r="W15" s="40">
        <f t="shared" si="14"/>
        <v>1.1561497159267277E-2</v>
      </c>
      <c r="X15" s="40">
        <f t="shared" si="15"/>
        <v>-0.5</v>
      </c>
    </row>
    <row r="16" spans="1:24" x14ac:dyDescent="0.3">
      <c r="B16" s="16">
        <v>1.1145780677496164E-3</v>
      </c>
      <c r="C16" s="16">
        <f t="shared" si="2"/>
        <v>5.8627329014026962E-3</v>
      </c>
      <c r="D16" s="16" t="str">
        <f t="shared" si="3"/>
        <v xml:space="preserve"> </v>
      </c>
      <c r="E16" s="16" t="str">
        <f t="shared" si="0"/>
        <v xml:space="preserve"> </v>
      </c>
      <c r="F16" s="16" t="str">
        <f t="shared" si="4"/>
        <v xml:space="preserve"> </v>
      </c>
      <c r="G16" s="16">
        <f t="shared" si="5"/>
        <v>3.7280521396440428E-4</v>
      </c>
      <c r="H16" s="16">
        <f t="shared" si="6"/>
        <v>0.33257768961950207</v>
      </c>
      <c r="I16" s="16">
        <f t="shared" si="7"/>
        <v>0.32107032095485166</v>
      </c>
      <c r="J16" s="16">
        <f t="shared" si="1"/>
        <v>3.7280521396440428E-4</v>
      </c>
      <c r="K16" s="16">
        <f t="shared" si="8"/>
        <v>0.32107032095485166</v>
      </c>
      <c r="L16" s="16">
        <f t="shared" si="9"/>
        <v>-7.355970571885789E-4</v>
      </c>
      <c r="M16" s="16">
        <f t="shared" si="10"/>
        <v>5.9359418364328485E-3</v>
      </c>
      <c r="N16" s="16">
        <f t="shared" si="11"/>
        <v>2.9647531926878115E-3</v>
      </c>
      <c r="O16" s="16">
        <f t="shared" si="12"/>
        <v>-5.1903314085040408E-3</v>
      </c>
      <c r="P16" s="16">
        <f t="shared" si="16"/>
        <v>0.20268197819238526</v>
      </c>
      <c r="R16" s="5">
        <f t="shared" si="13"/>
        <v>-0.5</v>
      </c>
      <c r="V16" s="40">
        <v>1.9234240736264032</v>
      </c>
      <c r="W16" s="40">
        <f t="shared" si="14"/>
        <v>9.6123381235064861E-3</v>
      </c>
      <c r="X16" s="40">
        <f t="shared" si="15"/>
        <v>-0.5</v>
      </c>
    </row>
    <row r="17" spans="2:24" x14ac:dyDescent="0.3">
      <c r="B17" s="16">
        <v>1.2681096933296887E-3</v>
      </c>
      <c r="C17" s="16">
        <f t="shared" si="2"/>
        <v>6.2474514397767725E-3</v>
      </c>
      <c r="D17" s="16" t="str">
        <f t="shared" si="3"/>
        <v xml:space="preserve"> </v>
      </c>
      <c r="E17" s="16" t="str">
        <f t="shared" si="0"/>
        <v xml:space="preserve"> </v>
      </c>
      <c r="F17" s="16" t="str">
        <f t="shared" si="4"/>
        <v xml:space="preserve"> </v>
      </c>
      <c r="G17" s="16">
        <f t="shared" si="5"/>
        <v>4.2382623276414246E-4</v>
      </c>
      <c r="H17" s="16">
        <f t="shared" si="6"/>
        <v>0.33205441298382388</v>
      </c>
      <c r="I17" s="16">
        <f t="shared" si="7"/>
        <v>0.32059908479942312</v>
      </c>
      <c r="J17" s="16">
        <f t="shared" si="1"/>
        <v>4.2382623276414246E-4</v>
      </c>
      <c r="K17" s="16">
        <f t="shared" si="8"/>
        <v>0.32059908479942312</v>
      </c>
      <c r="L17" s="16">
        <f t="shared" si="9"/>
        <v>-7.0068201971150868E-4</v>
      </c>
      <c r="M17" s="16">
        <f t="shared" si="10"/>
        <v>6.3529500030213614E-3</v>
      </c>
      <c r="N17" s="16">
        <f t="shared" si="11"/>
        <v>3.2369014063708861E-3</v>
      </c>
      <c r="O17" s="16">
        <f t="shared" si="12"/>
        <v>-5.5052975374930762E-3</v>
      </c>
      <c r="P17" s="16">
        <f t="shared" si="16"/>
        <v>0.20268197819238526</v>
      </c>
      <c r="R17" s="5">
        <f t="shared" si="13"/>
        <v>-0.5</v>
      </c>
      <c r="V17" s="40">
        <v>2.051652345201497</v>
      </c>
      <c r="W17" s="40">
        <f t="shared" si="14"/>
        <v>7.753158616319194E-3</v>
      </c>
      <c r="X17" s="40">
        <f t="shared" si="15"/>
        <v>-0.5</v>
      </c>
    </row>
    <row r="18" spans="2:24" x14ac:dyDescent="0.3">
      <c r="B18" s="16">
        <v>1.4315379463535338E-3</v>
      </c>
      <c r="C18" s="16">
        <f t="shared" si="2"/>
        <v>6.6313902165078455E-3</v>
      </c>
      <c r="D18" s="16" t="str">
        <f t="shared" si="3"/>
        <v xml:space="preserve"> </v>
      </c>
      <c r="E18" s="16" t="str">
        <f t="shared" si="0"/>
        <v xml:space="preserve"> </v>
      </c>
      <c r="F18" s="16" t="str">
        <f t="shared" si="4"/>
        <v xml:space="preserve"> </v>
      </c>
      <c r="G18" s="16">
        <f t="shared" si="5"/>
        <v>4.7804781772817733E-4</v>
      </c>
      <c r="H18" s="16">
        <f t="shared" si="6"/>
        <v>0.33149781504853776</v>
      </c>
      <c r="I18" s="16">
        <f t="shared" si="7"/>
        <v>0.32009767927996535</v>
      </c>
      <c r="J18" s="16">
        <f t="shared" si="1"/>
        <v>4.7804781772817733E-4</v>
      </c>
      <c r="K18" s="16">
        <f t="shared" si="8"/>
        <v>0.32009767927996535</v>
      </c>
      <c r="L18" s="16">
        <f t="shared" si="9"/>
        <v>-6.5509052289710115E-4</v>
      </c>
      <c r="M18" s="16">
        <f t="shared" si="10"/>
        <v>6.7725944920255981E-3</v>
      </c>
      <c r="N18" s="16">
        <f t="shared" si="11"/>
        <v>3.5181664156041688E-3</v>
      </c>
      <c r="O18" s="16">
        <f t="shared" si="12"/>
        <v>-5.8164988565692433E-3</v>
      </c>
      <c r="P18" s="16">
        <f t="shared" si="16"/>
        <v>0.20268197819238526</v>
      </c>
      <c r="R18" s="5">
        <f t="shared" si="13"/>
        <v>-0.5</v>
      </c>
      <c r="V18" s="40">
        <v>2.1798806167765905</v>
      </c>
      <c r="W18" s="40">
        <f t="shared" si="14"/>
        <v>6.0144863138136264E-3</v>
      </c>
      <c r="X18" s="40">
        <f t="shared" si="15"/>
        <v>-0.5</v>
      </c>
    </row>
    <row r="19" spans="2:24" x14ac:dyDescent="0.3">
      <c r="B19" s="16">
        <v>1.6048612073787938E-3</v>
      </c>
      <c r="C19" s="16">
        <f t="shared" si="2"/>
        <v>7.0145463371050478E-3</v>
      </c>
      <c r="D19" s="16" t="str">
        <f t="shared" si="3"/>
        <v xml:space="preserve"> </v>
      </c>
      <c r="E19" s="16" t="str">
        <f t="shared" si="0"/>
        <v xml:space="preserve"> </v>
      </c>
      <c r="F19" s="16" t="str">
        <f t="shared" si="4"/>
        <v xml:space="preserve"> </v>
      </c>
      <c r="G19" s="16">
        <f t="shared" si="5"/>
        <v>5.3545297695810888E-4</v>
      </c>
      <c r="H19" s="16">
        <f t="shared" si="6"/>
        <v>0.33090797795280946</v>
      </c>
      <c r="I19" s="16">
        <f t="shared" si="7"/>
        <v>0.31956614863796229</v>
      </c>
      <c r="J19" s="16">
        <f t="shared" si="1"/>
        <v>5.3545297695810888E-4</v>
      </c>
      <c r="K19" s="16">
        <f t="shared" si="8"/>
        <v>0.31956614863796229</v>
      </c>
      <c r="L19" s="16">
        <f t="shared" si="9"/>
        <v>-5.9879152046326016E-4</v>
      </c>
      <c r="M19" s="16">
        <f t="shared" si="10"/>
        <v>7.1948654863667359E-3</v>
      </c>
      <c r="N19" s="16">
        <f t="shared" si="11"/>
        <v>3.8085139352208477E-3</v>
      </c>
      <c r="O19" s="16">
        <f t="shared" si="12"/>
        <v>-6.1239595324505186E-3</v>
      </c>
      <c r="P19" s="16">
        <f t="shared" si="16"/>
        <v>0.20268197819238526</v>
      </c>
      <c r="R19" s="5">
        <f t="shared" si="13"/>
        <v>-0.5</v>
      </c>
      <c r="V19" s="40">
        <v>2.308108888351684</v>
      </c>
      <c r="W19" s="40">
        <f t="shared" si="14"/>
        <v>4.4248701671287353E-3</v>
      </c>
      <c r="X19" s="40">
        <f t="shared" si="15"/>
        <v>-0.5</v>
      </c>
    </row>
    <row r="20" spans="2:24" x14ac:dyDescent="0.3">
      <c r="B20" s="16">
        <v>1.7880777589119878E-3</v>
      </c>
      <c r="C20" s="16">
        <f t="shared" si="2"/>
        <v>7.3969167932832142E-3</v>
      </c>
      <c r="D20" s="16" t="str">
        <f t="shared" si="3"/>
        <v xml:space="preserve"> </v>
      </c>
      <c r="E20" s="16" t="str">
        <f t="shared" si="0"/>
        <v xml:space="preserve"> </v>
      </c>
      <c r="F20" s="16" t="str">
        <f t="shared" si="4"/>
        <v xml:space="preserve"> </v>
      </c>
      <c r="G20" s="16">
        <f t="shared" si="5"/>
        <v>5.9602371649622302E-4</v>
      </c>
      <c r="H20" s="16">
        <f t="shared" si="6"/>
        <v>0.33028498879077345</v>
      </c>
      <c r="I20" s="16">
        <f t="shared" si="7"/>
        <v>0.31900453996480937</v>
      </c>
      <c r="J20" s="16">
        <f t="shared" si="1"/>
        <v>5.9602371649622302E-4</v>
      </c>
      <c r="K20" s="16">
        <f t="shared" si="8"/>
        <v>0.31900453996480937</v>
      </c>
      <c r="L20" s="16">
        <f t="shared" si="9"/>
        <v>-5.3175422577161381E-4</v>
      </c>
      <c r="M20" s="16">
        <f t="shared" si="10"/>
        <v>7.6197519009858659E-3</v>
      </c>
      <c r="N20" s="16">
        <f t="shared" si="11"/>
        <v>4.1079097435955895E-3</v>
      </c>
      <c r="O20" s="16">
        <f t="shared" si="12"/>
        <v>-6.4277044679934203E-3</v>
      </c>
      <c r="P20" s="16">
        <f t="shared" si="16"/>
        <v>0.20268197819238526</v>
      </c>
      <c r="R20" s="5">
        <f t="shared" si="13"/>
        <v>-0.5</v>
      </c>
      <c r="V20" s="40">
        <v>2.4363371599267776</v>
      </c>
      <c r="W20" s="40">
        <f t="shared" si="14"/>
        <v>3.0104116294457739E-3</v>
      </c>
      <c r="X20" s="40">
        <f t="shared" si="15"/>
        <v>-0.5</v>
      </c>
    </row>
    <row r="21" spans="2:24" x14ac:dyDescent="0.3">
      <c r="B21" s="16">
        <v>1.9811857854247217E-3</v>
      </c>
      <c r="C21" s="16">
        <f t="shared" si="2"/>
        <v>7.7784984633279784E-3</v>
      </c>
      <c r="D21" s="16" t="str">
        <f t="shared" si="3"/>
        <v xml:space="preserve"> </v>
      </c>
      <c r="E21" s="16" t="str">
        <f t="shared" si="0"/>
        <v xml:space="preserve"> </v>
      </c>
      <c r="F21" s="16" t="str">
        <f t="shared" si="4"/>
        <v xml:space="preserve"> </v>
      </c>
      <c r="G21" s="16">
        <f t="shared" si="5"/>
        <v>6.5974104520955044E-4</v>
      </c>
      <c r="H21" s="16">
        <f t="shared" si="6"/>
        <v>0.32962893960745276</v>
      </c>
      <c r="I21" s="16">
        <f t="shared" si="7"/>
        <v>0.31841290323113758</v>
      </c>
      <c r="J21" s="16">
        <f t="shared" si="1"/>
        <v>6.5974104520955044E-4</v>
      </c>
      <c r="K21" s="16">
        <f t="shared" si="8"/>
        <v>0.31841290323113758</v>
      </c>
      <c r="L21" s="16">
        <f t="shared" si="9"/>
        <v>-4.5394811684994988E-4</v>
      </c>
      <c r="M21" s="16">
        <f t="shared" si="10"/>
        <v>8.0472413817231307E-3</v>
      </c>
      <c r="N21" s="16">
        <f t="shared" si="11"/>
        <v>4.4163196876993932E-3</v>
      </c>
      <c r="O21" s="16">
        <f t="shared" si="12"/>
        <v>-6.7277592913040293E-3</v>
      </c>
      <c r="R21" s="5">
        <f t="shared" si="13"/>
        <v>-0.5</v>
      </c>
      <c r="V21" s="40">
        <v>2.5645654315018711</v>
      </c>
      <c r="W21" s="40">
        <f t="shared" si="14"/>
        <v>1.7943360708486792E-3</v>
      </c>
      <c r="X21" s="40">
        <f t="shared" si="15"/>
        <v>-0.5</v>
      </c>
    </row>
    <row r="22" spans="2:24" x14ac:dyDescent="0.3">
      <c r="B22" s="16">
        <v>2.1841833733722282E-3</v>
      </c>
      <c r="C22" s="16">
        <f t="shared" si="2"/>
        <v>8.1592881124843298E-3</v>
      </c>
      <c r="D22" s="16" t="str">
        <f t="shared" si="3"/>
        <v xml:space="preserve"> </v>
      </c>
      <c r="E22" s="16" t="str">
        <f t="shared" si="0"/>
        <v xml:space="preserve"> </v>
      </c>
      <c r="F22" s="16" t="str">
        <f t="shared" si="4"/>
        <v xml:space="preserve"> </v>
      </c>
      <c r="G22" s="16">
        <f t="shared" si="5"/>
        <v>7.2658497994969773E-4</v>
      </c>
      <c r="H22" s="16">
        <f t="shared" si="6"/>
        <v>0.32893992739444039</v>
      </c>
      <c r="I22" s="16">
        <f t="shared" si="7"/>
        <v>0.3177912913176813</v>
      </c>
      <c r="J22" s="16">
        <f t="shared" si="1"/>
        <v>7.2658497994969773E-4</v>
      </c>
      <c r="K22" s="16">
        <f t="shared" si="8"/>
        <v>0.3177912913176813</v>
      </c>
      <c r="L22" s="16">
        <f t="shared" si="9"/>
        <v>-3.6534294155557033E-4</v>
      </c>
      <c r="M22" s="16">
        <f t="shared" si="10"/>
        <v>8.4773203045507631E-3</v>
      </c>
      <c r="N22" s="16">
        <f t="shared" si="11"/>
        <v>4.7337096883000272E-3</v>
      </c>
      <c r="O22" s="16">
        <f t="shared" si="12"/>
        <v>-7.024150344651368E-3</v>
      </c>
      <c r="R22" s="5">
        <f t="shared" si="13"/>
        <v>-0.5</v>
      </c>
      <c r="V22" s="40">
        <v>2.6927937030769646</v>
      </c>
      <c r="W22" s="40">
        <f t="shared" si="14"/>
        <v>7.9661141838939281E-4</v>
      </c>
      <c r="X22" s="40">
        <f t="shared" si="15"/>
        <v>-0.5</v>
      </c>
    </row>
    <row r="23" spans="2:24" x14ac:dyDescent="0.3">
      <c r="B23" s="16">
        <v>2.3970685112121304E-3</v>
      </c>
      <c r="C23" s="16">
        <f t="shared" si="2"/>
        <v>8.5392823933638212E-3</v>
      </c>
      <c r="D23" s="16" t="str">
        <f t="shared" si="3"/>
        <v xml:space="preserve"> </v>
      </c>
      <c r="E23" s="16" t="str">
        <f t="shared" si="0"/>
        <v xml:space="preserve"> </v>
      </c>
      <c r="F23" s="16" t="str">
        <f t="shared" si="4"/>
        <v xml:space="preserve"> </v>
      </c>
      <c r="G23" s="16">
        <f t="shared" si="5"/>
        <v>7.9653455098711932E-4</v>
      </c>
      <c r="H23" s="16">
        <f t="shared" si="6"/>
        <v>0.32821805408535282</v>
      </c>
      <c r="I23" s="16">
        <f t="shared" si="7"/>
        <v>0.31713976004767891</v>
      </c>
      <c r="J23" s="16">
        <f t="shared" si="1"/>
        <v>7.9653455098711932E-4</v>
      </c>
      <c r="K23" s="16">
        <f t="shared" si="8"/>
        <v>0.31713976004767891</v>
      </c>
      <c r="L23" s="16">
        <f t="shared" si="9"/>
        <v>-2.6590872288462892E-4</v>
      </c>
      <c r="M23" s="16">
        <f t="shared" si="10"/>
        <v>8.9099737751568379E-3</v>
      </c>
      <c r="N23" s="16">
        <f t="shared" si="11"/>
        <v>5.0600457453088901E-3</v>
      </c>
      <c r="O23" s="16">
        <f t="shared" si="12"/>
        <v>-7.3169046731825999E-3</v>
      </c>
      <c r="R23" s="5">
        <f t="shared" si="13"/>
        <v>-0.5</v>
      </c>
      <c r="V23" s="40">
        <v>2.8210219746520582</v>
      </c>
      <c r="W23" s="40">
        <f t="shared" si="14"/>
        <v>3.3620283277709829E-5</v>
      </c>
      <c r="X23" s="40">
        <f t="shared" si="15"/>
        <v>-0.5</v>
      </c>
    </row>
    <row r="24" spans="2:24" x14ac:dyDescent="0.3">
      <c r="B24" s="16">
        <v>2.619839089424536E-3</v>
      </c>
      <c r="C24" s="16">
        <f t="shared" si="2"/>
        <v>8.9184778463727889E-3</v>
      </c>
      <c r="D24" s="16" t="str">
        <f t="shared" si="3"/>
        <v xml:space="preserve"> </v>
      </c>
      <c r="E24" s="16" t="str">
        <f t="shared" si="0"/>
        <v xml:space="preserve"> </v>
      </c>
      <c r="F24" s="16" t="str">
        <f t="shared" si="4"/>
        <v xml:space="preserve"> </v>
      </c>
      <c r="G24" s="16">
        <f t="shared" si="5"/>
        <v>8.6956780771960032E-4</v>
      </c>
      <c r="H24" s="16">
        <f t="shared" si="6"/>
        <v>0.32746342655104971</v>
      </c>
      <c r="I24" s="16">
        <f t="shared" si="7"/>
        <v>0.31645836822077772</v>
      </c>
      <c r="J24" s="16">
        <f t="shared" si="1"/>
        <v>8.6956780771960032E-4</v>
      </c>
      <c r="K24" s="16">
        <f t="shared" si="8"/>
        <v>0.31645836822077772</v>
      </c>
      <c r="L24" s="16">
        <f t="shared" si="9"/>
        <v>-1.5561576443130646E-4</v>
      </c>
      <c r="M24" s="16">
        <f t="shared" si="10"/>
        <v>9.3451856288846308E-3</v>
      </c>
      <c r="N24" s="16">
        <f t="shared" si="11"/>
        <v>5.3952939432803781E-3</v>
      </c>
      <c r="O24" s="16">
        <f t="shared" si="12"/>
        <v>-7.6060500134454293E-3</v>
      </c>
      <c r="R24" s="5">
        <f t="shared" si="13"/>
        <v>-0.5</v>
      </c>
      <c r="V24" s="40">
        <v>2.9492502462271517</v>
      </c>
      <c r="W24" s="40">
        <f t="shared" si="14"/>
        <v>-4.8210904114186556E-4</v>
      </c>
      <c r="X24" s="40">
        <f t="shared" si="15"/>
        <v>-0.5</v>
      </c>
    </row>
    <row r="25" spans="2:24" x14ac:dyDescent="0.3">
      <c r="B25" s="16">
        <v>2.8524929005325772E-3</v>
      </c>
      <c r="C25" s="16">
        <f t="shared" si="2"/>
        <v>9.2968709001598343E-3</v>
      </c>
      <c r="D25" s="16" t="str">
        <f t="shared" si="3"/>
        <v xml:space="preserve"> </v>
      </c>
      <c r="E25" s="16" t="str">
        <f t="shared" si="0"/>
        <v xml:space="preserve"> </v>
      </c>
      <c r="F25" s="16" t="str">
        <f t="shared" si="4"/>
        <v xml:space="preserve"> </v>
      </c>
      <c r="G25" s="16">
        <f t="shared" si="5"/>
        <v>9.4566182465384097E-4</v>
      </c>
      <c r="H25" s="16">
        <f t="shared" si="6"/>
        <v>0.32667615659462323</v>
      </c>
      <c r="I25" s="16">
        <f t="shared" si="7"/>
        <v>0.31574717764842158</v>
      </c>
      <c r="J25" s="16">
        <f t="shared" si="1"/>
        <v>9.4566182465384097E-4</v>
      </c>
      <c r="K25" s="16">
        <f t="shared" si="8"/>
        <v>0.31574717764842158</v>
      </c>
      <c r="L25" s="16">
        <f t="shared" si="9"/>
        <v>-3.4434656001241896E-5</v>
      </c>
      <c r="M25" s="16">
        <f t="shared" si="10"/>
        <v>9.7829384310277965E-3</v>
      </c>
      <c r="N25" s="16">
        <f t="shared" si="11"/>
        <v>5.7394204570663963E-3</v>
      </c>
      <c r="O25" s="16">
        <f t="shared" si="12"/>
        <v>-7.8916147817201156E-3</v>
      </c>
      <c r="R25" s="5">
        <f t="shared" si="13"/>
        <v>-0.5</v>
      </c>
      <c r="V25" s="40">
        <v>3.0774785178022452</v>
      </c>
      <c r="W25" s="40">
        <f t="shared" si="14"/>
        <v>-7.4210829362047006E-4</v>
      </c>
      <c r="X25" s="40">
        <f t="shared" si="15"/>
        <v>-0.5</v>
      </c>
    </row>
    <row r="26" spans="2:24" x14ac:dyDescent="0.3">
      <c r="B26" s="16">
        <v>3.0950276391248366E-3</v>
      </c>
      <c r="C26" s="16">
        <f t="shared" si="2"/>
        <v>9.6744578720849694E-3</v>
      </c>
      <c r="D26" s="16" t="str">
        <f t="shared" si="3"/>
        <v xml:space="preserve"> </v>
      </c>
      <c r="E26" s="16" t="str">
        <f t="shared" si="0"/>
        <v xml:space="preserve"> </v>
      </c>
      <c r="F26" s="16" t="str">
        <f t="shared" si="4"/>
        <v xml:space="preserve"> </v>
      </c>
      <c r="G26" s="16">
        <f t="shared" si="5"/>
        <v>1.0247927076601025E-3</v>
      </c>
      <c r="H26" s="16">
        <f t="shared" si="6"/>
        <v>0.32585636094615344</v>
      </c>
      <c r="I26" s="16">
        <f t="shared" si="7"/>
        <v>0.31500625319069314</v>
      </c>
      <c r="J26" s="16">
        <f t="shared" si="1"/>
        <v>1.0247927076601025E-3</v>
      </c>
      <c r="K26" s="16">
        <f t="shared" si="8"/>
        <v>0.31500625319069314</v>
      </c>
      <c r="L26" s="16">
        <f t="shared" si="9"/>
        <v>9.7663720617616363E-5</v>
      </c>
      <c r="M26" s="16">
        <f t="shared" si="10"/>
        <v>1.0223213477486729E-2</v>
      </c>
      <c r="N26" s="16">
        <f t="shared" si="11"/>
        <v>6.0923915576320568E-3</v>
      </c>
      <c r="O26" s="16">
        <f t="shared" si="12"/>
        <v>-8.1736280621665242E-3</v>
      </c>
      <c r="R26" s="5">
        <f t="shared" si="13"/>
        <v>-0.5</v>
      </c>
      <c r="V26" s="40">
        <v>3.2057067893773388</v>
      </c>
      <c r="W26" s="40">
        <f t="shared" si="14"/>
        <v>-7.4210829362047353E-4</v>
      </c>
      <c r="X26" s="40">
        <f t="shared" si="15"/>
        <v>-0.5</v>
      </c>
    </row>
    <row r="27" spans="2:24" x14ac:dyDescent="0.3">
      <c r="B27" s="16">
        <v>3.3474409018774409E-3</v>
      </c>
      <c r="C27" s="16">
        <f t="shared" si="2"/>
        <v>1.0051234968706644E-2</v>
      </c>
      <c r="D27" s="16" t="str">
        <f t="shared" si="3"/>
        <v xml:space="preserve"> </v>
      </c>
      <c r="E27" s="16" t="str">
        <f t="shared" si="0"/>
        <v xml:space="preserve"> </v>
      </c>
      <c r="F27" s="16" t="str">
        <f t="shared" si="4"/>
        <v xml:space="preserve"> </v>
      </c>
      <c r="G27" s="16">
        <f t="shared" si="5"/>
        <v>1.1069356004981329E-3</v>
      </c>
      <c r="H27" s="16">
        <f t="shared" si="6"/>
        <v>0.32500416125723669</v>
      </c>
      <c r="I27" s="16">
        <f t="shared" si="7"/>
        <v>0.31423566279458959</v>
      </c>
      <c r="J27" s="16">
        <f t="shared" si="1"/>
        <v>1.1069356004981329E-3</v>
      </c>
      <c r="K27" s="16">
        <f t="shared" si="8"/>
        <v>0.31423566279458959</v>
      </c>
      <c r="L27" s="16">
        <f t="shared" si="9"/>
        <v>2.4070818572195047E-4</v>
      </c>
      <c r="M27" s="16">
        <f t="shared" si="10"/>
        <v>1.0665990795783929E-2</v>
      </c>
      <c r="N27" s="16">
        <f t="shared" si="11"/>
        <v>6.4541736180329309E-3</v>
      </c>
      <c r="O27" s="16">
        <f t="shared" si="12"/>
        <v>-8.4521195947876646E-3</v>
      </c>
      <c r="R27" s="5">
        <f t="shared" si="13"/>
        <v>-0.5</v>
      </c>
      <c r="V27" s="40">
        <v>3.3339350609524323</v>
      </c>
      <c r="W27" s="40">
        <f t="shared" si="14"/>
        <v>-4.821090411418744E-4</v>
      </c>
      <c r="X27" s="40">
        <f t="shared" si="15"/>
        <v>-0.5</v>
      </c>
    </row>
    <row r="28" spans="2:24" x14ac:dyDescent="0.3">
      <c r="B28" s="16">
        <v>3.609730187578708E-3</v>
      </c>
      <c r="C28" s="16">
        <f t="shared" si="2"/>
        <v>1.0427198286291239E-2</v>
      </c>
      <c r="D28" s="16" t="str">
        <f t="shared" si="3"/>
        <v xml:space="preserve"> </v>
      </c>
      <c r="E28" s="16" t="str">
        <f t="shared" si="0"/>
        <v xml:space="preserve"> </v>
      </c>
      <c r="F28" s="16" t="str">
        <f t="shared" si="4"/>
        <v xml:space="preserve"> </v>
      </c>
      <c r="G28" s="16">
        <f t="shared" si="5"/>
        <v>1.1920646916148236E-3</v>
      </c>
      <c r="H28" s="16">
        <f t="shared" si="6"/>
        <v>0.32411968409527719</v>
      </c>
      <c r="I28" s="16">
        <f t="shared" si="7"/>
        <v>0.31343547753369527</v>
      </c>
      <c r="J28" s="16">
        <f t="shared" si="1"/>
        <v>1.1920646916148236E-3</v>
      </c>
      <c r="K28" s="16">
        <f t="shared" si="8"/>
        <v>0.31343547753369527</v>
      </c>
      <c r="L28" s="16">
        <f t="shared" si="9"/>
        <v>3.9472725559584537E-4</v>
      </c>
      <c r="M28" s="16">
        <f t="shared" si="10"/>
        <v>1.111124914644661E-2</v>
      </c>
      <c r="N28" s="16">
        <f t="shared" si="11"/>
        <v>6.8247331195615702E-3</v>
      </c>
      <c r="O28" s="16">
        <f t="shared" si="12"/>
        <v>-8.727119763216962E-3</v>
      </c>
      <c r="R28" s="5">
        <f t="shared" si="13"/>
        <v>-0.5</v>
      </c>
      <c r="V28" s="40">
        <v>3.4621633325275258</v>
      </c>
      <c r="W28" s="40">
        <f t="shared" si="14"/>
        <v>3.3620283277697496E-5</v>
      </c>
      <c r="X28" s="40">
        <f t="shared" si="15"/>
        <v>-0.5</v>
      </c>
    </row>
    <row r="29" spans="2:24" x14ac:dyDescent="0.3">
      <c r="B29" s="16">
        <v>3.8818928971533495E-3</v>
      </c>
      <c r="C29" s="16">
        <f t="shared" si="2"/>
        <v>1.0802343811340155E-2</v>
      </c>
      <c r="D29" s="16" t="str">
        <f t="shared" si="3"/>
        <v xml:space="preserve"> </v>
      </c>
      <c r="E29" s="16" t="str">
        <f t="shared" si="0"/>
        <v xml:space="preserve"> </v>
      </c>
      <c r="F29" s="16" t="str">
        <f t="shared" si="4"/>
        <v xml:space="preserve"> </v>
      </c>
      <c r="G29" s="16">
        <f t="shared" si="5"/>
        <v>1.2801532212115875E-3</v>
      </c>
      <c r="H29" s="16">
        <f t="shared" si="6"/>
        <v>0.32320306093755286</v>
      </c>
      <c r="I29" s="16">
        <f t="shared" si="7"/>
        <v>0.31260577164923065</v>
      </c>
      <c r="J29" s="16">
        <f t="shared" si="1"/>
        <v>1.2801532212115875E-3</v>
      </c>
      <c r="K29" s="16">
        <f t="shared" si="8"/>
        <v>0.31260577164923065</v>
      </c>
      <c r="L29" s="16">
        <f t="shared" si="9"/>
        <v>5.5974913624454821E-4</v>
      </c>
      <c r="M29" s="16">
        <f t="shared" si="10"/>
        <v>1.1558966024753332E-2</v>
      </c>
      <c r="N29" s="16">
        <f t="shared" si="11"/>
        <v>7.2040366580621504E-3</v>
      </c>
      <c r="O29" s="16">
        <f t="shared" si="12"/>
        <v>-8.9986595823301554E-3</v>
      </c>
      <c r="R29" s="5">
        <f t="shared" si="13"/>
        <v>-0.5</v>
      </c>
      <c r="V29" s="40">
        <v>3.5903916041026194</v>
      </c>
      <c r="W29" s="40">
        <f t="shared" si="14"/>
        <v>7.9661141838937525E-4</v>
      </c>
      <c r="X29" s="40">
        <f t="shared" si="15"/>
        <v>-0.5</v>
      </c>
    </row>
    <row r="30" spans="2:24" x14ac:dyDescent="0.3">
      <c r="B30" s="16">
        <v>4.1639263336883392E-3</v>
      </c>
      <c r="C30" s="16">
        <f t="shared" si="2"/>
        <v>1.1176667421137791E-2</v>
      </c>
      <c r="D30" s="16" t="str">
        <f t="shared" si="3"/>
        <v xml:space="preserve"> </v>
      </c>
      <c r="E30" s="16" t="str">
        <f t="shared" si="0"/>
        <v xml:space="preserve"> </v>
      </c>
      <c r="F30" s="16" t="str">
        <f t="shared" si="4"/>
        <v xml:space="preserve"> </v>
      </c>
      <c r="G30" s="16">
        <f t="shared" si="5"/>
        <v>1.371173488581328E-3</v>
      </c>
      <c r="H30" s="16">
        <f t="shared" si="6"/>
        <v>0.32225442816504857</v>
      </c>
      <c r="I30" s="16">
        <f t="shared" si="7"/>
        <v>0.31174662259244151</v>
      </c>
      <c r="J30" s="16">
        <f t="shared" si="1"/>
        <v>1.371173488581328E-3</v>
      </c>
      <c r="K30" s="16">
        <f t="shared" si="8"/>
        <v>0.31174662259244151</v>
      </c>
      <c r="L30" s="16">
        <f t="shared" si="9"/>
        <v>7.3580171695724825E-4</v>
      </c>
      <c r="M30" s="16">
        <f t="shared" si="10"/>
        <v>1.2009117662851334E-2</v>
      </c>
      <c r="N30" s="16">
        <f t="shared" si="11"/>
        <v>7.5920509504194301E-3</v>
      </c>
      <c r="O30" s="16">
        <f t="shared" si="12"/>
        <v>-9.2667706856886783E-3</v>
      </c>
      <c r="R30" s="5">
        <f t="shared" si="13"/>
        <v>-0.5</v>
      </c>
      <c r="V30" s="40">
        <v>3.7186198756777129</v>
      </c>
      <c r="W30" s="40">
        <f t="shared" si="14"/>
        <v>1.794336070848658E-3</v>
      </c>
      <c r="X30" s="40">
        <f t="shared" si="15"/>
        <v>-0.5</v>
      </c>
    </row>
    <row r="31" spans="2:24" x14ac:dyDescent="0.3">
      <c r="B31" s="16">
        <v>4.4558277024601134E-3</v>
      </c>
      <c r="C31" s="16">
        <f t="shared" si="2"/>
        <v>1.155016488431956E-2</v>
      </c>
      <c r="D31" s="16" t="str">
        <f t="shared" si="3"/>
        <v xml:space="preserve"> </v>
      </c>
      <c r="E31" s="16" t="str">
        <f t="shared" si="0"/>
        <v xml:space="preserve"> </v>
      </c>
      <c r="F31" s="16" t="str">
        <f t="shared" si="4"/>
        <v xml:space="preserve"> </v>
      </c>
      <c r="G31" s="16">
        <f t="shared" si="5"/>
        <v>1.4650968597141253E-3</v>
      </c>
      <c r="H31" s="16">
        <f t="shared" si="6"/>
        <v>0.32127392705605667</v>
      </c>
      <c r="I31" s="16">
        <f t="shared" si="7"/>
        <v>0.31085811106829481</v>
      </c>
      <c r="J31" s="16">
        <f t="shared" si="1"/>
        <v>1.4650968597141253E-3</v>
      </c>
      <c r="K31" s="16">
        <f t="shared" si="8"/>
        <v>0.31085811106829481</v>
      </c>
      <c r="L31" s="16">
        <f t="shared" si="9"/>
        <v>9.2291256369597023E-4</v>
      </c>
      <c r="M31" s="16">
        <f t="shared" si="10"/>
        <v>1.2461679032246636E-2</v>
      </c>
      <c r="N31" s="16">
        <f t="shared" si="11"/>
        <v>7.988742841224257E-3</v>
      </c>
      <c r="O31" s="16">
        <f t="shared" si="12"/>
        <v>-9.531485312818385E-3</v>
      </c>
      <c r="R31" s="5">
        <f t="shared" si="13"/>
        <v>-0.5</v>
      </c>
      <c r="V31" s="40">
        <v>3.8468481472528064</v>
      </c>
      <c r="W31" s="40">
        <f t="shared" si="14"/>
        <v>3.0104116294457474E-3</v>
      </c>
      <c r="X31" s="40">
        <f t="shared" si="15"/>
        <v>-0.5</v>
      </c>
    </row>
    <row r="32" spans="2:24" x14ac:dyDescent="0.3">
      <c r="B32" s="16">
        <v>4.7575941109612163E-3</v>
      </c>
      <c r="C32" s="16">
        <f t="shared" si="2"/>
        <v>1.1922831861457497E-2</v>
      </c>
      <c r="D32" s="16" t="str">
        <f t="shared" si="3"/>
        <v xml:space="preserve"> </v>
      </c>
      <c r="E32" s="16" t="str">
        <f t="shared" si="0"/>
        <v xml:space="preserve"> </v>
      </c>
      <c r="F32" s="16" t="str">
        <f t="shared" si="4"/>
        <v xml:space="preserve"> </v>
      </c>
      <c r="G32" s="16">
        <f t="shared" si="5"/>
        <v>1.5618937751698686E-3</v>
      </c>
      <c r="H32" s="16">
        <f t="shared" si="6"/>
        <v>0.32026170377955404</v>
      </c>
      <c r="I32" s="16">
        <f t="shared" si="7"/>
        <v>0.30994032108045572</v>
      </c>
      <c r="J32" s="16">
        <f t="shared" si="1"/>
        <v>1.5618937751698686E-3</v>
      </c>
      <c r="K32" s="16">
        <f t="shared" si="8"/>
        <v>0.30994032108045572</v>
      </c>
      <c r="L32" s="16">
        <f t="shared" si="9"/>
        <v>1.1211089123067258E-3</v>
      </c>
      <c r="M32" s="16">
        <f t="shared" si="10"/>
        <v>1.2916623846666631E-2</v>
      </c>
      <c r="N32" s="16">
        <f t="shared" si="11"/>
        <v>8.3940793096157068E-3</v>
      </c>
      <c r="O32" s="16">
        <f t="shared" si="12"/>
        <v>-9.7928362963268928E-3</v>
      </c>
      <c r="R32" s="5">
        <f t="shared" si="13"/>
        <v>-0.5</v>
      </c>
      <c r="V32" s="40">
        <v>3.9750764188279</v>
      </c>
      <c r="W32" s="40">
        <f t="shared" si="14"/>
        <v>4.4248701671287067E-3</v>
      </c>
      <c r="X32" s="40">
        <f t="shared" si="15"/>
        <v>-0.5</v>
      </c>
    </row>
    <row r="33" spans="2:24" x14ac:dyDescent="0.3">
      <c r="B33" s="16">
        <v>5.0692225689300541E-3</v>
      </c>
      <c r="C33" s="16">
        <f t="shared" si="2"/>
        <v>1.2294663905668047E-2</v>
      </c>
      <c r="D33" s="16" t="str">
        <f t="shared" si="3"/>
        <v xml:space="preserve"> </v>
      </c>
      <c r="E33" s="16" t="str">
        <f t="shared" si="0"/>
        <v xml:space="preserve"> </v>
      </c>
      <c r="F33" s="16" t="str">
        <f t="shared" si="4"/>
        <v xml:space="preserve"> </v>
      </c>
      <c r="G33" s="16">
        <f t="shared" si="5"/>
        <v>1.661533758218313E-3</v>
      </c>
      <c r="H33" s="16">
        <f t="shared" si="6"/>
        <v>0.31921790938834149</v>
      </c>
      <c r="I33" s="16">
        <f t="shared" si="7"/>
        <v>0.30899333997749845</v>
      </c>
      <c r="J33" s="16">
        <f t="shared" si="1"/>
        <v>1.661533758218313E-3</v>
      </c>
      <c r="K33" s="16">
        <f t="shared" si="8"/>
        <v>0.30899333997749845</v>
      </c>
      <c r="L33" s="16">
        <f t="shared" si="9"/>
        <v>1.330417661552881E-3</v>
      </c>
      <c r="M33" s="16">
        <f t="shared" si="10"/>
        <v>1.3373924565304158E-2</v>
      </c>
      <c r="N33" s="16">
        <f t="shared" si="11"/>
        <v>8.8080274763072276E-3</v>
      </c>
      <c r="O33" s="16">
        <f t="shared" si="12"/>
        <v>-1.0050857048867533E-2</v>
      </c>
      <c r="R33" s="5">
        <f t="shared" si="13"/>
        <v>-0.5</v>
      </c>
      <c r="V33" s="40">
        <v>4.1033046904029939</v>
      </c>
      <c r="W33" s="40">
        <f t="shared" si="14"/>
        <v>6.0144863138136004E-3</v>
      </c>
      <c r="X33" s="40">
        <f t="shared" si="15"/>
        <v>-0.5</v>
      </c>
    </row>
    <row r="34" spans="2:24" x14ac:dyDescent="0.3">
      <c r="B34" s="16">
        <v>5.3907099883800935E-3</v>
      </c>
      <c r="C34" s="16">
        <f t="shared" si="2"/>
        <v>1.2665656463237219E-2</v>
      </c>
      <c r="D34" s="16" t="str">
        <f t="shared" si="3"/>
        <v xml:space="preserve"> </v>
      </c>
      <c r="E34" s="16" t="str">
        <f t="shared" si="0"/>
        <v xml:space="preserve"> </v>
      </c>
      <c r="F34" s="16" t="str">
        <f t="shared" si="4"/>
        <v xml:space="preserve"> </v>
      </c>
      <c r="G34" s="16">
        <f t="shared" si="5"/>
        <v>1.7639854232441819E-3</v>
      </c>
      <c r="H34" s="16">
        <f t="shared" si="6"/>
        <v>0.31814269981195786</v>
      </c>
      <c r="I34" s="16">
        <f t="shared" si="7"/>
        <v>0.3080172585003238</v>
      </c>
      <c r="J34" s="16">
        <f t="shared" si="1"/>
        <v>1.7639854232441819E-3</v>
      </c>
      <c r="K34" s="16">
        <f t="shared" si="8"/>
        <v>0.3080172585003238</v>
      </c>
      <c r="L34" s="16">
        <f t="shared" si="9"/>
        <v>1.5508653659662922E-3</v>
      </c>
      <c r="M34" s="16">
        <f t="shared" si="10"/>
        <v>1.3833552396440137E-2</v>
      </c>
      <c r="N34" s="16">
        <f t="shared" si="11"/>
        <v>9.2305546107938948E-3</v>
      </c>
      <c r="O34" s="16">
        <f t="shared" si="12"/>
        <v>-1.0305581549951773E-2</v>
      </c>
      <c r="R34" s="5">
        <f t="shared" si="13"/>
        <v>-0.5</v>
      </c>
      <c r="V34" s="40">
        <v>4.2315329619780879</v>
      </c>
      <c r="W34" s="40">
        <f t="shared" si="14"/>
        <v>7.7531586163191715E-3</v>
      </c>
      <c r="X34" s="40">
        <f t="shared" si="15"/>
        <v>-0.5</v>
      </c>
    </row>
    <row r="35" spans="2:24" x14ac:dyDescent="0.3">
      <c r="B35" s="16">
        <v>5.7220531836302824E-3</v>
      </c>
      <c r="C35" s="16">
        <f t="shared" si="2"/>
        <v>1.3035804874265351E-2</v>
      </c>
      <c r="D35" s="16" t="str">
        <f t="shared" si="3"/>
        <v xml:space="preserve"> </v>
      </c>
      <c r="E35" s="16" t="str">
        <f t="shared" si="0"/>
        <v xml:space="preserve"> </v>
      </c>
      <c r="F35" s="16" t="str">
        <f t="shared" si="4"/>
        <v xml:space="preserve"> </v>
      </c>
      <c r="G35" s="16">
        <f t="shared" si="5"/>
        <v>1.8692164844170312E-3</v>
      </c>
      <c r="H35" s="16">
        <f t="shared" si="6"/>
        <v>0.31703623584936613</v>
      </c>
      <c r="I35" s="16">
        <f t="shared" si="7"/>
        <v>0.30701217083074345</v>
      </c>
      <c r="J35" s="16">
        <f t="shared" si="1"/>
        <v>1.8692164844170312E-3</v>
      </c>
      <c r="K35" s="16">
        <f t="shared" si="8"/>
        <v>0.30701217083074345</v>
      </c>
      <c r="L35" s="16">
        <f t="shared" si="9"/>
        <v>1.7824782285153886E-3</v>
      </c>
      <c r="M35" s="16">
        <f t="shared" si="10"/>
        <v>1.4295477301450921E-2</v>
      </c>
      <c r="N35" s="16">
        <f t="shared" si="11"/>
        <v>9.661628138745177E-3</v>
      </c>
      <c r="O35" s="16">
        <f t="shared" si="12"/>
        <v>-1.0557044332616859E-2</v>
      </c>
      <c r="R35" s="5">
        <f t="shared" si="13"/>
        <v>-0.5</v>
      </c>
      <c r="V35" s="40">
        <v>4.3597612335531819</v>
      </c>
      <c r="W35" s="40">
        <f t="shared" si="14"/>
        <v>9.612338123506467E-3</v>
      </c>
      <c r="X35" s="40">
        <f t="shared" si="15"/>
        <v>-0.5</v>
      </c>
    </row>
    <row r="36" spans="2:24" x14ac:dyDescent="0.3">
      <c r="B36" s="16">
        <v>6.0632488713366905E-3</v>
      </c>
      <c r="C36" s="16">
        <f t="shared" si="2"/>
        <v>1.3405104373331219E-2</v>
      </c>
      <c r="D36" s="16" t="str">
        <f t="shared" si="3"/>
        <v xml:space="preserve"> </v>
      </c>
      <c r="E36" s="16" t="str">
        <f t="shared" si="0"/>
        <v xml:space="preserve"> </v>
      </c>
      <c r="F36" s="16" t="str">
        <f t="shared" si="4"/>
        <v xml:space="preserve"> </v>
      </c>
      <c r="G36" s="16">
        <f t="shared" si="5"/>
        <v>1.9771937646246777E-3</v>
      </c>
      <c r="H36" s="16">
        <f t="shared" si="6"/>
        <v>0.31589868316140757</v>
      </c>
      <c r="I36" s="16">
        <f t="shared" si="7"/>
        <v>0.30597817464118748</v>
      </c>
      <c r="J36" s="16">
        <f t="shared" si="1"/>
        <v>1.9771937646246777E-3</v>
      </c>
      <c r="K36" s="16">
        <f t="shared" si="8"/>
        <v>0.30597817464118748</v>
      </c>
      <c r="L36" s="16">
        <f t="shared" si="9"/>
        <v>2.0252820930886503E-3</v>
      </c>
      <c r="M36" s="16">
        <f t="shared" si="10"/>
        <v>1.4759667999203403E-2</v>
      </c>
      <c r="N36" s="16">
        <f t="shared" si="11"/>
        <v>1.010121564958473E-2</v>
      </c>
      <c r="O36" s="16">
        <f t="shared" si="12"/>
        <v>-1.0805280469954047E-2</v>
      </c>
      <c r="R36" s="5">
        <f t="shared" si="13"/>
        <v>-0.5</v>
      </c>
      <c r="V36" s="40">
        <v>4.4879895051282759</v>
      </c>
      <c r="W36" s="40">
        <f t="shared" si="14"/>
        <v>1.1561497159267263E-2</v>
      </c>
      <c r="X36" s="40">
        <f t="shared" si="15"/>
        <v>-0.5</v>
      </c>
    </row>
    <row r="37" spans="2:24" x14ac:dyDescent="0.3">
      <c r="B37" s="16">
        <v>6.4142936705253728E-3</v>
      </c>
      <c r="C37" s="16">
        <f t="shared" si="2"/>
        <v>1.3773550090175451E-2</v>
      </c>
      <c r="D37" s="16" t="str">
        <f t="shared" si="3"/>
        <v xml:space="preserve"> </v>
      </c>
      <c r="E37" s="16" t="str">
        <f t="shared" si="0"/>
        <v xml:space="preserve"> </v>
      </c>
      <c r="F37" s="16" t="str">
        <f t="shared" si="4"/>
        <v xml:space="preserve"> </v>
      </c>
      <c r="G37" s="16">
        <f t="shared" si="5"/>
        <v>2.087883204669197E-3</v>
      </c>
      <c r="H37" s="16">
        <f t="shared" si="6"/>
        <v>0.31473021226302789</v>
      </c>
      <c r="I37" s="16">
        <f t="shared" si="7"/>
        <v>0.30491537114549683</v>
      </c>
      <c r="J37" s="16">
        <f t="shared" si="1"/>
        <v>2.087883204669197E-3</v>
      </c>
      <c r="K37" s="16">
        <f t="shared" si="8"/>
        <v>0.30491537114549683</v>
      </c>
      <c r="L37" s="16">
        <f t="shared" si="9"/>
        <v>2.2793024367920613E-3</v>
      </c>
      <c r="M37" s="16">
        <f t="shared" si="10"/>
        <v>1.5226091970841274E-2</v>
      </c>
      <c r="N37" s="16">
        <f t="shared" si="11"/>
        <v>1.0549284904258684E-2</v>
      </c>
      <c r="O37" s="16">
        <f t="shared" si="12"/>
        <v>-1.105032556150288E-2</v>
      </c>
      <c r="R37" s="5">
        <f t="shared" si="13"/>
        <v>-0.5</v>
      </c>
      <c r="V37" s="40">
        <v>4.6162177767033699</v>
      </c>
      <c r="W37" s="40">
        <f t="shared" si="14"/>
        <v>1.3568630586121778E-2</v>
      </c>
      <c r="X37" s="40">
        <f t="shared" si="15"/>
        <v>-0.5</v>
      </c>
    </row>
    <row r="38" spans="2:24" x14ac:dyDescent="0.3">
      <c r="B38" s="16">
        <v>6.7751841026255644E-3</v>
      </c>
      <c r="C38" s="16">
        <f t="shared" si="2"/>
        <v>1.4141137050402037E-2</v>
      </c>
      <c r="D38" s="16" t="str">
        <f t="shared" si="3"/>
        <v xml:space="preserve"> </v>
      </c>
      <c r="E38" s="16" t="str">
        <f t="shared" si="0"/>
        <v xml:space="preserve"> </v>
      </c>
      <c r="F38" s="16" t="str">
        <f t="shared" si="4"/>
        <v xml:space="preserve"> </v>
      </c>
      <c r="G38" s="16">
        <f t="shared" si="5"/>
        <v>2.2012498727240377E-3</v>
      </c>
      <c r="H38" s="16">
        <f t="shared" si="6"/>
        <v>0.31353099851527699</v>
      </c>
      <c r="I38" s="16">
        <f t="shared" si="7"/>
        <v>0.30382386515075921</v>
      </c>
      <c r="J38" s="16">
        <f t="shared" si="1"/>
        <v>2.2012498727240377E-3</v>
      </c>
      <c r="K38" s="16">
        <f t="shared" si="8"/>
        <v>0.30382386515075921</v>
      </c>
      <c r="L38" s="16">
        <f t="shared" si="9"/>
        <v>2.544564362058843E-3</v>
      </c>
      <c r="M38" s="16">
        <f t="shared" si="10"/>
        <v>1.5694715464964613E-2</v>
      </c>
      <c r="N38" s="16">
        <f t="shared" si="11"/>
        <v>1.1005803843192285E-2</v>
      </c>
      <c r="O38" s="16">
        <f t="shared" si="12"/>
        <v>-1.129221571951654E-2</v>
      </c>
      <c r="R38" s="5">
        <f t="shared" si="13"/>
        <v>-0.5</v>
      </c>
      <c r="V38" s="40">
        <v>4.7444460482784638</v>
      </c>
      <c r="W38" s="40">
        <f t="shared" si="14"/>
        <v>1.5600781328691259E-2</v>
      </c>
      <c r="X38" s="40">
        <f t="shared" si="15"/>
        <v>-0.5</v>
      </c>
    </row>
    <row r="39" spans="2:24" x14ac:dyDescent="0.3">
      <c r="B39" s="16">
        <v>7.1459165915040979E-3</v>
      </c>
      <c r="C39" s="16">
        <f t="shared" si="2"/>
        <v>1.4507860176198916E-2</v>
      </c>
      <c r="D39" s="16" t="str">
        <f t="shared" si="3"/>
        <v xml:space="preserve"> </v>
      </c>
      <c r="E39" s="16" t="str">
        <f t="shared" si="0"/>
        <v xml:space="preserve"> </v>
      </c>
      <c r="F39" s="16" t="str">
        <f t="shared" si="4"/>
        <v xml:space="preserve"> </v>
      </c>
      <c r="G39" s="16">
        <f t="shared" si="5"/>
        <v>2.3172579740514763E-3</v>
      </c>
      <c r="H39" s="16">
        <f t="shared" si="6"/>
        <v>0.31230122211707884</v>
      </c>
      <c r="I39" s="16">
        <f t="shared" si="7"/>
        <v>0.30270376511014091</v>
      </c>
      <c r="J39" s="16">
        <f t="shared" si="1"/>
        <v>2.3172579740514763E-3</v>
      </c>
      <c r="K39" s="16">
        <f t="shared" si="8"/>
        <v>0.30270376511014091</v>
      </c>
      <c r="L39" s="16">
        <f t="shared" si="9"/>
        <v>2.821092588571248E-3</v>
      </c>
      <c r="M39" s="16">
        <f t="shared" si="10"/>
        <v>1.6165503503207664E-2</v>
      </c>
      <c r="N39" s="16">
        <f t="shared" si="11"/>
        <v>1.1470740594436948E-2</v>
      </c>
      <c r="O39" s="16">
        <f t="shared" si="12"/>
        <v>-1.1530987555104712E-2</v>
      </c>
      <c r="R39" s="5">
        <f t="shared" si="13"/>
        <v>-0.5</v>
      </c>
      <c r="V39" s="40">
        <v>4.8726743198535578</v>
      </c>
      <c r="W39" s="40">
        <f t="shared" si="14"/>
        <v>1.7624581527964554E-2</v>
      </c>
      <c r="X39" s="40">
        <f t="shared" si="15"/>
        <v>-0.5</v>
      </c>
    </row>
    <row r="40" spans="2:24" x14ac:dyDescent="0.3">
      <c r="B40" s="16">
        <v>7.5264874635010415E-3</v>
      </c>
      <c r="C40" s="16">
        <f t="shared" si="2"/>
        <v>1.4873714287077389E-2</v>
      </c>
      <c r="D40" s="16" t="str">
        <f t="shared" si="3"/>
        <v xml:space="preserve"> </v>
      </c>
      <c r="E40" s="16" t="str">
        <f t="shared" si="0"/>
        <v xml:space="preserve"> </v>
      </c>
      <c r="F40" s="16" t="str">
        <f t="shared" si="4"/>
        <v xml:space="preserve"> </v>
      </c>
      <c r="G40" s="16">
        <f t="shared" si="5"/>
        <v>2.4358708609790152E-3</v>
      </c>
      <c r="H40" s="16">
        <f t="shared" si="6"/>
        <v>0.31104106809677451</v>
      </c>
      <c r="I40" s="16">
        <f t="shared" si="7"/>
        <v>0.30155518317667113</v>
      </c>
      <c r="J40" s="16">
        <f t="shared" si="1"/>
        <v>2.4358708609790152E-3</v>
      </c>
      <c r="K40" s="16">
        <f t="shared" si="8"/>
        <v>0.30155518317667113</v>
      </c>
      <c r="L40" s="16">
        <f t="shared" si="9"/>
        <v>3.1089114449938662E-3</v>
      </c>
      <c r="M40" s="16">
        <f t="shared" si="10"/>
        <v>1.6638419886218121E-2</v>
      </c>
      <c r="N40" s="16">
        <f t="shared" si="11"/>
        <v>1.1944063482008216E-2</v>
      </c>
      <c r="O40" s="16">
        <f t="shared" si="12"/>
        <v>-1.1766678164260093E-2</v>
      </c>
      <c r="R40" s="5">
        <f t="shared" si="13"/>
        <v>-0.5</v>
      </c>
      <c r="V40" s="40">
        <v>5.0009025914286518</v>
      </c>
      <c r="W40" s="40">
        <f t="shared" si="14"/>
        <v>1.9606800440620572E-2</v>
      </c>
      <c r="X40" s="40">
        <f t="shared" si="15"/>
        <v>-0.5</v>
      </c>
    </row>
    <row r="41" spans="2:24" x14ac:dyDescent="0.3">
      <c r="B41" s="16">
        <v>7.9168929474660032E-3</v>
      </c>
      <c r="C41" s="16">
        <f t="shared" si="2"/>
        <v>1.5238694100629682E-2</v>
      </c>
      <c r="D41" s="16" t="str">
        <f t="shared" si="3"/>
        <v xml:space="preserve"> </v>
      </c>
      <c r="E41" s="16" t="str">
        <f t="shared" si="0"/>
        <v xml:space="preserve"> </v>
      </c>
      <c r="F41" s="16" t="str">
        <f t="shared" si="4"/>
        <v xml:space="preserve"> </v>
      </c>
      <c r="G41" s="16">
        <f t="shared" si="5"/>
        <v>2.5570510431336588E-3</v>
      </c>
      <c r="H41" s="16">
        <f t="shared" si="6"/>
        <v>0.30975072630343786</v>
      </c>
      <c r="I41" s="16">
        <f t="shared" si="7"/>
        <v>0.30037823525793045</v>
      </c>
      <c r="J41" s="16">
        <f t="shared" si="1"/>
        <v>2.5570510431336588E-3</v>
      </c>
      <c r="K41" s="16">
        <f t="shared" si="8"/>
        <v>0.30037823525793045</v>
      </c>
      <c r="L41" s="16">
        <f t="shared" si="9"/>
        <v>3.4080448605178131E-3</v>
      </c>
      <c r="M41" s="16">
        <f t="shared" si="10"/>
        <v>1.711342720004131E-2</v>
      </c>
      <c r="N41" s="16">
        <f t="shared" si="11"/>
        <v>1.2425741034414194E-2</v>
      </c>
      <c r="O41" s="16">
        <f t="shared" si="12"/>
        <v>-1.1999325113773992E-2</v>
      </c>
      <c r="R41" s="5">
        <f t="shared" si="13"/>
        <v>-0.5</v>
      </c>
      <c r="V41" s="40">
        <v>5.1291308630037458</v>
      </c>
      <c r="W41" s="40">
        <f t="shared" si="14"/>
        <v>2.1514890086914904E-2</v>
      </c>
      <c r="X41" s="40">
        <f t="shared" si="15"/>
        <v>-0.5</v>
      </c>
    </row>
    <row r="42" spans="2:24" x14ac:dyDescent="0.3">
      <c r="B42" s="16">
        <v>8.3171291747956566E-3</v>
      </c>
      <c r="C42" s="16">
        <f t="shared" si="2"/>
        <v>1.5602794233305127E-2</v>
      </c>
      <c r="D42" s="16" t="str">
        <f t="shared" si="3"/>
        <v xml:space="preserve"> </v>
      </c>
      <c r="E42" s="16" t="str">
        <f t="shared" si="0"/>
        <v xml:space="preserve"> </v>
      </c>
      <c r="F42" s="16" t="str">
        <f t="shared" si="4"/>
        <v xml:space="preserve"> </v>
      </c>
      <c r="G42" s="16">
        <f t="shared" si="5"/>
        <v>2.6807601979326303E-3</v>
      </c>
      <c r="H42" s="16">
        <f t="shared" si="6"/>
        <v>0.30843039139796347</v>
      </c>
      <c r="I42" s="16">
        <f t="shared" si="7"/>
        <v>0.2991730410715937</v>
      </c>
      <c r="J42" s="16">
        <f t="shared" si="1"/>
        <v>2.6807601979326303E-3</v>
      </c>
      <c r="K42" s="16">
        <f t="shared" si="8"/>
        <v>0.2991730410715937</v>
      </c>
      <c r="L42" s="16">
        <f t="shared" si="9"/>
        <v>3.7185163562162395E-3</v>
      </c>
      <c r="M42" s="16">
        <f t="shared" si="10"/>
        <v>1.7590486822913275E-2</v>
      </c>
      <c r="N42" s="16">
        <f t="shared" si="11"/>
        <v>1.2915741993375075E-2</v>
      </c>
      <c r="O42" s="16">
        <f t="shared" si="12"/>
        <v>-1.2228966427048016E-2</v>
      </c>
      <c r="R42" s="5">
        <f t="shared" si="13"/>
        <v>-0.5</v>
      </c>
      <c r="V42" s="40">
        <v>5.2573591345788397</v>
      </c>
      <c r="W42" s="40">
        <f t="shared" si="14"/>
        <v>2.3317519687607376E-2</v>
      </c>
      <c r="X42" s="40">
        <f t="shared" si="15"/>
        <v>-0.5</v>
      </c>
    </row>
    <row r="43" spans="2:24" x14ac:dyDescent="0.3">
      <c r="B43" s="16">
        <v>8.727192179471821E-3</v>
      </c>
      <c r="C43" s="16">
        <f t="shared" si="2"/>
        <v>1.5966009201204088E-2</v>
      </c>
      <c r="D43" s="16" t="str">
        <f t="shared" si="3"/>
        <v xml:space="preserve"> </v>
      </c>
      <c r="E43" s="16" t="str">
        <f t="shared" si="0"/>
        <v xml:space="preserve"> </v>
      </c>
      <c r="F43" s="16" t="str">
        <f t="shared" si="4"/>
        <v xml:space="preserve"> </v>
      </c>
      <c r="G43" s="16">
        <f t="shared" si="5"/>
        <v>2.8069591813293343E-3</v>
      </c>
      <c r="H43" s="16">
        <f t="shared" si="6"/>
        <v>0.30708026284392997</v>
      </c>
      <c r="I43" s="16">
        <f t="shared" si="7"/>
        <v>0.29793972420177989</v>
      </c>
      <c r="J43" s="16">
        <f t="shared" si="1"/>
        <v>2.8069591813293343E-3</v>
      </c>
      <c r="K43" s="16">
        <f t="shared" si="8"/>
        <v>0.29793972420177989</v>
      </c>
      <c r="L43" s="16">
        <f t="shared" si="9"/>
        <v>4.0403490362110146E-3</v>
      </c>
      <c r="M43" s="16">
        <f t="shared" si="10"/>
        <v>1.8069558932466187E-2</v>
      </c>
      <c r="N43" s="16">
        <f t="shared" si="11"/>
        <v>1.3414035322732627E-2</v>
      </c>
      <c r="O43" s="16">
        <f t="shared" si="12"/>
        <v>-1.2455640569807519E-2</v>
      </c>
      <c r="R43" s="5">
        <f t="shared" si="13"/>
        <v>-0.5</v>
      </c>
      <c r="V43" s="40">
        <v>5.3855874061539337</v>
      </c>
      <c r="W43" s="40">
        <f t="shared" si="14"/>
        <v>2.4985090114491008E-2</v>
      </c>
      <c r="X43" s="40">
        <f t="shared" si="15"/>
        <v>-0.5</v>
      </c>
    </row>
    <row r="44" spans="2:24" x14ac:dyDescent="0.3">
      <c r="B44" s="16">
        <v>9.1470778981007639E-3</v>
      </c>
      <c r="C44" s="16">
        <f t="shared" si="2"/>
        <v>1.6328333420890229E-2</v>
      </c>
      <c r="D44" s="16" t="str">
        <f t="shared" si="3"/>
        <v xml:space="preserve"> </v>
      </c>
      <c r="E44" s="16" t="str">
        <f t="shared" si="0"/>
        <v xml:space="preserve"> </v>
      </c>
      <c r="F44" s="16" t="str">
        <f t="shared" si="4"/>
        <v xml:space="preserve"> </v>
      </c>
      <c r="G44" s="16">
        <f t="shared" si="5"/>
        <v>2.9356080388133459E-3</v>
      </c>
      <c r="H44" s="16">
        <f t="shared" si="6"/>
        <v>0.30570054489823612</v>
      </c>
      <c r="I44" s="16">
        <f t="shared" si="7"/>
        <v>0.29667841215615287</v>
      </c>
      <c r="J44" s="16">
        <f t="shared" si="1"/>
        <v>2.9356080388133459E-3</v>
      </c>
      <c r="K44" s="16">
        <f t="shared" si="8"/>
        <v>0.29667841215615287</v>
      </c>
      <c r="L44" s="16">
        <f t="shared" si="9"/>
        <v>4.3735655786517735E-3</v>
      </c>
      <c r="M44" s="16">
        <f t="shared" si="10"/>
        <v>1.8550602513350618E-2</v>
      </c>
      <c r="N44" s="16">
        <f t="shared" si="11"/>
        <v>1.3920590217549754E-2</v>
      </c>
      <c r="O44" s="16">
        <f t="shared" si="12"/>
        <v>-1.2679386435723925E-2</v>
      </c>
      <c r="R44" s="5">
        <f t="shared" si="13"/>
        <v>-0.5</v>
      </c>
      <c r="V44" s="40">
        <v>5.5138156777290277</v>
      </c>
      <c r="W44" s="40">
        <f t="shared" si="14"/>
        <v>2.649021990725884E-2</v>
      </c>
      <c r="X44" s="40">
        <f t="shared" si="15"/>
        <v>-0.5</v>
      </c>
    </row>
    <row r="45" spans="2:24" x14ac:dyDescent="0.3">
      <c r="B45" s="16">
        <v>9.5767821699537237E-3</v>
      </c>
      <c r="C45" s="16">
        <f t="shared" si="2"/>
        <v>1.6689761210220887E-2</v>
      </c>
      <c r="D45" s="16" t="str">
        <f t="shared" si="3"/>
        <v xml:space="preserve"> </v>
      </c>
      <c r="E45" s="16" t="str">
        <f t="shared" si="0"/>
        <v xml:space="preserve"> </v>
      </c>
      <c r="F45" s="16" t="str">
        <f t="shared" si="4"/>
        <v xml:space="preserve"> </v>
      </c>
      <c r="G45" s="16">
        <f t="shared" si="5"/>
        <v>3.0666660166630204E-3</v>
      </c>
      <c r="H45" s="16">
        <f t="shared" si="6"/>
        <v>0.30429144660150964</v>
      </c>
      <c r="I45" s="16">
        <f t="shared" si="7"/>
        <v>0.29538923642372056</v>
      </c>
      <c r="J45" s="16">
        <f t="shared" si="1"/>
        <v>3.0666660166630204E-3</v>
      </c>
      <c r="K45" s="16">
        <f t="shared" si="8"/>
        <v>0.29538923642372056</v>
      </c>
      <c r="L45" s="16">
        <f t="shared" si="9"/>
        <v>4.7181882265083051E-3</v>
      </c>
      <c r="M45" s="16">
        <f t="shared" si="10"/>
        <v>1.9033575365278652E-2</v>
      </c>
      <c r="N45" s="16">
        <f t="shared" si="11"/>
        <v>1.4435376113399142E-2</v>
      </c>
      <c r="O45" s="16">
        <f t="shared" si="12"/>
        <v>-1.290024333195261E-2</v>
      </c>
      <c r="R45" s="5">
        <f t="shared" si="13"/>
        <v>-0.5</v>
      </c>
      <c r="V45" s="40">
        <v>5.6420439493041217</v>
      </c>
      <c r="W45" s="40">
        <f t="shared" si="14"/>
        <v>2.7808194876325184E-2</v>
      </c>
      <c r="X45" s="40">
        <f t="shared" si="15"/>
        <v>-0.5</v>
      </c>
    </row>
    <row r="46" spans="2:24" x14ac:dyDescent="0.3">
      <c r="B46" s="16">
        <v>1.0016300737007988E-2</v>
      </c>
      <c r="C46" s="16">
        <f t="shared" si="2"/>
        <v>1.7050286789194832E-2</v>
      </c>
      <c r="D46" s="16" t="str">
        <f t="shared" si="3"/>
        <v xml:space="preserve"> </v>
      </c>
      <c r="E46" s="16" t="str">
        <f t="shared" si="0"/>
        <v xml:space="preserve"> </v>
      </c>
      <c r="F46" s="16" t="str">
        <f t="shared" si="4"/>
        <v xml:space="preserve"> </v>
      </c>
      <c r="G46" s="16">
        <f t="shared" si="5"/>
        <v>3.2000915734492637E-3</v>
      </c>
      <c r="H46" s="16">
        <f t="shared" si="6"/>
        <v>0.30285318176829285</v>
      </c>
      <c r="I46" s="16">
        <f t="shared" si="7"/>
        <v>0.29407233253327886</v>
      </c>
      <c r="J46" s="16">
        <f t="shared" si="1"/>
        <v>3.2000915734492637E-3</v>
      </c>
      <c r="K46" s="16">
        <f t="shared" si="8"/>
        <v>0.29407233253327886</v>
      </c>
      <c r="L46" s="16">
        <f t="shared" si="9"/>
        <v>5.0742387781771113E-3</v>
      </c>
      <c r="M46" s="16">
        <f t="shared" si="10"/>
        <v>1.9518434111491186E-2</v>
      </c>
      <c r="N46" s="16">
        <f t="shared" si="11"/>
        <v>1.4958362695838865E-2</v>
      </c>
      <c r="O46" s="16">
        <f t="shared" si="12"/>
        <v>-1.3118250964592659E-2</v>
      </c>
      <c r="R46" s="5">
        <f t="shared" si="13"/>
        <v>-0.5</v>
      </c>
      <c r="V46" s="40">
        <v>5.7702722208792157</v>
      </c>
      <c r="W46" s="40">
        <f t="shared" si="14"/>
        <v>2.891737390913536E-2</v>
      </c>
      <c r="X46" s="40">
        <f t="shared" si="15"/>
        <v>-0.5</v>
      </c>
    </row>
    <row r="47" spans="2:24" x14ac:dyDescent="0.3">
      <c r="B47" s="16">
        <v>1.0465629243989194E-2</v>
      </c>
      <c r="C47" s="16">
        <f t="shared" si="2"/>
        <v>1.74099042808178E-2</v>
      </c>
      <c r="D47" s="16" t="str">
        <f t="shared" si="3"/>
        <v xml:space="preserve"> </v>
      </c>
      <c r="E47" s="16" t="str">
        <f t="shared" si="0"/>
        <v xml:space="preserve"> </v>
      </c>
      <c r="F47" s="16" t="str">
        <f t="shared" si="4"/>
        <v xml:space="preserve"> </v>
      </c>
      <c r="G47" s="16">
        <f t="shared" si="5"/>
        <v>3.3358423917892333E-3</v>
      </c>
      <c r="H47" s="16">
        <f t="shared" si="6"/>
        <v>0.30138596897700248</v>
      </c>
      <c r="I47" s="16">
        <f t="shared" si="7"/>
        <v>0.2927278401124418</v>
      </c>
      <c r="J47" s="16">
        <f t="shared" si="1"/>
        <v>3.3358423917892333E-3</v>
      </c>
      <c r="K47" s="16">
        <f t="shared" si="8"/>
        <v>0.2927278401124418</v>
      </c>
      <c r="L47" s="16">
        <f t="shared" si="9"/>
        <v>5.4417385779043101E-3</v>
      </c>
      <c r="M47" s="16">
        <f t="shared" si="10"/>
        <v>2.0005134207654214E-2</v>
      </c>
      <c r="N47" s="16">
        <f t="shared" si="11"/>
        <v>1.5489519910074079E-2</v>
      </c>
      <c r="O47" s="16">
        <f t="shared" si="12"/>
        <v>-1.3333449424075746E-2</v>
      </c>
      <c r="R47" s="5">
        <f t="shared" si="13"/>
        <v>-0.5</v>
      </c>
      <c r="V47" s="40">
        <v>5.8985004924543096</v>
      </c>
      <c r="W47" s="40">
        <f t="shared" si="14"/>
        <v>2.9799544316635528E-2</v>
      </c>
      <c r="X47" s="40">
        <f t="shared" si="15"/>
        <v>-0.5</v>
      </c>
    </row>
    <row r="48" spans="2:24" x14ac:dyDescent="0.3">
      <c r="B48" s="16">
        <v>1.092476323841407E-2</v>
      </c>
      <c r="C48" s="16">
        <f t="shared" si="2"/>
        <v>1.7768607711985115E-2</v>
      </c>
      <c r="D48" s="16" t="str">
        <f t="shared" si="3"/>
        <v xml:space="preserve"> </v>
      </c>
      <c r="E48" s="16" t="str">
        <f t="shared" si="0"/>
        <v xml:space="preserve"> </v>
      </c>
      <c r="F48" s="16" t="str">
        <f t="shared" si="4"/>
        <v xml:space="preserve"> </v>
      </c>
      <c r="G48" s="16">
        <f t="shared" si="5"/>
        <v>3.4738753903481921E-3</v>
      </c>
      <c r="H48" s="16">
        <f t="shared" si="6"/>
        <v>0.29989003155966548</v>
      </c>
      <c r="I48" s="16">
        <f t="shared" si="7"/>
        <v>0.29135590294720043</v>
      </c>
      <c r="J48" s="16">
        <f t="shared" si="1"/>
        <v>3.4738753903481921E-3</v>
      </c>
      <c r="K48" s="16">
        <f t="shared" si="8"/>
        <v>0.29135590294720043</v>
      </c>
      <c r="L48" s="16">
        <f t="shared" si="9"/>
        <v>5.820708506026246E-3</v>
      </c>
      <c r="M48" s="16">
        <f t="shared" si="10"/>
        <v>2.0493629951187382E-2</v>
      </c>
      <c r="N48" s="16">
        <f t="shared" si="11"/>
        <v>1.6028817970801894E-2</v>
      </c>
      <c r="O48" s="16">
        <f t="shared" si="12"/>
        <v>-1.3545879170490997E-2</v>
      </c>
      <c r="R48" s="5">
        <f t="shared" si="13"/>
        <v>-0.5</v>
      </c>
      <c r="V48" s="40">
        <v>6.0267287640294036</v>
      </c>
      <c r="W48" s="40">
        <f t="shared" si="14"/>
        <v>3.0440220885123454E-2</v>
      </c>
      <c r="X48" s="40">
        <f t="shared" si="15"/>
        <v>-0.5</v>
      </c>
    </row>
    <row r="49" spans="2:24" x14ac:dyDescent="0.3">
      <c r="B49" s="16">
        <v>1.1393698170635291E-2</v>
      </c>
      <c r="C49" s="16">
        <f t="shared" si="2"/>
        <v>1.8126391014382483E-2</v>
      </c>
      <c r="D49" s="16" t="str">
        <f t="shared" si="3"/>
        <v xml:space="preserve"> </v>
      </c>
      <c r="E49" s="16" t="str">
        <f t="shared" si="0"/>
        <v xml:space="preserve"> </v>
      </c>
      <c r="F49" s="16" t="str">
        <f t="shared" si="4"/>
        <v xml:space="preserve"> </v>
      </c>
      <c r="G49" s="16">
        <f t="shared" si="5"/>
        <v>3.6141467360887515E-3</v>
      </c>
      <c r="H49" s="16">
        <f t="shared" si="6"/>
        <v>0.29836559759142839</v>
      </c>
      <c r="I49" s="16">
        <f t="shared" si="7"/>
        <v>0.28995666904194756</v>
      </c>
      <c r="J49" s="16">
        <f t="shared" si="1"/>
        <v>3.6141467360887515E-3</v>
      </c>
      <c r="K49" s="16">
        <f t="shared" si="8"/>
        <v>0.28995666904194756</v>
      </c>
      <c r="L49" s="16">
        <f t="shared" si="9"/>
        <v>6.2111689690315334E-3</v>
      </c>
      <c r="M49" s="16">
        <f t="shared" si="10"/>
        <v>2.0983874491030979E-2</v>
      </c>
      <c r="N49" s="16">
        <f t="shared" si="11"/>
        <v>1.6576227372239051E-2</v>
      </c>
      <c r="O49" s="16">
        <f t="shared" si="12"/>
        <v>-1.3755581018853477E-2</v>
      </c>
      <c r="R49" s="5">
        <f t="shared" si="13"/>
        <v>-0.5</v>
      </c>
      <c r="V49" s="40">
        <v>6.1549570356044976</v>
      </c>
      <c r="W49" s="40">
        <f t="shared" si="14"/>
        <v>3.0828883723057025E-2</v>
      </c>
      <c r="X49" s="40">
        <f t="shared" si="15"/>
        <v>-0.5</v>
      </c>
    </row>
    <row r="50" spans="2:24" x14ac:dyDescent="0.3">
      <c r="B50" s="16">
        <v>1.1872429393885775E-2</v>
      </c>
      <c r="C50" s="16">
        <f t="shared" si="2"/>
        <v>1.8483248025402649E-2</v>
      </c>
      <c r="D50" s="16" t="str">
        <f t="shared" si="3"/>
        <v xml:space="preserve"> </v>
      </c>
      <c r="E50" s="16" t="str">
        <f t="shared" si="0"/>
        <v xml:space="preserve"> </v>
      </c>
      <c r="F50" s="16" t="str">
        <f t="shared" si="4"/>
        <v xml:space="preserve"> </v>
      </c>
      <c r="G50" s="16">
        <f t="shared" si="5"/>
        <v>3.756611856765004E-3</v>
      </c>
      <c r="H50" s="16">
        <f t="shared" si="6"/>
        <v>0.2968128998798471</v>
      </c>
      <c r="I50" s="16">
        <f t="shared" si="7"/>
        <v>0.28853029067991287</v>
      </c>
      <c r="J50" s="16">
        <f t="shared" si="1"/>
        <v>3.756611856765004E-3</v>
      </c>
      <c r="K50" s="16">
        <f t="shared" si="8"/>
        <v>0.28853029067991287</v>
      </c>
      <c r="L50" s="16">
        <f t="shared" si="9"/>
        <v>6.6131398894450962E-3</v>
      </c>
      <c r="M50" s="16">
        <f t="shared" si="10"/>
        <v>2.1475819837852392E-2</v>
      </c>
      <c r="N50" s="16">
        <f t="shared" si="11"/>
        <v>1.7131718898326452E-2</v>
      </c>
      <c r="O50" s="16">
        <f t="shared" si="12"/>
        <v>-1.3962596124322385E-2</v>
      </c>
      <c r="R50" s="5">
        <f t="shared" si="13"/>
        <v>-0.5</v>
      </c>
      <c r="V50" s="40">
        <v>6.2831853071795916</v>
      </c>
      <c r="W50" s="40">
        <f t="shared" si="14"/>
        <v>3.0959150997382542E-2</v>
      </c>
      <c r="X50" s="40">
        <f t="shared" si="15"/>
        <v>-0.5</v>
      </c>
    </row>
    <row r="51" spans="2:24" x14ac:dyDescent="0.3">
      <c r="B51" s="16">
        <v>1.2360952164325312E-2</v>
      </c>
      <c r="C51" s="16">
        <f t="shared" si="2"/>
        <v>1.8839172489080142E-2</v>
      </c>
      <c r="D51" s="16" t="str">
        <f t="shared" si="3"/>
        <v xml:space="preserve"> </v>
      </c>
      <c r="E51" s="16" t="str">
        <f t="shared" si="0"/>
        <v xml:space="preserve"> </v>
      </c>
      <c r="F51" s="16" t="str">
        <f t="shared" si="4"/>
        <v xml:space="preserve"> </v>
      </c>
      <c r="G51" s="16">
        <f t="shared" si="5"/>
        <v>3.9012254536609794E-3</v>
      </c>
      <c r="H51" s="16">
        <f t="shared" si="6"/>
        <v>0.29523217595394891</v>
      </c>
      <c r="I51" s="16">
        <f t="shared" si="7"/>
        <v>0.28707692448393729</v>
      </c>
      <c r="J51" s="16">
        <f t="shared" si="1"/>
        <v>3.9012254536609794E-3</v>
      </c>
      <c r="K51" s="16">
        <f t="shared" si="8"/>
        <v>0.28707692448393729</v>
      </c>
      <c r="L51" s="16">
        <f t="shared" si="9"/>
        <v>7.0266406955395936E-3</v>
      </c>
      <c r="M51" s="16">
        <f t="shared" si="10"/>
        <v>2.1969416874699645E-2</v>
      </c>
      <c r="N51" s="16">
        <f t="shared" si="11"/>
        <v>1.7695263633111032E-2</v>
      </c>
      <c r="O51" s="16">
        <f t="shared" si="12"/>
        <v>-1.4166965967377687E-2</v>
      </c>
      <c r="R51" s="5">
        <f t="shared" si="13"/>
        <v>-0.5</v>
      </c>
    </row>
    <row r="52" spans="2:24" x14ac:dyDescent="0.3">
      <c r="B52" s="16">
        <v>1.2859261641087194E-2</v>
      </c>
      <c r="C52" s="16">
        <f t="shared" si="2"/>
        <v>1.9194158057042044E-2</v>
      </c>
      <c r="D52" s="16" t="str">
        <f t="shared" si="3"/>
        <v xml:space="preserve"> </v>
      </c>
      <c r="E52" s="16" t="str">
        <f t="shared" si="0"/>
        <v xml:space="preserve"> </v>
      </c>
      <c r="F52" s="16" t="str">
        <f t="shared" si="4"/>
        <v xml:space="preserve"> </v>
      </c>
      <c r="G52" s="16">
        <f t="shared" si="5"/>
        <v>4.0479415145712322E-3</v>
      </c>
      <c r="H52" s="16">
        <f t="shared" si="6"/>
        <v>0.29362366805307505</v>
      </c>
      <c r="I52" s="16">
        <f t="shared" si="7"/>
        <v>0.28559673147752918</v>
      </c>
      <c r="J52" s="16">
        <f t="shared" si="1"/>
        <v>4.0479415145712322E-3</v>
      </c>
      <c r="K52" s="16">
        <f t="shared" si="8"/>
        <v>0.28559673147752918</v>
      </c>
      <c r="L52" s="16">
        <f t="shared" si="9"/>
        <v>7.4516903108758177E-3</v>
      </c>
      <c r="M52" s="16">
        <f t="shared" si="10"/>
        <v>2.2464615368103742E-2</v>
      </c>
      <c r="N52" s="16">
        <f t="shared" si="11"/>
        <v>1.826683297129857E-2</v>
      </c>
      <c r="O52" s="16">
        <f t="shared" si="12"/>
        <v>-1.4368732338961278E-2</v>
      </c>
      <c r="R52" s="5">
        <f t="shared" si="13"/>
        <v>-0.5</v>
      </c>
    </row>
    <row r="53" spans="2:24" x14ac:dyDescent="0.3">
      <c r="B53" s="16">
        <v>1.3367352886326511E-2</v>
      </c>
      <c r="C53" s="16">
        <f t="shared" si="2"/>
        <v>1.954819828947587E-2</v>
      </c>
      <c r="D53" s="16" t="str">
        <f t="shared" si="3"/>
        <v xml:space="preserve"> </v>
      </c>
      <c r="E53" s="16" t="str">
        <f t="shared" si="0"/>
        <v xml:space="preserve"> </v>
      </c>
      <c r="F53" s="16" t="str">
        <f t="shared" si="4"/>
        <v xml:space="preserve"> </v>
      </c>
      <c r="G53" s="16">
        <f t="shared" si="5"/>
        <v>4.1967133270223375E-3</v>
      </c>
      <c r="H53" s="16">
        <f t="shared" si="6"/>
        <v>0.29198762311549847</v>
      </c>
      <c r="I53" s="16">
        <f t="shared" si="7"/>
        <v>0.2840898771461311</v>
      </c>
      <c r="J53" s="16">
        <f t="shared" si="1"/>
        <v>4.1967133270223375E-3</v>
      </c>
      <c r="K53" s="16">
        <f t="shared" si="8"/>
        <v>0.2840898771461311</v>
      </c>
      <c r="L53" s="16">
        <f t="shared" si="9"/>
        <v>7.8883071436772409E-3</v>
      </c>
      <c r="M53" s="16">
        <f t="shared" si="10"/>
        <v>2.2961363979635729E-2</v>
      </c>
      <c r="N53" s="16">
        <f t="shared" si="11"/>
        <v>1.8846398628975781E-2</v>
      </c>
      <c r="O53" s="16">
        <f t="shared" si="12"/>
        <v>-1.4567937325591054E-2</v>
      </c>
      <c r="R53" s="5">
        <f t="shared" si="13"/>
        <v>-0.5</v>
      </c>
    </row>
    <row r="54" spans="2:24" x14ac:dyDescent="0.3">
      <c r="B54" s="16">
        <v>1.3885220865268999E-2</v>
      </c>
      <c r="C54" s="16">
        <f t="shared" si="2"/>
        <v>1.990128665611357E-2</v>
      </c>
      <c r="D54" s="16" t="str">
        <f t="shared" si="3"/>
        <v xml:space="preserve"> </v>
      </c>
      <c r="E54" s="16" t="str">
        <f t="shared" si="0"/>
        <v xml:space="preserve"> </v>
      </c>
      <c r="F54" s="16" t="str">
        <f t="shared" si="4"/>
        <v xml:space="preserve"> </v>
      </c>
      <c r="G54" s="16">
        <f t="shared" si="5"/>
        <v>4.3474934917333849E-3</v>
      </c>
      <c r="H54" s="16">
        <f t="shared" si="6"/>
        <v>0.29032429276682148</v>
      </c>
      <c r="I54" s="16">
        <f t="shared" si="7"/>
        <v>0.28255653149853294</v>
      </c>
      <c r="J54" s="16">
        <f t="shared" si="1"/>
        <v>4.3474934917333849E-3</v>
      </c>
      <c r="K54" s="16">
        <f t="shared" si="8"/>
        <v>0.28255653149853294</v>
      </c>
      <c r="L54" s="16">
        <f t="shared" si="9"/>
        <v>8.3365090760420084E-3</v>
      </c>
      <c r="M54" s="16">
        <f t="shared" si="10"/>
        <v>2.3459610277921601E-2</v>
      </c>
      <c r="N54" s="16">
        <f t="shared" si="11"/>
        <v>1.943393265449599E-2</v>
      </c>
      <c r="O54" s="16">
        <f t="shared" si="12"/>
        <v>-1.4764623294454833E-2</v>
      </c>
      <c r="R54" s="5">
        <f t="shared" si="13"/>
        <v>-0.5</v>
      </c>
    </row>
    <row r="55" spans="2:24" x14ac:dyDescent="0.3">
      <c r="B55" s="16">
        <v>1.4412860446260445E-2</v>
      </c>
      <c r="C55" s="16">
        <f t="shared" si="2"/>
        <v>2.0253416537231582E-2</v>
      </c>
      <c r="D55" s="16" t="str">
        <f t="shared" si="3"/>
        <v xml:space="preserve"> </v>
      </c>
      <c r="E55" s="16" t="str">
        <f t="shared" si="0"/>
        <v xml:space="preserve"> </v>
      </c>
      <c r="F55" s="16" t="str">
        <f t="shared" si="4"/>
        <v xml:space="preserve"> </v>
      </c>
      <c r="G55" s="16">
        <f t="shared" si="5"/>
        <v>4.5002339363139346E-3</v>
      </c>
      <c r="H55" s="16">
        <f t="shared" si="6"/>
        <v>0.28863393330815257</v>
      </c>
      <c r="I55" s="16">
        <f t="shared" si="7"/>
        <v>0.28099686912836186</v>
      </c>
      <c r="J55" s="16">
        <f t="shared" si="1"/>
        <v>4.5002339363139346E-3</v>
      </c>
      <c r="K55" s="16">
        <f t="shared" si="8"/>
        <v>0.28099686912836186</v>
      </c>
      <c r="L55" s="16">
        <f t="shared" si="9"/>
        <v>8.7963134529969594E-3</v>
      </c>
      <c r="M55" s="16">
        <f t="shared" si="10"/>
        <v>2.3959300751119537E-2</v>
      </c>
      <c r="N55" s="16">
        <f t="shared" si="11"/>
        <v>2.002940743952393E-2</v>
      </c>
      <c r="O55" s="16">
        <f t="shared" si="12"/>
        <v>-1.4958832878491667E-2</v>
      </c>
      <c r="R55" s="5">
        <f t="shared" si="13"/>
        <v>-0.5</v>
      </c>
    </row>
    <row r="56" spans="2:24" x14ac:dyDescent="0.3">
      <c r="B56" s="16">
        <v>1.4950266400818424E-2</v>
      </c>
      <c r="C56" s="16">
        <f t="shared" si="2"/>
        <v>2.0604581224667809E-2</v>
      </c>
      <c r="D56" s="16" t="str">
        <f t="shared" si="3"/>
        <v xml:space="preserve"> </v>
      </c>
      <c r="E56" s="16" t="str">
        <f t="shared" si="0"/>
        <v xml:space="preserve"> </v>
      </c>
      <c r="F56" s="16" t="str">
        <f t="shared" si="4"/>
        <v xml:space="preserve"> </v>
      </c>
      <c r="G56" s="16">
        <f t="shared" si="5"/>
        <v>4.6548859291981153E-3</v>
      </c>
      <c r="H56" s="16">
        <f t="shared" si="6"/>
        <v>0.28691680570405814</v>
      </c>
      <c r="I56" s="16">
        <f t="shared" si="7"/>
        <v>0.27941106927557369</v>
      </c>
      <c r="J56" s="16">
        <f t="shared" si="1"/>
        <v>4.6548859291981153E-3</v>
      </c>
      <c r="K56" s="16">
        <f t="shared" si="8"/>
        <v>0.27941106927557369</v>
      </c>
      <c r="L56" s="16">
        <f t="shared" si="9"/>
        <v>9.2677370714002155E-3</v>
      </c>
      <c r="M56" s="16">
        <f t="shared" si="10"/>
        <v>2.4460380819865075E-2</v>
      </c>
      <c r="N56" s="16">
        <f t="shared" si="11"/>
        <v>2.063279573023663E-2</v>
      </c>
      <c r="O56" s="16">
        <f t="shared" si="12"/>
        <v>-1.5150608961468845E-2</v>
      </c>
      <c r="R56" s="5">
        <f t="shared" si="13"/>
        <v>-0.5</v>
      </c>
    </row>
    <row r="57" spans="2:24" x14ac:dyDescent="0.3">
      <c r="B57" s="16">
        <v>1.5497433403683258E-2</v>
      </c>
      <c r="C57" s="16">
        <f t="shared" si="2"/>
        <v>2.0954773922853363E-2</v>
      </c>
      <c r="D57" s="16" t="str">
        <f t="shared" si="3"/>
        <v xml:space="preserve"> </v>
      </c>
      <c r="E57" s="16" t="str">
        <f t="shared" si="0"/>
        <v xml:space="preserve"> </v>
      </c>
      <c r="F57" s="16" t="str">
        <f t="shared" si="4"/>
        <v xml:space="preserve"> </v>
      </c>
      <c r="G57" s="16">
        <f t="shared" si="5"/>
        <v>4.8114000938123801E-3</v>
      </c>
      <c r="H57" s="16">
        <f t="shared" si="6"/>
        <v>0.28517317557029948</v>
      </c>
      <c r="I57" s="16">
        <f t="shared" si="7"/>
        <v>0.2777993158878837</v>
      </c>
      <c r="J57" s="16">
        <f t="shared" si="1"/>
        <v>4.8114000938123801E-3</v>
      </c>
      <c r="K57" s="16">
        <f t="shared" si="8"/>
        <v>0.2777993158878837</v>
      </c>
      <c r="L57" s="16">
        <f t="shared" si="9"/>
        <v>9.7507961686950084E-3</v>
      </c>
      <c r="M57" s="16">
        <f t="shared" si="10"/>
        <v>2.4962794850685713E-2</v>
      </c>
      <c r="N57" s="16">
        <f t="shared" si="11"/>
        <v>2.1244070638671508E-2</v>
      </c>
      <c r="O57" s="16">
        <f t="shared" si="12"/>
        <v>-1.5339994663060951E-2</v>
      </c>
      <c r="R57" s="5">
        <f t="shared" si="13"/>
        <v>-0.5</v>
      </c>
    </row>
    <row r="58" spans="2:24" x14ac:dyDescent="0.3">
      <c r="B58" s="16">
        <v>1.605435603287142E-2</v>
      </c>
      <c r="C58" s="16">
        <f t="shared" si="2"/>
        <v>2.1303987749861E-2</v>
      </c>
      <c r="D58" s="16" t="str">
        <f t="shared" si="3"/>
        <v xml:space="preserve"> </v>
      </c>
      <c r="E58" s="16" t="str">
        <f t="shared" si="0"/>
        <v xml:space="preserve"> </v>
      </c>
      <c r="F58" s="16" t="str">
        <f t="shared" si="4"/>
        <v xml:space="preserve"> </v>
      </c>
      <c r="G58" s="16">
        <f t="shared" si="5"/>
        <v>4.9697264229759987E-3</v>
      </c>
      <c r="H58" s="16">
        <f t="shared" si="6"/>
        <v>0.28340331316134526</v>
      </c>
      <c r="I58" s="16">
        <f t="shared" si="7"/>
        <v>0.27616179768205351</v>
      </c>
      <c r="J58" s="16">
        <f t="shared" si="1"/>
        <v>4.9697264229759987E-3</v>
      </c>
      <c r="K58" s="16">
        <f t="shared" si="8"/>
        <v>0.27616179768205351</v>
      </c>
      <c r="L58" s="16">
        <f t="shared" si="9"/>
        <v>1.0245506411523357E-2</v>
      </c>
      <c r="M58" s="16">
        <f t="shared" si="10"/>
        <v>2.5466486169891899E-2</v>
      </c>
      <c r="N58" s="16">
        <f t="shared" si="11"/>
        <v>2.1863205654219481E-2</v>
      </c>
      <c r="O58" s="16">
        <f t="shared" si="12"/>
        <v>-1.5527033323939902E-2</v>
      </c>
      <c r="R58" s="5">
        <f t="shared" si="13"/>
        <v>-0.5</v>
      </c>
    </row>
    <row r="59" spans="2:24" x14ac:dyDescent="0.3">
      <c r="B59" s="16">
        <v>1.6621028769728818E-2</v>
      </c>
      <c r="C59" s="16">
        <f t="shared" si="2"/>
        <v>2.1652215738468348E-2</v>
      </c>
      <c r="D59" s="16" t="str">
        <f t="shared" si="3"/>
        <v xml:space="preserve"> </v>
      </c>
      <c r="E59" s="16" t="str">
        <f t="shared" si="0"/>
        <v xml:space="preserve"> </v>
      </c>
      <c r="F59" s="16" t="str">
        <f t="shared" si="4"/>
        <v xml:space="preserve"> </v>
      </c>
      <c r="G59" s="16">
        <f t="shared" si="5"/>
        <v>5.1298142935319478E-3</v>
      </c>
      <c r="H59" s="16">
        <f t="shared" si="6"/>
        <v>0.28160749335766749</v>
      </c>
      <c r="I59" s="16">
        <f t="shared" si="7"/>
        <v>0.27449870820496725</v>
      </c>
      <c r="J59" s="16">
        <f t="shared" si="1"/>
        <v>5.1298142935319478E-3</v>
      </c>
      <c r="K59" s="16">
        <f t="shared" si="8"/>
        <v>0.27449870820496725</v>
      </c>
      <c r="L59" s="16">
        <f t="shared" si="9"/>
        <v>1.0751882884203564E-2</v>
      </c>
      <c r="M59" s="16">
        <f t="shared" si="10"/>
        <v>2.5971397077946341E-2</v>
      </c>
      <c r="N59" s="16">
        <f t="shared" si="11"/>
        <v>2.2490174655254075E-2</v>
      </c>
      <c r="O59" s="16">
        <f t="shared" si="12"/>
        <v>-1.5711768490882443E-2</v>
      </c>
      <c r="R59" s="5">
        <f t="shared" si="13"/>
        <v>-0.5</v>
      </c>
    </row>
    <row r="60" spans="2:24" x14ac:dyDescent="0.3">
      <c r="B60" s="16">
        <v>1.719744599898565E-2</v>
      </c>
      <c r="C60" s="16">
        <f t="shared" si="2"/>
        <v>2.1999450837236815E-2</v>
      </c>
      <c r="D60" s="16" t="str">
        <f t="shared" si="3"/>
        <v xml:space="preserve"> </v>
      </c>
      <c r="E60" s="16" t="str">
        <f t="shared" si="0"/>
        <v xml:space="preserve"> </v>
      </c>
      <c r="F60" s="16" t="str">
        <f t="shared" si="4"/>
        <v xml:space="preserve"> </v>
      </c>
      <c r="G60" s="16">
        <f t="shared" si="5"/>
        <v>5.2916124812066919E-3</v>
      </c>
      <c r="H60" s="16">
        <f t="shared" si="6"/>
        <v>0.27978599565281698</v>
      </c>
      <c r="I60" s="16">
        <f t="shared" si="7"/>
        <v>0.27281024589441644</v>
      </c>
      <c r="J60" s="16">
        <f t="shared" si="1"/>
        <v>5.2916124812066919E-3</v>
      </c>
      <c r="K60" s="16">
        <f t="shared" si="8"/>
        <v>0.27281024589441644</v>
      </c>
      <c r="L60" s="16">
        <f t="shared" si="9"/>
        <v>1.1269940077079595E-2</v>
      </c>
      <c r="M60" s="16">
        <f t="shared" si="10"/>
        <v>2.6477468864316824E-2</v>
      </c>
      <c r="N60" s="16">
        <f t="shared" si="11"/>
        <v>2.3124951920891704E-2</v>
      </c>
      <c r="O60" s="16">
        <f t="shared" si="12"/>
        <v>-1.5894243901903436E-2</v>
      </c>
      <c r="R60" s="5">
        <f t="shared" si="13"/>
        <v>-0.5</v>
      </c>
    </row>
    <row r="61" spans="2:24" x14ac:dyDescent="0.3">
      <c r="B61" s="16">
        <v>1.7783602008812238E-2</v>
      </c>
      <c r="C61" s="16">
        <f t="shared" si="2"/>
        <v>2.2345685911605712E-2</v>
      </c>
      <c r="D61" s="16" t="str">
        <f t="shared" si="3"/>
        <v xml:space="preserve"> </v>
      </c>
      <c r="E61" s="16" t="str">
        <f t="shared" si="0"/>
        <v xml:space="preserve"> </v>
      </c>
      <c r="F61" s="16" t="str">
        <f t="shared" si="4"/>
        <v xml:space="preserve"> </v>
      </c>
      <c r="G61" s="16">
        <f t="shared" si="5"/>
        <v>5.4550691756970245E-3</v>
      </c>
      <c r="H61" s="16">
        <f t="shared" si="6"/>
        <v>0.27793910414028067</v>
      </c>
      <c r="I61" s="16">
        <f t="shared" si="7"/>
        <v>0.27109661413952002</v>
      </c>
      <c r="J61" s="16">
        <f t="shared" si="1"/>
        <v>5.4550691756970245E-3</v>
      </c>
      <c r="K61" s="16">
        <f t="shared" si="8"/>
        <v>0.27109661413952002</v>
      </c>
      <c r="L61" s="16">
        <f t="shared" si="9"/>
        <v>1.1799691874748813E-2</v>
      </c>
      <c r="M61" s="16">
        <f t="shared" si="10"/>
        <v>2.6984641822816312E-2</v>
      </c>
      <c r="N61" s="16">
        <f t="shared" si="11"/>
        <v>2.3767512142875664E-2</v>
      </c>
      <c r="O61" s="16">
        <f t="shared" si="12"/>
        <v>-1.6074503471422266E-2</v>
      </c>
      <c r="R61" s="5">
        <f t="shared" si="13"/>
        <v>-0.5</v>
      </c>
    </row>
    <row r="62" spans="2:24" x14ac:dyDescent="0.3">
      <c r="B62" s="16">
        <v>1.8379490990875214E-2</v>
      </c>
      <c r="C62" s="16">
        <f t="shared" si="2"/>
        <v>2.2690913745000877E-2</v>
      </c>
      <c r="D62" s="16" t="str">
        <f t="shared" si="3"/>
        <v xml:space="preserve"> </v>
      </c>
      <c r="E62" s="16" t="str">
        <f t="shared" si="0"/>
        <v xml:space="preserve"> </v>
      </c>
      <c r="F62" s="16" t="str">
        <f t="shared" si="4"/>
        <v xml:space="preserve"> </v>
      </c>
      <c r="G62" s="16">
        <f t="shared" si="5"/>
        <v>5.6201319959818322E-3</v>
      </c>
      <c r="H62" s="16">
        <f t="shared" si="6"/>
        <v>0.27606710750012198</v>
      </c>
      <c r="I62" s="16">
        <f t="shared" si="7"/>
        <v>0.26935802134070008</v>
      </c>
      <c r="J62" s="16">
        <f t="shared" si="1"/>
        <v>5.6201319959818322E-3</v>
      </c>
      <c r="K62" s="16">
        <f t="shared" si="8"/>
        <v>0.26935802134070008</v>
      </c>
      <c r="L62" s="16">
        <f t="shared" si="9"/>
        <v>1.2341151544175005E-2</v>
      </c>
      <c r="M62" s="16">
        <f t="shared" si="10"/>
        <v>2.7492855267433284E-2</v>
      </c>
      <c r="N62" s="16">
        <f t="shared" si="11"/>
        <v>2.4417830437575422E-2</v>
      </c>
      <c r="O62" s="16">
        <f t="shared" si="12"/>
        <v>-1.625259127546962E-2</v>
      </c>
      <c r="R62" s="5">
        <f t="shared" si="13"/>
        <v>-0.5</v>
      </c>
    </row>
    <row r="63" spans="2:24" x14ac:dyDescent="0.3">
      <c r="B63" s="16">
        <v>1.8985107040395466E-2</v>
      </c>
      <c r="C63" s="16">
        <f t="shared" si="2"/>
        <v>2.3035127039958476E-2</v>
      </c>
      <c r="D63" s="16" t="str">
        <f t="shared" si="3"/>
        <v xml:space="preserve"> </v>
      </c>
      <c r="E63" s="16" t="str">
        <f t="shared" si="0"/>
        <v xml:space="preserve"> </v>
      </c>
      <c r="F63" s="16" t="str">
        <f t="shared" si="4"/>
        <v xml:space="preserve"> </v>
      </c>
      <c r="G63" s="16">
        <f t="shared" si="5"/>
        <v>5.7867480058574183E-3</v>
      </c>
      <c r="H63" s="16">
        <f t="shared" si="6"/>
        <v>0.2741702989854029</v>
      </c>
      <c r="I63" s="16">
        <f t="shared" si="7"/>
        <v>0.26759468096913486</v>
      </c>
      <c r="J63" s="16">
        <f t="shared" si="1"/>
        <v>5.7867480058574183E-3</v>
      </c>
      <c r="K63" s="16">
        <f t="shared" si="8"/>
        <v>0.26759468096913486</v>
      </c>
      <c r="L63" s="16">
        <f t="shared" si="9"/>
        <v>1.2894331722695732E-2</v>
      </c>
      <c r="M63" s="16">
        <f t="shared" si="10"/>
        <v>2.800204754865733E-2</v>
      </c>
      <c r="N63" s="16">
        <f t="shared" si="11"/>
        <v>2.50758823580952E-2</v>
      </c>
      <c r="O63" s="16">
        <f t="shared" si="12"/>
        <v>-1.642855153694249E-2</v>
      </c>
      <c r="R63" s="5">
        <f t="shared" si="13"/>
        <v>-0.5</v>
      </c>
    </row>
    <row r="64" spans="2:24" x14ac:dyDescent="0.3">
      <c r="B64" s="16">
        <v>1.9600444156206542E-2</v>
      </c>
      <c r="C64" s="16">
        <f t="shared" si="2"/>
        <v>2.3378318419263112E-2</v>
      </c>
      <c r="D64" s="16" t="str">
        <f t="shared" si="3"/>
        <v xml:space="preserve"> </v>
      </c>
      <c r="E64" s="16" t="str">
        <f t="shared" si="0"/>
        <v xml:space="preserve"> </v>
      </c>
      <c r="F64" s="16" t="str">
        <f t="shared" si="4"/>
        <v xml:space="preserve"> </v>
      </c>
      <c r="G64" s="16">
        <f t="shared" si="5"/>
        <v>5.9548637296939081E-3</v>
      </c>
      <c r="H64" s="16">
        <f t="shared" si="6"/>
        <v>0.27224897640838958</v>
      </c>
      <c r="I64" s="16">
        <f t="shared" si="7"/>
        <v>0.2658068116256091</v>
      </c>
      <c r="J64" s="16">
        <f t="shared" si="1"/>
        <v>5.9548637296939081E-3</v>
      </c>
      <c r="K64" s="16">
        <f t="shared" si="8"/>
        <v>0.2658068116256091</v>
      </c>
      <c r="L64" s="16">
        <f t="shared" si="9"/>
        <v>1.3459244405931079E-2</v>
      </c>
      <c r="M64" s="16">
        <f t="shared" si="10"/>
        <v>2.8512156070302375E-2</v>
      </c>
      <c r="N64" s="16">
        <f t="shared" si="11"/>
        <v>2.5741643906482006E-2</v>
      </c>
      <c r="O64" s="16">
        <f t="shared" si="12"/>
        <v>-1.6602428610914561E-2</v>
      </c>
      <c r="R64" s="5">
        <f t="shared" si="13"/>
        <v>-0.5</v>
      </c>
    </row>
    <row r="65" spans="2:18" x14ac:dyDescent="0.3">
      <c r="B65" s="16">
        <v>2.0225496240813712E-2</v>
      </c>
      <c r="C65" s="16">
        <f t="shared" si="2"/>
        <v>2.3720480427100014E-2</v>
      </c>
      <c r="D65" s="16" t="str">
        <f t="shared" ref="D65:D128" si="17">IF($Q$1=1, IF(B65&lt;$A$8, ($A$10/6)*((B65^3)-3*$A$8*(B65^2)+($A$8^2)*(3-$A$8)*B65), (($A$10*($A$8^3))/6)*(1-B65)), " ")</f>
        <v xml:space="preserve"> </v>
      </c>
      <c r="E65" s="16" t="str">
        <f t="shared" ref="E65:E128" si="18">IF($Q$1=1,IF(B65&lt;$A$8, ($A$10/6)*(3*(B65^2)-6*$A$8*B65+($A$8^2)*(3-$A$8)), -($A$10*($A$8^3))/6), " ")</f>
        <v xml:space="preserve"> </v>
      </c>
      <c r="F65" s="16" t="str">
        <f t="shared" ref="F65:F128" si="19">IF($Q$1=1, ATAN(E65), " ")</f>
        <v xml:space="preserve"> </v>
      </c>
      <c r="G65" s="16">
        <f t="shared" si="5"/>
        <v>6.1244251684111264E-3</v>
      </c>
      <c r="H65" s="16">
        <f t="shared" si="6"/>
        <v>0.27030344212654334</v>
      </c>
      <c r="I65" s="16">
        <f t="shared" si="7"/>
        <v>0.26399463709868221</v>
      </c>
      <c r="J65" s="16">
        <f t="shared" ref="J65:J128" si="20">IF($Q$1=1, D65, G65)</f>
        <v>6.1244251684111264E-3</v>
      </c>
      <c r="K65" s="16">
        <f t="shared" si="8"/>
        <v>0.26399463709868221</v>
      </c>
      <c r="L65" s="16">
        <f t="shared" si="9"/>
        <v>1.4035900935602728E-2</v>
      </c>
      <c r="M65" s="16">
        <f t="shared" si="10"/>
        <v>2.9023117306831284E-2</v>
      </c>
      <c r="N65" s="16">
        <f t="shared" si="11"/>
        <v>2.6415091546024696E-2</v>
      </c>
      <c r="O65" s="16">
        <f t="shared" si="12"/>
        <v>-1.6774266970009027E-2</v>
      </c>
      <c r="R65" s="5">
        <f t="shared" si="13"/>
        <v>-0.5</v>
      </c>
    </row>
    <row r="66" spans="2:18" x14ac:dyDescent="0.3">
      <c r="B66" s="16">
        <v>2.0860257100455248E-2</v>
      </c>
      <c r="C66" s="16">
        <f t="shared" ref="C66:C129" si="21">IF(AND($Q$1=2, $A$3=1), 0, IF($T$3, 5*$A$7*(0.2969*SQRT(B66)-0.126*B66-0.3516*(B66^2)+0.2843*(B66^3)-0.1036*(B66^4)),  5*$A$7*(0.2969*SQRT(B66)-0.126*B66-0.3516*(B66^2)+0.2843*(B66^3)-0.1015*(B66^4))))</f>
        <v>2.4061605530222057E-2</v>
      </c>
      <c r="D66" s="16" t="str">
        <f t="shared" si="17"/>
        <v xml:space="preserve"> </v>
      </c>
      <c r="E66" s="16" t="str">
        <f t="shared" si="18"/>
        <v xml:space="preserve"> </v>
      </c>
      <c r="F66" s="16" t="str">
        <f t="shared" si="19"/>
        <v xml:space="preserve"> </v>
      </c>
      <c r="G66" s="16">
        <f t="shared" ref="G66:G129" si="22">IF($Q$1=2, IF(A68&lt;&gt;1, IF(B66&lt;$A$11, ($A$12/6)*((B66-$A$11)^3-$A$13*((1-$A$11)^3)*B66-($A$11^3)*B66+$A$11^3), ($A$12/6)*($A$13*(B66-$A$11)^3-$A$13*((1-$A$11)^3)*B66-($A$11^3)*B66+$A$11^3)), 0), " ")</f>
        <v>6.2953778156721579E-3</v>
      </c>
      <c r="H66" s="16">
        <f t="shared" ref="H66:H129" si="23">IF($Q$1=2, IF(A68&lt;&gt;1, IF(B66&lt;$A$11, ($A$12/6)*(3*(B66-$A$11)^2-$A$13*((1-$A$11)^3)-($A$11^3)), ($A$12/6)*(3*$A$13*(B66-$A$11)^2-$A$13*((1-$A$11)^3)-($A$11^3))),0 ), " ")</f>
        <v>0.26833400302829219</v>
      </c>
      <c r="I66" s="16">
        <f t="shared" ref="I66:I129" si="24">IF($Q$1=2, IF(A68&lt;&gt;1,  ATAN(H66), 0), " ")</f>
        <v>0.26215838642208861</v>
      </c>
      <c r="J66" s="16">
        <f t="shared" si="20"/>
        <v>6.2953778156721579E-3</v>
      </c>
      <c r="K66" s="16">
        <f t="shared" ref="K66:K129" si="25">IF($Q$1=1, F66, I66)</f>
        <v>0.26215838642208861</v>
      </c>
      <c r="L66" s="16">
        <f t="shared" ref="L66:L129" si="26">B66-C66*SIN(K66)</f>
        <v>1.4624311987273726E-2</v>
      </c>
      <c r="M66" s="16">
        <f t="shared" ref="M66:M129" si="27">J66+C66*COS(K66)</f>
        <v>2.9534866821186029E-2</v>
      </c>
      <c r="N66" s="16">
        <f t="shared" ref="N66:N129" si="28">B66+C66*SIN(K66)</f>
        <v>2.7096202213636771E-2</v>
      </c>
      <c r="O66" s="16">
        <f t="shared" ref="O66:O129" si="29">J66-C66*COS(K66)</f>
        <v>-1.6944111189841717E-2</v>
      </c>
      <c r="R66" s="5">
        <f t="shared" ref="R66:R129" si="30">IF($T$1, J66, -0.5)</f>
        <v>-0.5</v>
      </c>
    </row>
    <row r="67" spans="2:18" x14ac:dyDescent="0.3">
      <c r="B67" s="16">
        <v>2.1504720445162939E-2</v>
      </c>
      <c r="C67" s="16">
        <f t="shared" si="21"/>
        <v>2.4401686119129736E-2</v>
      </c>
      <c r="D67" s="16" t="str">
        <f t="shared" si="17"/>
        <v xml:space="preserve"> </v>
      </c>
      <c r="E67" s="16" t="str">
        <f t="shared" si="18"/>
        <v xml:space="preserve"> </v>
      </c>
      <c r="F67" s="16" t="str">
        <f t="shared" si="19"/>
        <v xml:space="preserve"> </v>
      </c>
      <c r="G67" s="16">
        <f t="shared" si="22"/>
        <v>6.4676666742919855E-3</v>
      </c>
      <c r="H67" s="16">
        <f t="shared" si="23"/>
        <v>0.2663409705185924</v>
      </c>
      <c r="I67" s="16">
        <f t="shared" si="24"/>
        <v>0.26029829393129522</v>
      </c>
      <c r="J67" s="16">
        <f t="shared" si="20"/>
        <v>6.4676666742919855E-3</v>
      </c>
      <c r="K67" s="16">
        <f t="shared" si="25"/>
        <v>0.26029829393129522</v>
      </c>
      <c r="L67" s="16">
        <f t="shared" si="26"/>
        <v>1.5224487558015826E-2</v>
      </c>
      <c r="M67" s="16">
        <f t="shared" si="27"/>
        <v>3.0047339283124461E-2</v>
      </c>
      <c r="N67" s="16">
        <f t="shared" si="28"/>
        <v>2.7784953332310052E-2</v>
      </c>
      <c r="O67" s="16">
        <f t="shared" si="29"/>
        <v>-1.7112005934540493E-2</v>
      </c>
      <c r="R67" s="5">
        <f t="shared" si="30"/>
        <v>-0.5</v>
      </c>
    </row>
    <row r="68" spans="2:18" x14ac:dyDescent="0.3">
      <c r="B68" s="16">
        <v>2.2158879888824812E-2</v>
      </c>
      <c r="C68" s="16">
        <f t="shared" si="21"/>
        <v>2.4740714509265509E-2</v>
      </c>
      <c r="D68" s="16" t="str">
        <f t="shared" si="17"/>
        <v xml:space="preserve"> </v>
      </c>
      <c r="E68" s="16" t="str">
        <f t="shared" si="18"/>
        <v xml:space="preserve"> </v>
      </c>
      <c r="F68" s="16" t="str">
        <f t="shared" si="19"/>
        <v xml:space="preserve"> </v>
      </c>
      <c r="G68" s="16">
        <f t="shared" si="22"/>
        <v>6.6412362728597834E-3</v>
      </c>
      <c r="H68" s="16">
        <f t="shared" si="23"/>
        <v>0.26432466050427234</v>
      </c>
      <c r="I68" s="16">
        <f t="shared" si="24"/>
        <v>0.25841459931912625</v>
      </c>
      <c r="J68" s="16">
        <f t="shared" si="20"/>
        <v>6.6412362728597834E-3</v>
      </c>
      <c r="K68" s="16">
        <f t="shared" si="25"/>
        <v>0.25841459931912625</v>
      </c>
      <c r="L68" s="16">
        <f t="shared" si="26"/>
        <v>1.5836436954016913E-2</v>
      </c>
      <c r="M68" s="16">
        <f t="shared" si="27"/>
        <v>3.0560468488068503E-2</v>
      </c>
      <c r="N68" s="16">
        <f t="shared" si="28"/>
        <v>2.8481322823632711E-2</v>
      </c>
      <c r="O68" s="16">
        <f t="shared" si="29"/>
        <v>-1.7277995942348932E-2</v>
      </c>
      <c r="R68" s="5">
        <f t="shared" si="30"/>
        <v>-0.5</v>
      </c>
    </row>
    <row r="69" spans="2:18" x14ac:dyDescent="0.3">
      <c r="B69" s="16">
        <v>2.2822728949248527E-2</v>
      </c>
      <c r="C69" s="16">
        <f t="shared" si="21"/>
        <v>2.5078682942221396E-2</v>
      </c>
      <c r="D69" s="16" t="str">
        <f t="shared" si="17"/>
        <v xml:space="preserve"> </v>
      </c>
      <c r="E69" s="16" t="str">
        <f t="shared" si="18"/>
        <v xml:space="preserve"> </v>
      </c>
      <c r="F69" s="16" t="str">
        <f t="shared" si="19"/>
        <v xml:space="preserve"> </v>
      </c>
      <c r="G69" s="16">
        <f t="shared" si="22"/>
        <v>6.8160306825726718E-3</v>
      </c>
      <c r="H69" s="16">
        <f t="shared" si="23"/>
        <v>0.26228539337916229</v>
      </c>
      <c r="I69" s="16">
        <f t="shared" si="24"/>
        <v>0.25650754769037465</v>
      </c>
      <c r="J69" s="16">
        <f t="shared" si="20"/>
        <v>6.8160306825726718E-3</v>
      </c>
      <c r="K69" s="16">
        <f t="shared" si="25"/>
        <v>0.25650754769037465</v>
      </c>
      <c r="L69" s="16">
        <f t="shared" si="26"/>
        <v>1.6460168778137486E-2</v>
      </c>
      <c r="M69" s="16">
        <f t="shared" si="27"/>
        <v>3.1074187376465511E-2</v>
      </c>
      <c r="N69" s="16">
        <f t="shared" si="28"/>
        <v>2.9185289120359569E-2</v>
      </c>
      <c r="O69" s="16">
        <f t="shared" si="29"/>
        <v>-1.7442126011320166E-2</v>
      </c>
      <c r="R69" s="5">
        <f t="shared" si="30"/>
        <v>-0.5</v>
      </c>
    </row>
    <row r="70" spans="2:18" x14ac:dyDescent="0.3">
      <c r="B70" s="16">
        <v>2.349626104822522E-2</v>
      </c>
      <c r="C70" s="16">
        <f t="shared" si="21"/>
        <v>2.5415583586959615E-2</v>
      </c>
      <c r="D70" s="16" t="str">
        <f t="shared" si="17"/>
        <v xml:space="preserve"> </v>
      </c>
      <c r="E70" s="16" t="str">
        <f t="shared" si="18"/>
        <v xml:space="preserve"> </v>
      </c>
      <c r="F70" s="16" t="str">
        <f t="shared" si="19"/>
        <v xml:space="preserve"> </v>
      </c>
      <c r="G70" s="16">
        <f t="shared" si="22"/>
        <v>6.9919935342785209E-3</v>
      </c>
      <c r="H70" s="16">
        <f t="shared" si="23"/>
        <v>0.26022349400901451</v>
      </c>
      <c r="I70" s="16">
        <f t="shared" si="24"/>
        <v>0.25457738961531923</v>
      </c>
      <c r="J70" s="16">
        <f t="shared" si="20"/>
        <v>6.9919935342785209E-3</v>
      </c>
      <c r="K70" s="16">
        <f t="shared" si="25"/>
        <v>0.25457738961531923</v>
      </c>
      <c r="L70" s="16">
        <f t="shared" si="26"/>
        <v>1.7095690917426576E-2</v>
      </c>
      <c r="M70" s="16">
        <f t="shared" si="27"/>
        <v>3.1588428053664845E-2</v>
      </c>
      <c r="N70" s="16">
        <f t="shared" si="28"/>
        <v>2.9896831179023864E-2</v>
      </c>
      <c r="O70" s="16">
        <f t="shared" si="29"/>
        <v>-1.7604440985107807E-2</v>
      </c>
      <c r="R70" s="5">
        <f t="shared" si="30"/>
        <v>-0.5</v>
      </c>
    </row>
    <row r="71" spans="2:18" x14ac:dyDescent="0.3">
      <c r="B71" s="16">
        <v>2.4179469511595331E-2</v>
      </c>
      <c r="C71" s="16">
        <f t="shared" si="21"/>
        <v>2.5751408541046763E-2</v>
      </c>
      <c r="D71" s="16" t="str">
        <f t="shared" si="17"/>
        <v xml:space="preserve"> </v>
      </c>
      <c r="E71" s="16" t="str">
        <f t="shared" si="18"/>
        <v xml:space="preserve"> </v>
      </c>
      <c r="F71" s="16" t="str">
        <f t="shared" si="19"/>
        <v xml:space="preserve"> </v>
      </c>
      <c r="G71" s="16">
        <f t="shared" si="22"/>
        <v>7.1690680357263184E-3</v>
      </c>
      <c r="H71" s="16">
        <f t="shared" si="23"/>
        <v>0.25813929171620542</v>
      </c>
      <c r="I71" s="16">
        <f t="shared" si="24"/>
        <v>0.25262438118205649</v>
      </c>
      <c r="J71" s="16">
        <f t="shared" si="20"/>
        <v>7.1690680357263184E-3</v>
      </c>
      <c r="K71" s="16">
        <f t="shared" si="25"/>
        <v>0.25262438118205649</v>
      </c>
      <c r="L71" s="16">
        <f t="shared" si="26"/>
        <v>1.7743010530609719E-2</v>
      </c>
      <c r="M71" s="16">
        <f t="shared" si="27"/>
        <v>3.2103121810313107E-2</v>
      </c>
      <c r="N71" s="16">
        <f t="shared" si="28"/>
        <v>3.0615928492580942E-2</v>
      </c>
      <c r="O71" s="16">
        <f t="shared" si="29"/>
        <v>-1.7764985738860473E-2</v>
      </c>
      <c r="R71" s="5">
        <f t="shared" si="30"/>
        <v>-0.5</v>
      </c>
    </row>
    <row r="72" spans="2:18" x14ac:dyDescent="0.3">
      <c r="B72" s="16">
        <v>2.487234756931378E-2</v>
      </c>
      <c r="C72" s="16">
        <f t="shared" si="21"/>
        <v>2.6086149831899955E-2</v>
      </c>
      <c r="D72" s="16" t="str">
        <f t="shared" si="17"/>
        <v xml:space="preserve"> </v>
      </c>
      <c r="E72" s="16" t="str">
        <f t="shared" si="18"/>
        <v xml:space="preserve"> </v>
      </c>
      <c r="F72" s="16" t="str">
        <f t="shared" si="19"/>
        <v xml:space="preserve"> </v>
      </c>
      <c r="G72" s="16">
        <f t="shared" si="22"/>
        <v>7.347196989021143E-3</v>
      </c>
      <c r="H72" s="16">
        <f t="shared" si="23"/>
        <v>0.25603312026423258</v>
      </c>
      <c r="I72" s="16">
        <f t="shared" si="24"/>
        <v>0.25064878404757268</v>
      </c>
      <c r="J72" s="16">
        <f t="shared" si="20"/>
        <v>7.347196989021143E-3</v>
      </c>
      <c r="K72" s="16">
        <f t="shared" si="25"/>
        <v>0.25064878404757268</v>
      </c>
      <c r="L72" s="16">
        <f t="shared" si="26"/>
        <v>1.840213403555788E-2</v>
      </c>
      <c r="M72" s="16">
        <f t="shared" si="27"/>
        <v>3.2618199143267738E-2</v>
      </c>
      <c r="N72" s="16">
        <f t="shared" si="28"/>
        <v>3.1342561103069676E-2</v>
      </c>
      <c r="O72" s="16">
        <f t="shared" si="29"/>
        <v>-1.7923805165225452E-2</v>
      </c>
      <c r="R72" s="5">
        <f t="shared" si="30"/>
        <v>-0.5</v>
      </c>
    </row>
    <row r="73" spans="2:18" x14ac:dyDescent="0.3">
      <c r="B73" s="16">
        <v>2.5574888355518133E-2</v>
      </c>
      <c r="C73" s="16">
        <f t="shared" si="21"/>
        <v>2.6419799418046539E-2</v>
      </c>
      <c r="D73" s="16" t="str">
        <f t="shared" si="17"/>
        <v xml:space="preserve"> </v>
      </c>
      <c r="E73" s="16" t="str">
        <f t="shared" si="18"/>
        <v xml:space="preserve"> </v>
      </c>
      <c r="F73" s="16" t="str">
        <f t="shared" si="19"/>
        <v xml:space="preserve"> </v>
      </c>
      <c r="G73" s="16">
        <f t="shared" si="22"/>
        <v>7.5263228082826702E-3</v>
      </c>
      <c r="H73" s="16">
        <f t="shared" si="23"/>
        <v>0.25390531784199266</v>
      </c>
      <c r="I73" s="16">
        <f t="shared" si="24"/>
        <v>0.24865086548745924</v>
      </c>
      <c r="J73" s="16">
        <f t="shared" si="20"/>
        <v>7.5263228082826702E-3</v>
      </c>
      <c r="K73" s="16">
        <f t="shared" si="25"/>
        <v>0.24865086548745924</v>
      </c>
      <c r="L73" s="16">
        <f t="shared" si="26"/>
        <v>1.9073067096752688E-2</v>
      </c>
      <c r="M73" s="16">
        <f t="shared" si="27"/>
        <v>3.3133589777033512E-2</v>
      </c>
      <c r="N73" s="16">
        <f t="shared" si="28"/>
        <v>3.2076709614283577E-2</v>
      </c>
      <c r="O73" s="16">
        <f t="shared" si="29"/>
        <v>-1.8080944160468175E-2</v>
      </c>
      <c r="R73" s="5">
        <f t="shared" si="30"/>
        <v>-0.5</v>
      </c>
    </row>
    <row r="74" spans="2:18" x14ac:dyDescent="0.3">
      <c r="B74" s="16">
        <v>2.6287084908595659E-2</v>
      </c>
      <c r="C74" s="16">
        <f t="shared" si="21"/>
        <v>2.6752349190395219E-2</v>
      </c>
      <c r="D74" s="16" t="str">
        <f t="shared" si="17"/>
        <v xml:space="preserve"> </v>
      </c>
      <c r="E74" s="16" t="str">
        <f t="shared" si="18"/>
        <v xml:space="preserve"> </v>
      </c>
      <c r="F74" s="16" t="str">
        <f t="shared" si="19"/>
        <v xml:space="preserve"> </v>
      </c>
      <c r="G74" s="16">
        <f t="shared" si="22"/>
        <v>7.7063875375038057E-3</v>
      </c>
      <c r="H74" s="16">
        <f t="shared" si="23"/>
        <v>0.25175622704785666</v>
      </c>
      <c r="I74" s="16">
        <f t="shared" si="24"/>
        <v>0.24663089844420125</v>
      </c>
      <c r="J74" s="16">
        <f t="shared" si="20"/>
        <v>7.7063875375038057E-3</v>
      </c>
      <c r="K74" s="16">
        <f t="shared" si="25"/>
        <v>0.24663089844420125</v>
      </c>
      <c r="L74" s="16">
        <f t="shared" si="26"/>
        <v>1.975581461275621E-2</v>
      </c>
      <c r="M74" s="16">
        <f t="shared" si="27"/>
        <v>3.3649222685720064E-2</v>
      </c>
      <c r="N74" s="16">
        <f t="shared" si="28"/>
        <v>3.2818355204435108E-2</v>
      </c>
      <c r="O74" s="16">
        <f t="shared" si="29"/>
        <v>-1.8236447610712456E-2</v>
      </c>
      <c r="R74" s="5">
        <f t="shared" si="30"/>
        <v>-0.5</v>
      </c>
    </row>
    <row r="75" spans="2:18" x14ac:dyDescent="0.3">
      <c r="B75" s="16">
        <v>2.7008930171253165E-2</v>
      </c>
      <c r="C75" s="16">
        <f t="shared" si="21"/>
        <v>2.708379097352007E-2</v>
      </c>
      <c r="D75" s="16" t="str">
        <f t="shared" si="17"/>
        <v xml:space="preserve"> </v>
      </c>
      <c r="E75" s="16" t="str">
        <f t="shared" si="18"/>
        <v xml:space="preserve"> </v>
      </c>
      <c r="F75" s="16" t="str">
        <f t="shared" si="19"/>
        <v xml:space="preserve"> </v>
      </c>
      <c r="G75" s="16">
        <f t="shared" si="22"/>
        <v>7.8873328686084095E-3</v>
      </c>
      <c r="H75" s="16">
        <f t="shared" si="23"/>
        <v>0.24958619487352796</v>
      </c>
      <c r="I75" s="16">
        <f t="shared" si="24"/>
        <v>0.24458916157394128</v>
      </c>
      <c r="J75" s="16">
        <f t="shared" si="20"/>
        <v>7.8873328686084095E-3</v>
      </c>
      <c r="K75" s="16">
        <f t="shared" si="25"/>
        <v>0.24458916157394128</v>
      </c>
      <c r="L75" s="16">
        <f t="shared" si="26"/>
        <v>2.0450380703701636E-2</v>
      </c>
      <c r="M75" s="16">
        <f t="shared" si="27"/>
        <v>3.4165026115524258E-2</v>
      </c>
      <c r="N75" s="16">
        <f t="shared" si="28"/>
        <v>3.3567479638804694E-2</v>
      </c>
      <c r="O75" s="16">
        <f t="shared" si="29"/>
        <v>-1.8390360378307442E-2</v>
      </c>
      <c r="R75" s="5">
        <f t="shared" si="30"/>
        <v>-0.5</v>
      </c>
    </row>
    <row r="76" spans="2:18" x14ac:dyDescent="0.3">
      <c r="B76" s="16">
        <v>2.7740416990586381E-2</v>
      </c>
      <c r="C76" s="16">
        <f t="shared" si="21"/>
        <v>2.7414116526955832E-2</v>
      </c>
      <c r="D76" s="16" t="str">
        <f t="shared" si="17"/>
        <v xml:space="preserve"> </v>
      </c>
      <c r="E76" s="16" t="str">
        <f t="shared" si="18"/>
        <v xml:space="preserve"> </v>
      </c>
      <c r="F76" s="16" t="str">
        <f t="shared" si="19"/>
        <v xml:space="preserve"> </v>
      </c>
      <c r="G76" s="16">
        <f t="shared" si="22"/>
        <v>8.0691001597049186E-3</v>
      </c>
      <c r="H76" s="16">
        <f t="shared" si="23"/>
        <v>0.24739557268769663</v>
      </c>
      <c r="I76" s="16">
        <f t="shared" si="24"/>
        <v>0.24252593929164587</v>
      </c>
      <c r="J76" s="16">
        <f t="shared" si="20"/>
        <v>8.0691001597049186E-3</v>
      </c>
      <c r="K76" s="16">
        <f t="shared" si="25"/>
        <v>0.24252593929164587</v>
      </c>
      <c r="L76" s="16">
        <f t="shared" si="26"/>
        <v>2.1156768698814644E-2</v>
      </c>
      <c r="M76" s="16">
        <f t="shared" si="27"/>
        <v>3.4680927607735695E-2</v>
      </c>
      <c r="N76" s="16">
        <f t="shared" si="28"/>
        <v>3.4324065282358117E-2</v>
      </c>
      <c r="O76" s="16">
        <f t="shared" si="29"/>
        <v>-1.8542727288325855E-2</v>
      </c>
      <c r="R76" s="5">
        <f t="shared" si="30"/>
        <v>-0.5</v>
      </c>
    </row>
    <row r="77" spans="2:18" x14ac:dyDescent="0.3">
      <c r="B77" s="16">
        <v>2.8481538118150684E-2</v>
      </c>
      <c r="C77" s="16">
        <f t="shared" si="21"/>
        <v>2.7743317546504994E-2</v>
      </c>
      <c r="D77" s="16" t="str">
        <f t="shared" si="17"/>
        <v xml:space="preserve"> </v>
      </c>
      <c r="E77" s="16" t="str">
        <f t="shared" si="18"/>
        <v xml:space="preserve"> </v>
      </c>
      <c r="F77" s="16" t="str">
        <f t="shared" si="19"/>
        <v xml:space="preserve"> </v>
      </c>
      <c r="G77" s="16">
        <f t="shared" si="22"/>
        <v>8.2516304535341662E-3</v>
      </c>
      <c r="H77" s="16">
        <f t="shared" si="23"/>
        <v>0.24518471621948276</v>
      </c>
      <c r="I77" s="16">
        <f t="shared" si="24"/>
        <v>0.24044152181458459</v>
      </c>
      <c r="J77" s="16">
        <f t="shared" si="20"/>
        <v>8.2516304535341662E-3</v>
      </c>
      <c r="K77" s="16">
        <f t="shared" si="25"/>
        <v>0.24044152181458459</v>
      </c>
      <c r="L77" s="16">
        <f t="shared" si="26"/>
        <v>2.1874981123980421E-2</v>
      </c>
      <c r="M77" s="16">
        <f t="shared" si="27"/>
        <v>3.5196854022266938E-2</v>
      </c>
      <c r="N77" s="16">
        <f t="shared" si="28"/>
        <v>3.5088095112320944E-2</v>
      </c>
      <c r="O77" s="16">
        <f t="shared" si="29"/>
        <v>-1.8693593115198602E-2</v>
      </c>
      <c r="R77" s="5">
        <f t="shared" si="30"/>
        <v>-0.5</v>
      </c>
    </row>
    <row r="78" spans="2:18" x14ac:dyDescent="0.3">
      <c r="B78" s="16">
        <v>2.923228621003382E-2</v>
      </c>
      <c r="C78" s="16">
        <f t="shared" si="21"/>
        <v>2.8071385665556833E-2</v>
      </c>
      <c r="D78" s="16" t="str">
        <f t="shared" si="17"/>
        <v xml:space="preserve"> </v>
      </c>
      <c r="E78" s="16" t="str">
        <f t="shared" si="18"/>
        <v xml:space="preserve"> </v>
      </c>
      <c r="F78" s="16" t="str">
        <f t="shared" si="19"/>
        <v xml:space="preserve"> </v>
      </c>
      <c r="G78" s="16">
        <f t="shared" si="22"/>
        <v>8.4348644961091714E-3</v>
      </c>
      <c r="H78" s="16">
        <f t="shared" si="23"/>
        <v>0.24295398554166994</v>
      </c>
      <c r="I78" s="16">
        <f t="shared" si="24"/>
        <v>0.23833620520403878</v>
      </c>
      <c r="J78" s="16">
        <f t="shared" si="20"/>
        <v>8.4348644961091714E-3</v>
      </c>
      <c r="K78" s="16">
        <f t="shared" si="25"/>
        <v>0.23833620520403878</v>
      </c>
      <c r="L78" s="16">
        <f t="shared" si="26"/>
        <v>2.260501968937053E-2</v>
      </c>
      <c r="M78" s="16">
        <f t="shared" si="27"/>
        <v>3.5712731561708802E-2</v>
      </c>
      <c r="N78" s="16">
        <f t="shared" si="28"/>
        <v>3.585955273069711E-2</v>
      </c>
      <c r="O78" s="16">
        <f t="shared" si="29"/>
        <v>-1.8843002569490459E-2</v>
      </c>
      <c r="R78" s="5">
        <f t="shared" si="30"/>
        <v>-0.5</v>
      </c>
    </row>
    <row r="79" spans="2:18" x14ac:dyDescent="0.3">
      <c r="B79" s="16">
        <v>2.9992653826927507E-2</v>
      </c>
      <c r="C79" s="16">
        <f t="shared" si="21"/>
        <v>2.8398312456416518E-2</v>
      </c>
      <c r="D79" s="16" t="str">
        <f t="shared" si="17"/>
        <v xml:space="preserve"> </v>
      </c>
      <c r="E79" s="16" t="str">
        <f t="shared" si="18"/>
        <v xml:space="preserve"> </v>
      </c>
      <c r="F79" s="16" t="str">
        <f t="shared" si="19"/>
        <v xml:space="preserve"> </v>
      </c>
      <c r="G79" s="16">
        <f t="shared" si="22"/>
        <v>8.6187427555439317E-3</v>
      </c>
      <c r="H79" s="16">
        <f t="shared" si="23"/>
        <v>0.24070374505373643</v>
      </c>
      <c r="I79" s="16">
        <f t="shared" si="24"/>
        <v>0.23621029140516439</v>
      </c>
      <c r="J79" s="16">
        <f t="shared" si="20"/>
        <v>8.6187427555439317E-3</v>
      </c>
      <c r="K79" s="16">
        <f t="shared" si="25"/>
        <v>0.23621029140516439</v>
      </c>
      <c r="L79" s="16">
        <f t="shared" si="26"/>
        <v>2.3346885277140572E-2</v>
      </c>
      <c r="M79" s="16">
        <f t="shared" si="27"/>
        <v>3.6228485795907858E-2</v>
      </c>
      <c r="N79" s="16">
        <f t="shared" si="28"/>
        <v>3.6638422376714441E-2</v>
      </c>
      <c r="O79" s="16">
        <f t="shared" si="29"/>
        <v>-1.8991000284819998E-2</v>
      </c>
      <c r="R79" s="5">
        <f t="shared" si="30"/>
        <v>-0.5</v>
      </c>
    </row>
    <row r="80" spans="2:18" x14ac:dyDescent="0.3">
      <c r="B80" s="16">
        <v>3.0762633434202158E-2</v>
      </c>
      <c r="C80" s="16">
        <f t="shared" si="21"/>
        <v>2.8724089431646328E-2</v>
      </c>
      <c r="D80" s="16" t="str">
        <f t="shared" si="17"/>
        <v xml:space="preserve"> </v>
      </c>
      <c r="E80" s="16" t="str">
        <f t="shared" si="18"/>
        <v xml:space="preserve"> </v>
      </c>
      <c r="F80" s="16" t="str">
        <f t="shared" si="19"/>
        <v xml:space="preserve"> </v>
      </c>
      <c r="G80" s="16">
        <f t="shared" si="22"/>
        <v>8.8032054410698592E-3</v>
      </c>
      <c r="H80" s="16">
        <f t="shared" si="23"/>
        <v>0.23843436346467425</v>
      </c>
      <c r="I80" s="16">
        <f t="shared" si="24"/>
        <v>0.23406408828491804</v>
      </c>
      <c r="J80" s="16">
        <f t="shared" si="20"/>
        <v>8.8032054410698592E-3</v>
      </c>
      <c r="K80" s="16">
        <f t="shared" si="25"/>
        <v>0.23406408828491804</v>
      </c>
      <c r="L80" s="16">
        <f t="shared" si="26"/>
        <v>2.4100577929216778E-2</v>
      </c>
      <c r="M80" s="16">
        <f t="shared" si="27"/>
        <v>3.6744041687068477E-2</v>
      </c>
      <c r="N80" s="16">
        <f t="shared" si="28"/>
        <v>3.7424688939187538E-2</v>
      </c>
      <c r="O80" s="16">
        <f t="shared" si="29"/>
        <v>-1.9137630804928762E-2</v>
      </c>
      <c r="R80" s="5">
        <f t="shared" si="30"/>
        <v>-0.5</v>
      </c>
    </row>
    <row r="81" spans="2:18" x14ac:dyDescent="0.3">
      <c r="B81" s="16">
        <v>3.1542217401980821E-2</v>
      </c>
      <c r="C81" s="16">
        <f t="shared" si="21"/>
        <v>2.9048708045416601E-2</v>
      </c>
      <c r="D81" s="16" t="str">
        <f t="shared" si="17"/>
        <v xml:space="preserve"> </v>
      </c>
      <c r="E81" s="16" t="str">
        <f t="shared" si="18"/>
        <v xml:space="preserve"> </v>
      </c>
      <c r="F81" s="16" t="str">
        <f t="shared" si="19"/>
        <v xml:space="preserve"> </v>
      </c>
      <c r="G81" s="16">
        <f t="shared" si="22"/>
        <v>8.9881925222365378E-3</v>
      </c>
      <c r="H81" s="16">
        <f t="shared" si="23"/>
        <v>0.23614621377560657</v>
      </c>
      <c r="I81" s="16">
        <f t="shared" si="24"/>
        <v>0.23189790966797455</v>
      </c>
      <c r="J81" s="16">
        <f t="shared" si="20"/>
        <v>8.9881925222365378E-3</v>
      </c>
      <c r="K81" s="16">
        <f t="shared" si="25"/>
        <v>0.23189790966797455</v>
      </c>
      <c r="L81" s="16">
        <f t="shared" si="26"/>
        <v>2.4866096835182344E-2</v>
      </c>
      <c r="M81" s="16">
        <f t="shared" si="27"/>
        <v>3.7259323615375026E-2</v>
      </c>
      <c r="N81" s="16">
        <f t="shared" si="28"/>
        <v>3.8218337968779298E-2</v>
      </c>
      <c r="O81" s="16">
        <f t="shared" si="29"/>
        <v>-1.9282938570901947E-2</v>
      </c>
      <c r="R81" s="5">
        <f t="shared" si="30"/>
        <v>-0.5</v>
      </c>
    </row>
    <row r="82" spans="2:18" x14ac:dyDescent="0.3">
      <c r="B82" s="16">
        <v>3.2331398005215228E-2</v>
      </c>
      <c r="C82" s="16">
        <f t="shared" si="21"/>
        <v>2.9372159694867707E-2</v>
      </c>
      <c r="D82" s="16" t="str">
        <f t="shared" si="17"/>
        <v xml:space="preserve"> </v>
      </c>
      <c r="E82" s="16" t="str">
        <f t="shared" si="18"/>
        <v xml:space="preserve"> </v>
      </c>
      <c r="F82" s="16" t="str">
        <f t="shared" si="19"/>
        <v xml:space="preserve"> </v>
      </c>
      <c r="G82" s="16">
        <f t="shared" si="22"/>
        <v>9.1736437482951901E-3</v>
      </c>
      <c r="H82" s="16">
        <f t="shared" si="23"/>
        <v>0.23383967326219798</v>
      </c>
      <c r="I82" s="16">
        <f t="shared" si="24"/>
        <v>0.22971207537055213</v>
      </c>
      <c r="J82" s="16">
        <f t="shared" si="20"/>
        <v>9.1736437482951901E-3</v>
      </c>
      <c r="K82" s="16">
        <f t="shared" si="25"/>
        <v>0.22971207537055213</v>
      </c>
      <c r="L82" s="16">
        <f t="shared" si="26"/>
        <v>2.5643440320280889E-2</v>
      </c>
      <c r="M82" s="16">
        <f t="shared" si="27"/>
        <v>3.7774255405134606E-2</v>
      </c>
      <c r="N82" s="16">
        <f t="shared" si="28"/>
        <v>3.9019355690149568E-2</v>
      </c>
      <c r="O82" s="16">
        <f t="shared" si="29"/>
        <v>-1.9426967908544229E-2</v>
      </c>
      <c r="R82" s="5">
        <f t="shared" si="30"/>
        <v>-0.5</v>
      </c>
    </row>
    <row r="83" spans="2:18" x14ac:dyDescent="0.3">
      <c r="B83" s="16">
        <v>3.313016742376218E-2</v>
      </c>
      <c r="C83" s="16">
        <f t="shared" si="21"/>
        <v>2.9694435721481963E-2</v>
      </c>
      <c r="D83" s="16" t="str">
        <f t="shared" si="17"/>
        <v xml:space="preserve"> </v>
      </c>
      <c r="E83" s="16" t="str">
        <f t="shared" si="18"/>
        <v xml:space="preserve"> </v>
      </c>
      <c r="F83" s="16" t="str">
        <f t="shared" si="19"/>
        <v xml:space="preserve"> </v>
      </c>
      <c r="G83" s="16">
        <f t="shared" si="22"/>
        <v>9.3594986677619316E-3</v>
      </c>
      <c r="H83" s="16">
        <f t="shared" si="23"/>
        <v>0.23151512345686026</v>
      </c>
      <c r="I83" s="16">
        <f t="shared" si="24"/>
        <v>0.22750691123206829</v>
      </c>
      <c r="J83" s="16">
        <f t="shared" si="20"/>
        <v>9.3594986677619316E-3</v>
      </c>
      <c r="K83" s="16">
        <f t="shared" si="25"/>
        <v>0.22750691123206829</v>
      </c>
      <c r="L83" s="16">
        <f t="shared" si="26"/>
        <v>2.6432605833550359E-2</v>
      </c>
      <c r="M83" s="16">
        <f t="shared" si="27"/>
        <v>3.8288760351436878E-2</v>
      </c>
      <c r="N83" s="16">
        <f t="shared" si="28"/>
        <v>3.9827729013974002E-2</v>
      </c>
      <c r="O83" s="16">
        <f t="shared" si="29"/>
        <v>-1.9569763015913011E-2</v>
      </c>
      <c r="R83" s="5">
        <f t="shared" si="30"/>
        <v>-0.5</v>
      </c>
    </row>
    <row r="84" spans="2:18" x14ac:dyDescent="0.3">
      <c r="B84" s="16">
        <v>3.3938517742461038E-2</v>
      </c>
      <c r="C84" s="16">
        <f t="shared" si="21"/>
        <v>3.0015527412465451E-2</v>
      </c>
      <c r="D84" s="16" t="str">
        <f t="shared" si="17"/>
        <v xml:space="preserve"> </v>
      </c>
      <c r="E84" s="16" t="str">
        <f t="shared" si="18"/>
        <v xml:space="preserve"> </v>
      </c>
      <c r="F84" s="16" t="str">
        <f t="shared" si="19"/>
        <v xml:space="preserve"> </v>
      </c>
      <c r="G84" s="16">
        <f t="shared" si="22"/>
        <v>9.5456966481586615E-3</v>
      </c>
      <c r="H84" s="16">
        <f t="shared" si="23"/>
        <v>0.22917295013075556</v>
      </c>
      <c r="I84" s="16">
        <f t="shared" si="24"/>
        <v>0.22528274914455193</v>
      </c>
      <c r="J84" s="16">
        <f t="shared" si="20"/>
        <v>9.5456966481586615E-3</v>
      </c>
      <c r="K84" s="16">
        <f t="shared" si="25"/>
        <v>0.22528274914455193</v>
      </c>
      <c r="L84" s="16">
        <f t="shared" si="26"/>
        <v>2.7233589936103204E-2</v>
      </c>
      <c r="M84" s="16">
        <f t="shared" si="27"/>
        <v>3.8802761247328454E-2</v>
      </c>
      <c r="N84" s="16">
        <f t="shared" si="28"/>
        <v>4.0643445548818873E-2</v>
      </c>
      <c r="O84" s="16">
        <f t="shared" si="29"/>
        <v>-1.9711367951011131E-2</v>
      </c>
      <c r="R84" s="5">
        <f t="shared" si="30"/>
        <v>-0.5</v>
      </c>
    </row>
    <row r="85" spans="2:18" x14ac:dyDescent="0.3">
      <c r="B85" s="16">
        <v>3.475644095121222E-2</v>
      </c>
      <c r="C85" s="16">
        <f t="shared" si="21"/>
        <v>3.0335426002139648E-2</v>
      </c>
      <c r="D85" s="16" t="str">
        <f t="shared" si="17"/>
        <v xml:space="preserve"> </v>
      </c>
      <c r="E85" s="16" t="str">
        <f t="shared" si="18"/>
        <v xml:space="preserve"> </v>
      </c>
      <c r="F85" s="16" t="str">
        <f t="shared" si="19"/>
        <v xml:space="preserve"> </v>
      </c>
      <c r="G85" s="16">
        <f t="shared" si="22"/>
        <v>9.7321768959290032E-3</v>
      </c>
      <c r="H85" s="16">
        <f t="shared" si="23"/>
        <v>0.22681354327559586</v>
      </c>
      <c r="I85" s="16">
        <f t="shared" si="24"/>
        <v>0.22303992707973544</v>
      </c>
      <c r="J85" s="16">
        <f t="shared" si="20"/>
        <v>9.7321768959290032E-3</v>
      </c>
      <c r="K85" s="16">
        <f t="shared" si="25"/>
        <v>0.22303992707973544</v>
      </c>
      <c r="L85" s="16">
        <f t="shared" si="26"/>
        <v>2.8046388289568121E-2</v>
      </c>
      <c r="M85" s="16">
        <f t="shared" si="27"/>
        <v>3.9316180411498924E-2</v>
      </c>
      <c r="N85" s="16">
        <f t="shared" si="28"/>
        <v>4.1466493612856314E-2</v>
      </c>
      <c r="O85" s="16">
        <f t="shared" si="29"/>
        <v>-1.9851826619640914E-2</v>
      </c>
      <c r="R85" s="5">
        <f t="shared" si="30"/>
        <v>-0.5</v>
      </c>
    </row>
    <row r="86" spans="2:18" x14ac:dyDescent="0.3">
      <c r="B86" s="16">
        <v>3.5583928945056353E-2</v>
      </c>
      <c r="C86" s="16">
        <f t="shared" si="21"/>
        <v>3.0654122673342339E-2</v>
      </c>
      <c r="D86" s="16" t="str">
        <f t="shared" si="17"/>
        <v xml:space="preserve"> </v>
      </c>
      <c r="E86" s="16" t="str">
        <f t="shared" si="18"/>
        <v xml:space="preserve"> </v>
      </c>
      <c r="F86" s="16" t="str">
        <f t="shared" si="19"/>
        <v xml:space="preserve"> </v>
      </c>
      <c r="G86" s="16">
        <f t="shared" si="22"/>
        <v>9.9188784765268708E-3</v>
      </c>
      <c r="H86" s="16">
        <f t="shared" si="23"/>
        <v>0.22443729708524052</v>
      </c>
      <c r="I86" s="16">
        <f t="shared" si="24"/>
        <v>0.22077878911375454</v>
      </c>
      <c r="J86" s="16">
        <f t="shared" si="20"/>
        <v>9.9188784765268708E-3</v>
      </c>
      <c r="K86" s="16">
        <f t="shared" si="25"/>
        <v>0.22077878911375454</v>
      </c>
      <c r="L86" s="16">
        <f t="shared" si="26"/>
        <v>2.8870995644708547E-2</v>
      </c>
      <c r="M86" s="16">
        <f t="shared" si="27"/>
        <v>3.9828939716474249E-2</v>
      </c>
      <c r="N86" s="16">
        <f t="shared" si="28"/>
        <v>4.229686224540416E-2</v>
      </c>
      <c r="O86" s="16">
        <f t="shared" si="29"/>
        <v>-1.9991182763420504E-2</v>
      </c>
      <c r="R86" s="5">
        <f t="shared" si="30"/>
        <v>-0.5</v>
      </c>
    </row>
    <row r="87" spans="2:18" x14ac:dyDescent="0.3">
      <c r="B87" s="16">
        <v>3.6420973524254996E-2</v>
      </c>
      <c r="C87" s="16">
        <f t="shared" si="21"/>
        <v>3.0971608558837942E-2</v>
      </c>
      <c r="D87" s="16" t="str">
        <f t="shared" si="17"/>
        <v xml:space="preserve"> </v>
      </c>
      <c r="E87" s="16" t="str">
        <f t="shared" si="18"/>
        <v xml:space="preserve"> </v>
      </c>
      <c r="F87" s="16" t="str">
        <f t="shared" si="19"/>
        <v xml:space="preserve"> </v>
      </c>
      <c r="G87" s="16">
        <f t="shared" si="22"/>
        <v>1.0105740334675199E-2</v>
      </c>
      <c r="H87" s="16">
        <f t="shared" si="23"/>
        <v>0.22204460993709199</v>
      </c>
      <c r="I87" s="16">
        <f t="shared" si="24"/>
        <v>0.21849968544938531</v>
      </c>
      <c r="J87" s="16">
        <f t="shared" si="20"/>
        <v>1.0105740334675199E-2</v>
      </c>
      <c r="K87" s="16">
        <f t="shared" si="25"/>
        <v>0.21849968544938531</v>
      </c>
      <c r="L87" s="16">
        <f t="shared" si="26"/>
        <v>2.9707405830234433E-2</v>
      </c>
      <c r="M87" s="16">
        <f t="shared" si="27"/>
        <v>4.0340960617313903E-2</v>
      </c>
      <c r="N87" s="16">
        <f t="shared" si="28"/>
        <v>4.3134541218275563E-2</v>
      </c>
      <c r="O87" s="16">
        <f t="shared" si="29"/>
        <v>-2.0129479947963509E-2</v>
      </c>
      <c r="R87" s="5">
        <f t="shared" si="30"/>
        <v>-0.5</v>
      </c>
    </row>
    <row r="88" spans="2:18" x14ac:dyDescent="0.3">
      <c r="B88" s="16">
        <v>3.7267566394371454E-2</v>
      </c>
      <c r="C88" s="16">
        <f t="shared" si="21"/>
        <v>3.128787474273638E-2</v>
      </c>
      <c r="D88" s="16" t="str">
        <f t="shared" si="17"/>
        <v xml:space="preserve"> </v>
      </c>
      <c r="E88" s="16" t="str">
        <f t="shared" si="18"/>
        <v xml:space="preserve"> </v>
      </c>
      <c r="F88" s="16" t="str">
        <f t="shared" si="19"/>
        <v xml:space="preserve"> </v>
      </c>
      <c r="G88" s="16">
        <f t="shared" si="22"/>
        <v>1.0292701314792175E-2</v>
      </c>
      <c r="H88" s="16">
        <f t="shared" si="23"/>
        <v>0.21963588437329137</v>
      </c>
      <c r="I88" s="16">
        <f t="shared" si="24"/>
        <v>0.21620297243575012</v>
      </c>
      <c r="J88" s="16">
        <f t="shared" si="20"/>
        <v>1.0292701314792175E-2</v>
      </c>
      <c r="K88" s="16">
        <f t="shared" si="25"/>
        <v>0.21620297243575012</v>
      </c>
      <c r="L88" s="16">
        <f t="shared" si="26"/>
        <v>3.0555611741821753E-2</v>
      </c>
      <c r="M88" s="16">
        <f t="shared" si="27"/>
        <v>4.0852164180805992E-2</v>
      </c>
      <c r="N88" s="16">
        <f t="shared" si="28"/>
        <v>4.3979521046921155E-2</v>
      </c>
      <c r="O88" s="16">
        <f t="shared" si="29"/>
        <v>-2.0266761551221646E-2</v>
      </c>
      <c r="R88" s="5">
        <f t="shared" si="30"/>
        <v>-0.5</v>
      </c>
    </row>
    <row r="89" spans="2:18" x14ac:dyDescent="0.3">
      <c r="B89" s="16">
        <v>3.8123699166353275E-2</v>
      </c>
      <c r="C89" s="16">
        <f t="shared" si="21"/>
        <v>3.1602912261920968E-2</v>
      </c>
      <c r="D89" s="16" t="str">
        <f t="shared" si="17"/>
        <v xml:space="preserve"> </v>
      </c>
      <c r="E89" s="16" t="str">
        <f t="shared" si="18"/>
        <v xml:space="preserve"> </v>
      </c>
      <c r="F89" s="16" t="str">
        <f t="shared" si="19"/>
        <v xml:space="preserve"> </v>
      </c>
      <c r="G89" s="16">
        <f t="shared" si="22"/>
        <v>1.0479700181582589E-2</v>
      </c>
      <c r="H89" s="16">
        <f t="shared" si="23"/>
        <v>0.2172115270817141</v>
      </c>
      <c r="I89" s="16">
        <f t="shared" si="24"/>
        <v>0.2138890125854262</v>
      </c>
      <c r="J89" s="16">
        <f t="shared" si="20"/>
        <v>1.0479700181582589E-2</v>
      </c>
      <c r="K89" s="16">
        <f t="shared" si="25"/>
        <v>0.2138890125854262</v>
      </c>
      <c r="L89" s="16">
        <f t="shared" si="26"/>
        <v>3.1415605331357045E-2</v>
      </c>
      <c r="M89" s="16">
        <f t="shared" si="27"/>
        <v>4.1362471115155897E-2</v>
      </c>
      <c r="N89" s="16">
        <f t="shared" si="28"/>
        <v>4.4831793001349506E-2</v>
      </c>
      <c r="O89" s="16">
        <f t="shared" si="29"/>
        <v>-2.0403070751990715E-2</v>
      </c>
      <c r="R89" s="5">
        <f t="shared" si="30"/>
        <v>-0.5</v>
      </c>
    </row>
    <row r="90" spans="2:18" x14ac:dyDescent="0.3">
      <c r="B90" s="16">
        <v>3.8989363356615403E-2</v>
      </c>
      <c r="C90" s="16">
        <f t="shared" si="21"/>
        <v>3.191671210748457E-2</v>
      </c>
      <c r="D90" s="16" t="str">
        <f t="shared" si="17"/>
        <v xml:space="preserve"> </v>
      </c>
      <c r="E90" s="16" t="str">
        <f t="shared" si="18"/>
        <v xml:space="preserve"> </v>
      </c>
      <c r="F90" s="16" t="str">
        <f t="shared" si="19"/>
        <v xml:space="preserve"> </v>
      </c>
      <c r="G90" s="16">
        <f t="shared" si="22"/>
        <v>1.0666675640791672E-2</v>
      </c>
      <c r="H90" s="16">
        <f t="shared" si="23"/>
        <v>0.21477194887676529</v>
      </c>
      <c r="I90" s="16">
        <f t="shared" si="24"/>
        <v>0.21155817458889203</v>
      </c>
      <c r="J90" s="16">
        <f t="shared" si="20"/>
        <v>1.0666675640791672E-2</v>
      </c>
      <c r="K90" s="16">
        <f t="shared" si="25"/>
        <v>0.21155817458889203</v>
      </c>
      <c r="L90" s="16">
        <f t="shared" si="26"/>
        <v>3.2287377596422105E-2</v>
      </c>
      <c r="M90" s="16">
        <f t="shared" si="27"/>
        <v>4.1871801800161999E-2</v>
      </c>
      <c r="N90" s="16">
        <f t="shared" si="28"/>
        <v>4.5691349116808701E-2</v>
      </c>
      <c r="O90" s="16">
        <f t="shared" si="29"/>
        <v>-2.0538450518578659E-2</v>
      </c>
      <c r="R90" s="5">
        <f t="shared" si="30"/>
        <v>-0.5</v>
      </c>
    </row>
    <row r="91" spans="2:18" x14ac:dyDescent="0.3">
      <c r="B91" s="16">
        <v>3.9864550387123776E-2</v>
      </c>
      <c r="C91" s="16">
        <f t="shared" si="21"/>
        <v>3.2229265226173677E-2</v>
      </c>
      <c r="D91" s="16" t="str">
        <f t="shared" si="17"/>
        <v xml:space="preserve"> </v>
      </c>
      <c r="E91" s="16" t="str">
        <f t="shared" si="18"/>
        <v xml:space="preserve"> </v>
      </c>
      <c r="F91" s="16" t="str">
        <f t="shared" si="19"/>
        <v xml:space="preserve"> </v>
      </c>
      <c r="G91" s="16">
        <f t="shared" si="22"/>
        <v>1.0853566360118663E-2</v>
      </c>
      <c r="H91" s="16">
        <f t="shared" si="23"/>
        <v>0.21231756467997995</v>
      </c>
      <c r="I91" s="16">
        <f t="shared" si="24"/>
        <v>0.20921083332625473</v>
      </c>
      <c r="J91" s="16">
        <f t="shared" si="20"/>
        <v>1.0853566360118663E-2</v>
      </c>
      <c r="K91" s="16">
        <f t="shared" si="25"/>
        <v>0.20921083332625473</v>
      </c>
      <c r="L91" s="16">
        <f t="shared" si="26"/>
        <v>3.3170918570034527E-2</v>
      </c>
      <c r="M91" s="16">
        <f t="shared" si="27"/>
        <v>4.2380076317871648E-2</v>
      </c>
      <c r="N91" s="16">
        <f t="shared" si="28"/>
        <v>4.6558182204213025E-2</v>
      </c>
      <c r="O91" s="16">
        <f t="shared" si="29"/>
        <v>-2.0672943597634327E-2</v>
      </c>
      <c r="R91" s="5">
        <f t="shared" si="30"/>
        <v>-0.5</v>
      </c>
    </row>
    <row r="92" spans="2:18" x14ac:dyDescent="0.3">
      <c r="B92" s="16">
        <v>4.0749251585480817E-2</v>
      </c>
      <c r="C92" s="16">
        <f t="shared" si="21"/>
        <v>3.2540562521840719E-2</v>
      </c>
      <c r="D92" s="16" t="str">
        <f t="shared" si="17"/>
        <v xml:space="preserve"> </v>
      </c>
      <c r="E92" s="16" t="str">
        <f t="shared" si="18"/>
        <v xml:space="preserve"> </v>
      </c>
      <c r="F92" s="16" t="str">
        <f t="shared" si="19"/>
        <v xml:space="preserve"> </v>
      </c>
      <c r="G92" s="16">
        <f t="shared" si="22"/>
        <v>1.1040310990287881E-2</v>
      </c>
      <c r="H92" s="16">
        <f t="shared" si="23"/>
        <v>0.20984879350042135</v>
      </c>
      <c r="I92" s="16">
        <f t="shared" si="24"/>
        <v>0.20684736987619326</v>
      </c>
      <c r="J92" s="16">
        <f t="shared" si="20"/>
        <v>1.1040310990287881E-2</v>
      </c>
      <c r="K92" s="16">
        <f t="shared" si="25"/>
        <v>0.20684736987619326</v>
      </c>
      <c r="L92" s="16">
        <f t="shared" si="26"/>
        <v>3.406621731066159E-2</v>
      </c>
      <c r="M92" s="16">
        <f t="shared" si="27"/>
        <v>4.2887214483711161E-2</v>
      </c>
      <c r="N92" s="16">
        <f t="shared" si="28"/>
        <v>4.7432285860300044E-2</v>
      </c>
      <c r="O92" s="16">
        <f t="shared" si="29"/>
        <v>-2.0806592503135404E-2</v>
      </c>
      <c r="R92" s="5">
        <f t="shared" si="30"/>
        <v>-0.5</v>
      </c>
    </row>
    <row r="93" spans="2:18" x14ac:dyDescent="0.3">
      <c r="B93" s="16">
        <v>4.1643458185011473E-2</v>
      </c>
      <c r="C93" s="16">
        <f t="shared" si="21"/>
        <v>3.2850594856903843E-2</v>
      </c>
      <c r="D93" s="16" t="str">
        <f t="shared" si="17"/>
        <v xml:space="preserve"> </v>
      </c>
      <c r="E93" s="16" t="str">
        <f t="shared" si="18"/>
        <v xml:space="preserve"> </v>
      </c>
      <c r="F93" s="16" t="str">
        <f t="shared" si="19"/>
        <v xml:space="preserve"> </v>
      </c>
      <c r="G93" s="16">
        <f t="shared" si="22"/>
        <v>1.1226848186274325E-2</v>
      </c>
      <c r="H93" s="16">
        <f t="shared" si="23"/>
        <v>0.20736605841488528</v>
      </c>
      <c r="I93" s="16">
        <f t="shared" si="24"/>
        <v>0.20446817152206928</v>
      </c>
      <c r="J93" s="16">
        <f t="shared" si="20"/>
        <v>1.1226848186274325E-2</v>
      </c>
      <c r="K93" s="16">
        <f t="shared" si="25"/>
        <v>0.20446817152206928</v>
      </c>
      <c r="L93" s="16">
        <f t="shared" si="26"/>
        <v>3.4973261892522201E-2</v>
      </c>
      <c r="M93" s="16">
        <f t="shared" si="27"/>
        <v>4.3393135878081406E-2</v>
      </c>
      <c r="N93" s="16">
        <f t="shared" si="28"/>
        <v>4.8313654477500745E-2</v>
      </c>
      <c r="O93" s="16">
        <f t="shared" si="29"/>
        <v>-2.0939439505532752E-2</v>
      </c>
      <c r="R93" s="5">
        <f t="shared" si="30"/>
        <v>-0.5</v>
      </c>
    </row>
    <row r="94" spans="2:18" x14ac:dyDescent="0.3">
      <c r="B94" s="16">
        <v>4.2547161324849481E-2</v>
      </c>
      <c r="C94" s="16">
        <f t="shared" si="21"/>
        <v>3.3159353053813845E-2</v>
      </c>
      <c r="D94" s="16" t="str">
        <f t="shared" si="17"/>
        <v xml:space="preserve"> </v>
      </c>
      <c r="E94" s="16" t="str">
        <f t="shared" si="18"/>
        <v xml:space="preserve"> </v>
      </c>
      <c r="F94" s="16" t="str">
        <f t="shared" si="19"/>
        <v xml:space="preserve"> </v>
      </c>
      <c r="G94" s="16">
        <f t="shared" si="22"/>
        <v>1.1413116628681162E-2</v>
      </c>
      <c r="H94" s="16">
        <f t="shared" si="23"/>
        <v>0.20486978654790902</v>
      </c>
      <c r="I94" s="16">
        <f t="shared" si="24"/>
        <v>0.20207363175515153</v>
      </c>
      <c r="J94" s="16">
        <f t="shared" si="20"/>
        <v>1.1413116628681162E-2</v>
      </c>
      <c r="K94" s="16">
        <f t="shared" si="25"/>
        <v>0.20207363175515153</v>
      </c>
      <c r="L94" s="16">
        <f t="shared" si="26"/>
        <v>3.5892039396192468E-2</v>
      </c>
      <c r="M94" s="16">
        <f t="shared" si="27"/>
        <v>4.3897759878410443E-2</v>
      </c>
      <c r="N94" s="16">
        <f t="shared" si="28"/>
        <v>4.9202283253506493E-2</v>
      </c>
      <c r="O94" s="16">
        <f t="shared" si="29"/>
        <v>-2.1071526621048116E-2</v>
      </c>
      <c r="R94" s="5">
        <f t="shared" si="30"/>
        <v>-0.5</v>
      </c>
    </row>
    <row r="95" spans="2:18" x14ac:dyDescent="0.3">
      <c r="B95" s="16">
        <v>4.346035205002563E-2</v>
      </c>
      <c r="C95" s="16">
        <f t="shared" si="21"/>
        <v>3.3466827896528425E-2</v>
      </c>
      <c r="D95" s="16" t="str">
        <f t="shared" si="17"/>
        <v xml:space="preserve"> </v>
      </c>
      <c r="E95" s="16" t="str">
        <f t="shared" si="18"/>
        <v xml:space="preserve"> </v>
      </c>
      <c r="F95" s="16" t="str">
        <f t="shared" si="19"/>
        <v xml:space="preserve"> </v>
      </c>
      <c r="G95" s="16">
        <f t="shared" si="22"/>
        <v>1.1599055045266647E-2</v>
      </c>
      <c r="H95" s="16">
        <f t="shared" si="23"/>
        <v>0.20236040905158362</v>
      </c>
      <c r="I95" s="16">
        <f t="shared" si="24"/>
        <v>0.19966415027490364</v>
      </c>
      <c r="J95" s="16">
        <f t="shared" si="20"/>
        <v>1.1599055045266647E-2</v>
      </c>
      <c r="K95" s="16">
        <f t="shared" si="25"/>
        <v>0.19966415027490364</v>
      </c>
      <c r="L95" s="16">
        <f t="shared" si="26"/>
        <v>3.6822535899532598E-2</v>
      </c>
      <c r="M95" s="16">
        <f t="shared" si="27"/>
        <v>4.440100569165515E-2</v>
      </c>
      <c r="N95" s="16">
        <f t="shared" si="28"/>
        <v>5.0098168200518663E-2</v>
      </c>
      <c r="O95" s="16">
        <f t="shared" si="29"/>
        <v>-2.1202895601121853E-2</v>
      </c>
      <c r="R95" s="5">
        <f t="shared" si="30"/>
        <v>-0.5</v>
      </c>
    </row>
    <row r="96" spans="2:18" x14ac:dyDescent="0.3">
      <c r="B96" s="16">
        <v>4.4383021311556581E-2</v>
      </c>
      <c r="C96" s="16">
        <f t="shared" si="21"/>
        <v>3.3773010131993193E-2</v>
      </c>
      <c r="D96" s="16" t="str">
        <f t="shared" si="17"/>
        <v xml:space="preserve"> </v>
      </c>
      <c r="E96" s="16" t="str">
        <f t="shared" si="18"/>
        <v xml:space="preserve"> </v>
      </c>
      <c r="F96" s="16" t="str">
        <f t="shared" si="19"/>
        <v xml:space="preserve"> </v>
      </c>
      <c r="G96" s="16">
        <f t="shared" si="22"/>
        <v>1.1784602232617675E-2</v>
      </c>
      <c r="H96" s="16">
        <f t="shared" si="23"/>
        <v>0.19983836108517175</v>
      </c>
      <c r="I96" s="16">
        <f t="shared" si="24"/>
        <v>0.19724013298629176</v>
      </c>
      <c r="J96" s="16">
        <f t="shared" si="20"/>
        <v>1.1784602232617675E-2</v>
      </c>
      <c r="K96" s="16">
        <f t="shared" si="25"/>
        <v>0.19724013298629176</v>
      </c>
      <c r="L96" s="16">
        <f t="shared" si="26"/>
        <v>3.7764736468949456E-2</v>
      </c>
      <c r="M96" s="16">
        <f t="shared" si="27"/>
        <v>4.4902792387241638E-2</v>
      </c>
      <c r="N96" s="16">
        <f t="shared" si="28"/>
        <v>5.1001306154163706E-2</v>
      </c>
      <c r="O96" s="16">
        <f t="shared" si="29"/>
        <v>-2.1333587922006292E-2</v>
      </c>
      <c r="R96" s="5">
        <f t="shared" si="30"/>
        <v>-0.5</v>
      </c>
    </row>
    <row r="97" spans="2:18" x14ac:dyDescent="0.3">
      <c r="B97" s="16">
        <v>4.5315159966534124E-2</v>
      </c>
      <c r="C97" s="16">
        <f t="shared" si="21"/>
        <v>3.4077890471629076E-2</v>
      </c>
      <c r="D97" s="16" t="str">
        <f t="shared" si="17"/>
        <v xml:space="preserve"> </v>
      </c>
      <c r="E97" s="16" t="str">
        <f t="shared" si="18"/>
        <v xml:space="preserve"> </v>
      </c>
      <c r="F97" s="16" t="str">
        <f t="shared" si="19"/>
        <v xml:space="preserve"> </v>
      </c>
      <c r="G97" s="16">
        <f t="shared" si="22"/>
        <v>1.1969697077967051E-2</v>
      </c>
      <c r="H97" s="16">
        <f t="shared" si="23"/>
        <v>0.19730408179453432</v>
      </c>
      <c r="I97" s="16">
        <f t="shared" si="24"/>
        <v>0.1948019919940728</v>
      </c>
      <c r="J97" s="16">
        <f t="shared" si="20"/>
        <v>1.1969697077967051E-2</v>
      </c>
      <c r="K97" s="16">
        <f t="shared" si="25"/>
        <v>0.1948019919940728</v>
      </c>
      <c r="L97" s="16">
        <f t="shared" si="26"/>
        <v>3.8718625151010322E-2</v>
      </c>
      <c r="M97" s="16">
        <f t="shared" si="27"/>
        <v>4.5403038930434181E-2</v>
      </c>
      <c r="N97" s="16">
        <f t="shared" si="28"/>
        <v>5.1911694782057927E-2</v>
      </c>
      <c r="O97" s="16">
        <f t="shared" si="29"/>
        <v>-2.1463644774500079E-2</v>
      </c>
      <c r="R97" s="5">
        <f t="shared" si="30"/>
        <v>-0.5</v>
      </c>
    </row>
    <row r="98" spans="2:18" x14ac:dyDescent="0.3">
      <c r="B98" s="16">
        <v>4.625675877821589E-2</v>
      </c>
      <c r="C98" s="16">
        <f t="shared" si="21"/>
        <v>3.4381459592826014E-2</v>
      </c>
      <c r="D98" s="16" t="str">
        <f t="shared" si="17"/>
        <v xml:space="preserve"> </v>
      </c>
      <c r="E98" s="16" t="str">
        <f t="shared" si="18"/>
        <v xml:space="preserve"> </v>
      </c>
      <c r="F98" s="16" t="str">
        <f t="shared" si="19"/>
        <v xml:space="preserve"> </v>
      </c>
      <c r="G98" s="16">
        <f t="shared" si="22"/>
        <v>1.2154278581152037E-2</v>
      </c>
      <c r="H98" s="16">
        <f t="shared" si="23"/>
        <v>0.19475801429136305</v>
      </c>
      <c r="I98" s="16">
        <f t="shared" si="24"/>
        <v>0.19235014559402322</v>
      </c>
      <c r="J98" s="16">
        <f t="shared" si="20"/>
        <v>1.2154278581152037E-2</v>
      </c>
      <c r="K98" s="16">
        <f t="shared" si="25"/>
        <v>0.19235014559402322</v>
      </c>
      <c r="L98" s="16">
        <f t="shared" si="26"/>
        <v>3.9684184964424239E-2</v>
      </c>
      <c r="M98" s="16">
        <f t="shared" si="27"/>
        <v>4.5901664216122171E-2</v>
      </c>
      <c r="N98" s="16">
        <f t="shared" si="28"/>
        <v>5.282933259200754E-2</v>
      </c>
      <c r="O98" s="16">
        <f t="shared" si="29"/>
        <v>-2.1593107053818093E-2</v>
      </c>
      <c r="R98" s="5">
        <f t="shared" si="30"/>
        <v>-0.5</v>
      </c>
    </row>
    <row r="99" spans="2:18" x14ac:dyDescent="0.3">
      <c r="B99" s="16">
        <v>4.7207808416117381E-2</v>
      </c>
      <c r="C99" s="16">
        <f t="shared" si="21"/>
        <v>3.468370814044297E-2</v>
      </c>
      <c r="D99" s="16" t="str">
        <f t="shared" si="17"/>
        <v xml:space="preserve"> </v>
      </c>
      <c r="E99" s="16" t="str">
        <f t="shared" si="18"/>
        <v xml:space="preserve"> </v>
      </c>
      <c r="F99" s="16" t="str">
        <f t="shared" si="19"/>
        <v xml:space="preserve"> </v>
      </c>
      <c r="G99" s="16">
        <f t="shared" si="22"/>
        <v>1.233828587671138E-2</v>
      </c>
      <c r="H99" s="16">
        <f t="shared" si="23"/>
        <v>0.19220060563221988</v>
      </c>
      <c r="I99" s="16">
        <f t="shared" si="24"/>
        <v>0.18988501826107437</v>
      </c>
      <c r="J99" s="16">
        <f t="shared" si="20"/>
        <v>1.233828587671138E-2</v>
      </c>
      <c r="K99" s="16">
        <f t="shared" si="25"/>
        <v>0.18988501826107437</v>
      </c>
      <c r="L99" s="16">
        <f t="shared" si="26"/>
        <v>4.0661397892406172E-2</v>
      </c>
      <c r="M99" s="16">
        <f t="shared" si="27"/>
        <v>4.6398587103014019E-2</v>
      </c>
      <c r="N99" s="16">
        <f t="shared" si="28"/>
        <v>5.3754218939828589E-2</v>
      </c>
      <c r="O99" s="16">
        <f t="shared" si="29"/>
        <v>-2.1722015349591256E-2</v>
      </c>
      <c r="R99" s="5">
        <f t="shared" si="30"/>
        <v>-0.5</v>
      </c>
    </row>
    <row r="100" spans="2:18" x14ac:dyDescent="0.3">
      <c r="B100" s="16">
        <v>4.8168299456103791E-2</v>
      </c>
      <c r="C100" s="16">
        <f t="shared" si="21"/>
        <v>3.4984626728313123E-2</v>
      </c>
      <c r="D100" s="16" t="str">
        <f t="shared" si="17"/>
        <v xml:space="preserve"> </v>
      </c>
      <c r="E100" s="16" t="str">
        <f t="shared" si="18"/>
        <v xml:space="preserve"> </v>
      </c>
      <c r="F100" s="16" t="str">
        <f t="shared" si="19"/>
        <v xml:space="preserve"> </v>
      </c>
      <c r="G100" s="16">
        <f t="shared" si="22"/>
        <v>1.2521658256117688E-2</v>
      </c>
      <c r="H100" s="16">
        <f t="shared" si="23"/>
        <v>0.18963230679738891</v>
      </c>
      <c r="I100" s="16">
        <f t="shared" si="24"/>
        <v>0.18740704063433061</v>
      </c>
      <c r="J100" s="16">
        <f t="shared" si="20"/>
        <v>1.2521658256117688E-2</v>
      </c>
      <c r="K100" s="16">
        <f t="shared" si="25"/>
        <v>0.18740704063433061</v>
      </c>
      <c r="L100" s="16">
        <f t="shared" si="26"/>
        <v>4.1650244875437378E-2</v>
      </c>
      <c r="M100" s="16">
        <f t="shared" si="27"/>
        <v>4.6893726448224704E-2</v>
      </c>
      <c r="N100" s="16">
        <f t="shared" si="28"/>
        <v>5.4686354036770204E-2</v>
      </c>
      <c r="O100" s="16">
        <f t="shared" si="29"/>
        <v>-2.1850409935989329E-2</v>
      </c>
      <c r="R100" s="5">
        <f t="shared" si="30"/>
        <v>-0.5</v>
      </c>
    </row>
    <row r="101" spans="2:18" x14ac:dyDescent="0.3">
      <c r="B101" s="16">
        <v>4.9138222380483598E-2</v>
      </c>
      <c r="C101" s="16">
        <f t="shared" si="21"/>
        <v>3.5284205940754841E-2</v>
      </c>
      <c r="D101" s="16" t="str">
        <f t="shared" si="17"/>
        <v xml:space="preserve"> </v>
      </c>
      <c r="E101" s="16" t="str">
        <f t="shared" si="18"/>
        <v xml:space="preserve"> </v>
      </c>
      <c r="F101" s="16" t="str">
        <f t="shared" si="19"/>
        <v xml:space="preserve"> </v>
      </c>
      <c r="G101" s="16">
        <f t="shared" si="22"/>
        <v>1.2704335190142841E-2</v>
      </c>
      <c r="H101" s="16">
        <f t="shared" si="23"/>
        <v>0.18705357266953632</v>
      </c>
      <c r="I101" s="16">
        <f t="shared" si="24"/>
        <v>0.18491664949893985</v>
      </c>
      <c r="J101" s="16">
        <f t="shared" si="20"/>
        <v>1.2704335190142841E-2</v>
      </c>
      <c r="K101" s="16">
        <f t="shared" si="25"/>
        <v>0.18491664949893985</v>
      </c>
      <c r="L101" s="16">
        <f t="shared" si="26"/>
        <v>4.2650705804438707E-2</v>
      </c>
      <c r="M101" s="16">
        <f t="shared" si="27"/>
        <v>4.7387001142245512E-2</v>
      </c>
      <c r="N101" s="16">
        <f t="shared" si="28"/>
        <v>5.5625738956528489E-2</v>
      </c>
      <c r="O101" s="16">
        <f t="shared" si="29"/>
        <v>-2.1978330761959826E-2</v>
      </c>
      <c r="R101" s="5">
        <f t="shared" si="30"/>
        <v>-0.5</v>
      </c>
    </row>
    <row r="102" spans="2:18" x14ac:dyDescent="0.3">
      <c r="B102" s="16">
        <v>5.0117567578102928E-2</v>
      </c>
      <c r="C102" s="16">
        <f t="shared" si="21"/>
        <v>3.5582436334087787E-2</v>
      </c>
      <c r="D102" s="16" t="str">
        <f t="shared" si="17"/>
        <v xml:space="preserve"> </v>
      </c>
      <c r="E102" s="16" t="str">
        <f t="shared" si="18"/>
        <v xml:space="preserve"> </v>
      </c>
      <c r="F102" s="16" t="str">
        <f t="shared" si="19"/>
        <v xml:space="preserve"> </v>
      </c>
      <c r="G102" s="16">
        <f t="shared" si="22"/>
        <v>1.2886256351353317E-2</v>
      </c>
      <c r="H102" s="16">
        <f t="shared" si="23"/>
        <v>0.18446486201218124</v>
      </c>
      <c r="I102" s="16">
        <f t="shared" si="24"/>
        <v>0.18241428776479851</v>
      </c>
      <c r="J102" s="16">
        <f t="shared" si="20"/>
        <v>1.2886256351353317E-2</v>
      </c>
      <c r="K102" s="16">
        <f t="shared" si="25"/>
        <v>0.18241428776479851</v>
      </c>
      <c r="L102" s="16">
        <f t="shared" si="26"/>
        <v>4.3662759514370236E-2</v>
      </c>
      <c r="M102" s="16">
        <f t="shared" si="27"/>
        <v>4.7878330144282222E-2</v>
      </c>
      <c r="N102" s="16">
        <f t="shared" si="28"/>
        <v>5.6572375641835621E-2</v>
      </c>
      <c r="O102" s="16">
        <f t="shared" si="29"/>
        <v>-2.2105817441575592E-2</v>
      </c>
      <c r="R102" s="5">
        <f t="shared" si="30"/>
        <v>-0.5</v>
      </c>
    </row>
    <row r="103" spans="2:18" x14ac:dyDescent="0.3">
      <c r="B103" s="16">
        <v>5.1106325344440817E-2</v>
      </c>
      <c r="C103" s="16">
        <f t="shared" si="21"/>
        <v>3.587930843815381E-2</v>
      </c>
      <c r="D103" s="16" t="str">
        <f t="shared" si="17"/>
        <v xml:space="preserve"> </v>
      </c>
      <c r="E103" s="16" t="str">
        <f t="shared" si="18"/>
        <v xml:space="preserve"> </v>
      </c>
      <c r="F103" s="16" t="str">
        <f t="shared" si="19"/>
        <v xml:space="preserve"> </v>
      </c>
      <c r="G103" s="16">
        <f t="shared" si="22"/>
        <v>1.306736163673271E-2</v>
      </c>
      <c r="H103" s="16">
        <f t="shared" si="23"/>
        <v>0.1818666374479786</v>
      </c>
      <c r="I103" s="16">
        <f t="shared" si="24"/>
        <v>0.17990040444207536</v>
      </c>
      <c r="J103" s="16">
        <f t="shared" si="20"/>
        <v>1.306736163673271E-2</v>
      </c>
      <c r="K103" s="16">
        <f t="shared" si="25"/>
        <v>0.17990040444207536</v>
      </c>
      <c r="L103" s="16">
        <f t="shared" si="26"/>
        <v>4.4686383778271478E-2</v>
      </c>
      <c r="M103" s="16">
        <f t="shared" si="27"/>
        <v>4.8367632517947581E-2</v>
      </c>
      <c r="N103" s="16">
        <f t="shared" si="28"/>
        <v>5.7526266910610156E-2</v>
      </c>
      <c r="O103" s="16">
        <f t="shared" si="29"/>
        <v>-2.2232909244482166E-2</v>
      </c>
      <c r="R103" s="5">
        <f t="shared" si="30"/>
        <v>-0.5</v>
      </c>
    </row>
    <row r="104" spans="2:18" x14ac:dyDescent="0.3">
      <c r="B104" s="16">
        <v>5.2104485881705465E-2</v>
      </c>
      <c r="C104" s="16">
        <f t="shared" si="21"/>
        <v>3.6174812757842595E-2</v>
      </c>
      <c r="D104" s="16" t="str">
        <f t="shared" si="17"/>
        <v xml:space="preserve"> </v>
      </c>
      <c r="E104" s="16" t="str">
        <f t="shared" si="18"/>
        <v xml:space="preserve"> </v>
      </c>
      <c r="F104" s="16" t="str">
        <f t="shared" si="19"/>
        <v xml:space="preserve"> </v>
      </c>
      <c r="G104" s="16">
        <f t="shared" si="22"/>
        <v>1.3247591190428544E-2</v>
      </c>
      <c r="H104" s="16">
        <f t="shared" si="23"/>
        <v>0.179259365436815</v>
      </c>
      <c r="I104" s="16">
        <f t="shared" si="24"/>
        <v>0.17737545461354334</v>
      </c>
      <c r="J104" s="16">
        <f t="shared" si="20"/>
        <v>1.3247591190428544E-2</v>
      </c>
      <c r="K104" s="16">
        <f t="shared" si="25"/>
        <v>0.17737545461354334</v>
      </c>
      <c r="L104" s="16">
        <f t="shared" si="26"/>
        <v>4.5721555301755847E-2</v>
      </c>
      <c r="M104" s="16">
        <f t="shared" si="27"/>
        <v>4.8854827467293888E-2</v>
      </c>
      <c r="N104" s="16">
        <f t="shared" si="28"/>
        <v>5.8487416461655083E-2</v>
      </c>
      <c r="O104" s="16">
        <f t="shared" si="29"/>
        <v>-2.23596450864368E-2</v>
      </c>
      <c r="R104" s="5">
        <f t="shared" si="30"/>
        <v>-0.5</v>
      </c>
    </row>
    <row r="105" spans="2:18" x14ac:dyDescent="0.3">
      <c r="B105" s="16">
        <v>5.3112039298931046E-2</v>
      </c>
      <c r="C105" s="16">
        <f t="shared" si="21"/>
        <v>3.646893977462138E-2</v>
      </c>
      <c r="D105" s="16" t="str">
        <f t="shared" si="17"/>
        <v xml:space="preserve"> </v>
      </c>
      <c r="E105" s="16" t="str">
        <f t="shared" si="18"/>
        <v xml:space="preserve"> </v>
      </c>
      <c r="F105" s="16" t="str">
        <f t="shared" si="19"/>
        <v xml:space="preserve"> </v>
      </c>
      <c r="G105" s="16">
        <f t="shared" si="22"/>
        <v>1.3426885426620464E-2</v>
      </c>
      <c r="H105" s="16">
        <f t="shared" si="23"/>
        <v>0.1766435162537183</v>
      </c>
      <c r="I105" s="16">
        <f t="shared" si="24"/>
        <v>0.17483989940371331</v>
      </c>
      <c r="J105" s="16">
        <f t="shared" si="20"/>
        <v>1.3426885426620464E-2</v>
      </c>
      <c r="K105" s="16">
        <f t="shared" si="25"/>
        <v>0.17483989940371331</v>
      </c>
      <c r="L105" s="16">
        <f t="shared" si="26"/>
        <v>4.6768249717972249E-2</v>
      </c>
      <c r="M105" s="16">
        <f t="shared" si="27"/>
        <v>4.9339834373170091E-2</v>
      </c>
      <c r="N105" s="16">
        <f t="shared" si="28"/>
        <v>5.9455828879889844E-2</v>
      </c>
      <c r="O105" s="16">
        <f t="shared" si="29"/>
        <v>-2.2486063519929159E-2</v>
      </c>
      <c r="R105" s="5">
        <f t="shared" si="30"/>
        <v>-0.5</v>
      </c>
    </row>
    <row r="106" spans="2:18" x14ac:dyDescent="0.3">
      <c r="B106" s="16">
        <v>5.4128975612075858E-2</v>
      </c>
      <c r="C106" s="16">
        <f t="shared" si="21"/>
        <v>3.6761679948068983E-2</v>
      </c>
      <c r="D106" s="16" t="str">
        <f t="shared" si="17"/>
        <v xml:space="preserve"> </v>
      </c>
      <c r="E106" s="16" t="str">
        <f t="shared" si="18"/>
        <v xml:space="preserve"> </v>
      </c>
      <c r="F106" s="16" t="str">
        <f t="shared" si="19"/>
        <v xml:space="preserve"> </v>
      </c>
      <c r="G106" s="16">
        <f t="shared" si="22"/>
        <v>1.3605185052507046E-2</v>
      </c>
      <c r="H106" s="16">
        <f t="shared" si="23"/>
        <v>0.17401956396658139</v>
      </c>
      <c r="I106" s="16">
        <f t="shared" si="24"/>
        <v>0.17229420594476788</v>
      </c>
      <c r="J106" s="16">
        <f t="shared" si="20"/>
        <v>1.3605185052507046E-2</v>
      </c>
      <c r="K106" s="16">
        <f t="shared" si="25"/>
        <v>0.17229420594476788</v>
      </c>
      <c r="L106" s="16">
        <f t="shared" si="26"/>
        <v>4.7826441583047399E-2</v>
      </c>
      <c r="M106" s="16">
        <f t="shared" si="27"/>
        <v>4.9822572829888168E-2</v>
      </c>
      <c r="N106" s="16">
        <f t="shared" si="28"/>
        <v>6.0431509641104317E-2</v>
      </c>
      <c r="O106" s="16">
        <f t="shared" si="29"/>
        <v>-2.2612202724874075E-2</v>
      </c>
      <c r="R106" s="5">
        <f t="shared" si="30"/>
        <v>-0.5</v>
      </c>
    </row>
    <row r="107" spans="2:18" x14ac:dyDescent="0.3">
      <c r="B107" s="16">
        <v>5.5155284744121347E-2</v>
      </c>
      <c r="C107" s="16">
        <f t="shared" si="21"/>
        <v>3.7053023717413508E-2</v>
      </c>
      <c r="D107" s="16" t="str">
        <f t="shared" si="17"/>
        <v xml:space="preserve"> </v>
      </c>
      <c r="E107" s="16" t="str">
        <f t="shared" si="18"/>
        <v xml:space="preserve"> </v>
      </c>
      <c r="F107" s="16" t="str">
        <f t="shared" si="19"/>
        <v xml:space="preserve"> </v>
      </c>
      <c r="G107" s="16">
        <f t="shared" si="22"/>
        <v>1.3782431091408229E-2</v>
      </c>
      <c r="H107" s="16">
        <f t="shared" si="23"/>
        <v>0.17138798641370143</v>
      </c>
      <c r="I107" s="16">
        <f t="shared" si="24"/>
        <v>0.16973884733930009</v>
      </c>
      <c r="J107" s="16">
        <f t="shared" si="20"/>
        <v>1.3782431091408229E-2</v>
      </c>
      <c r="K107" s="16">
        <f t="shared" si="25"/>
        <v>0.16973884733930009</v>
      </c>
      <c r="L107" s="16">
        <f t="shared" si="26"/>
        <v>4.8896104372020632E-2</v>
      </c>
      <c r="M107" s="16">
        <f t="shared" si="27"/>
        <v>5.0302962682182165E-2</v>
      </c>
      <c r="N107" s="16">
        <f t="shared" si="28"/>
        <v>6.1414465116222061E-2</v>
      </c>
      <c r="O107" s="16">
        <f t="shared" si="29"/>
        <v>-2.2738100499365709E-2</v>
      </c>
      <c r="R107" s="5">
        <f t="shared" si="30"/>
        <v>-0.5</v>
      </c>
    </row>
    <row r="108" spans="2:18" x14ac:dyDescent="0.3">
      <c r="B108" s="16">
        <v>5.6190956525171698E-2</v>
      </c>
      <c r="C108" s="16">
        <f t="shared" si="21"/>
        <v>3.7342961503073403E-2</v>
      </c>
      <c r="D108" s="16" t="str">
        <f t="shared" si="17"/>
        <v xml:space="preserve"> </v>
      </c>
      <c r="E108" s="16" t="str">
        <f t="shared" si="18"/>
        <v xml:space="preserve"> </v>
      </c>
      <c r="F108" s="16" t="str">
        <f t="shared" si="19"/>
        <v xml:space="preserve"> </v>
      </c>
      <c r="G108" s="16">
        <f t="shared" si="22"/>
        <v>1.3958564905980391E-2</v>
      </c>
      <c r="H108" s="16">
        <f t="shared" si="23"/>
        <v>0.16874926518113575</v>
      </c>
      <c r="I108" s="16">
        <f t="shared" si="24"/>
        <v>0.16717430261986585</v>
      </c>
      <c r="J108" s="16">
        <f t="shared" si="20"/>
        <v>1.3958564905980391E-2</v>
      </c>
      <c r="K108" s="16">
        <f t="shared" si="25"/>
        <v>0.16717430261986585</v>
      </c>
      <c r="L108" s="16">
        <f t="shared" si="26"/>
        <v>4.99772104752828E-2</v>
      </c>
      <c r="M108" s="16">
        <f t="shared" si="27"/>
        <v>5.078092406244282E-2</v>
      </c>
      <c r="N108" s="16">
        <f t="shared" si="28"/>
        <v>6.2404702575060596E-2</v>
      </c>
      <c r="O108" s="16">
        <f t="shared" si="29"/>
        <v>-2.2863794250482034E-2</v>
      </c>
      <c r="R108" s="5">
        <f t="shared" si="30"/>
        <v>-0.5</v>
      </c>
    </row>
    <row r="109" spans="2:18" x14ac:dyDescent="0.3">
      <c r="B109" s="16">
        <v>5.7235980692555199E-2</v>
      </c>
      <c r="C109" s="16">
        <f t="shared" si="21"/>
        <v>3.7631483708202074E-2</v>
      </c>
      <c r="D109" s="16" t="str">
        <f t="shared" si="17"/>
        <v xml:space="preserve"> </v>
      </c>
      <c r="E109" s="16" t="str">
        <f t="shared" si="18"/>
        <v xml:space="preserve"> </v>
      </c>
      <c r="F109" s="16" t="str">
        <f t="shared" si="19"/>
        <v xml:space="preserve"> </v>
      </c>
      <c r="G109" s="16">
        <f t="shared" si="22"/>
        <v>1.4133528221541356E-2</v>
      </c>
      <c r="H109" s="16">
        <f t="shared" si="23"/>
        <v>0.16610388557987379</v>
      </c>
      <c r="I109" s="16">
        <f t="shared" si="24"/>
        <v>0.16460105670536326</v>
      </c>
      <c r="J109" s="16">
        <f t="shared" si="20"/>
        <v>1.4133528221541356E-2</v>
      </c>
      <c r="K109" s="16">
        <f t="shared" si="25"/>
        <v>0.16460105670536326</v>
      </c>
      <c r="L109" s="16">
        <f t="shared" si="26"/>
        <v>5.1069731195531633E-2</v>
      </c>
      <c r="M109" s="16">
        <f t="shared" si="27"/>
        <v>5.1256377428211021E-2</v>
      </c>
      <c r="N109" s="16">
        <f t="shared" si="28"/>
        <v>6.3402230189578773E-2</v>
      </c>
      <c r="O109" s="16">
        <f t="shared" si="29"/>
        <v>-2.2989320985128313E-2</v>
      </c>
      <c r="R109" s="5">
        <f t="shared" si="30"/>
        <v>-0.5</v>
      </c>
    </row>
    <row r="110" spans="2:18" x14ac:dyDescent="0.3">
      <c r="B110" s="16">
        <v>5.8290346890925049E-2</v>
      </c>
      <c r="C110" s="16">
        <f t="shared" si="21"/>
        <v>3.7918580720234879E-2</v>
      </c>
      <c r="D110" s="16" t="str">
        <f t="shared" si="17"/>
        <v xml:space="preserve"> </v>
      </c>
      <c r="E110" s="16" t="str">
        <f t="shared" si="18"/>
        <v xml:space="preserve"> </v>
      </c>
      <c r="F110" s="16" t="str">
        <f t="shared" si="19"/>
        <v xml:space="preserve"> </v>
      </c>
      <c r="G110" s="16">
        <f t="shared" si="22"/>
        <v>1.4307263149501917E-2</v>
      </c>
      <c r="H110" s="16">
        <f t="shared" si="23"/>
        <v>0.16345233662283043</v>
      </c>
      <c r="I110" s="16">
        <f t="shared" si="24"/>
        <v>0.16201960035426288</v>
      </c>
      <c r="J110" s="16">
        <f t="shared" si="20"/>
        <v>1.4307263149501917E-2</v>
      </c>
      <c r="K110" s="16">
        <f t="shared" si="25"/>
        <v>0.16201960035426288</v>
      </c>
      <c r="L110" s="16">
        <f t="shared" si="26"/>
        <v>5.2173636745251835E-2</v>
      </c>
      <c r="M110" s="16">
        <f t="shared" si="27"/>
        <v>5.1729243599910824E-2</v>
      </c>
      <c r="N110" s="16">
        <f t="shared" si="28"/>
        <v>6.440705703659827E-2</v>
      </c>
      <c r="O110" s="16">
        <f t="shared" si="29"/>
        <v>-2.3114717300906987E-2</v>
      </c>
      <c r="R110" s="5">
        <f t="shared" si="30"/>
        <v>-0.5</v>
      </c>
    </row>
    <row r="111" spans="2:18" x14ac:dyDescent="0.3">
      <c r="B111" s="16">
        <v>5.9354044672362938E-2</v>
      </c>
      <c r="C111" s="16">
        <f t="shared" si="21"/>
        <v>3.8204242912439346E-2</v>
      </c>
      <c r="D111" s="16" t="str">
        <f t="shared" si="17"/>
        <v xml:space="preserve"> </v>
      </c>
      <c r="E111" s="16" t="str">
        <f t="shared" si="18"/>
        <v xml:space="preserve"> </v>
      </c>
      <c r="F111" s="16" t="str">
        <f t="shared" si="19"/>
        <v xml:space="preserve"> </v>
      </c>
      <c r="G111" s="16">
        <f t="shared" si="22"/>
        <v>1.447971221090155E-2</v>
      </c>
      <c r="H111" s="16">
        <f t="shared" si="23"/>
        <v>0.16079511100165383</v>
      </c>
      <c r="I111" s="16">
        <f t="shared" si="24"/>
        <v>0.15943043011470612</v>
      </c>
      <c r="J111" s="16">
        <f t="shared" si="20"/>
        <v>1.447971221090155E-2</v>
      </c>
      <c r="K111" s="16">
        <f t="shared" si="25"/>
        <v>0.15943043011470612</v>
      </c>
      <c r="L111" s="16">
        <f t="shared" si="26"/>
        <v>5.3288896244733389E-2</v>
      </c>
      <c r="M111" s="16">
        <f t="shared" si="27"/>
        <v>5.219944379880518E-2</v>
      </c>
      <c r="N111" s="16">
        <f t="shared" si="28"/>
        <v>6.5419193099992487E-2</v>
      </c>
      <c r="O111" s="16">
        <f t="shared" si="29"/>
        <v>-2.3240019377002076E-2</v>
      </c>
      <c r="R111" s="5">
        <f t="shared" si="30"/>
        <v>-0.5</v>
      </c>
    </row>
    <row r="112" spans="2:18" x14ac:dyDescent="0.3">
      <c r="B112" s="16">
        <v>6.0427063496481526E-2</v>
      </c>
      <c r="C112" s="16">
        <f t="shared" si="21"/>
        <v>3.8488460645467161E-2</v>
      </c>
      <c r="D112" s="16" t="str">
        <f t="shared" si="17"/>
        <v xml:space="preserve"> </v>
      </c>
      <c r="E112" s="16" t="str">
        <f t="shared" si="18"/>
        <v xml:space="preserve"> </v>
      </c>
      <c r="F112" s="16" t="str">
        <f t="shared" si="19"/>
        <v xml:space="preserve"> </v>
      </c>
      <c r="G112" s="16">
        <f t="shared" si="22"/>
        <v>1.4650818360044589E-2</v>
      </c>
      <c r="H112" s="16">
        <f t="shared" si="23"/>
        <v>0.15813270506335897</v>
      </c>
      <c r="I112" s="16">
        <f t="shared" si="24"/>
        <v>0.15683404827151232</v>
      </c>
      <c r="J112" s="16">
        <f t="shared" si="20"/>
        <v>1.4650818360044589E-2</v>
      </c>
      <c r="K112" s="16">
        <f t="shared" si="25"/>
        <v>0.15683404827151232</v>
      </c>
      <c r="L112" s="16">
        <f t="shared" si="26"/>
        <v>5.4415477720633404E-2</v>
      </c>
      <c r="M112" s="16">
        <f t="shared" si="27"/>
        <v>5.2666899685153507E-2</v>
      </c>
      <c r="N112" s="16">
        <f t="shared" si="28"/>
        <v>6.6438649272329647E-2</v>
      </c>
      <c r="O112" s="16">
        <f t="shared" si="29"/>
        <v>-2.3365262965064332E-2</v>
      </c>
      <c r="R112" s="5">
        <f t="shared" si="30"/>
        <v>-0.5</v>
      </c>
    </row>
    <row r="113" spans="2:18" x14ac:dyDescent="0.3">
      <c r="B113" s="16">
        <v>6.1509392730530021E-2</v>
      </c>
      <c r="C113" s="16">
        <f t="shared" si="21"/>
        <v>3.8771224268908874E-2</v>
      </c>
      <c r="D113" s="16" t="str">
        <f t="shared" si="17"/>
        <v xml:space="preserve"> </v>
      </c>
      <c r="E113" s="16" t="str">
        <f t="shared" si="18"/>
        <v xml:space="preserve"> </v>
      </c>
      <c r="F113" s="16" t="str">
        <f t="shared" si="19"/>
        <v xml:space="preserve"> </v>
      </c>
      <c r="G113" s="16">
        <f t="shared" si="22"/>
        <v>1.4820525008234596E-2</v>
      </c>
      <c r="H113" s="16">
        <f t="shared" si="23"/>
        <v>0.15546561878677642</v>
      </c>
      <c r="I113" s="16">
        <f t="shared" si="24"/>
        <v>0.15423096279011952</v>
      </c>
      <c r="J113" s="16">
        <f t="shared" si="20"/>
        <v>1.4820525008234596E-2</v>
      </c>
      <c r="K113" s="16">
        <f t="shared" si="25"/>
        <v>0.15423096279011952</v>
      </c>
      <c r="L113" s="16">
        <f t="shared" si="26"/>
        <v>5.5553348105094623E-2</v>
      </c>
      <c r="M113" s="16">
        <f t="shared" si="27"/>
        <v>5.3131533396553618E-2</v>
      </c>
      <c r="N113" s="16">
        <f t="shared" si="28"/>
        <v>6.7465437355965427E-2</v>
      </c>
      <c r="O113" s="16">
        <f t="shared" si="29"/>
        <v>-2.3490483380084429E-2</v>
      </c>
      <c r="R113" s="5">
        <f t="shared" si="30"/>
        <v>-0.5</v>
      </c>
    </row>
    <row r="114" spans="2:18" x14ac:dyDescent="0.3">
      <c r="B114" s="16">
        <v>6.2601021649498656E-2</v>
      </c>
      <c r="C114" s="16">
        <f t="shared" si="21"/>
        <v>3.9052524122849722E-2</v>
      </c>
      <c r="D114" s="16" t="str">
        <f t="shared" si="17"/>
        <v xml:space="preserve"> </v>
      </c>
      <c r="E114" s="16" t="str">
        <f t="shared" si="18"/>
        <v xml:space="preserve"> </v>
      </c>
      <c r="F114" s="16" t="str">
        <f t="shared" si="19"/>
        <v xml:space="preserve"> </v>
      </c>
      <c r="G114" s="16">
        <f t="shared" si="22"/>
        <v>1.4988776047603224E-2</v>
      </c>
      <c r="H114" s="16">
        <f t="shared" si="23"/>
        <v>0.15279435575882838</v>
      </c>
      <c r="I114" s="16">
        <f t="shared" si="24"/>
        <v>0.1516216872575111</v>
      </c>
      <c r="J114" s="16">
        <f t="shared" si="20"/>
        <v>1.4988776047603224E-2</v>
      </c>
      <c r="K114" s="16">
        <f t="shared" si="25"/>
        <v>0.1516216872575111</v>
      </c>
      <c r="L114" s="16">
        <f t="shared" si="26"/>
        <v>5.6702473235424045E-2</v>
      </c>
      <c r="M114" s="16">
        <f t="shared" si="27"/>
        <v>5.359326758644592E-2</v>
      </c>
      <c r="N114" s="16">
        <f t="shared" si="28"/>
        <v>6.8499570063573267E-2</v>
      </c>
      <c r="O114" s="16">
        <f t="shared" si="29"/>
        <v>-2.3615715491239475E-2</v>
      </c>
      <c r="R114" s="5">
        <f t="shared" si="30"/>
        <v>-0.5</v>
      </c>
    </row>
    <row r="115" spans="2:18" x14ac:dyDescent="0.3">
      <c r="B115" s="16">
        <v>6.3701939436225374E-2</v>
      </c>
      <c r="C115" s="16">
        <f t="shared" si="21"/>
        <v>3.933235053942738E-2</v>
      </c>
      <c r="D115" s="16" t="str">
        <f t="shared" si="17"/>
        <v xml:space="preserve"> </v>
      </c>
      <c r="E115" s="16" t="str">
        <f t="shared" si="18"/>
        <v xml:space="preserve"> </v>
      </c>
      <c r="F115" s="16" t="str">
        <f t="shared" si="19"/>
        <v xml:space="preserve"> </v>
      </c>
      <c r="G115" s="16">
        <f t="shared" si="22"/>
        <v>1.5155515875031042E-2</v>
      </c>
      <c r="H115" s="16">
        <f t="shared" si="23"/>
        <v>0.15011942315062457</v>
      </c>
      <c r="I115" s="16">
        <f t="shared" si="24"/>
        <v>0.14900674082016677</v>
      </c>
      <c r="J115" s="16">
        <f t="shared" si="20"/>
        <v>1.5155515875031042E-2</v>
      </c>
      <c r="K115" s="16">
        <f t="shared" si="25"/>
        <v>0.14900674082016677</v>
      </c>
      <c r="L115" s="16">
        <f t="shared" si="26"/>
        <v>5.7862817854342587E-2</v>
      </c>
      <c r="M115" s="16">
        <f t="shared" si="27"/>
        <v>5.4052025462761201E-2</v>
      </c>
      <c r="N115" s="16">
        <f t="shared" si="28"/>
        <v>6.9541061018108169E-2</v>
      </c>
      <c r="O115" s="16">
        <f t="shared" si="29"/>
        <v>-2.3740993712699117E-2</v>
      </c>
      <c r="R115" s="5">
        <f t="shared" si="30"/>
        <v>-0.5</v>
      </c>
    </row>
    <row r="116" spans="2:18" x14ac:dyDescent="0.3">
      <c r="B116" s="16">
        <v>6.4812135181502861E-2</v>
      </c>
      <c r="C116" s="16">
        <f t="shared" si="21"/>
        <v>3.9610693844390844E-2</v>
      </c>
      <c r="D116" s="16" t="str">
        <f t="shared" si="17"/>
        <v xml:space="preserve"> </v>
      </c>
      <c r="E116" s="16" t="str">
        <f t="shared" si="18"/>
        <v xml:space="preserve"> </v>
      </c>
      <c r="F116" s="16" t="str">
        <f t="shared" si="19"/>
        <v xml:space="preserve"> </v>
      </c>
      <c r="G116" s="16">
        <f t="shared" si="22"/>
        <v>1.5320689416156965E-2</v>
      </c>
      <c r="H116" s="16">
        <f t="shared" si="23"/>
        <v>0.14744133169338339</v>
      </c>
      <c r="I116" s="16">
        <f t="shared" si="24"/>
        <v>0.14638664811909546</v>
      </c>
      <c r="J116" s="16">
        <f t="shared" si="20"/>
        <v>1.5320689416156965E-2</v>
      </c>
      <c r="K116" s="16">
        <f t="shared" si="25"/>
        <v>0.14638664811909546</v>
      </c>
      <c r="L116" s="16">
        <f t="shared" si="26"/>
        <v>5.9034345610810064E-2</v>
      </c>
      <c r="M116" s="16">
        <f t="shared" si="27"/>
        <v>5.4507730826690318E-2</v>
      </c>
      <c r="N116" s="16">
        <f t="shared" si="28"/>
        <v>7.0589924752195665E-2</v>
      </c>
      <c r="O116" s="16">
        <f t="shared" si="29"/>
        <v>-2.3866351994376391E-2</v>
      </c>
      <c r="R116" s="5">
        <f t="shared" si="30"/>
        <v>-0.5</v>
      </c>
    </row>
    <row r="117" spans="2:18" x14ac:dyDescent="0.3">
      <c r="B117" s="16">
        <v>6.5931597884186899E-2</v>
      </c>
      <c r="C117" s="16">
        <f t="shared" si="21"/>
        <v>3.9887544358660099E-2</v>
      </c>
      <c r="D117" s="16" t="str">
        <f t="shared" si="17"/>
        <v xml:space="preserve"> </v>
      </c>
      <c r="E117" s="16" t="str">
        <f t="shared" si="18"/>
        <v xml:space="preserve"> </v>
      </c>
      <c r="F117" s="16" t="str">
        <f t="shared" si="19"/>
        <v xml:space="preserve"> </v>
      </c>
      <c r="G117" s="16">
        <f t="shared" si="22"/>
        <v>1.5484242149473422E-2</v>
      </c>
      <c r="H117" s="16">
        <f t="shared" si="23"/>
        <v>0.14476059565417762</v>
      </c>
      <c r="I117" s="16">
        <f t="shared" si="24"/>
        <v>0.14376193922200575</v>
      </c>
      <c r="J117" s="16">
        <f t="shared" si="20"/>
        <v>1.5484242149473422E-2</v>
      </c>
      <c r="K117" s="16">
        <f t="shared" si="25"/>
        <v>0.14376193922200575</v>
      </c>
      <c r="L117" s="16">
        <f t="shared" si="26"/>
        <v>6.0217019061432384E-2</v>
      </c>
      <c r="M117" s="16">
        <f t="shared" si="27"/>
        <v>5.4960308111554834E-2</v>
      </c>
      <c r="N117" s="16">
        <f t="shared" si="28"/>
        <v>7.1646176706941414E-2</v>
      </c>
      <c r="O117" s="16">
        <f t="shared" si="29"/>
        <v>-2.399182381260799E-2</v>
      </c>
      <c r="R117" s="5">
        <f t="shared" si="30"/>
        <v>-0.5</v>
      </c>
    </row>
    <row r="118" spans="2:18" x14ac:dyDescent="0.3">
      <c r="B118" s="16">
        <v>6.7060316451305058E-2</v>
      </c>
      <c r="C118" s="16">
        <f t="shared" si="21"/>
        <v>4.0162892399886595E-2</v>
      </c>
      <c r="D118" s="16" t="str">
        <f t="shared" si="17"/>
        <v xml:space="preserve"> </v>
      </c>
      <c r="E118" s="16" t="str">
        <f t="shared" si="18"/>
        <v xml:space="preserve"> </v>
      </c>
      <c r="F118" s="16" t="str">
        <f t="shared" si="19"/>
        <v xml:space="preserve"> </v>
      </c>
      <c r="G118" s="16">
        <f t="shared" si="22"/>
        <v>1.5646120130503951E-2</v>
      </c>
      <c r="H118" s="16">
        <f t="shared" si="23"/>
        <v>0.14207773281150704</v>
      </c>
      <c r="I118" s="16">
        <f t="shared" si="24"/>
        <v>0.14113314955267919</v>
      </c>
      <c r="J118" s="16">
        <f t="shared" si="20"/>
        <v>1.5646120130503951E-2</v>
      </c>
      <c r="K118" s="16">
        <f t="shared" si="25"/>
        <v>0.14113314955267919</v>
      </c>
      <c r="L118" s="16">
        <f t="shared" si="26"/>
        <v>6.1410799672454698E-2</v>
      </c>
      <c r="M118" s="16">
        <f t="shared" si="27"/>
        <v>5.5409682421756937E-2</v>
      </c>
      <c r="N118" s="16">
        <f t="shared" si="28"/>
        <v>7.270983323015541E-2</v>
      </c>
      <c r="O118" s="16">
        <f t="shared" si="29"/>
        <v>-2.4117442160749038E-2</v>
      </c>
      <c r="R118" s="5">
        <f t="shared" si="30"/>
        <v>-0.5</v>
      </c>
    </row>
    <row r="119" spans="2:18" x14ac:dyDescent="0.3">
      <c r="B119" s="16">
        <v>6.8198279698166608E-2</v>
      </c>
      <c r="C119" s="16">
        <f t="shared" si="21"/>
        <v>4.0436728284013887E-2</v>
      </c>
      <c r="D119" s="16" t="str">
        <f t="shared" si="17"/>
        <v xml:space="preserve"> </v>
      </c>
      <c r="E119" s="16" t="str">
        <f t="shared" si="18"/>
        <v xml:space="preserve"> </v>
      </c>
      <c r="F119" s="16" t="str">
        <f t="shared" si="19"/>
        <v xml:space="preserve"> </v>
      </c>
      <c r="G119" s="16">
        <f t="shared" si="22"/>
        <v>1.5806270016060352E-2</v>
      </c>
      <c r="H119" s="16">
        <f t="shared" si="23"/>
        <v>0.13939326443069766</v>
      </c>
      <c r="I119" s="16">
        <f t="shared" si="24"/>
        <v>0.13850081981761403</v>
      </c>
      <c r="J119" s="16">
        <f t="shared" si="20"/>
        <v>1.5806270016060352E-2</v>
      </c>
      <c r="K119" s="16">
        <f t="shared" si="25"/>
        <v>0.13850081981761403</v>
      </c>
      <c r="L119" s="16">
        <f t="shared" si="26"/>
        <v>6.2615647822345466E-2</v>
      </c>
      <c r="M119" s="16">
        <f t="shared" si="27"/>
        <v>5.5855779571786925E-2</v>
      </c>
      <c r="N119" s="16">
        <f t="shared" si="28"/>
        <v>7.3780911573987751E-2</v>
      </c>
      <c r="O119" s="16">
        <f t="shared" si="29"/>
        <v>-2.4243239539666221E-2</v>
      </c>
      <c r="R119" s="5">
        <f t="shared" si="30"/>
        <v>-0.5</v>
      </c>
    </row>
    <row r="120" spans="2:18" x14ac:dyDescent="0.3">
      <c r="B120" s="16">
        <v>6.9345476348473767E-2</v>
      </c>
      <c r="C120" s="16">
        <f t="shared" si="21"/>
        <v>4.0709042326838557E-2</v>
      </c>
      <c r="D120" s="16" t="str">
        <f t="shared" si="17"/>
        <v xml:space="preserve"> </v>
      </c>
      <c r="E120" s="16" t="str">
        <f t="shared" si="18"/>
        <v xml:space="preserve"> </v>
      </c>
      <c r="F120" s="16" t="str">
        <f t="shared" si="19"/>
        <v xml:space="preserve"> </v>
      </c>
      <c r="G120" s="16">
        <f t="shared" si="22"/>
        <v>1.5964639088576194E-2</v>
      </c>
      <c r="H120" s="16">
        <f t="shared" si="23"/>
        <v>0.13670771523912786</v>
      </c>
      <c r="I120" s="16">
        <f t="shared" si="24"/>
        <v>0.13586549593001299</v>
      </c>
      <c r="J120" s="16">
        <f t="shared" si="20"/>
        <v>1.5964639088576194E-2</v>
      </c>
      <c r="K120" s="16">
        <f t="shared" si="25"/>
        <v>0.13586549593001299</v>
      </c>
      <c r="L120" s="16">
        <f t="shared" si="26"/>
        <v>6.3831522804974797E-2</v>
      </c>
      <c r="M120" s="16">
        <f t="shared" si="27"/>
        <v>5.6298526125266174E-2</v>
      </c>
      <c r="N120" s="16">
        <f t="shared" si="28"/>
        <v>7.4859429891972737E-2</v>
      </c>
      <c r="O120" s="16">
        <f t="shared" si="29"/>
        <v>-2.4369247948113789E-2</v>
      </c>
      <c r="R120" s="5">
        <f t="shared" si="30"/>
        <v>-0.5</v>
      </c>
    </row>
    <row r="121" spans="2:18" x14ac:dyDescent="0.3">
      <c r="B121" s="16">
        <v>7.050189503443316E-2</v>
      </c>
      <c r="C121" s="16">
        <f t="shared" si="21"/>
        <v>4.097982484557082E-2</v>
      </c>
      <c r="D121" s="16" t="str">
        <f t="shared" si="17"/>
        <v xml:space="preserve"> </v>
      </c>
      <c r="E121" s="16" t="str">
        <f t="shared" si="18"/>
        <v xml:space="preserve"> </v>
      </c>
      <c r="F121" s="16" t="str">
        <f t="shared" si="19"/>
        <v xml:space="preserve"> </v>
      </c>
      <c r="G121" s="16">
        <f t="shared" si="22"/>
        <v>1.6121175280513489E-2</v>
      </c>
      <c r="H121" s="16">
        <f t="shared" si="23"/>
        <v>0.13402161340128543</v>
      </c>
      <c r="I121" s="16">
        <f t="shared" si="24"/>
        <v>0.13322772893119791</v>
      </c>
      <c r="J121" s="16">
        <f t="shared" si="20"/>
        <v>1.6121175280513489E-2</v>
      </c>
      <c r="K121" s="16">
        <f t="shared" si="25"/>
        <v>0.13322772893119791</v>
      </c>
      <c r="L121" s="16">
        <f t="shared" si="26"/>
        <v>6.5058382833388217E-2</v>
      </c>
      <c r="M121" s="16">
        <f t="shared" si="27"/>
        <v>5.6737849434002945E-2</v>
      </c>
      <c r="N121" s="16">
        <f t="shared" si="28"/>
        <v>7.5945407235478102E-2</v>
      </c>
      <c r="O121" s="16">
        <f t="shared" si="29"/>
        <v>-2.4495498872975967E-2</v>
      </c>
      <c r="R121" s="5">
        <f t="shared" si="30"/>
        <v>-0.5</v>
      </c>
    </row>
    <row r="122" spans="2:18" x14ac:dyDescent="0.3">
      <c r="B122" s="16">
        <v>7.1667524296868401E-2</v>
      </c>
      <c r="C122" s="16">
        <f t="shared" si="21"/>
        <v>4.1249066160394414E-2</v>
      </c>
      <c r="D122" s="16" t="str">
        <f t="shared" si="17"/>
        <v xml:space="preserve"> </v>
      </c>
      <c r="E122" s="16" t="str">
        <f t="shared" si="18"/>
        <v xml:space="preserve"> </v>
      </c>
      <c r="F122" s="16" t="str">
        <f t="shared" si="19"/>
        <v xml:space="preserve"> </v>
      </c>
      <c r="G122" s="16">
        <f t="shared" si="22"/>
        <v>1.6275827198839465E-2</v>
      </c>
      <c r="H122" s="16">
        <f t="shared" si="23"/>
        <v>0.13133549049365403</v>
      </c>
      <c r="I122" s="16">
        <f t="shared" si="24"/>
        <v>0.13058807490953372</v>
      </c>
      <c r="J122" s="16">
        <f t="shared" si="20"/>
        <v>1.6275827198839465E-2</v>
      </c>
      <c r="K122" s="16">
        <f t="shared" si="25"/>
        <v>0.13058807490953372</v>
      </c>
      <c r="L122" s="16">
        <f t="shared" si="26"/>
        <v>6.6296185044178044E-2</v>
      </c>
      <c r="M122" s="16">
        <f t="shared" si="27"/>
        <v>5.7173677677038237E-2</v>
      </c>
      <c r="N122" s="16">
        <f t="shared" si="28"/>
        <v>7.7038863549558759E-2</v>
      </c>
      <c r="O122" s="16">
        <f t="shared" si="29"/>
        <v>-2.4622023279359306E-2</v>
      </c>
      <c r="R122" s="5">
        <f t="shared" si="30"/>
        <v>-0.5</v>
      </c>
    </row>
    <row r="123" spans="2:18" x14ac:dyDescent="0.3">
      <c r="B123" s="16">
        <v>7.2842352585333559E-2</v>
      </c>
      <c r="C123" s="16">
        <f t="shared" si="21"/>
        <v>4.151675659602605E-2</v>
      </c>
      <c r="D123" s="16" t="str">
        <f t="shared" si="17"/>
        <v xml:space="preserve"> </v>
      </c>
      <c r="E123" s="16" t="str">
        <f t="shared" si="18"/>
        <v xml:space="preserve"> </v>
      </c>
      <c r="F123" s="16" t="str">
        <f t="shared" si="19"/>
        <v xml:space="preserve"> </v>
      </c>
      <c r="G123" s="16">
        <f t="shared" si="22"/>
        <v>1.6428544149570273E-2</v>
      </c>
      <c r="H123" s="16">
        <f t="shared" si="23"/>
        <v>0.12864988147943118</v>
      </c>
      <c r="I123" s="16">
        <f t="shared" si="24"/>
        <v>0.1279470949169528</v>
      </c>
      <c r="J123" s="16">
        <f t="shared" si="20"/>
        <v>1.6428544149570273E-2</v>
      </c>
      <c r="K123" s="16">
        <f t="shared" si="25"/>
        <v>0.1279470949169528</v>
      </c>
      <c r="L123" s="16">
        <f t="shared" si="26"/>
        <v>6.7544885502452939E-2</v>
      </c>
      <c r="M123" s="16">
        <f t="shared" si="27"/>
        <v>5.7605939899659522E-2</v>
      </c>
      <c r="N123" s="16">
        <f t="shared" si="28"/>
        <v>7.8139819668214178E-2</v>
      </c>
      <c r="O123" s="16">
        <f t="shared" si="29"/>
        <v>-2.4748851600518981E-2</v>
      </c>
      <c r="R123" s="5">
        <f t="shared" si="30"/>
        <v>-0.5</v>
      </c>
    </row>
    <row r="124" spans="2:18" x14ac:dyDescent="0.3">
      <c r="B124" s="16">
        <v>7.4026368258227948E-2</v>
      </c>
      <c r="C124" s="16">
        <f t="shared" si="21"/>
        <v>4.1782886483273531E-2</v>
      </c>
      <c r="D124" s="16" t="str">
        <f t="shared" si="17"/>
        <v xml:space="preserve"> </v>
      </c>
      <c r="E124" s="16" t="str">
        <f t="shared" si="18"/>
        <v xml:space="preserve"> </v>
      </c>
      <c r="F124" s="16" t="str">
        <f t="shared" si="19"/>
        <v xml:space="preserve"> </v>
      </c>
      <c r="G124" s="16">
        <f t="shared" si="22"/>
        <v>1.6579276162378514E-2</v>
      </c>
      <c r="H124" s="16">
        <f t="shared" si="23"/>
        <v>0.12596532468307708</v>
      </c>
      <c r="I124" s="16">
        <f t="shared" si="24"/>
        <v>0.12530535488317357</v>
      </c>
      <c r="J124" s="16">
        <f t="shared" si="20"/>
        <v>1.6579276162378514E-2</v>
      </c>
      <c r="K124" s="16">
        <f t="shared" si="25"/>
        <v>0.12530535488317357</v>
      </c>
      <c r="L124" s="16">
        <f t="shared" si="26"/>
        <v>6.8804439207405504E-2</v>
      </c>
      <c r="M124" s="16">
        <f t="shared" si="27"/>
        <v>5.8034566052358766E-2</v>
      </c>
      <c r="N124" s="16">
        <f t="shared" si="28"/>
        <v>7.9248297309050392E-2</v>
      </c>
      <c r="O124" s="16">
        <f t="shared" si="29"/>
        <v>-2.4876013727601735E-2</v>
      </c>
      <c r="R124" s="5">
        <f t="shared" si="30"/>
        <v>-0.5</v>
      </c>
    </row>
    <row r="125" spans="2:18" x14ac:dyDescent="0.3">
      <c r="B125" s="16">
        <v>7.5219559582911377E-2</v>
      </c>
      <c r="C125" s="16">
        <f t="shared" si="21"/>
        <v>4.204744616059259E-2</v>
      </c>
      <c r="D125" s="16" t="str">
        <f t="shared" si="17"/>
        <v xml:space="preserve"> </v>
      </c>
      <c r="E125" s="16" t="str">
        <f t="shared" si="18"/>
        <v xml:space="preserve"> </v>
      </c>
      <c r="F125" s="16" t="str">
        <f t="shared" si="19"/>
        <v xml:space="preserve"> </v>
      </c>
      <c r="G125" s="16">
        <f t="shared" si="22"/>
        <v>1.672797401526133E-2</v>
      </c>
      <c r="H125" s="16">
        <f t="shared" si="23"/>
        <v>0.12328236176469802</v>
      </c>
      <c r="I125" s="16">
        <f t="shared" si="24"/>
        <v>0.12266342552771589</v>
      </c>
      <c r="J125" s="16">
        <f t="shared" si="20"/>
        <v>1.672797401526133E-2</v>
      </c>
      <c r="K125" s="16">
        <f t="shared" si="25"/>
        <v>0.12266342552771589</v>
      </c>
      <c r="L125" s="16">
        <f t="shared" si="26"/>
        <v>7.0074800098475706E-2</v>
      </c>
      <c r="M125" s="16">
        <f t="shared" si="27"/>
        <v>5.845948702971171E-2</v>
      </c>
      <c r="N125" s="16">
        <f t="shared" si="28"/>
        <v>8.0364319067347048E-2</v>
      </c>
      <c r="O125" s="16">
        <f t="shared" si="29"/>
        <v>-2.5003538999189053E-2</v>
      </c>
      <c r="R125" s="5">
        <f t="shared" si="30"/>
        <v>-0.5</v>
      </c>
    </row>
    <row r="126" spans="2:18" x14ac:dyDescent="0.3">
      <c r="B126" s="16">
        <v>7.6421914735820273E-2</v>
      </c>
      <c r="C126" s="16">
        <f t="shared" si="21"/>
        <v>4.2310425975642031E-2</v>
      </c>
      <c r="D126" s="16" t="str">
        <f t="shared" si="17"/>
        <v xml:space="preserve"> </v>
      </c>
      <c r="E126" s="16" t="str">
        <f t="shared" si="18"/>
        <v xml:space="preserve"> </v>
      </c>
      <c r="F126" s="16" t="str">
        <f t="shared" si="19"/>
        <v xml:space="preserve"> </v>
      </c>
      <c r="G126" s="16">
        <f t="shared" si="22"/>
        <v>1.6874589259265854E-2</v>
      </c>
      <c r="H126" s="16">
        <f t="shared" si="23"/>
        <v>0.12060153769426414</v>
      </c>
      <c r="I126" s="16">
        <f t="shared" si="24"/>
        <v>0.1200218822698173</v>
      </c>
      <c r="J126" s="16">
        <f t="shared" si="20"/>
        <v>1.6874589259265854E-2</v>
      </c>
      <c r="K126" s="16">
        <f t="shared" si="25"/>
        <v>0.1200218822698173</v>
      </c>
      <c r="L126" s="16">
        <f t="shared" si="26"/>
        <v>7.1355921062108432E-2</v>
      </c>
      <c r="M126" s="16">
        <f t="shared" si="27"/>
        <v>5.8880634709155513E-2</v>
      </c>
      <c r="N126" s="16">
        <f t="shared" si="28"/>
        <v>8.1487908409532114E-2</v>
      </c>
      <c r="O126" s="16">
        <f t="shared" si="29"/>
        <v>-2.5131456190623805E-2</v>
      </c>
      <c r="R126" s="5">
        <f t="shared" si="30"/>
        <v>-0.5</v>
      </c>
    </row>
    <row r="127" spans="2:18" x14ac:dyDescent="0.3">
      <c r="B127" s="16">
        <v>7.7633421802584812E-2</v>
      </c>
      <c r="C127" s="16">
        <f t="shared" si="21"/>
        <v>4.2571816286836921E-2</v>
      </c>
      <c r="D127" s="16" t="str">
        <f t="shared" si="17"/>
        <v xml:space="preserve"> </v>
      </c>
      <c r="E127" s="16" t="str">
        <f t="shared" si="18"/>
        <v xml:space="preserve"> </v>
      </c>
      <c r="F127" s="16" t="str">
        <f t="shared" si="19"/>
        <v xml:space="preserve"> </v>
      </c>
      <c r="G127" s="16">
        <f t="shared" si="22"/>
        <v>1.7019074243268956E-2</v>
      </c>
      <c r="H127" s="16">
        <f t="shared" si="23"/>
        <v>0.11792340072566219</v>
      </c>
      <c r="I127" s="16">
        <f t="shared" si="24"/>
        <v>0.11738130513635886</v>
      </c>
      <c r="J127" s="16">
        <f t="shared" si="20"/>
        <v>1.7019074243268956E-2</v>
      </c>
      <c r="K127" s="16">
        <f t="shared" si="25"/>
        <v>0.11738130513635886</v>
      </c>
      <c r="L127" s="16">
        <f t="shared" si="26"/>
        <v>7.2647753939102097E-2</v>
      </c>
      <c r="M127" s="16">
        <f t="shared" si="27"/>
        <v>5.9297941989641126E-2</v>
      </c>
      <c r="N127" s="16">
        <f t="shared" si="28"/>
        <v>8.2619089666067527E-2</v>
      </c>
      <c r="O127" s="16">
        <f t="shared" si="29"/>
        <v>-2.5259793503103214E-2</v>
      </c>
      <c r="R127" s="5">
        <f t="shared" si="30"/>
        <v>-0.5</v>
      </c>
    </row>
    <row r="128" spans="2:18" x14ac:dyDescent="0.3">
      <c r="B128" s="16">
        <v>7.8854068778147268E-2</v>
      </c>
      <c r="C128" s="16">
        <f t="shared" si="21"/>
        <v>4.283160746489962E-2</v>
      </c>
      <c r="D128" s="16" t="str">
        <f t="shared" si="17"/>
        <v xml:space="preserve"> </v>
      </c>
      <c r="E128" s="16" t="str">
        <f t="shared" si="18"/>
        <v xml:space="preserve"> </v>
      </c>
      <c r="F128" s="16" t="str">
        <f t="shared" si="19"/>
        <v xml:space="preserve"> </v>
      </c>
      <c r="G128" s="16">
        <f t="shared" si="22"/>
        <v>1.7161382138807933E-2</v>
      </c>
      <c r="H128" s="16">
        <f t="shared" si="23"/>
        <v>0.11524850237058408</v>
      </c>
      <c r="I128" s="16">
        <f t="shared" si="24"/>
        <v>0.11474227866791518</v>
      </c>
      <c r="J128" s="16">
        <f t="shared" si="20"/>
        <v>1.7161382138807933E-2</v>
      </c>
      <c r="K128" s="16">
        <f t="shared" si="25"/>
        <v>0.11474227866791518</v>
      </c>
      <c r="L128" s="16">
        <f t="shared" si="26"/>
        <v>7.395024953254431E-2</v>
      </c>
      <c r="M128" s="16">
        <f t="shared" si="27"/>
        <v>5.9711342830137591E-2</v>
      </c>
      <c r="N128" s="16">
        <f t="shared" si="28"/>
        <v>8.3757888023750227E-2</v>
      </c>
      <c r="O128" s="16">
        <f t="shared" si="29"/>
        <v>-2.5388578552521725E-2</v>
      </c>
      <c r="R128" s="5">
        <f t="shared" si="30"/>
        <v>-0.5</v>
      </c>
    </row>
    <row r="129" spans="2:18" x14ac:dyDescent="0.3">
      <c r="B129" s="16">
        <v>8.0083843566880586E-2</v>
      </c>
      <c r="C129" s="16">
        <f t="shared" si="21"/>
        <v>4.3089789894408134E-2</v>
      </c>
      <c r="D129" s="16" t="str">
        <f t="shared" ref="D129:D192" si="31">IF($Q$1=1, IF(B129&lt;$A$8, ($A$10/6)*((B129^3)-3*$A$8*(B129^2)+($A$8^2)*(3-$A$8)*B129), (($A$10*($A$8^3))/6)*(1-B129)), " ")</f>
        <v xml:space="preserve"> </v>
      </c>
      <c r="E129" s="16" t="str">
        <f t="shared" ref="E129:E192" si="32">IF($Q$1=1,IF(B129&lt;$A$8, ($A$10/6)*(3*(B129^2)-6*$A$8*B129+($A$8^2)*(3-$A$8)), -($A$10*($A$8^3))/6), " ")</f>
        <v xml:space="preserve"> </v>
      </c>
      <c r="F129" s="16" t="str">
        <f t="shared" ref="F129:F192" si="33">IF($Q$1=1, ATAN(E129), " ")</f>
        <v xml:space="preserve"> </v>
      </c>
      <c r="G129" s="16">
        <f t="shared" si="22"/>
        <v>1.7301466964959013E-2</v>
      </c>
      <c r="H129" s="16">
        <f t="shared" si="23"/>
        <v>0.11257739737225458</v>
      </c>
      <c r="I129" s="16">
        <f t="shared" si="24"/>
        <v>0.11210539182304882</v>
      </c>
      <c r="J129" s="16">
        <f t="shared" ref="J129:J192" si="34">IF($Q$1=1, D129, G129)</f>
        <v>1.7301466964959013E-2</v>
      </c>
      <c r="K129" s="16">
        <f t="shared" si="25"/>
        <v>0.11210539182304882</v>
      </c>
      <c r="L129" s="16">
        <f t="shared" si="26"/>
        <v>7.5263357616328699E-2</v>
      </c>
      <c r="M129" s="16">
        <f t="shared" si="27"/>
        <v>6.0120772287964544E-2</v>
      </c>
      <c r="N129" s="16">
        <f t="shared" si="28"/>
        <v>8.4904329517432472E-2</v>
      </c>
      <c r="O129" s="16">
        <f t="shared" si="29"/>
        <v>-2.5517838358046514E-2</v>
      </c>
      <c r="R129" s="5">
        <f t="shared" si="30"/>
        <v>-0.5</v>
      </c>
    </row>
    <row r="130" spans="2:18" x14ac:dyDescent="0.3">
      <c r="B130" s="16">
        <v>8.1322733982708617E-2</v>
      </c>
      <c r="C130" s="16">
        <f t="shared" ref="C130:C193" si="35">IF(AND($Q$1=2, $A$3=1), 0, IF($T$3, 5*$A$7*(0.2969*SQRT(B130)-0.126*B130-0.3516*(B130^2)+0.2843*(B130^3)-0.1036*(B130^4)),  5*$A$7*(0.2969*SQRT(B130)-0.126*B130-0.3516*(B130^2)+0.2843*(B130^3)-0.1015*(B130^4))))</f>
        <v>4.3346353975341922E-2</v>
      </c>
      <c r="D130" s="16" t="str">
        <f t="shared" si="31"/>
        <v xml:space="preserve"> </v>
      </c>
      <c r="E130" s="16" t="str">
        <f t="shared" si="32"/>
        <v xml:space="preserve"> </v>
      </c>
      <c r="F130" s="16" t="str">
        <f t="shared" si="33"/>
        <v xml:space="preserve"> </v>
      </c>
      <c r="G130" s="16">
        <f t="shared" ref="G130:G193" si="36">IF($Q$1=2, IF(A132&lt;&gt;1, IF(B130&lt;$A$11, ($A$12/6)*((B130-$A$11)^3-$A$13*((1-$A$11)^3)*B130-($A$11^3)*B130+$A$11^3), ($A$12/6)*($A$13*(B130-$A$11)^3-$A$13*((1-$A$11)^3)*B130-($A$11^3)*B130+$A$11^3)), 0), " ")</f>
        <v>1.743928361326039E-2</v>
      </c>
      <c r="H130" s="16">
        <f t="shared" ref="H130:H193" si="37">IF($Q$1=2, IF(A132&lt;&gt;1, IF(B130&lt;$A$11, ($A$12/6)*(3*(B130-$A$11)^2-$A$13*((1-$A$11)^3)-($A$11^3)), ($A$12/6)*(3*$A$13*(B130-$A$11)^2-$A$13*((1-$A$11)^3)-($A$11^3))),0 ), " ")</f>
        <v>0.10991064367899586</v>
      </c>
      <c r="I130" s="16">
        <f t="shared" ref="I130:I193" si="38">IF($Q$1=2, IF(A132&lt;&gt;1,  ATAN(H130), 0), " ")</f>
        <v>0.10947123788096862</v>
      </c>
      <c r="J130" s="16">
        <f t="shared" si="34"/>
        <v>1.743928361326039E-2</v>
      </c>
      <c r="K130" s="16">
        <f t="shared" ref="K130:K193" si="39">IF($Q$1=1, F130, I130)</f>
        <v>0.10947123788096862</v>
      </c>
      <c r="L130" s="16">
        <f t="shared" ref="L130:L193" si="40">B130-C130*SIN(K130)</f>
        <v>7.6587026944248307E-2</v>
      </c>
      <c r="M130" s="16">
        <f t="shared" ref="M130:M193" si="41">J130+C130*COS(K130)</f>
        <v>6.0526166556930355E-2</v>
      </c>
      <c r="N130" s="16">
        <f t="shared" ref="N130:N193" si="42">B130+C130*SIN(K130)</f>
        <v>8.6058441021168927E-2</v>
      </c>
      <c r="O130" s="16">
        <f t="shared" ref="O130:O193" si="43">J130-C130*COS(K130)</f>
        <v>-2.5647599330409578E-2</v>
      </c>
      <c r="R130" s="5">
        <f t="shared" ref="R130:R193" si="44">IF($T$1, J130, -0.5)</f>
        <v>-0.5</v>
      </c>
    </row>
    <row r="131" spans="2:18" x14ac:dyDescent="0.3">
      <c r="B131" s="16">
        <v>8.2570727749226691E-2</v>
      </c>
      <c r="C131" s="16">
        <f t="shared" si="35"/>
        <v>4.3601290124624319E-2</v>
      </c>
      <c r="D131" s="16" t="str">
        <f t="shared" si="31"/>
        <v xml:space="preserve"> </v>
      </c>
      <c r="E131" s="16" t="str">
        <f t="shared" si="32"/>
        <v xml:space="preserve"> </v>
      </c>
      <c r="F131" s="16" t="str">
        <f t="shared" si="33"/>
        <v xml:space="preserve"> </v>
      </c>
      <c r="G131" s="16">
        <f t="shared" si="36"/>
        <v>1.7574787872676568E-2</v>
      </c>
      <c r="H131" s="16">
        <f t="shared" si="37"/>
        <v>0.10724880241763292</v>
      </c>
      <c r="I131" s="16">
        <f t="shared" si="38"/>
        <v>0.10684041434268156</v>
      </c>
      <c r="J131" s="16">
        <f t="shared" si="34"/>
        <v>1.7574787872676568E-2</v>
      </c>
      <c r="K131" s="16">
        <f t="shared" si="39"/>
        <v>0.10684041434268156</v>
      </c>
      <c r="L131" s="16">
        <f t="shared" si="40"/>
        <v>7.7921205259657247E-2</v>
      </c>
      <c r="M131" s="16">
        <f t="shared" si="41"/>
        <v>6.09274630052523E-2</v>
      </c>
      <c r="N131" s="16">
        <f t="shared" si="42"/>
        <v>8.7220250238796135E-2</v>
      </c>
      <c r="O131" s="16">
        <f t="shared" si="43"/>
        <v>-2.5777887259899161E-2</v>
      </c>
      <c r="R131" s="5">
        <f t="shared" si="44"/>
        <v>-0.5</v>
      </c>
    </row>
    <row r="132" spans="2:18" x14ac:dyDescent="0.3">
      <c r="B132" s="16">
        <v>8.3827812499823295E-2</v>
      </c>
      <c r="C132" s="16">
        <f t="shared" si="35"/>
        <v>4.3854588777661768E-2</v>
      </c>
      <c r="D132" s="16" t="str">
        <f t="shared" si="31"/>
        <v xml:space="preserve"> </v>
      </c>
      <c r="E132" s="16" t="str">
        <f t="shared" si="32"/>
        <v xml:space="preserve"> </v>
      </c>
      <c r="F132" s="16" t="str">
        <f t="shared" si="33"/>
        <v xml:space="preserve"> </v>
      </c>
      <c r="G132" s="16">
        <f t="shared" si="36"/>
        <v>1.7707936454600771E-2</v>
      </c>
      <c r="H132" s="16">
        <f t="shared" si="37"/>
        <v>0.10459243786673947</v>
      </c>
      <c r="I132" s="16">
        <f t="shared" si="38"/>
        <v>0.10421352283076681</v>
      </c>
      <c r="J132" s="16">
        <f t="shared" si="34"/>
        <v>1.7707936454600771E-2</v>
      </c>
      <c r="K132" s="16">
        <f t="shared" si="39"/>
        <v>0.10421352283076681</v>
      </c>
      <c r="L132" s="16">
        <f t="shared" si="40"/>
        <v>7.9265839305693753E-2</v>
      </c>
      <c r="M132" s="16">
        <f t="shared" si="41"/>
        <v>6.1324600213236199E-2</v>
      </c>
      <c r="N132" s="16">
        <f t="shared" si="42"/>
        <v>8.8389785693952838E-2</v>
      </c>
      <c r="O132" s="16">
        <f t="shared" si="43"/>
        <v>-2.5908727304034655E-2</v>
      </c>
      <c r="R132" s="5">
        <f t="shared" si="44"/>
        <v>-0.5</v>
      </c>
    </row>
    <row r="133" spans="2:18" x14ac:dyDescent="0.3">
      <c r="B133" s="16">
        <v>8.5093975777802311E-2</v>
      </c>
      <c r="C133" s="16">
        <f t="shared" si="35"/>
        <v>4.4106240389879349E-2</v>
      </c>
      <c r="D133" s="16" t="str">
        <f t="shared" si="31"/>
        <v xml:space="preserve"> </v>
      </c>
      <c r="E133" s="16" t="str">
        <f t="shared" si="32"/>
        <v xml:space="preserve"> </v>
      </c>
      <c r="F133" s="16" t="str">
        <f t="shared" si="33"/>
        <v xml:space="preserve"> </v>
      </c>
      <c r="G133" s="16">
        <f t="shared" si="36"/>
        <v>1.7838687017892117E-2</v>
      </c>
      <c r="H133" s="16">
        <f t="shared" si="37"/>
        <v>0.10194211742972643</v>
      </c>
      <c r="I133" s="16">
        <f t="shared" si="38"/>
        <v>0.10159116898790692</v>
      </c>
      <c r="J133" s="16">
        <f t="shared" si="34"/>
        <v>1.7838687017892117E-2</v>
      </c>
      <c r="K133" s="16">
        <f t="shared" si="39"/>
        <v>0.10159116898790692</v>
      </c>
      <c r="L133" s="16">
        <f t="shared" si="40"/>
        <v>8.0620874836055109E-2</v>
      </c>
      <c r="M133" s="16">
        <f t="shared" si="41"/>
        <v>6.1717518010692786E-2</v>
      </c>
      <c r="N133" s="16">
        <f t="shared" si="42"/>
        <v>8.9567076719549513E-2</v>
      </c>
      <c r="O133" s="16">
        <f t="shared" si="43"/>
        <v>-2.6040143974908551E-2</v>
      </c>
      <c r="R133" s="5">
        <f t="shared" si="44"/>
        <v>-0.5</v>
      </c>
    </row>
    <row r="134" spans="2:18" x14ac:dyDescent="0.3">
      <c r="B134" s="16">
        <v>8.6369205036507135E-2</v>
      </c>
      <c r="C134" s="16">
        <f t="shared" si="35"/>
        <v>4.435623543825238E-2</v>
      </c>
      <c r="D134" s="16" t="str">
        <f t="shared" si="31"/>
        <v xml:space="preserve"> </v>
      </c>
      <c r="E134" s="16" t="str">
        <f t="shared" si="32"/>
        <v xml:space="preserve"> </v>
      </c>
      <c r="F134" s="16" t="str">
        <f t="shared" si="33"/>
        <v xml:space="preserve"> </v>
      </c>
      <c r="G134" s="16">
        <f t="shared" si="36"/>
        <v>1.79669981939444E-2</v>
      </c>
      <c r="H134" s="16">
        <f t="shared" si="37"/>
        <v>9.9298411607771184E-2</v>
      </c>
      <c r="I134" s="16">
        <f t="shared" si="38"/>
        <v>9.8973962374310373E-2</v>
      </c>
      <c r="J134" s="16">
        <f t="shared" si="34"/>
        <v>1.79669981939444E-2</v>
      </c>
      <c r="K134" s="16">
        <f t="shared" si="39"/>
        <v>9.8973962374310373E-2</v>
      </c>
      <c r="L134" s="16">
        <f t="shared" si="40"/>
        <v>8.1986256626316478E-2</v>
      </c>
      <c r="M134" s="16">
        <f t="shared" si="41"/>
        <v>6.2106157514068332E-2</v>
      </c>
      <c r="N134" s="16">
        <f t="shared" si="42"/>
        <v>9.0752153446697792E-2</v>
      </c>
      <c r="O134" s="16">
        <f t="shared" si="43"/>
        <v>-2.6172161126179531E-2</v>
      </c>
      <c r="R134" s="5">
        <f t="shared" si="44"/>
        <v>-0.5</v>
      </c>
    </row>
    <row r="135" spans="2:18" x14ac:dyDescent="0.3">
      <c r="B135" s="16">
        <v>8.7653487639444361E-2</v>
      </c>
      <c r="C135" s="16">
        <f t="shared" si="35"/>
        <v>4.4604564422833705E-2</v>
      </c>
      <c r="D135" s="16" t="str">
        <f t="shared" si="31"/>
        <v xml:space="preserve"> </v>
      </c>
      <c r="E135" s="16" t="str">
        <f t="shared" si="32"/>
        <v xml:space="preserve"> </v>
      </c>
      <c r="F135" s="16" t="str">
        <f t="shared" si="33"/>
        <v xml:space="preserve"> </v>
      </c>
      <c r="G135" s="16">
        <f t="shared" si="36"/>
        <v>1.8092829611783021E-2</v>
      </c>
      <c r="H135" s="16">
        <f t="shared" si="37"/>
        <v>9.6661893972594073E-2</v>
      </c>
      <c r="I135" s="16">
        <f t="shared" si="38"/>
        <v>9.636251636417105E-2</v>
      </c>
      <c r="J135" s="16">
        <f t="shared" si="34"/>
        <v>1.8092829611783021E-2</v>
      </c>
      <c r="K135" s="16">
        <f t="shared" si="39"/>
        <v>9.636251636417105E-2</v>
      </c>
      <c r="L135" s="16">
        <f t="shared" si="40"/>
        <v>8.3361928485780515E-2</v>
      </c>
      <c r="M135" s="16">
        <f t="shared" si="41"/>
        <v>6.2490461163267008E-2</v>
      </c>
      <c r="N135" s="16">
        <f t="shared" si="42"/>
        <v>9.1945046793108207E-2</v>
      </c>
      <c r="O135" s="16">
        <f t="shared" si="43"/>
        <v>-2.6304801939700962E-2</v>
      </c>
      <c r="R135" s="5">
        <f t="shared" si="44"/>
        <v>-0.5</v>
      </c>
    </row>
    <row r="136" spans="2:18" x14ac:dyDescent="0.3">
      <c r="B136" s="16">
        <v>8.8946810860409342E-2</v>
      </c>
      <c r="C136" s="16">
        <f t="shared" si="35"/>
        <v>4.485121786827663E-2</v>
      </c>
      <c r="D136" s="16" t="str">
        <f t="shared" si="31"/>
        <v xml:space="preserve"> </v>
      </c>
      <c r="E136" s="16" t="str">
        <f t="shared" si="32"/>
        <v xml:space="preserve"> </v>
      </c>
      <c r="F136" s="16" t="str">
        <f t="shared" si="33"/>
        <v xml:space="preserve"> </v>
      </c>
      <c r="G136" s="16">
        <f t="shared" si="36"/>
        <v>1.8216141923186935E-2</v>
      </c>
      <c r="H136" s="16">
        <f t="shared" si="37"/>
        <v>9.4033141139077875E-2</v>
      </c>
      <c r="I136" s="16">
        <f t="shared" si="38"/>
        <v>9.375744804130183E-2</v>
      </c>
      <c r="J136" s="16">
        <f t="shared" si="34"/>
        <v>1.8216141923186935E-2</v>
      </c>
      <c r="K136" s="16">
        <f t="shared" si="39"/>
        <v>9.375744804130183E-2</v>
      </c>
      <c r="L136" s="16">
        <f t="shared" si="40"/>
        <v>8.4747833269848902E-2</v>
      </c>
      <c r="M136" s="16">
        <f t="shared" si="41"/>
        <v>6.2870372758143528E-2</v>
      </c>
      <c r="N136" s="16">
        <f t="shared" si="42"/>
        <v>9.3145788450969783E-2</v>
      </c>
      <c r="O136" s="16">
        <f t="shared" si="43"/>
        <v>-2.6438088911769658E-2</v>
      </c>
      <c r="R136" s="5">
        <f t="shared" si="44"/>
        <v>-0.5</v>
      </c>
    </row>
    <row r="137" spans="2:18" x14ac:dyDescent="0.3">
      <c r="B137" s="16">
        <v>9.0249161883612206E-2</v>
      </c>
      <c r="C137" s="16">
        <f t="shared" si="35"/>
        <v>4.5096186325352901E-2</v>
      </c>
      <c r="D137" s="16" t="str">
        <f t="shared" si="31"/>
        <v xml:space="preserve"> </v>
      </c>
      <c r="E137" s="16" t="str">
        <f t="shared" si="32"/>
        <v xml:space="preserve"> </v>
      </c>
      <c r="F137" s="16" t="str">
        <f t="shared" si="33"/>
        <v xml:space="preserve"> </v>
      </c>
      <c r="G137" s="16">
        <f t="shared" si="36"/>
        <v>1.833689682783227E-2</v>
      </c>
      <c r="H137" s="16">
        <f t="shared" si="37"/>
        <v>9.1412732737734551E-2</v>
      </c>
      <c r="I137" s="16">
        <f t="shared" si="38"/>
        <v>9.1159378094091442E-2</v>
      </c>
      <c r="J137" s="16">
        <f t="shared" si="34"/>
        <v>1.833689682783227E-2</v>
      </c>
      <c r="K137" s="16">
        <f t="shared" si="39"/>
        <v>9.1159378094091442E-2</v>
      </c>
      <c r="L137" s="16">
        <f t="shared" si="40"/>
        <v>8.6143912892902158E-2</v>
      </c>
      <c r="M137" s="16">
        <f t="shared" si="41"/>
        <v>6.3245837494644047E-2</v>
      </c>
      <c r="N137" s="16">
        <f t="shared" si="42"/>
        <v>9.4354410874322253E-2</v>
      </c>
      <c r="O137" s="16">
        <f t="shared" si="43"/>
        <v>-2.6572043838979504E-2</v>
      </c>
      <c r="R137" s="5">
        <f t="shared" si="44"/>
        <v>-0.5</v>
      </c>
    </row>
    <row r="138" spans="2:18" x14ac:dyDescent="0.3">
      <c r="B138" s="16">
        <v>9.1560527803804637E-2</v>
      </c>
      <c r="C138" s="16">
        <f t="shared" si="35"/>
        <v>4.5339460372465674E-2</v>
      </c>
      <c r="D138" s="16" t="str">
        <f t="shared" si="31"/>
        <v xml:space="preserve"> </v>
      </c>
      <c r="E138" s="16" t="str">
        <f t="shared" si="32"/>
        <v xml:space="preserve"> </v>
      </c>
      <c r="F138" s="16" t="str">
        <f t="shared" si="33"/>
        <v xml:space="preserve"> </v>
      </c>
      <c r="G138" s="16">
        <f t="shared" si="36"/>
        <v>1.8455057098454252E-2</v>
      </c>
      <c r="H138" s="16">
        <f t="shared" si="37"/>
        <v>8.8801251387020039E-2</v>
      </c>
      <c r="I138" s="16">
        <f t="shared" si="38"/>
        <v>8.8568930709931354E-2</v>
      </c>
      <c r="J138" s="16">
        <f t="shared" si="34"/>
        <v>1.8455057098454252E-2</v>
      </c>
      <c r="K138" s="16">
        <f t="shared" si="39"/>
        <v>8.8568930709931354E-2</v>
      </c>
      <c r="L138" s="16">
        <f t="shared" si="40"/>
        <v>8.7550108341675009E-2</v>
      </c>
      <c r="M138" s="16">
        <f t="shared" si="41"/>
        <v>6.3616802000574194E-2</v>
      </c>
      <c r="N138" s="16">
        <f t="shared" si="42"/>
        <v>9.5570947265934264E-2</v>
      </c>
      <c r="O138" s="16">
        <f t="shared" si="43"/>
        <v>-2.6706687803665693E-2</v>
      </c>
      <c r="R138" s="5">
        <f t="shared" si="44"/>
        <v>-0.5</v>
      </c>
    </row>
    <row r="139" spans="2:18" x14ac:dyDescent="0.3">
      <c r="B139" s="16">
        <v>9.2880895626408333E-2</v>
      </c>
      <c r="C139" s="16">
        <f t="shared" si="35"/>
        <v>4.5581030617157244E-2</v>
      </c>
      <c r="D139" s="16" t="str">
        <f t="shared" si="31"/>
        <v xml:space="preserve"> </v>
      </c>
      <c r="E139" s="16" t="str">
        <f t="shared" si="32"/>
        <v xml:space="preserve"> </v>
      </c>
      <c r="F139" s="16" t="str">
        <f t="shared" si="33"/>
        <v xml:space="preserve"> </v>
      </c>
      <c r="G139" s="16">
        <f t="shared" si="36"/>
        <v>1.857058660602429E-2</v>
      </c>
      <c r="H139" s="16">
        <f t="shared" si="37"/>
        <v>8.6199282665495813E-2</v>
      </c>
      <c r="I139" s="16">
        <f t="shared" si="38"/>
        <v>8.598673346926014E-2</v>
      </c>
      <c r="J139" s="16">
        <f t="shared" si="34"/>
        <v>1.857058660602429E-2</v>
      </c>
      <c r="K139" s="16">
        <f t="shared" si="39"/>
        <v>8.598673346926014E-2</v>
      </c>
      <c r="L139" s="16">
        <f t="shared" si="40"/>
        <v>8.896635968911451E-2</v>
      </c>
      <c r="M139" s="16">
        <f t="shared" si="41"/>
        <v>6.3983214370973776E-2</v>
      </c>
      <c r="N139" s="16">
        <f t="shared" si="42"/>
        <v>9.6795431563702156E-2</v>
      </c>
      <c r="O139" s="16">
        <f t="shared" si="43"/>
        <v>-2.68420411589252E-2</v>
      </c>
      <c r="R139" s="5">
        <f t="shared" si="44"/>
        <v>-0.5</v>
      </c>
    </row>
    <row r="140" spans="2:18" x14ac:dyDescent="0.3">
      <c r="B140" s="16">
        <v>9.4210252267643013E-2</v>
      </c>
      <c r="C140" s="16">
        <f t="shared" si="35"/>
        <v>4.5820887697610869E-2</v>
      </c>
      <c r="D140" s="16" t="str">
        <f t="shared" si="31"/>
        <v xml:space="preserve"> </v>
      </c>
      <c r="E140" s="16" t="str">
        <f t="shared" si="32"/>
        <v xml:space="preserve"> </v>
      </c>
      <c r="F140" s="16" t="str">
        <f t="shared" si="33"/>
        <v xml:space="preserve"> </v>
      </c>
      <c r="G140" s="16">
        <f t="shared" si="36"/>
        <v>1.8683450344938634E-2</v>
      </c>
      <c r="H140" s="16">
        <f t="shared" si="37"/>
        <v>8.3607415083843242E-2</v>
      </c>
      <c r="I140" s="16">
        <f t="shared" si="38"/>
        <v>8.3413417239381379E-2</v>
      </c>
      <c r="J140" s="16">
        <f t="shared" si="34"/>
        <v>1.8683450344938634E-2</v>
      </c>
      <c r="K140" s="16">
        <f t="shared" si="39"/>
        <v>8.3413417239381379E-2</v>
      </c>
      <c r="L140" s="16">
        <f t="shared" si="40"/>
        <v>9.0392606108704088E-2</v>
      </c>
      <c r="M140" s="16">
        <f t="shared" si="41"/>
        <v>6.4345024203076792E-2</v>
      </c>
      <c r="N140" s="16">
        <f t="shared" si="42"/>
        <v>9.8027898426581939E-2</v>
      </c>
      <c r="O140" s="16">
        <f t="shared" si="43"/>
        <v>-2.6978123513199521E-2</v>
      </c>
      <c r="R140" s="5">
        <f t="shared" si="44"/>
        <v>-0.5</v>
      </c>
    </row>
    <row r="141" spans="2:18" x14ac:dyDescent="0.3">
      <c r="B141" s="16">
        <v>9.5548584554656757E-2</v>
      </c>
      <c r="C141" s="16">
        <f t="shared" si="35"/>
        <v>4.6059022284147058E-2</v>
      </c>
      <c r="D141" s="16" t="str">
        <f t="shared" si="31"/>
        <v xml:space="preserve"> </v>
      </c>
      <c r="E141" s="16" t="str">
        <f t="shared" si="32"/>
        <v xml:space="preserve"> </v>
      </c>
      <c r="F141" s="16" t="str">
        <f t="shared" si="33"/>
        <v xml:space="preserve"> </v>
      </c>
      <c r="G141" s="16">
        <f t="shared" si="36"/>
        <v>1.8793614458215622E-2</v>
      </c>
      <c r="H141" s="16">
        <f t="shared" si="37"/>
        <v>8.1026240056725735E-2</v>
      </c>
      <c r="I141" s="16">
        <f t="shared" si="38"/>
        <v>8.0849616068201569E-2</v>
      </c>
      <c r="J141" s="16">
        <f t="shared" si="34"/>
        <v>1.8793614458215622E-2</v>
      </c>
      <c r="K141" s="16">
        <f t="shared" si="39"/>
        <v>8.0849616068201569E-2</v>
      </c>
      <c r="L141" s="16">
        <f t="shared" si="40"/>
        <v>9.1828785889241288E-2</v>
      </c>
      <c r="M141" s="16">
        <f t="shared" si="41"/>
        <v>6.4702182630838129E-2</v>
      </c>
      <c r="N141" s="16">
        <f t="shared" si="42"/>
        <v>9.9268383220072226E-2</v>
      </c>
      <c r="O141" s="16">
        <f t="shared" si="43"/>
        <v>-2.7114953714406888E-2</v>
      </c>
      <c r="R141" s="5">
        <f t="shared" si="44"/>
        <v>-0.5</v>
      </c>
    </row>
    <row r="142" spans="2:18" x14ac:dyDescent="0.3">
      <c r="B142" s="16">
        <v>9.6895879225656123E-2</v>
      </c>
      <c r="C142" s="16">
        <f t="shared" si="35"/>
        <v>4.6295425080713277E-2</v>
      </c>
      <c r="D142" s="16" t="str">
        <f t="shared" si="31"/>
        <v xml:space="preserve"> </v>
      </c>
      <c r="E142" s="16" t="str">
        <f t="shared" si="32"/>
        <v xml:space="preserve"> </v>
      </c>
      <c r="F142" s="16" t="str">
        <f t="shared" si="33"/>
        <v xml:space="preserve"> </v>
      </c>
      <c r="G142" s="16">
        <f t="shared" si="36"/>
        <v>1.8901046262697858E-2</v>
      </c>
      <c r="H142" s="16">
        <f t="shared" si="37"/>
        <v>7.845635187450567E-2</v>
      </c>
      <c r="I142" s="16">
        <f t="shared" si="38"/>
        <v>7.8295967078047229E-2</v>
      </c>
      <c r="J142" s="16">
        <f t="shared" si="34"/>
        <v>1.8901046262697858E-2</v>
      </c>
      <c r="K142" s="16">
        <f t="shared" si="39"/>
        <v>7.8295967078047229E-2</v>
      </c>
      <c r="L142" s="16">
        <f t="shared" si="40"/>
        <v>9.3274836450050344E-2</v>
      </c>
      <c r="M142" s="16">
        <f t="shared" si="41"/>
        <v>6.505464235900621E-2</v>
      </c>
      <c r="N142" s="16">
        <f t="shared" si="42"/>
        <v>0.1005169220012619</v>
      </c>
      <c r="O142" s="16">
        <f t="shared" si="43"/>
        <v>-2.7252549833610491E-2</v>
      </c>
      <c r="R142" s="5">
        <f t="shared" si="44"/>
        <v>-0.5</v>
      </c>
    </row>
    <row r="143" spans="2:18" x14ac:dyDescent="0.3">
      <c r="B143" s="16">
        <v>9.8252122930037711E-2</v>
      </c>
      <c r="C143" s="16">
        <f t="shared" si="35"/>
        <v>4.6530086826367452E-2</v>
      </c>
      <c r="D143" s="16" t="str">
        <f t="shared" si="31"/>
        <v xml:space="preserve"> </v>
      </c>
      <c r="E143" s="16" t="str">
        <f t="shared" si="32"/>
        <v xml:space="preserve"> </v>
      </c>
      <c r="F143" s="16" t="str">
        <f t="shared" si="33"/>
        <v xml:space="preserve"> </v>
      </c>
      <c r="G143" s="16">
        <f t="shared" si="36"/>
        <v>1.9005714274256222E-2</v>
      </c>
      <c r="H143" s="16">
        <f t="shared" si="37"/>
        <v>7.5898347674813016E-2</v>
      </c>
      <c r="I143" s="16">
        <f t="shared" si="38"/>
        <v>7.5753110359711801E-2</v>
      </c>
      <c r="J143" s="16">
        <f t="shared" si="34"/>
        <v>1.9005714274256222E-2</v>
      </c>
      <c r="K143" s="16">
        <f t="shared" si="39"/>
        <v>7.5753110359711801E-2</v>
      </c>
      <c r="L143" s="16">
        <f t="shared" si="40"/>
        <v>9.4730694356614964E-2</v>
      </c>
      <c r="M143" s="16">
        <f t="shared" si="41"/>
        <v>6.5402357696723493E-2</v>
      </c>
      <c r="N143" s="16">
        <f t="shared" si="42"/>
        <v>0.10177355150346046</v>
      </c>
      <c r="O143" s="16">
        <f t="shared" si="43"/>
        <v>-2.7390929148211049E-2</v>
      </c>
      <c r="R143" s="5">
        <f t="shared" si="44"/>
        <v>-0.5</v>
      </c>
    </row>
    <row r="144" spans="2:18" x14ac:dyDescent="0.3">
      <c r="B144" s="16">
        <v>9.9617302228520166E-2</v>
      </c>
      <c r="C144" s="16">
        <f t="shared" si="35"/>
        <v>4.6762998296754621E-2</v>
      </c>
      <c r="D144" s="16" t="str">
        <f t="shared" si="31"/>
        <v xml:space="preserve"> </v>
      </c>
      <c r="E144" s="16" t="str">
        <f t="shared" si="32"/>
        <v xml:space="preserve"> </v>
      </c>
      <c r="F144" s="16" t="str">
        <f t="shared" si="33"/>
        <v xml:space="preserve"> </v>
      </c>
      <c r="G144" s="16">
        <f t="shared" si="36"/>
        <v>1.91075882329922E-2</v>
      </c>
      <c r="H144" s="16">
        <f t="shared" si="37"/>
        <v>7.335282741396966E-2</v>
      </c>
      <c r="I144" s="16">
        <f t="shared" si="38"/>
        <v>7.3221688866889387E-2</v>
      </c>
      <c r="J144" s="16">
        <f t="shared" si="34"/>
        <v>1.91075882329922E-2</v>
      </c>
      <c r="K144" s="16">
        <f t="shared" si="39"/>
        <v>7.3221688866889387E-2</v>
      </c>
      <c r="L144" s="16">
        <f t="shared" si="40"/>
        <v>9.619629533661278E-2</v>
      </c>
      <c r="M144" s="16">
        <f t="shared" si="41"/>
        <v>6.574528459063618E-2</v>
      </c>
      <c r="N144" s="16">
        <f t="shared" si="42"/>
        <v>0.10303830912042755</v>
      </c>
      <c r="O144" s="16">
        <f t="shared" si="43"/>
        <v>-2.7530108124651776E-2</v>
      </c>
      <c r="R144" s="5">
        <f t="shared" si="44"/>
        <v>-0.5</v>
      </c>
    </row>
    <row r="145" spans="2:18" x14ac:dyDescent="0.3">
      <c r="B145" s="16">
        <v>0.10099140359327796</v>
      </c>
      <c r="C145" s="16">
        <f t="shared" si="35"/>
        <v>4.6994150305576667E-2</v>
      </c>
      <c r="D145" s="16" t="str">
        <f t="shared" si="31"/>
        <v xml:space="preserve"> </v>
      </c>
      <c r="E145" s="16" t="str">
        <f t="shared" si="32"/>
        <v xml:space="preserve"> </v>
      </c>
      <c r="F145" s="16" t="str">
        <f t="shared" si="33"/>
        <v xml:space="preserve"> </v>
      </c>
      <c r="G145" s="16">
        <f t="shared" si="36"/>
        <v>1.9206639128435364E-2</v>
      </c>
      <c r="H145" s="16">
        <f t="shared" si="37"/>
        <v>7.082039383826759E-2</v>
      </c>
      <c r="I145" s="16">
        <f t="shared" si="38"/>
        <v>7.0702348311147564E-2</v>
      </c>
      <c r="J145" s="16">
        <f t="shared" si="34"/>
        <v>1.9206639128435364E-2</v>
      </c>
      <c r="K145" s="16">
        <f t="shared" si="39"/>
        <v>7.0702348311147564E-2</v>
      </c>
      <c r="L145" s="16">
        <f t="shared" si="40"/>
        <v>9.7671574296335259E-2</v>
      </c>
      <c r="M145" s="16">
        <f t="shared" si="41"/>
        <v>6.6083380657495305E-2</v>
      </c>
      <c r="N145" s="16">
        <f t="shared" si="42"/>
        <v>0.10431123289022066</v>
      </c>
      <c r="O145" s="16">
        <f t="shared" si="43"/>
        <v>-2.767010240062457E-2</v>
      </c>
      <c r="R145" s="5">
        <f t="shared" si="44"/>
        <v>-0.5</v>
      </c>
    </row>
    <row r="146" spans="2:18" x14ac:dyDescent="0.3">
      <c r="B146" s="16">
        <v>0.10237441340807496</v>
      </c>
      <c r="C146" s="16">
        <f t="shared" si="35"/>
        <v>4.7223533706054678E-2</v>
      </c>
      <c r="D146" s="16" t="str">
        <f t="shared" si="31"/>
        <v xml:space="preserve"> </v>
      </c>
      <c r="E146" s="16" t="str">
        <f t="shared" si="32"/>
        <v xml:space="preserve"> </v>
      </c>
      <c r="F146" s="16" t="str">
        <f t="shared" si="33"/>
        <v xml:space="preserve"> </v>
      </c>
      <c r="G146" s="16">
        <f t="shared" si="36"/>
        <v>1.9302839224732461E-2</v>
      </c>
      <c r="H146" s="16">
        <f t="shared" si="37"/>
        <v>6.8301652455106027E-2</v>
      </c>
      <c r="I146" s="16">
        <f t="shared" si="38"/>
        <v>6.8195737057597502E-2</v>
      </c>
      <c r="J146" s="16">
        <f t="shared" si="34"/>
        <v>1.9302839224732461E-2</v>
      </c>
      <c r="K146" s="16">
        <f t="shared" si="39"/>
        <v>6.8195737057597502E-2</v>
      </c>
      <c r="L146" s="16">
        <f t="shared" si="40"/>
        <v>9.9156465337472355E-2</v>
      </c>
      <c r="M146" s="16">
        <f t="shared" si="41"/>
        <v>6.6416605216232091E-2</v>
      </c>
      <c r="N146" s="16">
        <f t="shared" si="42"/>
        <v>0.10559236147867757</v>
      </c>
      <c r="O146" s="16">
        <f t="shared" si="43"/>
        <v>-2.7810926766767167E-2</v>
      </c>
      <c r="R146" s="5">
        <f t="shared" si="44"/>
        <v>-0.5</v>
      </c>
    </row>
    <row r="147" spans="2:18" x14ac:dyDescent="0.3">
      <c r="B147" s="16">
        <v>0.1037663179683993</v>
      </c>
      <c r="C147" s="16">
        <f t="shared" si="35"/>
        <v>4.7451139392383629E-2</v>
      </c>
      <c r="D147" s="16" t="str">
        <f t="shared" si="31"/>
        <v xml:space="preserve"> </v>
      </c>
      <c r="E147" s="16" t="str">
        <f t="shared" si="32"/>
        <v xml:space="preserve"> </v>
      </c>
      <c r="F147" s="16" t="str">
        <f t="shared" si="33"/>
        <v xml:space="preserve"> </v>
      </c>
      <c r="G147" s="16">
        <f t="shared" si="36"/>
        <v>1.9396162085824852E-2</v>
      </c>
      <c r="H147" s="16">
        <f t="shared" si="37"/>
        <v>6.5797211503985806E-2</v>
      </c>
      <c r="I147" s="16">
        <f t="shared" si="38"/>
        <v>6.5702506021412699E-2</v>
      </c>
      <c r="J147" s="16">
        <f t="shared" si="34"/>
        <v>1.9396162085824852E-2</v>
      </c>
      <c r="K147" s="16">
        <f t="shared" si="39"/>
        <v>6.5702506021412699E-2</v>
      </c>
      <c r="L147" s="16">
        <f t="shared" si="40"/>
        <v>0.10065090177424492</v>
      </c>
      <c r="M147" s="16">
        <f t="shared" si="41"/>
        <v>6.6744919319490684E-2</v>
      </c>
      <c r="N147" s="16">
        <f t="shared" si="42"/>
        <v>0.10688173416255368</v>
      </c>
      <c r="O147" s="16">
        <f t="shared" si="43"/>
        <v>-2.7952595147840976E-2</v>
      </c>
      <c r="R147" s="5">
        <f t="shared" si="44"/>
        <v>-0.5</v>
      </c>
    </row>
    <row r="148" spans="2:18" x14ac:dyDescent="0.3">
      <c r="B148" s="16">
        <v>0.10516710348159974</v>
      </c>
      <c r="C148" s="16">
        <f t="shared" si="35"/>
        <v>4.7676958301179587E-2</v>
      </c>
      <c r="D148" s="16" t="str">
        <f t="shared" si="31"/>
        <v xml:space="preserve"> </v>
      </c>
      <c r="E148" s="16" t="str">
        <f t="shared" si="32"/>
        <v xml:space="preserve"> </v>
      </c>
      <c r="F148" s="16" t="str">
        <f t="shared" si="33"/>
        <v xml:space="preserve"> </v>
      </c>
      <c r="G148" s="16">
        <f t="shared" si="36"/>
        <v>1.9486582600610983E-2</v>
      </c>
      <c r="H148" s="16">
        <f t="shared" si="37"/>
        <v>6.3307681927361789E-2</v>
      </c>
      <c r="I148" s="16">
        <f t="shared" si="38"/>
        <v>6.322330856534901E-2</v>
      </c>
      <c r="J148" s="16">
        <f t="shared" si="34"/>
        <v>1.9486582600610983E-2</v>
      </c>
      <c r="K148" s="16">
        <f t="shared" si="39"/>
        <v>6.322330856534901E-2</v>
      </c>
      <c r="L148" s="16">
        <f t="shared" si="40"/>
        <v>0.10215481615086544</v>
      </c>
      <c r="M148" s="16">
        <f t="shared" si="41"/>
        <v>6.7068285784602985E-2</v>
      </c>
      <c r="N148" s="16">
        <f t="shared" si="42"/>
        <v>0.10817939081233405</v>
      </c>
      <c r="O148" s="16">
        <f t="shared" si="43"/>
        <v>-2.8095120583381022E-2</v>
      </c>
      <c r="R148" s="5">
        <f t="shared" si="44"/>
        <v>-0.5</v>
      </c>
    </row>
    <row r="149" spans="2:18" x14ac:dyDescent="0.3">
      <c r="B149" s="16">
        <v>0.10657675606702155</v>
      </c>
      <c r="C149" s="16">
        <f t="shared" si="35"/>
        <v>4.7900981412918368E-2</v>
      </c>
      <c r="D149" s="16" t="str">
        <f t="shared" si="31"/>
        <v xml:space="preserve"> </v>
      </c>
      <c r="E149" s="16" t="str">
        <f t="shared" si="32"/>
        <v xml:space="preserve"> </v>
      </c>
      <c r="F149" s="16" t="str">
        <f t="shared" si="33"/>
        <v xml:space="preserve"> </v>
      </c>
      <c r="G149" s="16">
        <f t="shared" si="36"/>
        <v>1.9574077008090374E-2</v>
      </c>
      <c r="H149" s="16">
        <f t="shared" si="37"/>
        <v>6.0833677341358382E-2</v>
      </c>
      <c r="I149" s="16">
        <f t="shared" si="38"/>
        <v>6.0758800398421617E-2</v>
      </c>
      <c r="J149" s="16">
        <f t="shared" si="34"/>
        <v>1.9574077008090374E-2</v>
      </c>
      <c r="K149" s="16">
        <f t="shared" si="39"/>
        <v>6.0758800398421617E-2</v>
      </c>
      <c r="L149" s="16">
        <f t="shared" si="40"/>
        <v>0.1036681402593056</v>
      </c>
      <c r="M149" s="16">
        <f t="shared" si="41"/>
        <v>6.738666922398949E-2</v>
      </c>
      <c r="N149" s="16">
        <f t="shared" si="42"/>
        <v>0.1094853718747375</v>
      </c>
      <c r="O149" s="16">
        <f t="shared" si="43"/>
        <v>-2.8238515207808738E-2</v>
      </c>
      <c r="R149" s="5">
        <f t="shared" si="44"/>
        <v>-0.5</v>
      </c>
    </row>
    <row r="150" spans="2:18" x14ac:dyDescent="0.3">
      <c r="B150" s="16">
        <v>0.10799526175614471</v>
      </c>
      <c r="C150" s="16">
        <f t="shared" si="35"/>
        <v>4.8123199753366236E-2</v>
      </c>
      <c r="D150" s="16" t="str">
        <f t="shared" si="31"/>
        <v xml:space="preserve"> </v>
      </c>
      <c r="E150" s="16" t="str">
        <f t="shared" si="32"/>
        <v xml:space="preserve"> </v>
      </c>
      <c r="F150" s="16" t="str">
        <f t="shared" si="33"/>
        <v xml:space="preserve"> </v>
      </c>
      <c r="G150" s="16">
        <f t="shared" si="36"/>
        <v>1.9658622922485929E-2</v>
      </c>
      <c r="H150" s="16">
        <f t="shared" si="37"/>
        <v>5.8375814006343965E-2</v>
      </c>
      <c r="I150" s="16">
        <f t="shared" si="38"/>
        <v>5.8309639475884127E-2</v>
      </c>
      <c r="J150" s="16">
        <f t="shared" si="34"/>
        <v>1.9658622922485929E-2</v>
      </c>
      <c r="K150" s="16">
        <f t="shared" si="39"/>
        <v>5.8309639475884127E-2</v>
      </c>
      <c r="L150" s="16">
        <f t="shared" si="40"/>
        <v>0.10519080515735324</v>
      </c>
      <c r="M150" s="16">
        <f t="shared" si="41"/>
        <v>6.7700036074972214E-2</v>
      </c>
      <c r="N150" s="16">
        <f t="shared" si="42"/>
        <v>0.11079971835493618</v>
      </c>
      <c r="O150" s="16">
        <f t="shared" si="43"/>
        <v>-2.8382790230000364E-2</v>
      </c>
      <c r="R150" s="5">
        <f t="shared" si="44"/>
        <v>-0.5</v>
      </c>
    </row>
    <row r="151" spans="2:18" x14ac:dyDescent="0.3">
      <c r="B151" s="16">
        <v>0.10942260649272206</v>
      </c>
      <c r="C151" s="16">
        <f t="shared" si="35"/>
        <v>4.8343604395001634E-2</v>
      </c>
      <c r="D151" s="16" t="str">
        <f t="shared" si="31"/>
        <v xml:space="preserve"> </v>
      </c>
      <c r="E151" s="16" t="str">
        <f t="shared" si="32"/>
        <v xml:space="preserve"> </v>
      </c>
      <c r="F151" s="16" t="str">
        <f t="shared" si="33"/>
        <v xml:space="preserve"> </v>
      </c>
      <c r="G151" s="16">
        <f t="shared" si="36"/>
        <v>1.9740199358341041E-2</v>
      </c>
      <c r="H151" s="16">
        <f t="shared" si="37"/>
        <v>5.593471079736994E-2</v>
      </c>
      <c r="I151" s="16">
        <f t="shared" si="38"/>
        <v>5.5876485900662361E-2</v>
      </c>
      <c r="J151" s="16">
        <f t="shared" si="34"/>
        <v>1.9740199358341041E-2</v>
      </c>
      <c r="K151" s="16">
        <f t="shared" si="39"/>
        <v>5.5876485900662361E-2</v>
      </c>
      <c r="L151" s="16">
        <f t="shared" si="40"/>
        <v>0.10672274118693602</v>
      </c>
      <c r="M151" s="16">
        <f t="shared" si="41"/>
        <v>6.8008354628985412E-2</v>
      </c>
      <c r="N151" s="16">
        <f t="shared" si="42"/>
        <v>0.11212247179850811</v>
      </c>
      <c r="O151" s="16">
        <f t="shared" si="43"/>
        <v>-2.8527955912303327E-2</v>
      </c>
      <c r="R151" s="5">
        <f t="shared" si="44"/>
        <v>-0.5</v>
      </c>
    </row>
    <row r="152" spans="2:18" x14ac:dyDescent="0.3">
      <c r="B152" s="16">
        <v>0.11085877613291861</v>
      </c>
      <c r="C152" s="16">
        <f t="shared" si="35"/>
        <v>4.8562186458428247E-2</v>
      </c>
      <c r="D152" s="16" t="str">
        <f t="shared" si="31"/>
        <v xml:space="preserve"> </v>
      </c>
      <c r="E152" s="16" t="str">
        <f t="shared" si="32"/>
        <v xml:space="preserve"> </v>
      </c>
      <c r="F152" s="16" t="str">
        <f t="shared" si="33"/>
        <v xml:space="preserve"> </v>
      </c>
      <c r="G152" s="16">
        <f t="shared" si="36"/>
        <v>1.9818786755588239E-2</v>
      </c>
      <c r="H152" s="16">
        <f t="shared" si="37"/>
        <v>5.3510989174473382E-2</v>
      </c>
      <c r="I152" s="16">
        <f t="shared" si="38"/>
        <v>5.3460001826387153E-2</v>
      </c>
      <c r="J152" s="16">
        <f t="shared" si="34"/>
        <v>1.9818786755588239E-2</v>
      </c>
      <c r="K152" s="16">
        <f t="shared" si="39"/>
        <v>5.3460001826387153E-2</v>
      </c>
      <c r="L152" s="16">
        <f t="shared" si="40"/>
        <v>0.10826387799269227</v>
      </c>
      <c r="M152" s="16">
        <f t="shared" si="41"/>
        <v>6.8311595060170913E-2</v>
      </c>
      <c r="N152" s="16">
        <f t="shared" si="42"/>
        <v>0.11345367427314496</v>
      </c>
      <c r="O152" s="16">
        <f t="shared" si="43"/>
        <v>-2.8674021548994431E-2</v>
      </c>
      <c r="R152" s="5">
        <f t="shared" si="44"/>
        <v>-0.5</v>
      </c>
    </row>
    <row r="153" spans="2:18" x14ac:dyDescent="0.3">
      <c r="B153" s="16">
        <v>0.11230375644545154</v>
      </c>
      <c r="C153" s="16">
        <f t="shared" si="35"/>
        <v>4.8778937113778703E-2</v>
      </c>
      <c r="D153" s="16" t="str">
        <f t="shared" si="31"/>
        <v xml:space="preserve"> </v>
      </c>
      <c r="E153" s="16" t="str">
        <f t="shared" si="32"/>
        <v xml:space="preserve"> </v>
      </c>
      <c r="F153" s="16" t="str">
        <f t="shared" si="33"/>
        <v xml:space="preserve"> </v>
      </c>
      <c r="G153" s="16">
        <f t="shared" si="36"/>
        <v>1.9894367004585883E-2</v>
      </c>
      <c r="H153" s="16">
        <f t="shared" si="37"/>
        <v>5.1105273152845285E-2</v>
      </c>
      <c r="I153" s="16">
        <f t="shared" si="38"/>
        <v>5.106085136217027E-2</v>
      </c>
      <c r="J153" s="16">
        <f t="shared" si="34"/>
        <v>1.9894367004585883E-2</v>
      </c>
      <c r="K153" s="16">
        <f t="shared" si="39"/>
        <v>5.106085136217027E-2</v>
      </c>
      <c r="L153" s="16">
        <f t="shared" si="40"/>
        <v>0.10981414454076781</v>
      </c>
      <c r="M153" s="16">
        <f t="shared" si="41"/>
        <v>6.8609729453345661E-2</v>
      </c>
      <c r="N153" s="16">
        <f t="shared" si="42"/>
        <v>0.11479336835013527</v>
      </c>
      <c r="O153" s="16">
        <f t="shared" si="43"/>
        <v>-2.8820995444173894E-2</v>
      </c>
      <c r="R153" s="5">
        <f t="shared" si="44"/>
        <v>-0.5</v>
      </c>
    </row>
    <row r="154" spans="2:18" x14ac:dyDescent="0.3">
      <c r="B154" s="16">
        <v>0.11375753311173153</v>
      </c>
      <c r="C154" s="16">
        <f t="shared" si="35"/>
        <v>4.8993847582109069E-2</v>
      </c>
      <c r="D154" s="16" t="str">
        <f t="shared" si="31"/>
        <v xml:space="preserve"> </v>
      </c>
      <c r="E154" s="16" t="str">
        <f t="shared" si="32"/>
        <v xml:space="preserve"> </v>
      </c>
      <c r="F154" s="16" t="str">
        <f t="shared" si="33"/>
        <v xml:space="preserve"> </v>
      </c>
      <c r="G154" s="16">
        <f t="shared" si="36"/>
        <v>1.9966923471119644E-2</v>
      </c>
      <c r="H154" s="16">
        <f t="shared" si="37"/>
        <v>4.8718189272864539E-2</v>
      </c>
      <c r="I154" s="16">
        <f t="shared" si="38"/>
        <v>4.8679700479263267E-2</v>
      </c>
      <c r="J154" s="16">
        <f t="shared" si="34"/>
        <v>1.9966923471119644E-2</v>
      </c>
      <c r="K154" s="16">
        <f t="shared" si="39"/>
        <v>4.8679700479263267E-2</v>
      </c>
      <c r="L154" s="16">
        <f t="shared" si="40"/>
        <v>0.11137346913781819</v>
      </c>
      <c r="M154" s="16">
        <f t="shared" si="41"/>
        <v>6.8902731831329889E-2</v>
      </c>
      <c r="N154" s="16">
        <f t="shared" si="42"/>
        <v>0.11614159708564488</v>
      </c>
      <c r="O154" s="16">
        <f t="shared" si="43"/>
        <v>-2.8968884889090604E-2</v>
      </c>
      <c r="R154" s="5">
        <f t="shared" si="44"/>
        <v>-0.5</v>
      </c>
    </row>
    <row r="155" spans="2:18" x14ac:dyDescent="0.3">
      <c r="B155" s="16">
        <v>0.11522009172600445</v>
      </c>
      <c r="C155" s="16">
        <f t="shared" si="35"/>
        <v>4.9206909136783446E-2</v>
      </c>
      <c r="D155" s="16" t="str">
        <f t="shared" si="31"/>
        <v xml:space="preserve"> </v>
      </c>
      <c r="E155" s="16" t="str">
        <f t="shared" si="32"/>
        <v xml:space="preserve"> </v>
      </c>
      <c r="F155" s="16" t="str">
        <f t="shared" si="33"/>
        <v xml:space="preserve"> </v>
      </c>
      <c r="G155" s="16">
        <f t="shared" si="36"/>
        <v>2.0036441021365273E-2</v>
      </c>
      <c r="H155" s="16">
        <f t="shared" si="37"/>
        <v>4.6350366570000856E-2</v>
      </c>
      <c r="I155" s="16">
        <f t="shared" si="38"/>
        <v>4.631721691973871E-2</v>
      </c>
      <c r="J155" s="16">
        <f t="shared" si="34"/>
        <v>2.0036441021365273E-2</v>
      </c>
      <c r="K155" s="16">
        <f t="shared" si="39"/>
        <v>4.631721691973871E-2</v>
      </c>
      <c r="L155" s="16">
        <f t="shared" si="40"/>
        <v>0.11294177945019435</v>
      </c>
      <c r="M155" s="16">
        <f t="shared" si="41"/>
        <v>6.9190578181624274E-2</v>
      </c>
      <c r="N155" s="16">
        <f t="shared" si="42"/>
        <v>0.11749840400181455</v>
      </c>
      <c r="O155" s="16">
        <f t="shared" si="43"/>
        <v>-2.9117696138893735E-2</v>
      </c>
      <c r="R155" s="5">
        <f t="shared" si="44"/>
        <v>-0.5</v>
      </c>
    </row>
    <row r="156" spans="2:18" x14ac:dyDescent="0.3">
      <c r="B156" s="16">
        <v>0.11669141779549419</v>
      </c>
      <c r="C156" s="16">
        <f t="shared" si="35"/>
        <v>4.941811310484872E-2</v>
      </c>
      <c r="D156" s="16" t="str">
        <f t="shared" si="31"/>
        <v xml:space="preserve"> </v>
      </c>
      <c r="E156" s="16" t="str">
        <f t="shared" si="32"/>
        <v xml:space="preserve"> </v>
      </c>
      <c r="F156" s="16" t="str">
        <f t="shared" si="33"/>
        <v xml:space="preserve"> </v>
      </c>
      <c r="G156" s="16">
        <f t="shared" si="36"/>
        <v>2.0102906046809345E-2</v>
      </c>
      <c r="H156" s="16">
        <f t="shared" si="37"/>
        <v>4.4002436544585889E-2</v>
      </c>
      <c r="I156" s="16">
        <f t="shared" si="38"/>
        <v>4.3974070107325701E-2</v>
      </c>
      <c r="J156" s="16">
        <f t="shared" si="34"/>
        <v>2.0102906046809345E-2</v>
      </c>
      <c r="K156" s="16">
        <f t="shared" si="39"/>
        <v>4.3974070107325701E-2</v>
      </c>
      <c r="L156" s="16">
        <f t="shared" si="40"/>
        <v>0.11451900252329135</v>
      </c>
      <c r="M156" s="16">
        <f t="shared" si="41"/>
        <v>6.9473246482426365E-2</v>
      </c>
      <c r="N156" s="16">
        <f t="shared" si="42"/>
        <v>0.11886383306769703</v>
      </c>
      <c r="O156" s="16">
        <f t="shared" si="43"/>
        <v>-2.9267434388807675E-2</v>
      </c>
      <c r="R156" s="5">
        <f t="shared" si="44"/>
        <v>-0.5</v>
      </c>
    </row>
    <row r="157" spans="2:18" x14ac:dyDescent="0.3">
      <c r="B157" s="16">
        <v>0.11817149674054617</v>
      </c>
      <c r="C157" s="16">
        <f t="shared" si="35"/>
        <v>4.9627450868399113E-2</v>
      </c>
      <c r="D157" s="16" t="str">
        <f t="shared" si="31"/>
        <v xml:space="preserve"> </v>
      </c>
      <c r="E157" s="16" t="str">
        <f t="shared" si="32"/>
        <v xml:space="preserve"> </v>
      </c>
      <c r="F157" s="16" t="str">
        <f t="shared" si="33"/>
        <v xml:space="preserve"> </v>
      </c>
      <c r="G157" s="16">
        <f t="shared" si="36"/>
        <v>2.0166306489124569E-2</v>
      </c>
      <c r="H157" s="16">
        <f t="shared" si="37"/>
        <v>4.1675033131455347E-2</v>
      </c>
      <c r="I157" s="16">
        <f t="shared" si="38"/>
        <v>4.1650931060531464E-2</v>
      </c>
      <c r="J157" s="16">
        <f t="shared" si="34"/>
        <v>2.0166306489124569E-2</v>
      </c>
      <c r="K157" s="16">
        <f t="shared" si="39"/>
        <v>4.1650931060531464E-2</v>
      </c>
      <c r="L157" s="16">
        <f t="shared" si="40"/>
        <v>0.11610506480103834</v>
      </c>
      <c r="M157" s="16">
        <f t="shared" si="41"/>
        <v>6.9750716727976364E-2</v>
      </c>
      <c r="N157" s="16">
        <f t="shared" si="42"/>
        <v>0.12023792868005399</v>
      </c>
      <c r="O157" s="16">
        <f t="shared" si="43"/>
        <v>-2.9418103749727219E-2</v>
      </c>
      <c r="R157" s="5">
        <f t="shared" si="44"/>
        <v>-0.5</v>
      </c>
    </row>
    <row r="158" spans="2:18" x14ac:dyDescent="0.3">
      <c r="B158" s="16">
        <v>0.11966031389477194</v>
      </c>
      <c r="C158" s="16">
        <f t="shared" si="35"/>
        <v>4.9834913865930253E-2</v>
      </c>
      <c r="D158" s="16" t="str">
        <f t="shared" si="31"/>
        <v xml:space="preserve"> </v>
      </c>
      <c r="E158" s="16" t="str">
        <f t="shared" si="32"/>
        <v xml:space="preserve"> </v>
      </c>
      <c r="F158" s="16" t="str">
        <f t="shared" si="33"/>
        <v xml:space="preserve"> </v>
      </c>
      <c r="G158" s="16">
        <f t="shared" si="36"/>
        <v>2.0226631864996285E-2</v>
      </c>
      <c r="H158" s="16">
        <f t="shared" si="37"/>
        <v>3.9368792669461958E-2</v>
      </c>
      <c r="I158" s="16">
        <f t="shared" si="38"/>
        <v>3.9348472308173434E-2</v>
      </c>
      <c r="J158" s="16">
        <f t="shared" si="34"/>
        <v>2.0226631864996285E-2</v>
      </c>
      <c r="K158" s="16">
        <f t="shared" si="39"/>
        <v>3.9348472308173434E-2</v>
      </c>
      <c r="L158" s="16">
        <f t="shared" si="40"/>
        <v>0.1176998921455093</v>
      </c>
      <c r="M158" s="16">
        <f t="shared" si="41"/>
        <v>7.002297095322349E-2</v>
      </c>
      <c r="N158" s="16">
        <f t="shared" si="42"/>
        <v>0.12162073564403458</v>
      </c>
      <c r="O158" s="16">
        <f t="shared" si="43"/>
        <v>-2.9569707223230927E-2</v>
      </c>
      <c r="R158" s="5">
        <f t="shared" si="44"/>
        <v>-0.5</v>
      </c>
    </row>
    <row r="159" spans="2:18" x14ac:dyDescent="0.3">
      <c r="B159" s="16">
        <v>0.12115785450519423</v>
      </c>
      <c r="C159" s="16">
        <f t="shared" si="35"/>
        <v>5.0040493593682435E-2</v>
      </c>
      <c r="D159" s="16" t="str">
        <f t="shared" si="31"/>
        <v xml:space="preserve"> </v>
      </c>
      <c r="E159" s="16" t="str">
        <f t="shared" si="32"/>
        <v xml:space="preserve"> </v>
      </c>
      <c r="F159" s="16" t="str">
        <f t="shared" si="33"/>
        <v xml:space="preserve"> </v>
      </c>
      <c r="G159" s="16">
        <f t="shared" si="36"/>
        <v>2.0283873290896724E-2</v>
      </c>
      <c r="H159" s="16">
        <f t="shared" si="37"/>
        <v>3.7084353870862216E-2</v>
      </c>
      <c r="I159" s="16">
        <f t="shared" si="38"/>
        <v>3.7067367807445045E-2</v>
      </c>
      <c r="J159" s="16">
        <f t="shared" si="34"/>
        <v>2.0283873290896724E-2</v>
      </c>
      <c r="K159" s="16">
        <f t="shared" si="39"/>
        <v>3.7067367807445045E-2</v>
      </c>
      <c r="L159" s="16">
        <f t="shared" si="40"/>
        <v>0.11930340985663263</v>
      </c>
      <c r="M159" s="16">
        <f t="shared" si="41"/>
        <v>7.0289993257804717E-2</v>
      </c>
      <c r="N159" s="16">
        <f t="shared" si="42"/>
        <v>0.12301229915375583</v>
      </c>
      <c r="O159" s="16">
        <f t="shared" si="43"/>
        <v>-2.9722246676011269E-2</v>
      </c>
      <c r="R159" s="5">
        <f t="shared" si="44"/>
        <v>-0.5</v>
      </c>
    </row>
    <row r="160" spans="2:18" x14ac:dyDescent="0.3">
      <c r="B160" s="16">
        <v>0.12266410373239378</v>
      </c>
      <c r="C160" s="16">
        <f t="shared" si="35"/>
        <v>5.0244181606973123E-2</v>
      </c>
      <c r="D160" s="16" t="str">
        <f t="shared" si="31"/>
        <v xml:space="preserve"> </v>
      </c>
      <c r="E160" s="16" t="str">
        <f t="shared" si="32"/>
        <v xml:space="preserve"> </v>
      </c>
      <c r="F160" s="16" t="str">
        <f t="shared" si="33"/>
        <v xml:space="preserve"> </v>
      </c>
      <c r="G160" s="16">
        <f t="shared" si="36"/>
        <v>2.0338023507803719E-2</v>
      </c>
      <c r="H160" s="16">
        <f t="shared" si="37"/>
        <v>3.4822357790575575E-2</v>
      </c>
      <c r="I160" s="16">
        <f t="shared" si="38"/>
        <v>3.4808292864629255E-2</v>
      </c>
      <c r="J160" s="16">
        <f t="shared" si="34"/>
        <v>2.0338023507803719E-2</v>
      </c>
      <c r="K160" s="16">
        <f t="shared" si="39"/>
        <v>3.4808292864629255E-2</v>
      </c>
      <c r="L160" s="16">
        <f t="shared" si="40"/>
        <v>0.12091554269198045</v>
      </c>
      <c r="M160" s="16">
        <f t="shared" si="41"/>
        <v>7.0551769829328509E-2</v>
      </c>
      <c r="N160" s="16">
        <f t="shared" si="42"/>
        <v>0.12441266477280712</v>
      </c>
      <c r="O160" s="16">
        <f t="shared" si="43"/>
        <v>-2.9875722813721077E-2</v>
      </c>
      <c r="R160" s="5">
        <f t="shared" si="44"/>
        <v>-0.5</v>
      </c>
    </row>
    <row r="161" spans="2:18" x14ac:dyDescent="0.3">
      <c r="B161" s="16">
        <v>0.12417904665065549</v>
      </c>
      <c r="C161" s="16">
        <f t="shared" si="35"/>
        <v>5.0445969521518037E-2</v>
      </c>
      <c r="D161" s="16" t="str">
        <f t="shared" si="31"/>
        <v xml:space="preserve"> </v>
      </c>
      <c r="E161" s="16" t="str">
        <f t="shared" si="32"/>
        <v xml:space="preserve"> </v>
      </c>
      <c r="F161" s="16" t="str">
        <f t="shared" si="33"/>
        <v xml:space="preserve"> </v>
      </c>
      <c r="G161" s="16">
        <f t="shared" si="36"/>
        <v>2.0389076905860358E-2</v>
      </c>
      <c r="H161" s="16">
        <f t="shared" si="37"/>
        <v>3.2583447795321505E-2</v>
      </c>
      <c r="I161" s="16">
        <f t="shared" si="38"/>
        <v>3.2571924058575487E-2</v>
      </c>
      <c r="J161" s="16">
        <f t="shared" si="34"/>
        <v>2.0389076905860358E-2</v>
      </c>
      <c r="K161" s="16">
        <f t="shared" si="39"/>
        <v>3.2571924058575487E-2</v>
      </c>
      <c r="L161" s="16">
        <f t="shared" si="40"/>
        <v>0.12253621488661409</v>
      </c>
      <c r="M161" s="16">
        <f t="shared" si="41"/>
        <v>7.0808288965956895E-2</v>
      </c>
      <c r="N161" s="16">
        <f t="shared" si="42"/>
        <v>0.12582187841469689</v>
      </c>
      <c r="O161" s="16">
        <f t="shared" si="43"/>
        <v>-3.0030135154236172E-2</v>
      </c>
      <c r="R161" s="5">
        <f t="shared" si="44"/>
        <v>-0.5</v>
      </c>
    </row>
    <row r="162" spans="2:18" x14ac:dyDescent="0.3">
      <c r="B162" s="16">
        <v>0.12570266824811704</v>
      </c>
      <c r="C162" s="16">
        <f t="shared" si="35"/>
        <v>5.0645849014740917E-2</v>
      </c>
      <c r="D162" s="16" t="str">
        <f t="shared" si="31"/>
        <v xml:space="preserve"> </v>
      </c>
      <c r="E162" s="16" t="str">
        <f t="shared" si="32"/>
        <v xml:space="preserve"> </v>
      </c>
      <c r="F162" s="16" t="str">
        <f t="shared" si="33"/>
        <v xml:space="preserve"> </v>
      </c>
      <c r="G162" s="16">
        <f t="shared" si="36"/>
        <v>2.0437029548972339E-2</v>
      </c>
      <c r="H162" s="16">
        <f t="shared" si="37"/>
        <v>3.036826953263061E-2</v>
      </c>
      <c r="I162" s="16">
        <f t="shared" si="38"/>
        <v>3.0358939167041226E-2</v>
      </c>
      <c r="J162" s="16">
        <f t="shared" si="34"/>
        <v>2.0437029548972339E-2</v>
      </c>
      <c r="K162" s="16">
        <f t="shared" si="39"/>
        <v>3.0358939167041226E-2</v>
      </c>
      <c r="L162" s="16">
        <f t="shared" si="40"/>
        <v>0.12416535017296897</v>
      </c>
      <c r="M162" s="16">
        <f t="shared" si="41"/>
        <v>7.1059541098279694E-2</v>
      </c>
      <c r="N162" s="16">
        <f t="shared" si="42"/>
        <v>0.12723998632326511</v>
      </c>
      <c r="O162" s="16">
        <f t="shared" si="43"/>
        <v>-3.0185482000335013E-2</v>
      </c>
      <c r="R162" s="5">
        <f t="shared" si="44"/>
        <v>-0.5</v>
      </c>
    </row>
    <row r="163" spans="2:18" x14ac:dyDescent="0.3">
      <c r="B163" s="16">
        <v>0.1272349534269176</v>
      </c>
      <c r="C163" s="16">
        <f t="shared" si="35"/>
        <v>5.0843811827071407E-2</v>
      </c>
      <c r="D163" s="16" t="str">
        <f t="shared" si="31"/>
        <v xml:space="preserve"> </v>
      </c>
      <c r="E163" s="16" t="str">
        <f t="shared" si="32"/>
        <v xml:space="preserve"> </v>
      </c>
      <c r="F163" s="16" t="str">
        <f t="shared" si="33"/>
        <v xml:space="preserve"> </v>
      </c>
      <c r="G163" s="16">
        <f t="shared" si="36"/>
        <v>2.0481879199339522E-2</v>
      </c>
      <c r="H163" s="16">
        <f t="shared" si="37"/>
        <v>2.8177470899735005E-2</v>
      </c>
      <c r="I163" s="16">
        <f t="shared" si="38"/>
        <v>2.8170017096002569E-2</v>
      </c>
      <c r="J163" s="16">
        <f t="shared" si="34"/>
        <v>2.0481879199339522E-2</v>
      </c>
      <c r="K163" s="16">
        <f t="shared" si="39"/>
        <v>2.8170017096002569E-2</v>
      </c>
      <c r="L163" s="16">
        <f t="shared" si="40"/>
        <v>0.12580287180075619</v>
      </c>
      <c r="M163" s="16">
        <f t="shared" si="41"/>
        <v>7.1305518810475768E-2</v>
      </c>
      <c r="N163" s="16">
        <f t="shared" si="42"/>
        <v>0.128667035053079</v>
      </c>
      <c r="O163" s="16">
        <f t="shared" si="43"/>
        <v>-3.0341760411796728E-2</v>
      </c>
      <c r="R163" s="5">
        <f t="shared" si="44"/>
        <v>-0.5</v>
      </c>
    </row>
    <row r="164" spans="2:18" x14ac:dyDescent="0.3">
      <c r="B164" s="16">
        <v>0.12877588700334663</v>
      </c>
      <c r="C164" s="16">
        <f t="shared" si="35"/>
        <v>5.1039849763231115E-2</v>
      </c>
      <c r="D164" s="16" t="str">
        <f t="shared" si="31"/>
        <v xml:space="preserve"> </v>
      </c>
      <c r="E164" s="16" t="str">
        <f t="shared" si="32"/>
        <v xml:space="preserve"> </v>
      </c>
      <c r="F164" s="16" t="str">
        <f t="shared" si="33"/>
        <v xml:space="preserve"> </v>
      </c>
      <c r="G164" s="16">
        <f t="shared" si="36"/>
        <v>2.0523625341918306E-2</v>
      </c>
      <c r="H164" s="16">
        <f t="shared" si="37"/>
        <v>2.6011702012338791E-2</v>
      </c>
      <c r="I164" s="16">
        <f t="shared" si="38"/>
        <v>2.6005837812028022E-2</v>
      </c>
      <c r="J164" s="16">
        <f t="shared" si="34"/>
        <v>2.0523625341918306E-2</v>
      </c>
      <c r="K164" s="16">
        <f t="shared" si="39"/>
        <v>2.6005837812028022E-2</v>
      </c>
      <c r="L164" s="16">
        <f t="shared" si="40"/>
        <v>0.12744870255686133</v>
      </c>
      <c r="M164" s="16">
        <f t="shared" si="41"/>
        <v>7.154621686075642E-2</v>
      </c>
      <c r="N164" s="16">
        <f t="shared" si="42"/>
        <v>0.13010307144983194</v>
      </c>
      <c r="O164" s="16">
        <f t="shared" si="43"/>
        <v>-3.0498966176919804E-2</v>
      </c>
      <c r="R164" s="5">
        <f t="shared" si="44"/>
        <v>-0.5</v>
      </c>
    </row>
    <row r="165" spans="2:18" x14ac:dyDescent="0.3">
      <c r="B165" s="16">
        <v>0.13032545370799575</v>
      </c>
      <c r="C165" s="16">
        <f t="shared" si="35"/>
        <v>5.1233954693507527E-2</v>
      </c>
      <c r="D165" s="16" t="str">
        <f t="shared" si="31"/>
        <v xml:space="preserve"> </v>
      </c>
      <c r="E165" s="16" t="str">
        <f t="shared" si="32"/>
        <v xml:space="preserve"> </v>
      </c>
      <c r="F165" s="16" t="str">
        <f t="shared" si="33"/>
        <v xml:space="preserve"> </v>
      </c>
      <c r="G165" s="16">
        <f t="shared" si="36"/>
        <v>2.0562269208811563E-2</v>
      </c>
      <c r="H165" s="16">
        <f t="shared" si="37"/>
        <v>2.387161517326607E-2</v>
      </c>
      <c r="I165" s="16">
        <f t="shared" si="38"/>
        <v>2.3867082277800006E-2</v>
      </c>
      <c r="J165" s="16">
        <f t="shared" si="34"/>
        <v>2.0562269208811563E-2</v>
      </c>
      <c r="K165" s="16">
        <f t="shared" si="39"/>
        <v>2.3867082277800006E-2</v>
      </c>
      <c r="L165" s="16">
        <f t="shared" si="40"/>
        <v>0.12910276478522431</v>
      </c>
      <c r="M165" s="16">
        <f t="shared" si="41"/>
        <v>7.1781632201087381E-2</v>
      </c>
      <c r="N165" s="16">
        <f t="shared" si="42"/>
        <v>0.1315481426307672</v>
      </c>
      <c r="O165" s="16">
        <f t="shared" si="43"/>
        <v>-3.0657093783464259E-2</v>
      </c>
      <c r="R165" s="5">
        <f t="shared" si="44"/>
        <v>-0.5</v>
      </c>
    </row>
    <row r="166" spans="2:18" x14ac:dyDescent="0.3">
      <c r="B166" s="16">
        <v>0.13188363818590843</v>
      </c>
      <c r="C166" s="16">
        <f t="shared" si="35"/>
        <v>5.1426118555015277E-2</v>
      </c>
      <c r="D166" s="16" t="str">
        <f t="shared" si="31"/>
        <v xml:space="preserve"> </v>
      </c>
      <c r="E166" s="16" t="str">
        <f t="shared" si="32"/>
        <v xml:space="preserve"> </v>
      </c>
      <c r="F166" s="16" t="str">
        <f t="shared" si="33"/>
        <v xml:space="preserve"> </v>
      </c>
      <c r="G166" s="16">
        <f t="shared" si="36"/>
        <v>2.0597813803582544E-2</v>
      </c>
      <c r="H166" s="16">
        <f t="shared" si="37"/>
        <v>2.175786484099489E-2</v>
      </c>
      <c r="I166" s="16">
        <f t="shared" si="38"/>
        <v>2.1754432390873064E-2</v>
      </c>
      <c r="J166" s="16">
        <f t="shared" si="34"/>
        <v>2.0597813803582544E-2</v>
      </c>
      <c r="K166" s="16">
        <f t="shared" si="39"/>
        <v>2.1754432390873064E-2</v>
      </c>
      <c r="L166" s="16">
        <f t="shared" si="40"/>
        <v>0.13076498040667614</v>
      </c>
      <c r="M166" s="16">
        <f t="shared" si="41"/>
        <v>7.2011763996185418E-2</v>
      </c>
      <c r="N166" s="16">
        <f t="shared" si="42"/>
        <v>0.13300229596514071</v>
      </c>
      <c r="O166" s="16">
        <f t="shared" si="43"/>
        <v>-3.0816136389020334E-2</v>
      </c>
      <c r="R166" s="5">
        <f t="shared" si="44"/>
        <v>-0.5</v>
      </c>
    </row>
    <row r="167" spans="2:18" x14ac:dyDescent="0.3">
      <c r="B167" s="16">
        <v>0.13345042499673354</v>
      </c>
      <c r="C167" s="16">
        <f t="shared" si="35"/>
        <v>5.1616333352944903E-2</v>
      </c>
      <c r="D167" s="16" t="str">
        <f t="shared" si="31"/>
        <v xml:space="preserve"> </v>
      </c>
      <c r="E167" s="16" t="str">
        <f t="shared" si="32"/>
        <v xml:space="preserve"> </v>
      </c>
      <c r="F167" s="16" t="str">
        <f t="shared" si="33"/>
        <v xml:space="preserve"> </v>
      </c>
      <c r="G167" s="16">
        <f t="shared" si="36"/>
        <v>2.063026392548958E-2</v>
      </c>
      <c r="H167" s="16">
        <f t="shared" si="37"/>
        <v>1.9671107598070132E-2</v>
      </c>
      <c r="I167" s="16">
        <f t="shared" si="38"/>
        <v>1.9668570925735724E-2</v>
      </c>
      <c r="J167" s="16">
        <f t="shared" si="34"/>
        <v>2.063026392548958E-2</v>
      </c>
      <c r="K167" s="16">
        <f t="shared" si="39"/>
        <v>1.9668570925735724E-2</v>
      </c>
      <c r="L167" s="16">
        <f t="shared" si="40"/>
        <v>0.13243527093872062</v>
      </c>
      <c r="M167" s="16">
        <f t="shared" si="41"/>
        <v>7.2236613641787406E-2</v>
      </c>
      <c r="N167" s="16">
        <f t="shared" si="42"/>
        <v>0.13446557905474646</v>
      </c>
      <c r="O167" s="16">
        <f t="shared" si="43"/>
        <v>-3.0976085790808242E-2</v>
      </c>
      <c r="R167" s="5">
        <f t="shared" si="44"/>
        <v>-0.5</v>
      </c>
    </row>
    <row r="168" spans="2:18" x14ac:dyDescent="0.3">
      <c r="B168" s="16">
        <v>0.13502579861487751</v>
      </c>
      <c r="C168" s="16">
        <f t="shared" si="35"/>
        <v>5.1804591161798627E-2</v>
      </c>
      <c r="D168" s="16" t="str">
        <f t="shared" si="31"/>
        <v xml:space="preserve"> </v>
      </c>
      <c r="E168" s="16" t="str">
        <f t="shared" si="32"/>
        <v xml:space="preserve"> </v>
      </c>
      <c r="F168" s="16" t="str">
        <f t="shared" si="33"/>
        <v xml:space="preserve"> </v>
      </c>
      <c r="G168" s="16">
        <f t="shared" si="36"/>
        <v>2.0659626193638064E-2</v>
      </c>
      <c r="H168" s="16">
        <f t="shared" si="37"/>
        <v>1.7612002119404009E-2</v>
      </c>
      <c r="I168" s="16">
        <f t="shared" si="38"/>
        <v>1.7610181479251513E-2</v>
      </c>
      <c r="J168" s="16">
        <f t="shared" si="34"/>
        <v>2.0659626193638064E-2</v>
      </c>
      <c r="K168" s="16">
        <f t="shared" si="39"/>
        <v>1.7610181479251513E-2</v>
      </c>
      <c r="L168" s="16">
        <f t="shared" si="40"/>
        <v>0.13411355751523812</v>
      </c>
      <c r="M168" s="16">
        <f t="shared" si="41"/>
        <v>7.2456184782189417E-2</v>
      </c>
      <c r="N168" s="16">
        <f t="shared" si="42"/>
        <v>0.1359380397145169</v>
      </c>
      <c r="O168" s="16">
        <f t="shared" si="43"/>
        <v>-3.1136932394913289E-2</v>
      </c>
      <c r="R168" s="5">
        <f t="shared" si="44"/>
        <v>-0.5</v>
      </c>
    </row>
    <row r="169" spans="2:18" x14ac:dyDescent="0.3">
      <c r="B169" s="16">
        <v>0.13660974342965859</v>
      </c>
      <c r="C169" s="16">
        <f t="shared" si="35"/>
        <v>5.1990884126613075E-2</v>
      </c>
      <c r="D169" s="16" t="str">
        <f t="shared" si="31"/>
        <v xml:space="preserve"> </v>
      </c>
      <c r="E169" s="16" t="str">
        <f t="shared" si="32"/>
        <v xml:space="preserve"> </v>
      </c>
      <c r="F169" s="16" t="str">
        <f t="shared" si="33"/>
        <v xml:space="preserve"> </v>
      </c>
      <c r="G169" s="16">
        <f t="shared" si="36"/>
        <v>2.0685909071046404E-2</v>
      </c>
      <c r="H169" s="16">
        <f t="shared" si="37"/>
        <v>1.5581209140460456E-2</v>
      </c>
      <c r="I169" s="16">
        <f t="shared" si="38"/>
        <v>1.5579948419535063E-2</v>
      </c>
      <c r="J169" s="16">
        <f t="shared" si="34"/>
        <v>2.0685909071046404E-2</v>
      </c>
      <c r="K169" s="16">
        <f t="shared" si="39"/>
        <v>1.5579948419535063E-2</v>
      </c>
      <c r="L169" s="16">
        <f t="shared" si="40"/>
        <v>0.13579976090609794</v>
      </c>
      <c r="M169" s="16">
        <f t="shared" si="41"/>
        <v>7.2670483327054641E-2</v>
      </c>
      <c r="N169" s="16">
        <f t="shared" si="42"/>
        <v>0.13741972595321925</v>
      </c>
      <c r="O169" s="16">
        <f t="shared" si="43"/>
        <v>-3.1298665184961827E-2</v>
      </c>
      <c r="R169" s="5">
        <f t="shared" si="44"/>
        <v>-0.5</v>
      </c>
    </row>
    <row r="170" spans="2:18" x14ac:dyDescent="0.3">
      <c r="B170" s="16">
        <v>0.13820224374546131</v>
      </c>
      <c r="C170" s="16">
        <f t="shared" si="35"/>
        <v>5.2175204464168429E-2</v>
      </c>
      <c r="D170" s="16" t="str">
        <f t="shared" si="31"/>
        <v xml:space="preserve"> </v>
      </c>
      <c r="E170" s="16" t="str">
        <f t="shared" si="32"/>
        <v xml:space="preserve"> </v>
      </c>
      <c r="F170" s="16" t="str">
        <f t="shared" si="33"/>
        <v xml:space="preserve"> </v>
      </c>
      <c r="G170" s="16">
        <f t="shared" si="36"/>
        <v>2.0709122888622533E-2</v>
      </c>
      <c r="H170" s="16">
        <f t="shared" si="37"/>
        <v>1.3579391425327422E-2</v>
      </c>
      <c r="I170" s="16">
        <f t="shared" si="38"/>
        <v>1.3578556838319572E-2</v>
      </c>
      <c r="J170" s="16">
        <f t="shared" si="34"/>
        <v>2.0709122888622533E-2</v>
      </c>
      <c r="K170" s="16">
        <f t="shared" si="39"/>
        <v>1.3578556838319572E-2</v>
      </c>
      <c r="L170" s="16">
        <f t="shared" si="40"/>
        <v>0.1374938015366611</v>
      </c>
      <c r="M170" s="16">
        <f t="shared" si="41"/>
        <v>7.2879517467488539E-2</v>
      </c>
      <c r="N170" s="16">
        <f t="shared" si="42"/>
        <v>0.13891068595426151</v>
      </c>
      <c r="O170" s="16">
        <f t="shared" si="43"/>
        <v>-3.1461271690243472E-2</v>
      </c>
      <c r="R170" s="5">
        <f t="shared" si="44"/>
        <v>-0.5</v>
      </c>
    </row>
    <row r="171" spans="2:18" x14ac:dyDescent="0.3">
      <c r="B171" s="16">
        <v>0.13980328378189188</v>
      </c>
      <c r="C171" s="16">
        <f t="shared" si="35"/>
        <v>5.2357544464184107E-2</v>
      </c>
      <c r="D171" s="16" t="str">
        <f t="shared" si="31"/>
        <v xml:space="preserve"> </v>
      </c>
      <c r="E171" s="16" t="str">
        <f t="shared" si="32"/>
        <v xml:space="preserve"> </v>
      </c>
      <c r="F171" s="16" t="str">
        <f t="shared" si="33"/>
        <v xml:space="preserve"> </v>
      </c>
      <c r="G171" s="16">
        <f t="shared" si="36"/>
        <v>2.0729279869047639E-2</v>
      </c>
      <c r="H171" s="16">
        <f t="shared" si="37"/>
        <v>1.1607213734677501E-2</v>
      </c>
      <c r="I171" s="16">
        <f t="shared" si="38"/>
        <v>1.1606692506860486E-2</v>
      </c>
      <c r="J171" s="16">
        <f t="shared" si="34"/>
        <v>2.0729279869047639E-2</v>
      </c>
      <c r="K171" s="16">
        <f t="shared" si="39"/>
        <v>1.1606692506860486E-2</v>
      </c>
      <c r="L171" s="16">
        <f t="shared" si="40"/>
        <v>0.13919559950715893</v>
      </c>
      <c r="M171" s="16">
        <f t="shared" si="41"/>
        <v>7.3083297691381569E-2</v>
      </c>
      <c r="N171" s="16">
        <f t="shared" si="42"/>
        <v>0.14041096805662484</v>
      </c>
      <c r="O171" s="16">
        <f t="shared" si="43"/>
        <v>-3.1624737953286283E-2</v>
      </c>
      <c r="R171" s="5">
        <f t="shared" si="44"/>
        <v>-0.5</v>
      </c>
    </row>
    <row r="172" spans="2:18" x14ac:dyDescent="0.3">
      <c r="B172" s="16">
        <v>0.14141284767393503</v>
      </c>
      <c r="C172" s="16">
        <f t="shared" si="35"/>
        <v>5.2537896490500696E-2</v>
      </c>
      <c r="D172" s="16" t="str">
        <f t="shared" si="31"/>
        <v xml:space="preserve"> </v>
      </c>
      <c r="E172" s="16" t="str">
        <f t="shared" si="32"/>
        <v xml:space="preserve"> </v>
      </c>
      <c r="F172" s="16" t="str">
        <f t="shared" si="33"/>
        <v xml:space="preserve"> </v>
      </c>
      <c r="G172" s="16">
        <f t="shared" si="36"/>
        <v>2.0746394150563802E-2</v>
      </c>
      <c r="H172" s="16">
        <f t="shared" si="37"/>
        <v>9.6653427936174326E-3</v>
      </c>
      <c r="I172" s="16">
        <f t="shared" si="38"/>
        <v>9.665041835412563E-3</v>
      </c>
      <c r="J172" s="16">
        <f t="shared" si="34"/>
        <v>2.0746394150563802E-2</v>
      </c>
      <c r="K172" s="16">
        <f t="shared" si="39"/>
        <v>9.665041835412563E-3</v>
      </c>
      <c r="L172" s="16">
        <f t="shared" si="40"/>
        <v>0.14090507461193294</v>
      </c>
      <c r="M172" s="16">
        <f t="shared" si="41"/>
        <v>7.3281836798019154E-2</v>
      </c>
      <c r="N172" s="16">
        <f t="shared" si="42"/>
        <v>0.14192062073593711</v>
      </c>
      <c r="O172" s="16">
        <f t="shared" si="43"/>
        <v>-3.1789048496891542E-2</v>
      </c>
      <c r="R172" s="5">
        <f t="shared" si="44"/>
        <v>-0.5</v>
      </c>
    </row>
    <row r="173" spans="2:18" x14ac:dyDescent="0.3">
      <c r="B173" s="16">
        <v>0.143030919472111</v>
      </c>
      <c r="C173" s="16">
        <f t="shared" si="35"/>
        <v>5.2716252982247636E-2</v>
      </c>
      <c r="D173" s="16" t="str">
        <f t="shared" si="31"/>
        <v xml:space="preserve"> </v>
      </c>
      <c r="E173" s="16" t="str">
        <f t="shared" si="32"/>
        <v xml:space="preserve"> </v>
      </c>
      <c r="F173" s="16" t="str">
        <f t="shared" si="33"/>
        <v xml:space="preserve"> </v>
      </c>
      <c r="G173" s="16">
        <f t="shared" si="36"/>
        <v>2.0760481810661997E-2</v>
      </c>
      <c r="H173" s="16">
        <f t="shared" si="37"/>
        <v>7.7544472594294834E-3</v>
      </c>
      <c r="I173" s="16">
        <f t="shared" si="38"/>
        <v>7.7542918363117733E-3</v>
      </c>
      <c r="J173" s="16">
        <f t="shared" si="34"/>
        <v>2.0760481810661997E-2</v>
      </c>
      <c r="K173" s="16">
        <f t="shared" si="39"/>
        <v>7.7542918363117733E-3</v>
      </c>
      <c r="L173" s="16">
        <f t="shared" si="40"/>
        <v>0.14262214635852116</v>
      </c>
      <c r="M173" s="16">
        <f t="shared" si="41"/>
        <v>7.3475149911959373E-2</v>
      </c>
      <c r="N173" s="16">
        <f t="shared" si="42"/>
        <v>0.14343969258570083</v>
      </c>
      <c r="O173" s="16">
        <f t="shared" si="43"/>
        <v>-3.1954186290635372E-2</v>
      </c>
      <c r="R173" s="5">
        <f t="shared" si="44"/>
        <v>-0.5</v>
      </c>
    </row>
    <row r="174" spans="2:18" x14ac:dyDescent="0.3">
      <c r="B174" s="16">
        <v>0.14465748314263338</v>
      </c>
      <c r="C174" s="16">
        <f t="shared" si="35"/>
        <v>5.2892606454996702E-2</v>
      </c>
      <c r="D174" s="16" t="str">
        <f t="shared" si="31"/>
        <v xml:space="preserve"> </v>
      </c>
      <c r="E174" s="16" t="str">
        <f t="shared" si="32"/>
        <v xml:space="preserve"> </v>
      </c>
      <c r="F174" s="16" t="str">
        <f t="shared" si="33"/>
        <v xml:space="preserve"> </v>
      </c>
      <c r="G174" s="16">
        <f t="shared" si="36"/>
        <v>2.0771560889667348E-2</v>
      </c>
      <c r="H174" s="16">
        <f t="shared" si="37"/>
        <v>5.8751976892052306E-3</v>
      </c>
      <c r="I174" s="16">
        <f t="shared" si="38"/>
        <v>5.875130090682688E-3</v>
      </c>
      <c r="J174" s="16">
        <f t="shared" si="34"/>
        <v>2.0771560889667348E-2</v>
      </c>
      <c r="K174" s="16">
        <f t="shared" si="39"/>
        <v>5.875130090682688E-3</v>
      </c>
      <c r="L174" s="16">
        <f t="shared" si="40"/>
        <v>0.14434673398657824</v>
      </c>
      <c r="M174" s="16">
        <f t="shared" si="41"/>
        <v>7.3663254496179609E-2</v>
      </c>
      <c r="N174" s="16">
        <f t="shared" si="42"/>
        <v>0.14496823229868852</v>
      </c>
      <c r="O174" s="16">
        <f t="shared" si="43"/>
        <v>-3.2120132716844912E-2</v>
      </c>
      <c r="R174" s="5">
        <f t="shared" si="44"/>
        <v>-0.5</v>
      </c>
    </row>
    <row r="175" spans="2:18" x14ac:dyDescent="0.3">
      <c r="B175" s="16">
        <v>0.14629252256756808</v>
      </c>
      <c r="C175" s="16">
        <f t="shared" si="35"/>
        <v>5.3066949501900967E-2</v>
      </c>
      <c r="D175" s="16" t="str">
        <f t="shared" si="31"/>
        <v xml:space="preserve"> </v>
      </c>
      <c r="E175" s="16" t="str">
        <f t="shared" si="32"/>
        <v xml:space="preserve"> </v>
      </c>
      <c r="F175" s="16" t="str">
        <f t="shared" si="33"/>
        <v xml:space="preserve"> </v>
      </c>
      <c r="G175" s="16">
        <f t="shared" si="36"/>
        <v>2.0779651414218111E-2</v>
      </c>
      <c r="H175" s="16">
        <f t="shared" si="37"/>
        <v>4.0282665073726465E-3</v>
      </c>
      <c r="I175" s="16">
        <f t="shared" si="38"/>
        <v>4.0282447187838218E-3</v>
      </c>
      <c r="J175" s="16">
        <f t="shared" si="34"/>
        <v>2.0779651414218111E-2</v>
      </c>
      <c r="K175" s="16">
        <f t="shared" si="39"/>
        <v>4.0282447187838218E-3</v>
      </c>
      <c r="L175" s="16">
        <f t="shared" si="40"/>
        <v>0.14607875648661783</v>
      </c>
      <c r="M175" s="16">
        <f t="shared" si="41"/>
        <v>7.3846170364493549E-2</v>
      </c>
      <c r="N175" s="16">
        <f t="shared" si="42"/>
        <v>0.14650628864851833</v>
      </c>
      <c r="O175" s="16">
        <f t="shared" si="43"/>
        <v>-3.2286867536057334E-2</v>
      </c>
      <c r="R175" s="5">
        <f t="shared" si="44"/>
        <v>-0.5</v>
      </c>
    </row>
    <row r="176" spans="2:18" x14ac:dyDescent="0.3">
      <c r="B176" s="16">
        <v>0.14793602154499341</v>
      </c>
      <c r="C176" s="16">
        <f t="shared" si="35"/>
        <v>5.3239274794819207E-2</v>
      </c>
      <c r="D176" s="16" t="str">
        <f t="shared" si="31"/>
        <v xml:space="preserve"> </v>
      </c>
      <c r="E176" s="16" t="str">
        <f t="shared" si="32"/>
        <v xml:space="preserve"> </v>
      </c>
      <c r="F176" s="16" t="str">
        <f t="shared" si="33"/>
        <v xml:space="preserve"> </v>
      </c>
      <c r="G176" s="16">
        <f t="shared" si="36"/>
        <v>2.0784775420635095E-2</v>
      </c>
      <c r="H176" s="16">
        <f t="shared" si="37"/>
        <v>2.2143279731179195E-3</v>
      </c>
      <c r="I176" s="16">
        <f t="shared" si="38"/>
        <v>2.214324353995223E-3</v>
      </c>
      <c r="J176" s="16">
        <f t="shared" si="34"/>
        <v>2.0784775420635095E-2</v>
      </c>
      <c r="K176" s="16">
        <f t="shared" si="39"/>
        <v>2.214324353995223E-3</v>
      </c>
      <c r="L176" s="16">
        <f t="shared" si="40"/>
        <v>0.14781813261856572</v>
      </c>
      <c r="M176" s="16">
        <f t="shared" si="41"/>
        <v>7.4023919693240542E-2</v>
      </c>
      <c r="N176" s="16">
        <f t="shared" si="42"/>
        <v>0.14805391047142111</v>
      </c>
      <c r="O176" s="16">
        <f t="shared" si="43"/>
        <v>-3.2454368851970353E-2</v>
      </c>
      <c r="R176" s="5">
        <f t="shared" si="44"/>
        <v>-0.5</v>
      </c>
    </row>
    <row r="177" spans="2:18" x14ac:dyDescent="0.3">
      <c r="B177" s="16">
        <v>0.14958796378916006</v>
      </c>
      <c r="C177" s="16">
        <f t="shared" si="35"/>
        <v>5.3409575085425036E-2</v>
      </c>
      <c r="D177" s="16" t="str">
        <f t="shared" si="31"/>
        <v xml:space="preserve"> </v>
      </c>
      <c r="E177" s="16" t="str">
        <f t="shared" si="32"/>
        <v xml:space="preserve"> </v>
      </c>
      <c r="F177" s="16" t="str">
        <f t="shared" si="33"/>
        <v xml:space="preserve"> </v>
      </c>
      <c r="G177" s="16">
        <f t="shared" si="36"/>
        <v>2.0786956978178193E-2</v>
      </c>
      <c r="H177" s="16">
        <f t="shared" si="37"/>
        <v>4.340581477047669E-4</v>
      </c>
      <c r="I177" s="16">
        <f t="shared" si="38"/>
        <v>4.3405812044498138E-4</v>
      </c>
      <c r="J177" s="16">
        <f t="shared" si="34"/>
        <v>2.0786956978178193E-2</v>
      </c>
      <c r="K177" s="16">
        <f t="shared" si="39"/>
        <v>4.3405812044498138E-4</v>
      </c>
      <c r="L177" s="16">
        <f t="shared" si="40"/>
        <v>0.14956478093011269</v>
      </c>
      <c r="M177" s="16">
        <f t="shared" si="41"/>
        <v>7.4196527032249049E-2</v>
      </c>
      <c r="N177" s="16">
        <f t="shared" si="42"/>
        <v>0.14961114664820743</v>
      </c>
      <c r="O177" s="16">
        <f t="shared" si="43"/>
        <v>-3.2622613075892655E-2</v>
      </c>
      <c r="R177" s="5">
        <f t="shared" si="44"/>
        <v>-0.5</v>
      </c>
    </row>
    <row r="178" spans="2:18" x14ac:dyDescent="0.3">
      <c r="B178" s="16">
        <v>0.15124833293065298</v>
      </c>
      <c r="C178" s="16">
        <f t="shared" si="35"/>
        <v>5.3577843206301323E-2</v>
      </c>
      <c r="D178" s="16" t="str">
        <f t="shared" si="31"/>
        <v xml:space="preserve"> </v>
      </c>
      <c r="E178" s="16" t="str">
        <f t="shared" si="32"/>
        <v xml:space="preserve"> </v>
      </c>
      <c r="F178" s="16" t="str">
        <f t="shared" si="33"/>
        <v xml:space="preserve"> </v>
      </c>
      <c r="G178" s="16">
        <f t="shared" si="36"/>
        <v>2.0786222212186695E-2</v>
      </c>
      <c r="H178" s="16">
        <f t="shared" si="37"/>
        <v>-1.3118651383097119E-3</v>
      </c>
      <c r="I178" s="16">
        <f t="shared" si="38"/>
        <v>-1.3118643857414991E-3</v>
      </c>
      <c r="J178" s="16">
        <f t="shared" si="34"/>
        <v>2.0786222212186695E-2</v>
      </c>
      <c r="K178" s="16">
        <f t="shared" si="39"/>
        <v>-1.3118643857414991E-3</v>
      </c>
      <c r="L178" s="16">
        <f t="shared" si="40"/>
        <v>0.15131861977485969</v>
      </c>
      <c r="M178" s="16">
        <f t="shared" si="41"/>
        <v>7.4364019315077551E-2</v>
      </c>
      <c r="N178" s="16">
        <f t="shared" si="42"/>
        <v>0.15117804608644628</v>
      </c>
      <c r="O178" s="16">
        <f t="shared" si="43"/>
        <v>-3.2791574890704167E-2</v>
      </c>
      <c r="R178" s="5">
        <f t="shared" si="44"/>
        <v>-0.5</v>
      </c>
    </row>
    <row r="179" spans="2:18" x14ac:dyDescent="0.3">
      <c r="B179" s="16">
        <v>0.15291711251655316</v>
      </c>
      <c r="C179" s="16">
        <f t="shared" si="35"/>
        <v>5.3744072072018811E-2</v>
      </c>
      <c r="D179" s="16" t="str">
        <f t="shared" si="31"/>
        <v xml:space="preserve"> </v>
      </c>
      <c r="E179" s="16" t="str">
        <f t="shared" si="32"/>
        <v xml:space="preserve"> </v>
      </c>
      <c r="F179" s="16" t="str">
        <f t="shared" si="33"/>
        <v xml:space="preserve"> </v>
      </c>
      <c r="G179" s="16">
        <f t="shared" si="36"/>
        <v>2.0782599327100013E-2</v>
      </c>
      <c r="H179" s="16">
        <f t="shared" si="37"/>
        <v>-3.0227623179590185E-3</v>
      </c>
      <c r="I179" s="16">
        <f t="shared" si="38"/>
        <v>-3.0227531115903281E-3</v>
      </c>
      <c r="J179" s="16">
        <f t="shared" si="34"/>
        <v>2.0782599327100013E-2</v>
      </c>
      <c r="K179" s="16">
        <f t="shared" si="39"/>
        <v>-3.0227531115903281E-3</v>
      </c>
      <c r="L179" s="16">
        <f t="shared" si="40"/>
        <v>0.15307956733024553</v>
      </c>
      <c r="M179" s="16">
        <f t="shared" si="41"/>
        <v>7.4526425868535084E-2</v>
      </c>
      <c r="N179" s="16">
        <f t="shared" si="42"/>
        <v>0.15275465770286079</v>
      </c>
      <c r="O179" s="16">
        <f t="shared" si="43"/>
        <v>-3.2961227214335059E-2</v>
      </c>
      <c r="R179" s="5">
        <f t="shared" si="44"/>
        <v>-0.5</v>
      </c>
    </row>
    <row r="180" spans="2:18" x14ac:dyDescent="0.3">
      <c r="B180" s="16">
        <v>0.15459428601060099</v>
      </c>
      <c r="C180" s="16">
        <f t="shared" si="35"/>
        <v>5.3908254680199642E-2</v>
      </c>
      <c r="D180" s="16" t="str">
        <f t="shared" si="31"/>
        <v xml:space="preserve"> </v>
      </c>
      <c r="E180" s="16" t="str">
        <f t="shared" si="32"/>
        <v xml:space="preserve"> </v>
      </c>
      <c r="F180" s="16" t="str">
        <f t="shared" si="33"/>
        <v xml:space="preserve"> </v>
      </c>
      <c r="G180" s="16">
        <f t="shared" si="36"/>
        <v>2.0776118629355543E-2</v>
      </c>
      <c r="H180" s="16">
        <f t="shared" si="37"/>
        <v>-4.6979521208516525E-3</v>
      </c>
      <c r="I180" s="16">
        <f t="shared" si="38"/>
        <v>-4.6979175588606125E-3</v>
      </c>
      <c r="J180" s="16">
        <f t="shared" si="34"/>
        <v>2.0776118629355543E-2</v>
      </c>
      <c r="K180" s="16">
        <f t="shared" si="39"/>
        <v>-4.6979175588606125E-3</v>
      </c>
      <c r="L180" s="16">
        <f t="shared" si="40"/>
        <v>0.15484754161525158</v>
      </c>
      <c r="M180" s="16">
        <f t="shared" si="41"/>
        <v>7.4683778421485075E-2</v>
      </c>
      <c r="N180" s="16">
        <f t="shared" si="42"/>
        <v>0.1543410304059504</v>
      </c>
      <c r="O180" s="16">
        <f t="shared" si="43"/>
        <v>-3.3131541162773996E-2</v>
      </c>
      <c r="R180" s="5">
        <f t="shared" si="44"/>
        <v>-0.5</v>
      </c>
    </row>
    <row r="181" spans="2:18" x14ac:dyDescent="0.3">
      <c r="B181" s="16">
        <v>0.15627983679335988</v>
      </c>
      <c r="C181" s="16">
        <f t="shared" si="35"/>
        <v>5.4070384112564644E-2</v>
      </c>
      <c r="D181" s="16" t="str">
        <f t="shared" si="31"/>
        <v xml:space="preserve"> </v>
      </c>
      <c r="E181" s="16" t="str">
        <f t="shared" si="32"/>
        <v xml:space="preserve"> </v>
      </c>
      <c r="F181" s="16" t="str">
        <f t="shared" si="33"/>
        <v xml:space="preserve"> </v>
      </c>
      <c r="G181" s="16">
        <f t="shared" si="36"/>
        <v>2.0766812550160354E-2</v>
      </c>
      <c r="H181" s="16">
        <f t="shared" si="37"/>
        <v>-6.3367516062529609E-3</v>
      </c>
      <c r="I181" s="16">
        <f t="shared" si="38"/>
        <v>-6.3366667920992633E-3</v>
      </c>
      <c r="J181" s="16">
        <f t="shared" si="34"/>
        <v>2.0766812550160354E-2</v>
      </c>
      <c r="K181" s="16">
        <f t="shared" si="39"/>
        <v>-6.3366667920992633E-3</v>
      </c>
      <c r="L181" s="16">
        <f t="shared" si="40"/>
        <v>0.15662246050787651</v>
      </c>
      <c r="M181" s="16">
        <f t="shared" si="41"/>
        <v>7.4836111112935644E-2</v>
      </c>
      <c r="N181" s="16">
        <f t="shared" si="42"/>
        <v>0.15593721307884326</v>
      </c>
      <c r="O181" s="16">
        <f t="shared" si="43"/>
        <v>-3.3302486012614929E-2</v>
      </c>
      <c r="R181" s="5">
        <f t="shared" si="44"/>
        <v>-0.5</v>
      </c>
    </row>
    <row r="182" spans="2:18" x14ac:dyDescent="0.3">
      <c r="B182" s="16">
        <v>0.15797374816238119</v>
      </c>
      <c r="C182" s="16">
        <f t="shared" si="35"/>
        <v>5.423045353596509E-2</v>
      </c>
      <c r="D182" s="16" t="str">
        <f t="shared" si="31"/>
        <v xml:space="preserve"> </v>
      </c>
      <c r="E182" s="16" t="str">
        <f t="shared" si="32"/>
        <v xml:space="preserve"> </v>
      </c>
      <c r="F182" s="16" t="str">
        <f t="shared" si="33"/>
        <v xml:space="preserve"> </v>
      </c>
      <c r="G182" s="16">
        <f t="shared" si="36"/>
        <v>2.0754715668133358E-2</v>
      </c>
      <c r="H182" s="16">
        <f t="shared" si="37"/>
        <v>-7.9384761962643189E-3</v>
      </c>
      <c r="I182" s="16">
        <f t="shared" si="38"/>
        <v>-7.9383094432224511E-3</v>
      </c>
      <c r="J182" s="16">
        <f t="shared" si="34"/>
        <v>2.0754715668133358E-2</v>
      </c>
      <c r="K182" s="16">
        <f t="shared" si="39"/>
        <v>-7.9383094432224511E-3</v>
      </c>
      <c r="L182" s="16">
        <f t="shared" si="40"/>
        <v>0.15840424176237766</v>
      </c>
      <c r="M182" s="16">
        <f t="shared" si="41"/>
        <v>7.4983460499420299E-2</v>
      </c>
      <c r="N182" s="16">
        <f t="shared" si="42"/>
        <v>0.15754325456238472</v>
      </c>
      <c r="O182" s="16">
        <f t="shared" si="43"/>
        <v>-3.347402916315359E-2</v>
      </c>
      <c r="R182" s="5">
        <f t="shared" si="44"/>
        <v>-0.5</v>
      </c>
    </row>
    <row r="183" spans="2:18" x14ac:dyDescent="0.3">
      <c r="B183" s="16">
        <v>0.15967600333236964</v>
      </c>
      <c r="C183" s="16">
        <f t="shared" si="35"/>
        <v>5.4388456203397988E-2</v>
      </c>
      <c r="D183" s="16" t="str">
        <f t="shared" si="31"/>
        <v xml:space="preserve"> </v>
      </c>
      <c r="E183" s="16" t="str">
        <f t="shared" si="32"/>
        <v xml:space="preserve"> </v>
      </c>
      <c r="F183" s="16" t="str">
        <f t="shared" si="33"/>
        <v xml:space="preserve"> </v>
      </c>
      <c r="G183" s="16">
        <f t="shared" si="36"/>
        <v>2.0739864731814689E-2</v>
      </c>
      <c r="H183" s="16">
        <f t="shared" si="37"/>
        <v>-9.5024397090974211E-3</v>
      </c>
      <c r="I183" s="16">
        <f t="shared" si="38"/>
        <v>-9.502153712684959E-3</v>
      </c>
      <c r="J183" s="16">
        <f t="shared" si="34"/>
        <v>2.0739864731814689E-2</v>
      </c>
      <c r="K183" s="16">
        <f t="shared" si="39"/>
        <v>-9.502153712684959E-3</v>
      </c>
      <c r="L183" s="16">
        <f t="shared" si="40"/>
        <v>0.16019280302627428</v>
      </c>
      <c r="M183" s="16">
        <f t="shared" si="41"/>
        <v>7.512586556167275E-2</v>
      </c>
      <c r="N183" s="16">
        <f t="shared" si="42"/>
        <v>0.159159203638465</v>
      </c>
      <c r="O183" s="16">
        <f t="shared" si="43"/>
        <v>-3.3646136098043365E-2</v>
      </c>
      <c r="R183" s="5">
        <f t="shared" si="44"/>
        <v>-0.5</v>
      </c>
    </row>
    <row r="184" spans="2:18" x14ac:dyDescent="0.3">
      <c r="B184" s="16">
        <v>0.16138658543534967</v>
      </c>
      <c r="C184" s="16">
        <f t="shared" si="35"/>
        <v>5.4544385455005187E-2</v>
      </c>
      <c r="D184" s="16" t="str">
        <f t="shared" si="31"/>
        <v xml:space="preserve"> </v>
      </c>
      <c r="E184" s="16" t="str">
        <f t="shared" si="32"/>
        <v xml:space="preserve"> </v>
      </c>
      <c r="F184" s="16" t="str">
        <f t="shared" si="33"/>
        <v xml:space="preserve"> </v>
      </c>
      <c r="G184" s="16">
        <f t="shared" si="36"/>
        <v>2.0722298682039002E-2</v>
      </c>
      <c r="H184" s="16">
        <f t="shared" si="37"/>
        <v>-1.1027954392442578E-2</v>
      </c>
      <c r="I184" s="16">
        <f t="shared" si="38"/>
        <v>-1.1027507367309947E-2</v>
      </c>
      <c r="J184" s="16">
        <f t="shared" si="34"/>
        <v>2.0722298682039002E-2</v>
      </c>
      <c r="K184" s="16">
        <f t="shared" si="39"/>
        <v>-1.1027507367309947E-2</v>
      </c>
      <c r="L184" s="16">
        <f t="shared" si="40"/>
        <v>0.1619880618571117</v>
      </c>
      <c r="M184" s="16">
        <f t="shared" si="41"/>
        <v>7.526336771059991E-2</v>
      </c>
      <c r="N184" s="16">
        <f t="shared" si="42"/>
        <v>0.16078510901358764</v>
      </c>
      <c r="O184" s="16">
        <f t="shared" si="43"/>
        <v>-3.3818770346521899E-2</v>
      </c>
      <c r="R184" s="5">
        <f t="shared" si="44"/>
        <v>-0.5</v>
      </c>
    </row>
    <row r="185" spans="2:18" x14ac:dyDescent="0.3">
      <c r="B185" s="16">
        <v>0.16310547752083215</v>
      </c>
      <c r="C185" s="16">
        <f t="shared" si="35"/>
        <v>5.4698234719055792E-2</v>
      </c>
      <c r="D185" s="16" t="str">
        <f t="shared" si="31"/>
        <v xml:space="preserve"> </v>
      </c>
      <c r="E185" s="16" t="str">
        <f t="shared" si="32"/>
        <v xml:space="preserve"> </v>
      </c>
      <c r="F185" s="16" t="str">
        <f t="shared" si="33"/>
        <v xml:space="preserve"> </v>
      </c>
      <c r="G185" s="16">
        <f t="shared" si="36"/>
        <v>2.0702058674169455E-2</v>
      </c>
      <c r="H185" s="16">
        <f t="shared" si="37"/>
        <v>-1.2514330956929437E-2</v>
      </c>
      <c r="I185" s="16">
        <f t="shared" si="38"/>
        <v>-1.2513677734861535E-2</v>
      </c>
      <c r="J185" s="16">
        <f t="shared" si="34"/>
        <v>2.0702058674169455E-2</v>
      </c>
      <c r="K185" s="16">
        <f t="shared" si="39"/>
        <v>-1.2513677734861535E-2</v>
      </c>
      <c r="L185" s="16">
        <f t="shared" si="40"/>
        <v>0.16378993573898412</v>
      </c>
      <c r="M185" s="16">
        <f t="shared" si="41"/>
        <v>7.5396010792557505E-2</v>
      </c>
      <c r="N185" s="16">
        <f t="shared" si="42"/>
        <v>0.16242101930268019</v>
      </c>
      <c r="O185" s="16">
        <f t="shared" si="43"/>
        <v>-3.3991893444218602E-2</v>
      </c>
      <c r="R185" s="5">
        <f t="shared" si="44"/>
        <v>-0.5</v>
      </c>
    </row>
    <row r="186" spans="2:18" x14ac:dyDescent="0.3">
      <c r="B186" s="16">
        <v>0.16483266255598328</v>
      </c>
      <c r="C186" s="16">
        <f t="shared" si="35"/>
        <v>5.4849997512912078E-2</v>
      </c>
      <c r="D186" s="16" t="str">
        <f t="shared" si="31"/>
        <v xml:space="preserve"> </v>
      </c>
      <c r="E186" s="16" t="str">
        <f t="shared" si="32"/>
        <v xml:space="preserve"> </v>
      </c>
      <c r="F186" s="16" t="str">
        <f t="shared" si="33"/>
        <v xml:space="preserve"> </v>
      </c>
      <c r="G186" s="16">
        <f t="shared" si="36"/>
        <v>2.067918810018899E-2</v>
      </c>
      <c r="H186" s="16">
        <f t="shared" si="37"/>
        <v>-1.3960878609680021E-2</v>
      </c>
      <c r="I186" s="16">
        <f t="shared" si="38"/>
        <v>-1.3959971695454574E-2</v>
      </c>
      <c r="J186" s="16">
        <f t="shared" si="34"/>
        <v>2.067918810018899E-2</v>
      </c>
      <c r="K186" s="16">
        <f t="shared" si="39"/>
        <v>-1.3959971695454574E-2</v>
      </c>
      <c r="L186" s="16">
        <f t="shared" si="40"/>
        <v>0.16559834209881896</v>
      </c>
      <c r="M186" s="16">
        <f t="shared" si="41"/>
        <v>7.5523841093932537E-2</v>
      </c>
      <c r="N186" s="16">
        <f t="shared" si="42"/>
        <v>0.16406698301314759</v>
      </c>
      <c r="O186" s="16">
        <f t="shared" si="43"/>
        <v>-3.4165464893554563E-2</v>
      </c>
      <c r="R186" s="5">
        <f t="shared" si="44"/>
        <v>-0.5</v>
      </c>
    </row>
    <row r="187" spans="2:18" x14ac:dyDescent="0.3">
      <c r="B187" s="16">
        <v>0.1665681234257923</v>
      </c>
      <c r="C187" s="16">
        <f t="shared" si="35"/>
        <v>5.4999667443978141E-2</v>
      </c>
      <c r="D187" s="16" t="str">
        <f t="shared" si="31"/>
        <v xml:space="preserve"> </v>
      </c>
      <c r="E187" s="16" t="str">
        <f t="shared" si="32"/>
        <v xml:space="preserve"> </v>
      </c>
      <c r="F187" s="16" t="str">
        <f t="shared" si="33"/>
        <v xml:space="preserve"> </v>
      </c>
      <c r="G187" s="16">
        <f t="shared" si="36"/>
        <v>2.065373261064575E-2</v>
      </c>
      <c r="H187" s="16">
        <f t="shared" si="37"/>
        <v>-1.5366905087949956E-2</v>
      </c>
      <c r="I187" s="16">
        <f t="shared" si="38"/>
        <v>-1.5365695669902689E-2</v>
      </c>
      <c r="J187" s="16">
        <f t="shared" si="34"/>
        <v>2.065373261064575E-2</v>
      </c>
      <c r="K187" s="16">
        <f t="shared" si="39"/>
        <v>-1.5365695669902689E-2</v>
      </c>
      <c r="L187" s="16">
        <f t="shared" si="40"/>
        <v>0.16741319832242074</v>
      </c>
      <c r="M187" s="16">
        <f t="shared" si="41"/>
        <v>7.5646907345036901E-2</v>
      </c>
      <c r="N187" s="16">
        <f t="shared" si="42"/>
        <v>0.16572304852916386</v>
      </c>
      <c r="O187" s="16">
        <f t="shared" si="43"/>
        <v>-3.4339442123745401E-2</v>
      </c>
      <c r="R187" s="5">
        <f t="shared" si="44"/>
        <v>-0.5</v>
      </c>
    </row>
    <row r="188" spans="2:18" x14ac:dyDescent="0.3">
      <c r="B188" s="16">
        <v>0.16831184293324197</v>
      </c>
      <c r="C188" s="16">
        <f t="shared" si="35"/>
        <v>5.5147238210631756E-2</v>
      </c>
      <c r="D188" s="16" t="str">
        <f t="shared" si="31"/>
        <v xml:space="preserve"> </v>
      </c>
      <c r="E188" s="16" t="str">
        <f t="shared" si="32"/>
        <v xml:space="preserve"> </v>
      </c>
      <c r="F188" s="16" t="str">
        <f t="shared" si="33"/>
        <v xml:space="preserve"> </v>
      </c>
      <c r="G188" s="16">
        <f t="shared" si="36"/>
        <v>2.0625740136449369E-2</v>
      </c>
      <c r="H188" s="16">
        <f t="shared" si="37"/>
        <v>-1.6731716692859794E-2</v>
      </c>
      <c r="I188" s="16">
        <f t="shared" si="38"/>
        <v>-1.6730155605122522E-2</v>
      </c>
      <c r="J188" s="16">
        <f t="shared" si="34"/>
        <v>2.0625740136449369E-2</v>
      </c>
      <c r="K188" s="16">
        <f t="shared" si="39"/>
        <v>-1.6730155605122522E-2</v>
      </c>
      <c r="L188" s="16">
        <f t="shared" si="40"/>
        <v>0.16923442177028156</v>
      </c>
      <c r="M188" s="16">
        <f t="shared" si="41"/>
        <v>7.5765260723317102E-2</v>
      </c>
      <c r="N188" s="16">
        <f t="shared" si="42"/>
        <v>0.16738926409620239</v>
      </c>
      <c r="O188" s="16">
        <f t="shared" si="43"/>
        <v>-3.4513780450418356E-2</v>
      </c>
      <c r="R188" s="5">
        <f t="shared" si="44"/>
        <v>-0.5</v>
      </c>
    </row>
    <row r="189" spans="2:18" x14ac:dyDescent="0.3">
      <c r="B189" s="16">
        <v>0.17006380379947839</v>
      </c>
      <c r="C189" s="16">
        <f t="shared" si="35"/>
        <v>5.5292703603138794E-2</v>
      </c>
      <c r="D189" s="16" t="str">
        <f t="shared" si="31"/>
        <v xml:space="preserve"> </v>
      </c>
      <c r="E189" s="16" t="str">
        <f t="shared" si="32"/>
        <v xml:space="preserve"> </v>
      </c>
      <c r="F189" s="16" t="str">
        <f t="shared" si="33"/>
        <v xml:space="preserve"> </v>
      </c>
      <c r="G189" s="16">
        <f t="shared" si="36"/>
        <v>2.0595260910514862E-2</v>
      </c>
      <c r="H189" s="16">
        <f t="shared" si="37"/>
        <v>-1.8054618323212229E-2</v>
      </c>
      <c r="I189" s="16">
        <f t="shared" si="38"/>
        <v>-1.8052656956717098E-2</v>
      </c>
      <c r="J189" s="16">
        <f t="shared" si="34"/>
        <v>2.0595260910514862E-2</v>
      </c>
      <c r="K189" s="16">
        <f t="shared" si="39"/>
        <v>-1.8052656956717098E-2</v>
      </c>
      <c r="L189" s="16">
        <f t="shared" si="40"/>
        <v>0.17106192979315932</v>
      </c>
      <c r="M189" s="16">
        <f t="shared" si="41"/>
        <v>7.5878954855884473E-2</v>
      </c>
      <c r="N189" s="16">
        <f t="shared" si="42"/>
        <v>0.16906567780579745</v>
      </c>
      <c r="O189" s="16">
        <f t="shared" si="43"/>
        <v>-3.4688433034854749E-2</v>
      </c>
      <c r="R189" s="5">
        <f t="shared" si="44"/>
        <v>-0.5</v>
      </c>
    </row>
    <row r="190" spans="2:18" x14ac:dyDescent="0.3">
      <c r="B190" s="16">
        <v>0.17182398866398252</v>
      </c>
      <c r="C190" s="16">
        <f t="shared" si="35"/>
        <v>5.5436057504550183E-2</v>
      </c>
      <c r="D190" s="16" t="str">
        <f t="shared" si="31"/>
        <v xml:space="preserve"> </v>
      </c>
      <c r="E190" s="16" t="str">
        <f t="shared" si="32"/>
        <v xml:space="preserve"> </v>
      </c>
      <c r="F190" s="16" t="str">
        <f t="shared" si="33"/>
        <v xml:space="preserve"> </v>
      </c>
      <c r="G190" s="16">
        <f t="shared" si="36"/>
        <v>2.0562347489250857E-2</v>
      </c>
      <c r="H190" s="16">
        <f t="shared" si="37"/>
        <v>-1.9334913509395684E-2</v>
      </c>
      <c r="I190" s="16">
        <f t="shared" si="38"/>
        <v>-1.9332504668877121E-2</v>
      </c>
      <c r="J190" s="16">
        <f t="shared" si="34"/>
        <v>2.0562347489250857E-2</v>
      </c>
      <c r="K190" s="16">
        <f t="shared" si="39"/>
        <v>-1.9332504668877121E-2</v>
      </c>
      <c r="L190" s="16">
        <f t="shared" si="40"/>
        <v>0.17289563974743191</v>
      </c>
      <c r="M190" s="16">
        <f t="shared" si="41"/>
        <v>7.5988045821370559E-2</v>
      </c>
      <c r="N190" s="16">
        <f t="shared" si="42"/>
        <v>0.17075233758053313</v>
      </c>
      <c r="O190" s="16">
        <f t="shared" si="43"/>
        <v>-3.4863350842868839E-2</v>
      </c>
      <c r="R190" s="5">
        <f t="shared" si="44"/>
        <v>-0.5</v>
      </c>
    </row>
    <row r="191" spans="2:18" x14ac:dyDescent="0.3">
      <c r="B191" s="16">
        <v>0.1735923800847422</v>
      </c>
      <c r="C191" s="16">
        <f t="shared" si="35"/>
        <v>5.5577293891581218E-2</v>
      </c>
      <c r="D191" s="16" t="str">
        <f t="shared" si="31"/>
        <v xml:space="preserve"> </v>
      </c>
      <c r="E191" s="16" t="str">
        <f t="shared" si="32"/>
        <v xml:space="preserve"> </v>
      </c>
      <c r="F191" s="16" t="str">
        <f t="shared" si="33"/>
        <v xml:space="preserve"> </v>
      </c>
      <c r="G191" s="16">
        <f t="shared" si="36"/>
        <v>2.0527054773889043E-2</v>
      </c>
      <c r="H191" s="16">
        <f t="shared" si="37"/>
        <v>-2.0571904447371857E-2</v>
      </c>
      <c r="I191" s="16">
        <f t="shared" si="38"/>
        <v>-2.0569003151747502E-2</v>
      </c>
      <c r="J191" s="16">
        <f t="shared" si="34"/>
        <v>2.0527054773889043E-2</v>
      </c>
      <c r="K191" s="16">
        <f t="shared" si="39"/>
        <v>-2.0569003151747502E-2</v>
      </c>
      <c r="L191" s="16">
        <f t="shared" si="40"/>
        <v>0.17473546901023332</v>
      </c>
      <c r="M191" s="16">
        <f t="shared" si="41"/>
        <v>7.6092592151112443E-2</v>
      </c>
      <c r="N191" s="16">
        <f t="shared" si="42"/>
        <v>0.17244929115925109</v>
      </c>
      <c r="O191" s="16">
        <f t="shared" si="43"/>
        <v>-3.503848260333435E-2</v>
      </c>
      <c r="R191" s="5">
        <f t="shared" si="44"/>
        <v>-0.5</v>
      </c>
    </row>
    <row r="192" spans="2:18" x14ac:dyDescent="0.3">
      <c r="B192" s="16">
        <v>0.17536896053842488</v>
      </c>
      <c r="C192" s="16">
        <f t="shared" si="35"/>
        <v>5.5716406835473194E-2</v>
      </c>
      <c r="D192" s="16" t="str">
        <f t="shared" si="31"/>
        <v xml:space="preserve"> </v>
      </c>
      <c r="E192" s="16" t="str">
        <f t="shared" si="32"/>
        <v xml:space="preserve"> </v>
      </c>
      <c r="F192" s="16" t="str">
        <f t="shared" si="33"/>
        <v xml:space="preserve"> </v>
      </c>
      <c r="G192" s="16">
        <f t="shared" si="36"/>
        <v>2.0489440031651523E-2</v>
      </c>
      <c r="H192" s="16">
        <f t="shared" si="37"/>
        <v>-2.1764892032746116E-2</v>
      </c>
      <c r="I192" s="16">
        <f t="shared" si="38"/>
        <v>-2.1761456256419408E-2</v>
      </c>
      <c r="J192" s="16">
        <f t="shared" si="34"/>
        <v>2.0489440031651523E-2</v>
      </c>
      <c r="K192" s="16">
        <f t="shared" si="39"/>
        <v>-2.1761456256419408E-2</v>
      </c>
      <c r="L192" s="16">
        <f t="shared" si="40"/>
        <v>0.17658133499438067</v>
      </c>
      <c r="M192" s="16">
        <f t="shared" si="41"/>
        <v>7.6192654829672926E-2</v>
      </c>
      <c r="N192" s="16">
        <f t="shared" si="42"/>
        <v>0.17415658608246909</v>
      </c>
      <c r="O192" s="16">
        <f t="shared" si="43"/>
        <v>-3.5213774766369874E-2</v>
      </c>
      <c r="R192" s="5">
        <f t="shared" si="44"/>
        <v>-0.5</v>
      </c>
    </row>
    <row r="193" spans="2:18" x14ac:dyDescent="0.3">
      <c r="B193" s="16">
        <v>0.17715371242055111</v>
      </c>
      <c r="C193" s="16">
        <f t="shared" si="35"/>
        <v>5.5853390502836747E-2</v>
      </c>
      <c r="D193" s="16" t="str">
        <f t="shared" ref="D193:D256" si="45">IF($Q$1=1, IF(B193&lt;$A$8, ($A$10/6)*((B193^3)-3*$A$8*(B193^2)+($A$8^2)*(3-$A$8)*B193), (($A$10*($A$8^3))/6)*(1-B193)), " ")</f>
        <v xml:space="preserve"> </v>
      </c>
      <c r="E193" s="16" t="str">
        <f t="shared" ref="E193:E256" si="46">IF($Q$1=1,IF(B193&lt;$A$8, ($A$10/6)*(3*(B193^2)-6*$A$8*B193+($A$8^2)*(3-$A$8)), -($A$10*($A$8^3))/6), " ")</f>
        <v xml:space="preserve"> </v>
      </c>
      <c r="F193" s="16" t="str">
        <f t="shared" ref="F193:F256" si="47">IF($Q$1=1, ATAN(E193), " ")</f>
        <v xml:space="preserve"> </v>
      </c>
      <c r="G193" s="16">
        <f t="shared" si="36"/>
        <v>2.0449562916752935E-2</v>
      </c>
      <c r="H193" s="16">
        <f t="shared" si="37"/>
        <v>-2.2913175894919306E-2</v>
      </c>
      <c r="I193" s="16">
        <f t="shared" si="38"/>
        <v>-2.2909167247719523E-2</v>
      </c>
      <c r="J193" s="16">
        <f t="shared" ref="J193:J256" si="48">IF($Q$1=1, D193, G193)</f>
        <v>2.0449562916752935E-2</v>
      </c>
      <c r="K193" s="16">
        <f t="shared" si="39"/>
        <v>-2.2909167247719523E-2</v>
      </c>
      <c r="L193" s="16">
        <f t="shared" si="40"/>
        <v>0.17843315516310268</v>
      </c>
      <c r="M193" s="16">
        <f t="shared" si="41"/>
        <v>7.6288297294699811E-2</v>
      </c>
      <c r="N193" s="16">
        <f t="shared" si="42"/>
        <v>0.17587426967799955</v>
      </c>
      <c r="O193" s="16">
        <f t="shared" si="43"/>
        <v>-3.5389171461193941E-2</v>
      </c>
      <c r="R193" s="5">
        <f t="shared" si="44"/>
        <v>-0.5</v>
      </c>
    </row>
    <row r="194" spans="2:18" x14ac:dyDescent="0.3">
      <c r="B194" s="16">
        <v>0.17894661804566958</v>
      </c>
      <c r="C194" s="16">
        <f t="shared" ref="C194:C257" si="49">IF(AND($Q$1=2, $A$3=1), 0, IF($T$3, 5*$A$7*(0.2969*SQRT(B194)-0.126*B194-0.3516*(B194^2)+0.2843*(B194^3)-0.1036*(B194^4)),  5*$A$7*(0.2969*SQRT(B194)-0.126*B194-0.3516*(B194^2)+0.2843*(B194^3)-0.1015*(B194^4))))</f>
        <v>5.5988239156477521E-2</v>
      </c>
      <c r="D194" s="16" t="str">
        <f t="shared" si="45"/>
        <v xml:space="preserve"> </v>
      </c>
      <c r="E194" s="16" t="str">
        <f t="shared" si="46"/>
        <v xml:space="preserve"> </v>
      </c>
      <c r="F194" s="16" t="str">
        <f t="shared" si="47"/>
        <v xml:space="preserve"> </v>
      </c>
      <c r="G194" s="16">
        <f t="shared" ref="G194:G257" si="50">IF($Q$1=2, IF(A196&lt;&gt;1, IF(B194&lt;$A$11, ($A$12/6)*((B194-$A$11)^3-$A$13*((1-$A$11)^3)*B194-($A$11^3)*B194+$A$11^3), ($A$12/6)*($A$13*(B194-$A$11)^3-$A$13*((1-$A$11)^3)*B194-($A$11^3)*B194+$A$11^3)), 0), " ")</f>
        <v>2.0407485491234102E-2</v>
      </c>
      <c r="H194" s="16">
        <f t="shared" ref="H194:H257" si="51">IF($Q$1=2, IF(A196&lt;&gt;1, IF(B194&lt;$A$11, ($A$12/6)*(3*(B194-$A$11)^2-$A$13*((1-$A$11)^3)-($A$11^3)), ($A$12/6)*(3*$A$13*(B194-$A$11)^2-$A$13*((1-$A$11)^3)-($A$11^3))),0 ), " ")</f>
        <v>-2.4016054431320016E-2</v>
      </c>
      <c r="I194" s="16">
        <f t="shared" ref="I194:I257" si="52">IF($Q$1=2, IF(A196&lt;&gt;1,  ATAN(H194), 0), " ")</f>
        <v>-2.4011438774980739E-2</v>
      </c>
      <c r="J194" s="16">
        <f t="shared" si="48"/>
        <v>2.0407485491234102E-2</v>
      </c>
      <c r="K194" s="16">
        <f t="shared" ref="K194:K257" si="53">IF($Q$1=1, F194, I194)</f>
        <v>-2.4011438774980739E-2</v>
      </c>
      <c r="L194" s="16">
        <f t="shared" ref="L194:L257" si="54">B194-C194*SIN(K194)</f>
        <v>0.18029084704458148</v>
      </c>
      <c r="M194" s="16">
        <f t="shared" ref="M194:M257" si="55">J194+C194*COS(K194)</f>
        <v>7.6379585436129924E-2</v>
      </c>
      <c r="N194" s="16">
        <f t="shared" ref="N194:N257" si="56">B194+C194*SIN(K194)</f>
        <v>0.17760238904675768</v>
      </c>
      <c r="O194" s="16">
        <f t="shared" ref="O194:O257" si="57">J194-C194*COS(K194)</f>
        <v>-3.5564614453661728E-2</v>
      </c>
      <c r="R194" s="5">
        <f t="shared" ref="R194:R257" si="58">IF($T$1, J194, -0.5)</f>
        <v>-0.5</v>
      </c>
    </row>
    <row r="195" spans="2:18" x14ac:dyDescent="0.3">
      <c r="B195" s="16">
        <v>0.18074765964753159</v>
      </c>
      <c r="C195" s="16">
        <f t="shared" si="49"/>
        <v>5.6120947156203055E-2</v>
      </c>
      <c r="D195" s="16" t="str">
        <f t="shared" si="45"/>
        <v xml:space="preserve"> </v>
      </c>
      <c r="E195" s="16" t="str">
        <f t="shared" si="46"/>
        <v xml:space="preserve"> </v>
      </c>
      <c r="F195" s="16" t="str">
        <f t="shared" si="47"/>
        <v xml:space="preserve"> </v>
      </c>
      <c r="G195" s="16">
        <f t="shared" si="50"/>
        <v>2.0363272245624117E-2</v>
      </c>
      <c r="H195" s="16">
        <f t="shared" si="51"/>
        <v>-2.5072824841714567E-2</v>
      </c>
      <c r="I195" s="16">
        <f t="shared" si="52"/>
        <v>-2.5067572840988969E-2</v>
      </c>
      <c r="J195" s="16">
        <f t="shared" si="48"/>
        <v>2.0363272245624117E-2</v>
      </c>
      <c r="K195" s="16">
        <f t="shared" si="53"/>
        <v>-2.5067572840988969E-2</v>
      </c>
      <c r="L195" s="16">
        <f t="shared" si="54"/>
        <v>0.1821543282463195</v>
      </c>
      <c r="M195" s="16">
        <f t="shared" si="55"/>
        <v>7.6466587594741592E-2</v>
      </c>
      <c r="N195" s="16">
        <f t="shared" si="56"/>
        <v>0.17934099104874368</v>
      </c>
      <c r="O195" s="16">
        <f t="shared" si="57"/>
        <v>-3.5740043103493352E-2</v>
      </c>
      <c r="R195" s="5">
        <f t="shared" si="58"/>
        <v>-0.5</v>
      </c>
    </row>
    <row r="196" spans="2:18" x14ac:dyDescent="0.3">
      <c r="B196" s="16">
        <v>0.1825568193792676</v>
      </c>
      <c r="C196" s="16">
        <f t="shared" si="49"/>
        <v>5.6251508959611479E-2</v>
      </c>
      <c r="D196" s="16" t="str">
        <f t="shared" si="45"/>
        <v xml:space="preserve"> </v>
      </c>
      <c r="E196" s="16" t="str">
        <f t="shared" si="46"/>
        <v xml:space="preserve"> </v>
      </c>
      <c r="F196" s="16" t="str">
        <f t="shared" si="47"/>
        <v xml:space="preserve"> </v>
      </c>
      <c r="G196" s="16">
        <f t="shared" si="50"/>
        <v>2.0316990119427589E-2</v>
      </c>
      <c r="H196" s="16">
        <f t="shared" si="51"/>
        <v>-2.6082783162595036E-2</v>
      </c>
      <c r="I196" s="16">
        <f t="shared" si="52"/>
        <v>-2.6076870769316182E-2</v>
      </c>
      <c r="J196" s="16">
        <f t="shared" si="48"/>
        <v>2.0316990119427589E-2</v>
      </c>
      <c r="K196" s="16">
        <f t="shared" si="53"/>
        <v>-2.6076870769316182E-2</v>
      </c>
      <c r="L196" s="16">
        <f t="shared" si="54"/>
        <v>0.18402351646934834</v>
      </c>
      <c r="M196" s="16">
        <f t="shared" si="55"/>
        <v>7.6549374560061084E-2</v>
      </c>
      <c r="N196" s="16">
        <f t="shared" si="56"/>
        <v>0.18109012228918686</v>
      </c>
      <c r="O196" s="16">
        <f t="shared" si="57"/>
        <v>-3.5915394321205898E-2</v>
      </c>
      <c r="R196" s="5">
        <f t="shared" si="58"/>
        <v>-0.5</v>
      </c>
    </row>
    <row r="197" spans="2:18" x14ac:dyDescent="0.3">
      <c r="B197" s="16">
        <v>0.18437407931356398</v>
      </c>
      <c r="C197" s="16">
        <f t="shared" si="49"/>
        <v>5.6379919122861562E-2</v>
      </c>
      <c r="D197" s="16" t="str">
        <f t="shared" si="45"/>
        <v xml:space="preserve"> </v>
      </c>
      <c r="E197" s="16" t="str">
        <f t="shared" si="46"/>
        <v xml:space="preserve"> </v>
      </c>
      <c r="F197" s="16" t="str">
        <f t="shared" si="47"/>
        <v xml:space="preserve"> </v>
      </c>
      <c r="G197" s="16">
        <f t="shared" si="50"/>
        <v>2.0268708521434E-2</v>
      </c>
      <c r="H197" s="16">
        <f t="shared" si="51"/>
        <v>-2.7045224301642589E-2</v>
      </c>
      <c r="I197" s="16">
        <f t="shared" si="52"/>
        <v>-2.7038633170259459E-2</v>
      </c>
      <c r="J197" s="16">
        <f t="shared" si="48"/>
        <v>2.0268708521434E-2</v>
      </c>
      <c r="K197" s="16">
        <f t="shared" si="53"/>
        <v>-2.7038633170259459E-2</v>
      </c>
      <c r="L197" s="16">
        <f t="shared" si="54"/>
        <v>0.18589832952229432</v>
      </c>
      <c r="M197" s="16">
        <f t="shared" si="55"/>
        <v>7.6628019567627562E-2</v>
      </c>
      <c r="N197" s="16">
        <f t="shared" si="56"/>
        <v>0.18284982910483363</v>
      </c>
      <c r="O197" s="16">
        <f t="shared" si="57"/>
        <v>-3.6090602524759569E-2</v>
      </c>
      <c r="R197" s="5">
        <f t="shared" si="58"/>
        <v>-0.5</v>
      </c>
    </row>
    <row r="198" spans="2:18" x14ac:dyDescent="0.3">
      <c r="B198" s="16">
        <v>0.18619942144284063</v>
      </c>
      <c r="C198" s="16">
        <f t="shared" si="49"/>
        <v>5.6506172301423956E-2</v>
      </c>
      <c r="D198" s="16" t="str">
        <f t="shared" si="45"/>
        <v xml:space="preserve"> </v>
      </c>
      <c r="E198" s="16" t="str">
        <f t="shared" si="46"/>
        <v xml:space="preserve"> </v>
      </c>
      <c r="F198" s="16" t="str">
        <f t="shared" si="47"/>
        <v xml:space="preserve"> </v>
      </c>
      <c r="G198" s="16">
        <f t="shared" si="50"/>
        <v>2.0218499349845962E-2</v>
      </c>
      <c r="H198" s="16">
        <f t="shared" si="51"/>
        <v>-2.7959442072265216E-2</v>
      </c>
      <c r="I198" s="16">
        <f t="shared" si="52"/>
        <v>-2.795215990562059E-2</v>
      </c>
      <c r="J198" s="16">
        <f t="shared" si="48"/>
        <v>2.0218499349845962E-2</v>
      </c>
      <c r="K198" s="16">
        <f t="shared" si="53"/>
        <v>-2.795215990562059E-2</v>
      </c>
      <c r="L198" s="16">
        <f t="shared" si="54"/>
        <v>0.18777868533531913</v>
      </c>
      <c r="M198" s="16">
        <f t="shared" si="55"/>
        <v>7.6702598295621191E-2</v>
      </c>
      <c r="N198" s="16">
        <f t="shared" si="56"/>
        <v>0.18462015755036212</v>
      </c>
      <c r="O198" s="16">
        <f t="shared" si="57"/>
        <v>-3.626559959592926E-2</v>
      </c>
      <c r="R198" s="5">
        <f t="shared" si="58"/>
        <v>-0.5</v>
      </c>
    </row>
    <row r="199" spans="2:18" x14ac:dyDescent="0.3">
      <c r="B199" s="16">
        <v>0.18803282767942942</v>
      </c>
      <c r="C199" s="16">
        <f t="shared" si="49"/>
        <v>5.6630263250813398E-2</v>
      </c>
      <c r="D199" s="16" t="str">
        <f t="shared" si="45"/>
        <v xml:space="preserve"> </v>
      </c>
      <c r="E199" s="16" t="str">
        <f t="shared" si="46"/>
        <v xml:space="preserve"> </v>
      </c>
      <c r="F199" s="16" t="str">
        <f t="shared" si="47"/>
        <v xml:space="preserve"> </v>
      </c>
      <c r="G199" s="16">
        <f t="shared" si="50"/>
        <v>2.0166437012223312E-2</v>
      </c>
      <c r="H199" s="16">
        <f t="shared" si="51"/>
        <v>-2.8824729228208303E-2</v>
      </c>
      <c r="I199" s="16">
        <f t="shared" si="52"/>
        <v>-2.8816750052573194E-2</v>
      </c>
      <c r="J199" s="16">
        <f t="shared" si="48"/>
        <v>2.0166437012223312E-2</v>
      </c>
      <c r="K199" s="16">
        <f t="shared" si="53"/>
        <v>-2.8816750052573194E-2</v>
      </c>
      <c r="L199" s="16">
        <f t="shared" si="54"/>
        <v>0.18966450197395471</v>
      </c>
      <c r="M199" s="16">
        <f t="shared" si="55"/>
        <v>7.6773188860858932E-2</v>
      </c>
      <c r="N199" s="16">
        <f t="shared" si="56"/>
        <v>0.18640115338490412</v>
      </c>
      <c r="O199" s="16">
        <f t="shared" si="57"/>
        <v>-3.6440314836412302E-2</v>
      </c>
      <c r="R199" s="5">
        <f t="shared" si="58"/>
        <v>-0.5</v>
      </c>
    </row>
    <row r="200" spans="2:18" x14ac:dyDescent="0.3">
      <c r="B200" s="16">
        <v>0.18987427985575323</v>
      </c>
      <c r="C200" s="16">
        <f t="shared" si="49"/>
        <v>5.6752186827302119E-2</v>
      </c>
      <c r="D200" s="16" t="str">
        <f t="shared" si="45"/>
        <v xml:space="preserve"> </v>
      </c>
      <c r="E200" s="16" t="str">
        <f t="shared" si="46"/>
        <v xml:space="preserve"> </v>
      </c>
      <c r="F200" s="16" t="str">
        <f t="shared" si="47"/>
        <v xml:space="preserve"> </v>
      </c>
      <c r="G200" s="16">
        <f t="shared" si="50"/>
        <v>2.0112598445239865E-2</v>
      </c>
      <c r="H200" s="16">
        <f t="shared" si="51"/>
        <v>-2.9640377498236652E-2</v>
      </c>
      <c r="I200" s="16">
        <f t="shared" si="52"/>
        <v>-2.9631701866877941E-2</v>
      </c>
      <c r="J200" s="16">
        <f t="shared" si="48"/>
        <v>2.0112598445239865E-2</v>
      </c>
      <c r="K200" s="16">
        <f t="shared" si="53"/>
        <v>-2.9631701866877941E-2</v>
      </c>
      <c r="L200" s="16">
        <f t="shared" si="54"/>
        <v>0.1915556976528538</v>
      </c>
      <c r="M200" s="16">
        <f t="shared" si="55"/>
        <v>7.6839871814163546E-2</v>
      </c>
      <c r="N200" s="16">
        <f t="shared" si="56"/>
        <v>0.18819286205865265</v>
      </c>
      <c r="O200" s="16">
        <f t="shared" si="57"/>
        <v>-3.661467492368381E-2</v>
      </c>
      <c r="R200" s="5">
        <f t="shared" si="58"/>
        <v>-0.5</v>
      </c>
    </row>
    <row r="201" spans="2:18" x14ac:dyDescent="0.3">
      <c r="B201" s="16">
        <v>0.19172375972450661</v>
      </c>
      <c r="C201" s="16">
        <f t="shared" si="49"/>
        <v>5.6871937988613806E-2</v>
      </c>
      <c r="D201" s="16" t="str">
        <f t="shared" si="45"/>
        <v xml:space="preserve"> </v>
      </c>
      <c r="E201" s="16" t="str">
        <f t="shared" si="46"/>
        <v xml:space="preserve"> </v>
      </c>
      <c r="F201" s="16" t="str">
        <f t="shared" si="47"/>
        <v xml:space="preserve"> </v>
      </c>
      <c r="G201" s="16">
        <f t="shared" si="50"/>
        <v>2.0057063134249792E-2</v>
      </c>
      <c r="H201" s="16">
        <f t="shared" si="51"/>
        <v>-3.0405677620886796E-2</v>
      </c>
      <c r="I201" s="16">
        <f t="shared" si="52"/>
        <v>-3.0396312745720373E-2</v>
      </c>
      <c r="J201" s="16">
        <f t="shared" si="48"/>
        <v>2.0057063134249792E-2</v>
      </c>
      <c r="K201" s="16">
        <f t="shared" si="53"/>
        <v>-3.0396312745720373E-2</v>
      </c>
      <c r="L201" s="16">
        <f t="shared" si="54"/>
        <v>0.19345219074947903</v>
      </c>
      <c r="M201" s="16">
        <f t="shared" si="55"/>
        <v>7.6902730135109648E-2</v>
      </c>
      <c r="N201" s="16">
        <f t="shared" si="56"/>
        <v>0.1899953286995342</v>
      </c>
      <c r="O201" s="16">
        <f t="shared" si="57"/>
        <v>-3.6788603866610058E-2</v>
      </c>
      <c r="R201" s="5">
        <f t="shared" si="58"/>
        <v>-0.5</v>
      </c>
    </row>
    <row r="202" spans="2:18" x14ac:dyDescent="0.3">
      <c r="B202" s="16">
        <v>0.19358124895883555</v>
      </c>
      <c r="C202" s="16">
        <f t="shared" si="49"/>
        <v>5.6989511794598324E-2</v>
      </c>
      <c r="D202" s="16" t="str">
        <f t="shared" si="45"/>
        <v xml:space="preserve"> </v>
      </c>
      <c r="E202" s="16" t="str">
        <f t="shared" si="46"/>
        <v xml:space="preserve"> </v>
      </c>
      <c r="F202" s="16" t="str">
        <f t="shared" si="47"/>
        <v xml:space="preserve"> </v>
      </c>
      <c r="G202" s="16">
        <f t="shared" si="50"/>
        <v>1.9999913132660509E-2</v>
      </c>
      <c r="H202" s="16">
        <f t="shared" si="51"/>
        <v>-3.1119919379287136E-2</v>
      </c>
      <c r="I202" s="16">
        <f t="shared" si="52"/>
        <v>-3.1109879190458493E-2</v>
      </c>
      <c r="J202" s="16">
        <f t="shared" si="48"/>
        <v>1.9999913132660509E-2</v>
      </c>
      <c r="K202" s="16">
        <f t="shared" si="53"/>
        <v>-3.1109879190458493E-2</v>
      </c>
      <c r="L202" s="16">
        <f t="shared" si="54"/>
        <v>0.19535389981775311</v>
      </c>
      <c r="M202" s="16">
        <f t="shared" si="55"/>
        <v>7.6961849226152276E-2</v>
      </c>
      <c r="N202" s="16">
        <f t="shared" si="56"/>
        <v>0.19180859809991799</v>
      </c>
      <c r="O202" s="16">
        <f t="shared" si="57"/>
        <v>-3.6962022960831259E-2</v>
      </c>
      <c r="R202" s="5">
        <f t="shared" si="58"/>
        <v>-0.5</v>
      </c>
    </row>
    <row r="203" spans="2:18" x14ac:dyDescent="0.3">
      <c r="B203" s="16">
        <v>0.19544672915252015</v>
      </c>
      <c r="C203" s="16">
        <f t="shared" si="49"/>
        <v>5.7104903407886917E-2</v>
      </c>
      <c r="D203" s="16" t="str">
        <f t="shared" si="45"/>
        <v xml:space="preserve"> </v>
      </c>
      <c r="E203" s="16" t="str">
        <f t="shared" si="46"/>
        <v xml:space="preserve"> </v>
      </c>
      <c r="F203" s="16" t="str">
        <f t="shared" si="47"/>
        <v xml:space="preserve"> </v>
      </c>
      <c r="G203" s="16">
        <f t="shared" si="50"/>
        <v>1.994123308110899E-2</v>
      </c>
      <c r="H203" s="16">
        <f t="shared" si="51"/>
        <v>-3.1782391636046181E-2</v>
      </c>
      <c r="I203" s="16">
        <f t="shared" si="52"/>
        <v>-3.1771696769584128E-2</v>
      </c>
      <c r="J203" s="16">
        <f t="shared" si="48"/>
        <v>1.994123308110899E-2</v>
      </c>
      <c r="K203" s="16">
        <f t="shared" si="53"/>
        <v>-3.1771696769584128E-2</v>
      </c>
      <c r="L203" s="16">
        <f t="shared" si="54"/>
        <v>0.19726074360169918</v>
      </c>
      <c r="M203" s="16">
        <f t="shared" si="55"/>
        <v>7.7017316906142608E-2</v>
      </c>
      <c r="N203" s="16">
        <f t="shared" si="56"/>
        <v>0.19363271470334112</v>
      </c>
      <c r="O203" s="16">
        <f t="shared" si="57"/>
        <v>-3.7134850743924634E-2</v>
      </c>
      <c r="R203" s="5">
        <f t="shared" si="58"/>
        <v>-0.5</v>
      </c>
    </row>
    <row r="204" spans="2:18" x14ac:dyDescent="0.3">
      <c r="B204" s="16">
        <v>0.19732018182015654</v>
      </c>
      <c r="C204" s="16">
        <f t="shared" si="49"/>
        <v>5.7218108094527889E-2</v>
      </c>
      <c r="D204" s="16" t="str">
        <f t="shared" si="45"/>
        <v xml:space="preserve"> </v>
      </c>
      <c r="E204" s="16" t="str">
        <f t="shared" si="46"/>
        <v xml:space="preserve"> </v>
      </c>
      <c r="F204" s="16" t="str">
        <f t="shared" si="47"/>
        <v xml:space="preserve"> </v>
      </c>
      <c r="G204" s="16">
        <f t="shared" si="50"/>
        <v>1.98811102264385E-2</v>
      </c>
      <c r="H204" s="16">
        <f t="shared" si="51"/>
        <v>-3.2392382368205672E-2</v>
      </c>
      <c r="I204" s="16">
        <f t="shared" si="52"/>
        <v>-3.2381060082213343E-2</v>
      </c>
      <c r="J204" s="16">
        <f t="shared" si="48"/>
        <v>1.98811102264385E-2</v>
      </c>
      <c r="K204" s="16">
        <f t="shared" si="53"/>
        <v>-3.2381060082213343E-2</v>
      </c>
      <c r="L204" s="16">
        <f t="shared" si="54"/>
        <v>0.19917264104909557</v>
      </c>
      <c r="M204" s="16">
        <f t="shared" si="55"/>
        <v>7.7069223403235965E-2</v>
      </c>
      <c r="N204" s="16">
        <f t="shared" si="56"/>
        <v>0.1954677225912175</v>
      </c>
      <c r="O204" s="16">
        <f t="shared" si="57"/>
        <v>-3.7307002950358971E-2</v>
      </c>
      <c r="R204" s="5">
        <f t="shared" si="58"/>
        <v>-0.5</v>
      </c>
    </row>
    <row r="205" spans="2:18" x14ac:dyDescent="0.3">
      <c r="B205" s="16">
        <v>0.1992015883973397</v>
      </c>
      <c r="C205" s="16">
        <f t="shared" si="49"/>
        <v>5.7329121224602361E-2</v>
      </c>
      <c r="D205" s="16" t="str">
        <f t="shared" si="45"/>
        <v xml:space="preserve"> </v>
      </c>
      <c r="E205" s="16" t="str">
        <f t="shared" si="46"/>
        <v xml:space="preserve"> </v>
      </c>
      <c r="F205" s="16" t="str">
        <f t="shared" si="47"/>
        <v xml:space="preserve"> </v>
      </c>
      <c r="G205" s="16">
        <f t="shared" si="50"/>
        <v>1.9819634440472689E-2</v>
      </c>
      <c r="H205" s="16">
        <f t="shared" si="51"/>
        <v>-3.2949178702258101E-2</v>
      </c>
      <c r="I205" s="16">
        <f t="shared" si="52"/>
        <v>-3.2937262722438528E-2</v>
      </c>
      <c r="J205" s="16">
        <f t="shared" si="48"/>
        <v>1.9819634440472689E-2</v>
      </c>
      <c r="K205" s="16">
        <f t="shared" si="53"/>
        <v>-3.2937262722438528E-2</v>
      </c>
      <c r="L205" s="16">
        <f t="shared" si="54"/>
        <v>0.20108951132517616</v>
      </c>
      <c r="M205" s="16">
        <f t="shared" si="55"/>
        <v>7.7117661347196997E-2</v>
      </c>
      <c r="N205" s="16">
        <f t="shared" si="56"/>
        <v>0.19731366546950324</v>
      </c>
      <c r="O205" s="16">
        <f t="shared" si="57"/>
        <v>-3.7478392466251613E-2</v>
      </c>
      <c r="R205" s="5">
        <f t="shared" si="58"/>
        <v>-0.5</v>
      </c>
    </row>
    <row r="206" spans="2:18" x14ac:dyDescent="0.3">
      <c r="B206" s="16">
        <v>0.20109093024084834</v>
      </c>
      <c r="C206" s="16">
        <f t="shared" si="49"/>
        <v>5.7437938272820427E-2</v>
      </c>
      <c r="D206" s="16" t="str">
        <f t="shared" si="45"/>
        <v xml:space="preserve"> </v>
      </c>
      <c r="E206" s="16" t="str">
        <f t="shared" si="46"/>
        <v xml:space="preserve"> </v>
      </c>
      <c r="F206" s="16" t="str">
        <f t="shared" si="47"/>
        <v xml:space="preserve"> </v>
      </c>
      <c r="G206" s="16">
        <f t="shared" si="50"/>
        <v>1.9756898238583964E-2</v>
      </c>
      <c r="H206" s="16">
        <f t="shared" si="51"/>
        <v>-3.3452066949227345E-2</v>
      </c>
      <c r="I206" s="16">
        <f t="shared" si="52"/>
        <v>-3.3439597244889256E-2</v>
      </c>
      <c r="J206" s="16">
        <f t="shared" si="48"/>
        <v>1.9756898238583964E-2</v>
      </c>
      <c r="K206" s="16">
        <f t="shared" si="53"/>
        <v>-3.3439597244889256E-2</v>
      </c>
      <c r="L206" s="16">
        <f t="shared" si="54"/>
        <v>0.2030112738264076</v>
      </c>
      <c r="M206" s="16">
        <f t="shared" si="55"/>
        <v>7.7162725761107595E-2</v>
      </c>
      <c r="N206" s="16">
        <f t="shared" si="56"/>
        <v>0.19917058665528908</v>
      </c>
      <c r="O206" s="16">
        <f t="shared" si="57"/>
        <v>-3.7648929283939661E-2</v>
      </c>
      <c r="R206" s="5">
        <f t="shared" si="58"/>
        <v>-0.5</v>
      </c>
    </row>
    <row r="207" spans="2:18" x14ac:dyDescent="0.3">
      <c r="B207" s="16">
        <v>0.20298818862882839</v>
      </c>
      <c r="C207" s="16">
        <f t="shared" si="49"/>
        <v>5.7544554819096927E-2</v>
      </c>
      <c r="D207" s="16" t="str">
        <f t="shared" si="45"/>
        <v xml:space="preserve"> </v>
      </c>
      <c r="E207" s="16" t="str">
        <f t="shared" si="46"/>
        <v xml:space="preserve"> </v>
      </c>
      <c r="F207" s="16" t="str">
        <f t="shared" si="47"/>
        <v xml:space="preserve"> </v>
      </c>
      <c r="G207" s="16">
        <f t="shared" si="50"/>
        <v>1.9692996798053274E-2</v>
      </c>
      <c r="H207" s="16">
        <f t="shared" si="51"/>
        <v>-3.3900332639809946E-2</v>
      </c>
      <c r="I207" s="16">
        <f t="shared" si="52"/>
        <v>-3.3887355131863341E-2</v>
      </c>
      <c r="J207" s="16">
        <f t="shared" si="48"/>
        <v>1.9692996798053274E-2</v>
      </c>
      <c r="K207" s="16">
        <f t="shared" si="53"/>
        <v>-3.3887355131863341E-2</v>
      </c>
      <c r="L207" s="16">
        <f t="shared" si="54"/>
        <v>0.20493784819437372</v>
      </c>
      <c r="M207" s="16">
        <f t="shared" si="55"/>
        <v>7.7204514052482659E-2</v>
      </c>
      <c r="N207" s="16">
        <f t="shared" si="56"/>
        <v>0.20103852906328307</v>
      </c>
      <c r="O207" s="16">
        <f t="shared" si="57"/>
        <v>-3.7818520456376112E-2</v>
      </c>
      <c r="R207" s="5">
        <f t="shared" si="58"/>
        <v>-0.5</v>
      </c>
    </row>
    <row r="208" spans="2:18" x14ac:dyDescent="0.3">
      <c r="B208" s="16">
        <v>0.20489334476097976</v>
      </c>
      <c r="C208" s="16">
        <f t="shared" si="49"/>
        <v>5.7648966549107721E-2</v>
      </c>
      <c r="D208" s="16" t="str">
        <f t="shared" si="45"/>
        <v xml:space="preserve"> </v>
      </c>
      <c r="E208" s="16" t="str">
        <f t="shared" si="46"/>
        <v xml:space="preserve"> </v>
      </c>
      <c r="F208" s="16" t="str">
        <f t="shared" si="47"/>
        <v xml:space="preserve"> </v>
      </c>
      <c r="G208" s="16">
        <f t="shared" si="50"/>
        <v>1.9628027976218154E-2</v>
      </c>
      <c r="H208" s="16">
        <f t="shared" si="51"/>
        <v>-3.429326055957696E-2</v>
      </c>
      <c r="I208" s="16">
        <f t="shared" si="52"/>
        <v>-3.4279826762407539E-2</v>
      </c>
      <c r="J208" s="16">
        <f t="shared" si="48"/>
        <v>1.9628027976218154E-2</v>
      </c>
      <c r="K208" s="16">
        <f t="shared" si="53"/>
        <v>-3.4279826762407539E-2</v>
      </c>
      <c r="L208" s="16">
        <f t="shared" si="54"/>
        <v>0.20686915432980518</v>
      </c>
      <c r="M208" s="16">
        <f t="shared" si="55"/>
        <v>7.7243126003800122E-2</v>
      </c>
      <c r="N208" s="16">
        <f t="shared" si="56"/>
        <v>0.20291753519215433</v>
      </c>
      <c r="O208" s="16">
        <f t="shared" si="57"/>
        <v>-3.7987070051363807E-2</v>
      </c>
      <c r="R208" s="5">
        <f t="shared" si="58"/>
        <v>-0.5</v>
      </c>
    </row>
    <row r="209" spans="2:18" x14ac:dyDescent="0.3">
      <c r="B209" s="16">
        <v>0.20680637975874194</v>
      </c>
      <c r="C209" s="16">
        <f t="shared" si="49"/>
        <v>5.7751169254825069E-2</v>
      </c>
      <c r="D209" s="16" t="str">
        <f t="shared" si="45"/>
        <v xml:space="preserve"> </v>
      </c>
      <c r="E209" s="16" t="str">
        <f t="shared" si="46"/>
        <v xml:space="preserve"> </v>
      </c>
      <c r="F209" s="16" t="str">
        <f t="shared" si="47"/>
        <v xml:space="preserve"> </v>
      </c>
      <c r="G209" s="16">
        <f t="shared" si="50"/>
        <v>1.9562092328406184E-2</v>
      </c>
      <c r="H209" s="16">
        <f t="shared" si="51"/>
        <v>-3.4630134784233602E-2</v>
      </c>
      <c r="I209" s="16">
        <f t="shared" si="52"/>
        <v>-3.461630138374109E-2</v>
      </c>
      <c r="J209" s="16">
        <f t="shared" si="48"/>
        <v>1.9562092328406184E-2</v>
      </c>
      <c r="K209" s="16">
        <f t="shared" si="53"/>
        <v>-3.461630138374109E-2</v>
      </c>
      <c r="L209" s="16">
        <f t="shared" si="54"/>
        <v>0.20880511240678673</v>
      </c>
      <c r="M209" s="16">
        <f t="shared" si="55"/>
        <v>7.7278663762450087E-2</v>
      </c>
      <c r="N209" s="16">
        <f t="shared" si="56"/>
        <v>0.20480764711069716</v>
      </c>
      <c r="O209" s="16">
        <f t="shared" si="57"/>
        <v>-3.8154479105637712E-2</v>
      </c>
      <c r="R209" s="5">
        <f t="shared" si="58"/>
        <v>-0.5</v>
      </c>
    </row>
    <row r="210" spans="2:18" x14ac:dyDescent="0.3">
      <c r="B210" s="16">
        <v>0.20872727466548102</v>
      </c>
      <c r="C210" s="16">
        <f t="shared" si="49"/>
        <v>5.785115883503314E-2</v>
      </c>
      <c r="D210" s="16" t="str">
        <f t="shared" si="45"/>
        <v xml:space="preserve"> </v>
      </c>
      <c r="E210" s="16" t="str">
        <f t="shared" si="46"/>
        <v xml:space="preserve"> </v>
      </c>
      <c r="F210" s="16" t="str">
        <f t="shared" si="47"/>
        <v xml:space="preserve"> </v>
      </c>
      <c r="G210" s="16">
        <f t="shared" si="50"/>
        <v>1.949529312565082E-2</v>
      </c>
      <c r="H210" s="16">
        <f t="shared" si="51"/>
        <v>-3.4910238714936023E-2</v>
      </c>
      <c r="I210" s="16">
        <f t="shared" si="52"/>
        <v>-3.4896067085433601E-2</v>
      </c>
      <c r="J210" s="16">
        <f t="shared" si="48"/>
        <v>1.949529312565082E-2</v>
      </c>
      <c r="K210" s="16">
        <f t="shared" si="53"/>
        <v>-3.4896067085433601E-2</v>
      </c>
      <c r="L210" s="16">
        <f t="shared" si="54"/>
        <v>0.21074564288718184</v>
      </c>
      <c r="M210" s="16">
        <f t="shared" si="55"/>
        <v>7.7311231830110683E-2</v>
      </c>
      <c r="N210" s="16">
        <f t="shared" si="56"/>
        <v>0.2067089064437802</v>
      </c>
      <c r="O210" s="16">
        <f t="shared" si="57"/>
        <v>-3.832064557880905E-2</v>
      </c>
      <c r="R210" s="5">
        <f t="shared" si="58"/>
        <v>-0.5</v>
      </c>
    </row>
    <row r="211" spans="2:18" x14ac:dyDescent="0.3">
      <c r="B211" s="16">
        <v>0.21065601044667814</v>
      </c>
      <c r="C211" s="16">
        <f t="shared" si="49"/>
        <v>5.7948931295822972E-2</v>
      </c>
      <c r="D211" s="16" t="str">
        <f t="shared" si="45"/>
        <v xml:space="preserve"> </v>
      </c>
      <c r="E211" s="16" t="str">
        <f t="shared" si="46"/>
        <v xml:space="preserve"> </v>
      </c>
      <c r="F211" s="16" t="str">
        <f t="shared" si="47"/>
        <v xml:space="preserve"> </v>
      </c>
      <c r="G211" s="16">
        <f t="shared" si="50"/>
        <v>1.942773637218672E-2</v>
      </c>
      <c r="H211" s="16">
        <f t="shared" si="51"/>
        <v>-3.5132855113663604E-2</v>
      </c>
      <c r="I211" s="16">
        <f t="shared" si="52"/>
        <v>-3.5118410776764898E-2</v>
      </c>
      <c r="J211" s="16">
        <f t="shared" si="48"/>
        <v>1.942773637218672E-2</v>
      </c>
      <c r="K211" s="16">
        <f t="shared" si="53"/>
        <v>-3.5118410776764898E-2</v>
      </c>
      <c r="L211" s="16">
        <f t="shared" si="54"/>
        <v>0.21269066653531499</v>
      </c>
      <c r="M211" s="16">
        <f t="shared" si="55"/>
        <v>7.7340937051556743E-2</v>
      </c>
      <c r="N211" s="16">
        <f t="shared" si="56"/>
        <v>0.2086213543580413</v>
      </c>
      <c r="O211" s="16">
        <f t="shared" si="57"/>
        <v>-3.8485464307183304E-2</v>
      </c>
      <c r="R211" s="5">
        <f t="shared" si="58"/>
        <v>-0.5</v>
      </c>
    </row>
    <row r="212" spans="2:18" x14ac:dyDescent="0.3">
      <c r="B212" s="16">
        <v>0.21259256799011716</v>
      </c>
      <c r="C212" s="16">
        <f t="shared" si="49"/>
        <v>5.8044482751066849E-2</v>
      </c>
      <c r="D212" s="16" t="str">
        <f t="shared" si="45"/>
        <v xml:space="preserve"> </v>
      </c>
      <c r="E212" s="16" t="str">
        <f t="shared" si="46"/>
        <v xml:space="preserve"> </v>
      </c>
      <c r="F212" s="16" t="str">
        <f t="shared" si="47"/>
        <v xml:space="preserve"> </v>
      </c>
      <c r="G212" s="16">
        <f t="shared" si="50"/>
        <v>1.9359530822721613E-2</v>
      </c>
      <c r="H212" s="16">
        <f t="shared" si="51"/>
        <v>-3.5297266138644992E-2</v>
      </c>
      <c r="I212" s="16">
        <f t="shared" si="52"/>
        <v>-3.5282618167711444E-2</v>
      </c>
      <c r="J212" s="16">
        <f t="shared" si="48"/>
        <v>1.9359530822721613E-2</v>
      </c>
      <c r="K212" s="16">
        <f t="shared" si="53"/>
        <v>-3.5282618167711444E-2</v>
      </c>
      <c r="L212" s="16">
        <f t="shared" si="54"/>
        <v>0.21464010443295015</v>
      </c>
      <c r="M212" s="16">
        <f t="shared" si="55"/>
        <v>7.7367888602908497E-2</v>
      </c>
      <c r="N212" s="16">
        <f t="shared" si="56"/>
        <v>0.21054503154728418</v>
      </c>
      <c r="O212" s="16">
        <f t="shared" si="57"/>
        <v>-3.8648826957465271E-2</v>
      </c>
      <c r="R212" s="5">
        <f t="shared" si="58"/>
        <v>-0.5</v>
      </c>
    </row>
    <row r="213" spans="2:18" x14ac:dyDescent="0.3">
      <c r="B213" s="16">
        <v>0.21453692810607505</v>
      </c>
      <c r="C213" s="16">
        <f t="shared" si="49"/>
        <v>5.8137809422872049E-2</v>
      </c>
      <c r="D213" s="16" t="str">
        <f t="shared" si="45"/>
        <v xml:space="preserve"> </v>
      </c>
      <c r="E213" s="16" t="str">
        <f t="shared" si="46"/>
        <v xml:space="preserve"> </v>
      </c>
      <c r="F213" s="16" t="str">
        <f t="shared" si="47"/>
        <v xml:space="preserve"> </v>
      </c>
      <c r="G213" s="16">
        <f t="shared" si="50"/>
        <v>1.9290787999481782E-2</v>
      </c>
      <c r="H213" s="16">
        <f t="shared" si="51"/>
        <v>-3.5402753379836872E-2</v>
      </c>
      <c r="I213" s="16">
        <f t="shared" si="52"/>
        <v>-3.5387973754022271E-2</v>
      </c>
      <c r="J213" s="16">
        <f t="shared" si="48"/>
        <v>1.9290787999481782E-2</v>
      </c>
      <c r="K213" s="16">
        <f t="shared" si="53"/>
        <v>-3.5387973754022271E-2</v>
      </c>
      <c r="L213" s="16">
        <f t="shared" si="54"/>
        <v>0.21659387799461235</v>
      </c>
      <c r="M213" s="16">
        <f t="shared" si="55"/>
        <v>7.7392197979328545E-2</v>
      </c>
      <c r="N213" s="16">
        <f t="shared" si="56"/>
        <v>0.21247997821753775</v>
      </c>
      <c r="O213" s="16">
        <f t="shared" si="57"/>
        <v>-3.8810621980364973E-2</v>
      </c>
      <c r="R213" s="5">
        <f t="shared" si="58"/>
        <v>-0.5</v>
      </c>
    </row>
    <row r="214" spans="2:18" x14ac:dyDescent="0.3">
      <c r="B214" s="16">
        <v>0.2164890715275114</v>
      </c>
      <c r="C214" s="16">
        <f t="shared" si="49"/>
        <v>5.8228907642013911E-2</v>
      </c>
      <c r="D214" s="16" t="str">
        <f t="shared" si="45"/>
        <v xml:space="preserve"> </v>
      </c>
      <c r="E214" s="16" t="str">
        <f t="shared" si="46"/>
        <v xml:space="preserve"> </v>
      </c>
      <c r="F214" s="16" t="str">
        <f t="shared" si="47"/>
        <v xml:space="preserve"> </v>
      </c>
      <c r="G214" s="16">
        <f t="shared" si="50"/>
        <v>1.922162220902834E-2</v>
      </c>
      <c r="H214" s="16">
        <f t="shared" si="51"/>
        <v>-3.5448597894453579E-2</v>
      </c>
      <c r="I214" s="16">
        <f t="shared" si="52"/>
        <v>-3.5433760806864362E-2</v>
      </c>
      <c r="J214" s="16">
        <f t="shared" si="48"/>
        <v>1.922162220902834E-2</v>
      </c>
      <c r="K214" s="16">
        <f t="shared" si="53"/>
        <v>-3.5433760806864362E-2</v>
      </c>
      <c r="L214" s="16">
        <f t="shared" si="54"/>
        <v>0.21855190898329327</v>
      </c>
      <c r="M214" s="16">
        <f t="shared" si="55"/>
        <v>7.7413978982175183E-2</v>
      </c>
      <c r="N214" s="16">
        <f t="shared" si="56"/>
        <v>0.21442623407172953</v>
      </c>
      <c r="O214" s="16">
        <f t="shared" si="57"/>
        <v>-3.8970734564118509E-2</v>
      </c>
      <c r="R214" s="5">
        <f t="shared" si="58"/>
        <v>-0.5</v>
      </c>
    </row>
    <row r="215" spans="2:18" x14ac:dyDescent="0.3">
      <c r="B215" s="16">
        <v>0.21844897891025949</v>
      </c>
      <c r="C215" s="16">
        <f t="shared" si="49"/>
        <v>5.8317773848348103E-2</v>
      </c>
      <c r="D215" s="16" t="str">
        <f t="shared" si="45"/>
        <v xml:space="preserve"> </v>
      </c>
      <c r="E215" s="16" t="str">
        <f t="shared" si="46"/>
        <v xml:space="preserve"> </v>
      </c>
      <c r="F215" s="16" t="str">
        <f t="shared" si="47"/>
        <v xml:space="preserve"> </v>
      </c>
      <c r="G215" s="16">
        <f t="shared" si="50"/>
        <v>1.9152142605503981E-2</v>
      </c>
      <c r="H215" s="16">
        <f t="shared" si="51"/>
        <v>-3.545054701928458E-2</v>
      </c>
      <c r="I215" s="16">
        <f t="shared" si="52"/>
        <v>-3.5435707485358639E-2</v>
      </c>
      <c r="J215" s="16">
        <f t="shared" si="48"/>
        <v>1.9152142605503981E-2</v>
      </c>
      <c r="K215" s="16">
        <f t="shared" si="53"/>
        <v>-3.5435707485358639E-2</v>
      </c>
      <c r="L215" s="16">
        <f t="shared" si="54"/>
        <v>0.22051507802574594</v>
      </c>
      <c r="M215" s="16">
        <f t="shared" si="55"/>
        <v>7.7433305780856443E-2</v>
      </c>
      <c r="N215" s="16">
        <f t="shared" si="56"/>
        <v>0.21638287979477305</v>
      </c>
      <c r="O215" s="16">
        <f t="shared" si="57"/>
        <v>-3.9129020569848488E-2</v>
      </c>
      <c r="R215" s="5">
        <f t="shared" si="58"/>
        <v>-0.5</v>
      </c>
    </row>
    <row r="216" spans="2:18" x14ac:dyDescent="0.3">
      <c r="B216" s="16">
        <v>0.22041663083321805</v>
      </c>
      <c r="C216" s="16">
        <f t="shared" si="49"/>
        <v>5.8404404591201789E-2</v>
      </c>
      <c r="D216" s="16" t="str">
        <f t="shared" si="45"/>
        <v xml:space="preserve"> </v>
      </c>
      <c r="E216" s="16" t="str">
        <f t="shared" si="46"/>
        <v xml:space="preserve"> </v>
      </c>
      <c r="F216" s="16" t="str">
        <f t="shared" si="47"/>
        <v xml:space="preserve"> </v>
      </c>
      <c r="G216" s="16">
        <f t="shared" si="50"/>
        <v>1.9082388704147524E-2</v>
      </c>
      <c r="H216" s="16">
        <f t="shared" si="51"/>
        <v>-3.5450035209180747E-2</v>
      </c>
      <c r="I216" s="16">
        <f t="shared" si="52"/>
        <v>-3.5435196317651095E-2</v>
      </c>
      <c r="J216" s="16">
        <f t="shared" si="48"/>
        <v>1.9082388704147524E-2</v>
      </c>
      <c r="K216" s="16">
        <f t="shared" si="53"/>
        <v>-3.5435196317651095E-2</v>
      </c>
      <c r="L216" s="16">
        <f t="shared" si="54"/>
        <v>0.22248576929224687</v>
      </c>
      <c r="M216" s="16">
        <f t="shared" si="55"/>
        <v>7.7450129295078066E-2</v>
      </c>
      <c r="N216" s="16">
        <f t="shared" si="56"/>
        <v>0.21834749237418924</v>
      </c>
      <c r="O216" s="16">
        <f t="shared" si="57"/>
        <v>-3.9285351886783018E-2</v>
      </c>
      <c r="R216" s="5">
        <f t="shared" si="58"/>
        <v>-0.5</v>
      </c>
    </row>
    <row r="217" spans="2:18" x14ac:dyDescent="0.3">
      <c r="B217" s="16">
        <v>0.22239200779854373</v>
      </c>
      <c r="C217" s="16">
        <f t="shared" si="49"/>
        <v>5.8488796529744133E-2</v>
      </c>
      <c r="D217" s="16" t="str">
        <f t="shared" si="45"/>
        <v xml:space="preserve"> </v>
      </c>
      <c r="E217" s="16" t="str">
        <f t="shared" si="46"/>
        <v xml:space="preserve"> </v>
      </c>
      <c r="F217" s="16" t="str">
        <f t="shared" si="47"/>
        <v xml:space="preserve"> </v>
      </c>
      <c r="G217" s="16">
        <f t="shared" si="50"/>
        <v>1.9012362371256624E-2</v>
      </c>
      <c r="H217" s="16">
        <f t="shared" si="51"/>
        <v>-3.5449104996860367E-2</v>
      </c>
      <c r="I217" s="16">
        <f t="shared" si="52"/>
        <v>-3.5434267272835343E-2</v>
      </c>
      <c r="J217" s="16">
        <f t="shared" si="48"/>
        <v>1.9012362371256624E-2</v>
      </c>
      <c r="K217" s="16">
        <f t="shared" si="53"/>
        <v>-3.5434267272835343E-2</v>
      </c>
      <c r="L217" s="16">
        <f t="shared" si="54"/>
        <v>0.22446408177209243</v>
      </c>
      <c r="M217" s="16">
        <f t="shared" si="55"/>
        <v>7.7464443847846925E-2</v>
      </c>
      <c r="N217" s="16">
        <f t="shared" si="56"/>
        <v>0.22031993382499504</v>
      </c>
      <c r="O217" s="16">
        <f t="shared" si="57"/>
        <v>-3.9439719105333684E-2</v>
      </c>
      <c r="R217" s="5">
        <f t="shared" si="58"/>
        <v>-0.5</v>
      </c>
    </row>
    <row r="218" spans="2:18" x14ac:dyDescent="0.3">
      <c r="B218" s="16">
        <v>0.22437509023184399</v>
      </c>
      <c r="C218" s="16">
        <f t="shared" si="49"/>
        <v>5.8570946433335339E-2</v>
      </c>
      <c r="D218" s="16" t="str">
        <f t="shared" si="45"/>
        <v xml:space="preserve"> </v>
      </c>
      <c r="E218" s="16" t="str">
        <f t="shared" si="46"/>
        <v xml:space="preserve"> </v>
      </c>
      <c r="F218" s="16" t="str">
        <f t="shared" si="47"/>
        <v xml:space="preserve"> </v>
      </c>
      <c r="G218" s="16">
        <f t="shared" si="50"/>
        <v>1.8942065146420488E-2</v>
      </c>
      <c r="H218" s="16">
        <f t="shared" si="51"/>
        <v>-3.5447751503066019E-2</v>
      </c>
      <c r="I218" s="16">
        <f t="shared" si="52"/>
        <v>-3.5432915477694692E-2</v>
      </c>
      <c r="J218" s="16">
        <f t="shared" si="48"/>
        <v>1.8942065146420488E-2</v>
      </c>
      <c r="K218" s="16">
        <f t="shared" si="53"/>
        <v>-3.5432915477694692E-2</v>
      </c>
      <c r="L218" s="16">
        <f t="shared" si="54"/>
        <v>0.22644999539169677</v>
      </c>
      <c r="M218" s="16">
        <f t="shared" si="55"/>
        <v>7.7476247763710482E-2</v>
      </c>
      <c r="N218" s="16">
        <f t="shared" si="56"/>
        <v>0.2223001850719912</v>
      </c>
      <c r="O218" s="16">
        <f t="shared" si="57"/>
        <v>-3.9592117470869506E-2</v>
      </c>
      <c r="R218" s="5">
        <f t="shared" si="58"/>
        <v>-0.5</v>
      </c>
    </row>
    <row r="219" spans="2:18" x14ac:dyDescent="0.3">
      <c r="B219" s="16">
        <v>0.22636585848237156</v>
      </c>
      <c r="C219" s="16">
        <f t="shared" si="49"/>
        <v>5.865085118185491E-2</v>
      </c>
      <c r="D219" s="16" t="str">
        <f t="shared" si="45"/>
        <v xml:space="preserve"> </v>
      </c>
      <c r="E219" s="16" t="str">
        <f t="shared" si="46"/>
        <v xml:space="preserve"> </v>
      </c>
      <c r="F219" s="16" t="str">
        <f t="shared" si="47"/>
        <v xml:space="preserve"> </v>
      </c>
      <c r="G219" s="16">
        <f t="shared" si="50"/>
        <v>1.8871498591312038E-2</v>
      </c>
      <c r="H219" s="16">
        <f t="shared" si="51"/>
        <v>-3.5445969846141151E-2</v>
      </c>
      <c r="I219" s="16">
        <f t="shared" si="52"/>
        <v>-3.5431136056576745E-2</v>
      </c>
      <c r="J219" s="16">
        <f t="shared" si="48"/>
        <v>1.8871498591312038E-2</v>
      </c>
      <c r="K219" s="16">
        <f t="shared" si="53"/>
        <v>-3.5431136056576745E-2</v>
      </c>
      <c r="L219" s="16">
        <f t="shared" si="54"/>
        <v>0.22844349000896641</v>
      </c>
      <c r="M219" s="16">
        <f t="shared" si="55"/>
        <v>7.7485539499577274E-2</v>
      </c>
      <c r="N219" s="16">
        <f t="shared" si="56"/>
        <v>0.22428822695577671</v>
      </c>
      <c r="O219" s="16">
        <f t="shared" si="57"/>
        <v>-3.9742542316953192E-2</v>
      </c>
      <c r="R219" s="5">
        <f t="shared" si="58"/>
        <v>-0.5</v>
      </c>
    </row>
    <row r="220" spans="2:18" x14ac:dyDescent="0.3">
      <c r="B220" s="16">
        <v>0.22836429282321902</v>
      </c>
      <c r="C220" s="16">
        <f t="shared" si="49"/>
        <v>5.8728507766008443E-2</v>
      </c>
      <c r="D220" s="16" t="str">
        <f t="shared" si="45"/>
        <v xml:space="preserve"> </v>
      </c>
      <c r="E220" s="16" t="str">
        <f t="shared" si="46"/>
        <v xml:space="preserve"> </v>
      </c>
      <c r="F220" s="16" t="str">
        <f t="shared" si="47"/>
        <v xml:space="preserve"> </v>
      </c>
      <c r="G220" s="16">
        <f t="shared" si="50"/>
        <v>1.8800664289785194E-2</v>
      </c>
      <c r="H220" s="16">
        <f t="shared" si="51"/>
        <v>-3.5443755142272437E-2</v>
      </c>
      <c r="I220" s="16">
        <f t="shared" si="52"/>
        <v>-3.5428924131634003E-2</v>
      </c>
      <c r="J220" s="16">
        <f t="shared" si="48"/>
        <v>1.8800664289785194E-2</v>
      </c>
      <c r="K220" s="16">
        <f t="shared" si="53"/>
        <v>-3.5428924131634003E-2</v>
      </c>
      <c r="L220" s="16">
        <f t="shared" si="54"/>
        <v>0.23044454541364046</v>
      </c>
      <c r="M220" s="16">
        <f t="shared" si="55"/>
        <v>7.7492317645114675E-2</v>
      </c>
      <c r="N220" s="16">
        <f t="shared" si="56"/>
        <v>0.22628404023279758</v>
      </c>
      <c r="O220" s="16">
        <f t="shared" si="57"/>
        <v>-3.9890989065544294E-2</v>
      </c>
      <c r="R220" s="5">
        <f t="shared" si="58"/>
        <v>-0.5</v>
      </c>
    </row>
    <row r="221" spans="2:18" x14ac:dyDescent="0.3">
      <c r="B221" s="16">
        <v>0.2303703734515139</v>
      </c>
      <c r="C221" s="16">
        <f t="shared" si="49"/>
        <v>5.8803913287613155E-2</v>
      </c>
      <c r="D221" s="16" t="str">
        <f t="shared" si="45"/>
        <v xml:space="preserve"> </v>
      </c>
      <c r="E221" s="16" t="str">
        <f t="shared" si="46"/>
        <v xml:space="preserve"> </v>
      </c>
      <c r="F221" s="16" t="str">
        <f t="shared" si="47"/>
        <v xml:space="preserve"> </v>
      </c>
      <c r="G221" s="16">
        <f t="shared" si="50"/>
        <v>1.8729563847970459E-2</v>
      </c>
      <c r="H221" s="16">
        <f t="shared" si="51"/>
        <v>-3.5441102505732486E-2</v>
      </c>
      <c r="I221" s="16">
        <f t="shared" si="52"/>
        <v>-3.542627482306477E-2</v>
      </c>
      <c r="J221" s="16">
        <f t="shared" si="48"/>
        <v>1.8729563847970459E-2</v>
      </c>
      <c r="K221" s="16">
        <f t="shared" si="53"/>
        <v>-3.542627482306477E-2</v>
      </c>
      <c r="L221" s="16">
        <f t="shared" si="54"/>
        <v>0.23245314132763054</v>
      </c>
      <c r="M221" s="16">
        <f t="shared" si="55"/>
        <v>7.7496580923123629E-2</v>
      </c>
      <c r="N221" s="16">
        <f t="shared" si="56"/>
        <v>0.22828760557539726</v>
      </c>
      <c r="O221" s="16">
        <f t="shared" si="57"/>
        <v>-4.0037453227182704E-2</v>
      </c>
      <c r="R221" s="5">
        <f t="shared" si="58"/>
        <v>-0.5</v>
      </c>
    </row>
    <row r="222" spans="2:18" x14ac:dyDescent="0.3">
      <c r="B222" s="16">
        <v>0.23238408048861525</v>
      </c>
      <c r="C222" s="16">
        <f t="shared" si="49"/>
        <v>5.887706495986221E-2</v>
      </c>
      <c r="D222" s="16" t="str">
        <f t="shared" si="45"/>
        <v xml:space="preserve"> </v>
      </c>
      <c r="E222" s="16" t="str">
        <f t="shared" si="46"/>
        <v xml:space="preserve"> </v>
      </c>
      <c r="F222" s="16" t="str">
        <f t="shared" si="47"/>
        <v xml:space="preserve"> </v>
      </c>
      <c r="G222" s="16">
        <f t="shared" si="50"/>
        <v>1.8658198894368736E-2</v>
      </c>
      <c r="H222" s="16">
        <f t="shared" si="51"/>
        <v>-3.543800704912272E-2</v>
      </c>
      <c r="I222" s="16">
        <f t="shared" si="52"/>
        <v>-3.5423183249354243E-2</v>
      </c>
      <c r="J222" s="16">
        <f t="shared" si="48"/>
        <v>1.8658198894368736E-2</v>
      </c>
      <c r="K222" s="16">
        <f t="shared" si="53"/>
        <v>-3.5423183249354243E-2</v>
      </c>
      <c r="L222" s="16">
        <f t="shared" si="54"/>
        <v>0.23446925740536123</v>
      </c>
      <c r="M222" s="16">
        <f t="shared" si="55"/>
        <v>7.7498328189890373E-2</v>
      </c>
      <c r="N222" s="16">
        <f t="shared" si="56"/>
        <v>0.23029890357186927</v>
      </c>
      <c r="O222" s="16">
        <f t="shared" si="57"/>
        <v>-4.0181930401152907E-2</v>
      </c>
      <c r="R222" s="5">
        <f t="shared" si="58"/>
        <v>-0.5</v>
      </c>
    </row>
    <row r="223" spans="2:18" x14ac:dyDescent="0.3">
      <c r="B223" s="16">
        <v>0.23440539398031057</v>
      </c>
      <c r="C223" s="16">
        <f t="shared" si="49"/>
        <v>5.8947960107567393E-2</v>
      </c>
      <c r="D223" s="16" t="str">
        <f t="shared" si="45"/>
        <v xml:space="preserve"> </v>
      </c>
      <c r="E223" s="16" t="str">
        <f t="shared" si="46"/>
        <v xml:space="preserve"> </v>
      </c>
      <c r="F223" s="16" t="str">
        <f t="shared" si="47"/>
        <v xml:space="preserve"> </v>
      </c>
      <c r="G223" s="16">
        <f t="shared" si="50"/>
        <v>1.8586571079943416E-2</v>
      </c>
      <c r="H223" s="16">
        <f t="shared" si="51"/>
        <v>-3.5434463883616651E-2</v>
      </c>
      <c r="I223" s="16">
        <f t="shared" si="52"/>
        <v>-3.5419644527515969E-2</v>
      </c>
      <c r="J223" s="16">
        <f t="shared" si="48"/>
        <v>1.8586571079943416E-2</v>
      </c>
      <c r="K223" s="16">
        <f t="shared" si="53"/>
        <v>-3.5419644527515969E-2</v>
      </c>
      <c r="L223" s="16">
        <f t="shared" si="54"/>
        <v>0.23649287323410978</v>
      </c>
      <c r="M223" s="16">
        <f t="shared" si="55"/>
        <v>7.7497558435515007E-2</v>
      </c>
      <c r="N223" s="16">
        <f t="shared" si="56"/>
        <v>0.23231791472651137</v>
      </c>
      <c r="O223" s="16">
        <f t="shared" si="57"/>
        <v>-4.0324416275628168E-2</v>
      </c>
      <c r="R223" s="5">
        <f t="shared" si="58"/>
        <v>-0.5</v>
      </c>
    </row>
    <row r="224" spans="2:18" x14ac:dyDescent="0.3">
      <c r="B224" s="16">
        <v>0.23643429389701376</v>
      </c>
      <c r="C224" s="16">
        <f t="shared" si="49"/>
        <v>5.9016596167380558E-2</v>
      </c>
      <c r="D224" s="16" t="str">
        <f t="shared" si="45"/>
        <v xml:space="preserve"> </v>
      </c>
      <c r="E224" s="16" t="str">
        <f t="shared" si="46"/>
        <v xml:space="preserve"> </v>
      </c>
      <c r="F224" s="16" t="str">
        <f t="shared" si="47"/>
        <v xml:space="preserve"> </v>
      </c>
      <c r="G224" s="16">
        <f t="shared" si="50"/>
        <v>1.8514682078210692E-2</v>
      </c>
      <c r="H224" s="16">
        <f t="shared" si="51"/>
        <v>-3.5430468119203223E-2</v>
      </c>
      <c r="I224" s="16">
        <f t="shared" si="52"/>
        <v>-3.5415653773333382E-2</v>
      </c>
      <c r="J224" s="16">
        <f t="shared" si="48"/>
        <v>1.8514682078210692E-2</v>
      </c>
      <c r="K224" s="16">
        <f t="shared" si="53"/>
        <v>-3.5415653773333382E-2</v>
      </c>
      <c r="L224" s="16">
        <f t="shared" si="54"/>
        <v>0.23852396833434564</v>
      </c>
      <c r="M224" s="16">
        <f t="shared" si="55"/>
        <v>7.7494270784216765E-2</v>
      </c>
      <c r="N224" s="16">
        <f t="shared" si="56"/>
        <v>0.23434461945968188</v>
      </c>
      <c r="O224" s="16">
        <f t="shared" si="57"/>
        <v>-4.046490662779538E-2</v>
      </c>
      <c r="R224" s="5">
        <f t="shared" si="58"/>
        <v>-0.5</v>
      </c>
    </row>
    <row r="225" spans="2:18" x14ac:dyDescent="0.3">
      <c r="B225" s="16">
        <v>0.23847076013396296</v>
      </c>
      <c r="C225" s="16">
        <f t="shared" si="49"/>
        <v>5.9082970687993251E-2</v>
      </c>
      <c r="D225" s="16" t="str">
        <f t="shared" si="45"/>
        <v xml:space="preserve"> </v>
      </c>
      <c r="E225" s="16" t="str">
        <f t="shared" si="46"/>
        <v xml:space="preserve"> </v>
      </c>
      <c r="F225" s="16" t="str">
        <f t="shared" si="47"/>
        <v xml:space="preserve"> </v>
      </c>
      <c r="G225" s="16">
        <f t="shared" si="50"/>
        <v>1.8442533585328099E-2</v>
      </c>
      <c r="H225" s="16">
        <f t="shared" si="51"/>
        <v>-3.5426014864930591E-2</v>
      </c>
      <c r="I225" s="16">
        <f t="shared" si="52"/>
        <v>-3.5411206101601721E-2</v>
      </c>
      <c r="J225" s="16">
        <f t="shared" si="48"/>
        <v>1.8442533585328099E-2</v>
      </c>
      <c r="K225" s="16">
        <f t="shared" si="53"/>
        <v>-3.5411206101601721E-2</v>
      </c>
      <c r="L225" s="16">
        <f t="shared" si="54"/>
        <v>0.24056252216006907</v>
      </c>
      <c r="M225" s="16">
        <f t="shared" si="55"/>
        <v>7.7488464494616091E-2</v>
      </c>
      <c r="N225" s="16">
        <f t="shared" si="56"/>
        <v>0.23637899810785684</v>
      </c>
      <c r="O225" s="16">
        <f t="shared" si="57"/>
        <v>-4.0603397323959886E-2</v>
      </c>
      <c r="R225" s="5">
        <f t="shared" si="58"/>
        <v>-0.5</v>
      </c>
    </row>
    <row r="226" spans="2:18" x14ac:dyDescent="0.3">
      <c r="B226" s="16">
        <v>0.24051477251142062</v>
      </c>
      <c r="C226" s="16">
        <f t="shared" si="49"/>
        <v>5.9147081330315106E-2</v>
      </c>
      <c r="D226" s="16" t="str">
        <f t="shared" si="45"/>
        <v xml:space="preserve"> </v>
      </c>
      <c r="E226" s="16" t="str">
        <f t="shared" si="46"/>
        <v xml:space="preserve"> </v>
      </c>
      <c r="F226" s="16" t="str">
        <f t="shared" si="47"/>
        <v xml:space="preserve"> </v>
      </c>
      <c r="G226" s="16">
        <f t="shared" si="50"/>
        <v>1.8370127320181243E-2</v>
      </c>
      <c r="H226" s="16">
        <f t="shared" si="51"/>
        <v>-3.5421099229149891E-2</v>
      </c>
      <c r="I226" s="16">
        <f t="shared" si="52"/>
        <v>-3.5406296626369953E-2</v>
      </c>
      <c r="J226" s="16">
        <f t="shared" si="48"/>
        <v>1.8370127320181243E-2</v>
      </c>
      <c r="K226" s="16">
        <f t="shared" si="53"/>
        <v>-3.5406296626369953E-2</v>
      </c>
      <c r="L226" s="16">
        <f t="shared" si="54"/>
        <v>0.2426085140991506</v>
      </c>
      <c r="M226" s="16">
        <f t="shared" si="55"/>
        <v>7.7480138959993311E-2</v>
      </c>
      <c r="N226" s="16">
        <f t="shared" si="56"/>
        <v>0.23842103092369063</v>
      </c>
      <c r="O226" s="16">
        <f t="shared" si="57"/>
        <v>-4.0739884319630833E-2</v>
      </c>
      <c r="R226" s="5">
        <f t="shared" si="58"/>
        <v>-0.5</v>
      </c>
    </row>
    <row r="227" spans="2:18" x14ac:dyDescent="0.3">
      <c r="B227" s="16">
        <v>0.24256631077487267</v>
      </c>
      <c r="C227" s="16">
        <f t="shared" si="49"/>
        <v>5.920892586763029E-2</v>
      </c>
      <c r="D227" s="16" t="str">
        <f t="shared" si="45"/>
        <v xml:space="preserve"> </v>
      </c>
      <c r="E227" s="16" t="str">
        <f t="shared" si="46"/>
        <v xml:space="preserve"> </v>
      </c>
      <c r="F227" s="16" t="str">
        <f t="shared" si="47"/>
        <v xml:space="preserve"> </v>
      </c>
      <c r="G227" s="16">
        <f t="shared" si="50"/>
        <v>1.8297465024468711E-2</v>
      </c>
      <c r="H227" s="16">
        <f t="shared" si="51"/>
        <v>-3.5415716319759469E-2</v>
      </c>
      <c r="I227" s="16">
        <f t="shared" si="52"/>
        <v>-3.5400920461183129E-2</v>
      </c>
      <c r="J227" s="16">
        <f t="shared" si="48"/>
        <v>1.8297465024468711E-2</v>
      </c>
      <c r="K227" s="16">
        <f t="shared" si="53"/>
        <v>-3.5400920461183129E-2</v>
      </c>
      <c r="L227" s="16">
        <f t="shared" si="54"/>
        <v>0.24466192347366858</v>
      </c>
      <c r="M227" s="16">
        <f t="shared" si="55"/>
        <v>7.746929370852397E-2</v>
      </c>
      <c r="N227" s="16">
        <f t="shared" si="56"/>
        <v>0.24047069807607677</v>
      </c>
      <c r="O227" s="16">
        <f t="shared" si="57"/>
        <v>-4.0874363659586549E-2</v>
      </c>
      <c r="R227" s="5">
        <f t="shared" si="58"/>
        <v>-0.5</v>
      </c>
    </row>
    <row r="228" spans="2:18" x14ac:dyDescent="0.3">
      <c r="B228" s="16">
        <v>0.24462535459522983</v>
      </c>
      <c r="C228" s="16">
        <f t="shared" si="49"/>
        <v>5.9268502185732506E-2</v>
      </c>
      <c r="D228" s="16" t="str">
        <f t="shared" si="45"/>
        <v xml:space="preserve"> </v>
      </c>
      <c r="E228" s="16" t="str">
        <f t="shared" si="46"/>
        <v xml:space="preserve"> </v>
      </c>
      <c r="F228" s="16" t="str">
        <f t="shared" si="47"/>
        <v xml:space="preserve"> </v>
      </c>
      <c r="G228" s="16">
        <f t="shared" si="50"/>
        <v>1.8224548462785147E-2</v>
      </c>
      <c r="H228" s="16">
        <f t="shared" si="51"/>
        <v>-3.5409861244449121E-2</v>
      </c>
      <c r="I228" s="16">
        <f t="shared" si="52"/>
        <v>-3.5395072719324752E-2</v>
      </c>
      <c r="J228" s="16">
        <f t="shared" si="48"/>
        <v>1.8224548462785147E-2</v>
      </c>
      <c r="K228" s="16">
        <f t="shared" si="53"/>
        <v>-3.5395072719324752E-2</v>
      </c>
      <c r="L228" s="16">
        <f t="shared" si="54"/>
        <v>0.24672272954024746</v>
      </c>
      <c r="M228" s="16">
        <f t="shared" si="55"/>
        <v>7.7455928403490484E-2</v>
      </c>
      <c r="N228" s="16">
        <f t="shared" si="56"/>
        <v>0.24252797965021219</v>
      </c>
      <c r="O228" s="16">
        <f t="shared" si="57"/>
        <v>-4.1006831477920197E-2</v>
      </c>
      <c r="R228" s="5">
        <f t="shared" si="58"/>
        <v>-0.5</v>
      </c>
    </row>
    <row r="229" spans="2:18" x14ac:dyDescent="0.3">
      <c r="B229" s="16">
        <v>0.24669188356902849</v>
      </c>
      <c r="C229" s="16">
        <f t="shared" si="49"/>
        <v>5.932580828303817E-2</v>
      </c>
      <c r="D229" s="16" t="str">
        <f t="shared" si="45"/>
        <v xml:space="preserve"> </v>
      </c>
      <c r="E229" s="16" t="str">
        <f t="shared" si="46"/>
        <v xml:space="preserve"> </v>
      </c>
      <c r="F229" s="16" t="str">
        <f t="shared" si="47"/>
        <v xml:space="preserve"> </v>
      </c>
      <c r="G229" s="16">
        <f t="shared" si="50"/>
        <v>1.8151379422702476E-2</v>
      </c>
      <c r="H229" s="16">
        <f t="shared" si="51"/>
        <v>-3.5403529110944625E-2</v>
      </c>
      <c r="I229" s="16">
        <f t="shared" si="52"/>
        <v>-3.5388748514059418E-2</v>
      </c>
      <c r="J229" s="16">
        <f t="shared" si="48"/>
        <v>1.8151379422702476E-2</v>
      </c>
      <c r="K229" s="16">
        <f t="shared" si="53"/>
        <v>-3.5388748514059418E-2</v>
      </c>
      <c r="L229" s="16">
        <f t="shared" si="54"/>
        <v>0.24879091149039465</v>
      </c>
      <c r="M229" s="16">
        <f t="shared" si="55"/>
        <v>7.7440042843470572E-2</v>
      </c>
      <c r="N229" s="16">
        <f t="shared" si="56"/>
        <v>0.24459285564766234</v>
      </c>
      <c r="O229" s="16">
        <f t="shared" si="57"/>
        <v>-4.1137283998065627E-2</v>
      </c>
      <c r="R229" s="5">
        <f t="shared" si="58"/>
        <v>-0.5</v>
      </c>
    </row>
    <row r="230" spans="2:18" x14ac:dyDescent="0.3">
      <c r="B230" s="16">
        <v>0.24876587721863352</v>
      </c>
      <c r="C230" s="16">
        <f t="shared" si="49"/>
        <v>5.9380842270677872E-2</v>
      </c>
      <c r="D230" s="16" t="str">
        <f t="shared" si="45"/>
        <v xml:space="preserve"> </v>
      </c>
      <c r="E230" s="16" t="str">
        <f t="shared" si="46"/>
        <v xml:space="preserve"> </v>
      </c>
      <c r="F230" s="16" t="str">
        <f t="shared" si="47"/>
        <v xml:space="preserve"> </v>
      </c>
      <c r="G230" s="16">
        <f t="shared" si="50"/>
        <v>1.807795971484925E-2</v>
      </c>
      <c r="H230" s="16">
        <f t="shared" si="51"/>
        <v>-3.5396715027252432E-2</v>
      </c>
      <c r="I230" s="16">
        <f t="shared" si="52"/>
        <v>-3.5381942958875603E-2</v>
      </c>
      <c r="J230" s="16">
        <f t="shared" si="48"/>
        <v>1.807795971484925E-2</v>
      </c>
      <c r="K230" s="16">
        <f t="shared" si="53"/>
        <v>-3.5381942958875603E-2</v>
      </c>
      <c r="L230" s="16">
        <f t="shared" si="54"/>
        <v>0.25086644845083794</v>
      </c>
      <c r="M230" s="16">
        <f t="shared" si="55"/>
        <v>7.7421636962501844E-2</v>
      </c>
      <c r="N230" s="16">
        <f t="shared" si="56"/>
        <v>0.24666530598642913</v>
      </c>
      <c r="O230" s="16">
        <f t="shared" si="57"/>
        <v>-4.1265717532803337E-2</v>
      </c>
      <c r="R230" s="5">
        <f t="shared" si="58"/>
        <v>-0.5</v>
      </c>
    </row>
    <row r="231" spans="2:18" x14ac:dyDescent="0.3">
      <c r="B231" s="16">
        <v>0.25084731499244084</v>
      </c>
      <c r="C231" s="16">
        <f t="shared" si="49"/>
        <v>5.9433602372566133E-2</v>
      </c>
      <c r="D231" s="16" t="str">
        <f t="shared" si="45"/>
        <v xml:space="preserve"> </v>
      </c>
      <c r="E231" s="16" t="str">
        <f t="shared" si="46"/>
        <v xml:space="preserve"> </v>
      </c>
      <c r="F231" s="16" t="str">
        <f t="shared" si="47"/>
        <v xml:space="preserve"> </v>
      </c>
      <c r="G231" s="16">
        <f t="shared" si="50"/>
        <v>1.8004291172988088E-2</v>
      </c>
      <c r="H231" s="16">
        <f t="shared" si="51"/>
        <v>-3.5389414101904541E-2</v>
      </c>
      <c r="I231" s="16">
        <f t="shared" si="52"/>
        <v>-3.5374651167728609E-2</v>
      </c>
      <c r="J231" s="16">
        <f t="shared" si="48"/>
        <v>1.8004291172988088E-2</v>
      </c>
      <c r="K231" s="16">
        <f t="shared" si="53"/>
        <v>-3.5374651167728609E-2</v>
      </c>
      <c r="L231" s="16">
        <f t="shared" si="54"/>
        <v>0.25294931948386123</v>
      </c>
      <c r="M231" s="16">
        <f t="shared" si="55"/>
        <v>7.7400710830222874E-2</v>
      </c>
      <c r="N231" s="16">
        <f t="shared" si="56"/>
        <v>0.24874531050102044</v>
      </c>
      <c r="O231" s="16">
        <f t="shared" si="57"/>
        <v>-4.1392128484246699E-2</v>
      </c>
      <c r="R231" s="5">
        <f t="shared" si="58"/>
        <v>-0.5</v>
      </c>
    </row>
    <row r="232" spans="2:18" x14ac:dyDescent="0.3">
      <c r="B232" s="16">
        <v>0.25293617626508091</v>
      </c>
      <c r="C232" s="16">
        <f t="shared" si="49"/>
        <v>5.9484086925449306E-2</v>
      </c>
      <c r="D232" s="16" t="str">
        <f t="shared" si="45"/>
        <v xml:space="preserve"> </v>
      </c>
      <c r="E232" s="16" t="str">
        <f t="shared" si="46"/>
        <v xml:space="preserve"> </v>
      </c>
      <c r="F232" s="16" t="str">
        <f t="shared" si="47"/>
        <v xml:space="preserve"> </v>
      </c>
      <c r="G232" s="16">
        <f t="shared" si="50"/>
        <v>1.7930375654091259E-2</v>
      </c>
      <c r="H232" s="16">
        <f t="shared" si="51"/>
        <v>-3.5381621444203495E-2</v>
      </c>
      <c r="I232" s="16">
        <f t="shared" si="52"/>
        <v>-3.5366868255283651E-2</v>
      </c>
      <c r="J232" s="16">
        <f t="shared" si="48"/>
        <v>1.7930375654091259E-2</v>
      </c>
      <c r="K232" s="16">
        <f t="shared" si="53"/>
        <v>-3.5366868255283651E-2</v>
      </c>
      <c r="L232" s="16">
        <f t="shared" si="54"/>
        <v>0.25503950358764016</v>
      </c>
      <c r="M232" s="16">
        <f t="shared" si="55"/>
        <v>7.7377264651990754E-2</v>
      </c>
      <c r="N232" s="16">
        <f t="shared" si="56"/>
        <v>0.25083284894252167</v>
      </c>
      <c r="O232" s="16">
        <f t="shared" si="57"/>
        <v>-4.1516513343808237E-2</v>
      </c>
      <c r="R232" s="5">
        <f t="shared" si="58"/>
        <v>-0.5</v>
      </c>
    </row>
    <row r="233" spans="2:18" x14ac:dyDescent="0.3">
      <c r="B233" s="16">
        <v>0.25503244033762351</v>
      </c>
      <c r="C233" s="16">
        <f t="shared" si="49"/>
        <v>5.9532294378931636E-2</v>
      </c>
      <c r="D233" s="16" t="str">
        <f t="shared" si="45"/>
        <v xml:space="preserve"> </v>
      </c>
      <c r="E233" s="16" t="str">
        <f t="shared" si="46"/>
        <v xml:space="preserve"> </v>
      </c>
      <c r="F233" s="16" t="str">
        <f t="shared" si="47"/>
        <v xml:space="preserve"> </v>
      </c>
      <c r="G233" s="16">
        <f t="shared" si="50"/>
        <v>1.7856215038414284E-2</v>
      </c>
      <c r="H233" s="16">
        <f t="shared" si="51"/>
        <v>-3.5373332164467593E-2</v>
      </c>
      <c r="I233" s="16">
        <f t="shared" si="52"/>
        <v>-3.5358589337159123E-2</v>
      </c>
      <c r="J233" s="16">
        <f t="shared" si="48"/>
        <v>1.7856215038414284E-2</v>
      </c>
      <c r="K233" s="16">
        <f t="shared" si="53"/>
        <v>-3.5358589337159123E-2</v>
      </c>
      <c r="L233" s="16">
        <f t="shared" si="54"/>
        <v>0.25713697969657745</v>
      </c>
      <c r="M233" s="16">
        <f t="shared" si="55"/>
        <v>7.7351298768974661E-2</v>
      </c>
      <c r="N233" s="16">
        <f t="shared" si="56"/>
        <v>0.25292790097866957</v>
      </c>
      <c r="O233" s="16">
        <f t="shared" si="57"/>
        <v>-4.1638868692146086E-2</v>
      </c>
      <c r="R233" s="5">
        <f t="shared" si="58"/>
        <v>-0.5</v>
      </c>
    </row>
    <row r="234" spans="2:18" x14ac:dyDescent="0.3">
      <c r="B234" s="16">
        <v>0.25713608643778241</v>
      </c>
      <c r="C234" s="16">
        <f t="shared" si="49"/>
        <v>5.9578223295479557E-2</v>
      </c>
      <c r="D234" s="16" t="str">
        <f t="shared" si="45"/>
        <v xml:space="preserve"> </v>
      </c>
      <c r="E234" s="16" t="str">
        <f t="shared" si="46"/>
        <v xml:space="preserve"> </v>
      </c>
      <c r="F234" s="16" t="str">
        <f t="shared" si="47"/>
        <v xml:space="preserve"> </v>
      </c>
      <c r="G234" s="16">
        <f t="shared" si="50"/>
        <v>1.7781811229567648E-2</v>
      </c>
      <c r="H234" s="16">
        <f t="shared" si="51"/>
        <v>-3.5364541374276214E-2</v>
      </c>
      <c r="I234" s="16">
        <f t="shared" si="52"/>
        <v>-3.5349809530169973E-2</v>
      </c>
      <c r="J234" s="16">
        <f t="shared" si="48"/>
        <v>1.7781811229567648E-2</v>
      </c>
      <c r="K234" s="16">
        <f t="shared" si="53"/>
        <v>-3.5349809530169973E-2</v>
      </c>
      <c r="L234" s="16">
        <f t="shared" si="54"/>
        <v>0.25924172668163659</v>
      </c>
      <c r="M234" s="16">
        <f t="shared" si="55"/>
        <v>7.7322813658225867E-2</v>
      </c>
      <c r="N234" s="16">
        <f t="shared" si="56"/>
        <v>0.25503044619392823</v>
      </c>
      <c r="O234" s="16">
        <f t="shared" si="57"/>
        <v>-4.1759191199090578E-2</v>
      </c>
      <c r="R234" s="5">
        <f t="shared" si="58"/>
        <v>-0.5</v>
      </c>
    </row>
    <row r="235" spans="2:18" x14ac:dyDescent="0.3">
      <c r="B235" s="16">
        <v>0.25924709372012167</v>
      </c>
      <c r="C235" s="16">
        <f t="shared" si="49"/>
        <v>5.9621872350404143E-2</v>
      </c>
      <c r="D235" s="16" t="str">
        <f t="shared" si="45"/>
        <v xml:space="preserve"> </v>
      </c>
      <c r="E235" s="16" t="str">
        <f t="shared" si="46"/>
        <v xml:space="preserve"> </v>
      </c>
      <c r="F235" s="16" t="str">
        <f t="shared" si="47"/>
        <v xml:space="preserve"> </v>
      </c>
      <c r="G235" s="16">
        <f t="shared" si="50"/>
        <v>1.7707166154586524E-2</v>
      </c>
      <c r="H235" s="16">
        <f t="shared" si="51"/>
        <v>-3.5355244186715262E-2</v>
      </c>
      <c r="I235" s="16">
        <f t="shared" si="52"/>
        <v>-3.5340523952571201E-2</v>
      </c>
      <c r="J235" s="16">
        <f t="shared" si="48"/>
        <v>1.7707166154586524E-2</v>
      </c>
      <c r="K235" s="16">
        <f t="shared" si="53"/>
        <v>-3.5340523952571201E-2</v>
      </c>
      <c r="L235" s="16">
        <f t="shared" si="54"/>
        <v>0.26135372335067619</v>
      </c>
      <c r="M235" s="16">
        <f t="shared" si="55"/>
        <v>7.7291809932724151E-2</v>
      </c>
      <c r="N235" s="16">
        <f t="shared" si="56"/>
        <v>0.25714046408956714</v>
      </c>
      <c r="O235" s="16">
        <f t="shared" si="57"/>
        <v>-4.187747762355111E-2</v>
      </c>
      <c r="R235" s="5">
        <f t="shared" si="58"/>
        <v>-0.5</v>
      </c>
    </row>
    <row r="236" spans="2:18" x14ac:dyDescent="0.3">
      <c r="B236" s="16">
        <v>0.26136544126626193</v>
      </c>
      <c r="C236" s="16">
        <f t="shared" si="49"/>
        <v>5.966324033182159E-2</v>
      </c>
      <c r="D236" s="16" t="str">
        <f t="shared" si="45"/>
        <v xml:space="preserve"> </v>
      </c>
      <c r="E236" s="16" t="str">
        <f t="shared" si="46"/>
        <v xml:space="preserve"> </v>
      </c>
      <c r="F236" s="16" t="str">
        <f t="shared" si="47"/>
        <v xml:space="preserve"> </v>
      </c>
      <c r="G236" s="16">
        <f t="shared" si="50"/>
        <v>1.7632281763998527E-2</v>
      </c>
      <c r="H236" s="16">
        <f t="shared" si="51"/>
        <v>-3.5345435716622735E-2</v>
      </c>
      <c r="I236" s="16">
        <f t="shared" si="52"/>
        <v>-3.5330727724301465E-2</v>
      </c>
      <c r="J236" s="16">
        <f t="shared" si="48"/>
        <v>1.7632281763998527E-2</v>
      </c>
      <c r="K236" s="16">
        <f t="shared" si="53"/>
        <v>-3.5330727724301465E-2</v>
      </c>
      <c r="L236" s="16">
        <f t="shared" si="54"/>
        <v>0.26347294844878238</v>
      </c>
      <c r="M236" s="16">
        <f t="shared" si="55"/>
        <v>7.7258288341400028E-2</v>
      </c>
      <c r="N236" s="16">
        <f t="shared" si="56"/>
        <v>0.25925793408374148</v>
      </c>
      <c r="O236" s="16">
        <f t="shared" si="57"/>
        <v>-4.199372481340298E-2</v>
      </c>
      <c r="R236" s="5">
        <f t="shared" si="58"/>
        <v>-0.5</v>
      </c>
    </row>
    <row r="237" spans="2:18" x14ac:dyDescent="0.3">
      <c r="B237" s="16">
        <v>0.26349110808508769</v>
      </c>
      <c r="C237" s="16">
        <f t="shared" si="49"/>
        <v>5.9702326140592038E-2</v>
      </c>
      <c r="D237" s="16" t="str">
        <f t="shared" si="45"/>
        <v xml:space="preserve"> </v>
      </c>
      <c r="E237" s="16" t="str">
        <f t="shared" si="46"/>
        <v xml:space="preserve"> </v>
      </c>
      <c r="F237" s="16" t="str">
        <f t="shared" si="47"/>
        <v xml:space="preserve"> </v>
      </c>
      <c r="G237" s="16">
        <f t="shared" si="50"/>
        <v>1.7557160031889504E-2</v>
      </c>
      <c r="H237" s="16">
        <f t="shared" si="51"/>
        <v>-3.5335111080834432E-2</v>
      </c>
      <c r="I237" s="16">
        <f t="shared" si="52"/>
        <v>-3.5320415967226793E-2</v>
      </c>
      <c r="J237" s="16">
        <f t="shared" si="48"/>
        <v>1.7557160031889504E-2</v>
      </c>
      <c r="K237" s="16">
        <f t="shared" si="53"/>
        <v>-3.5320415967226793E-2</v>
      </c>
      <c r="L237" s="16">
        <f t="shared" si="54"/>
        <v>0.26559938065860117</v>
      </c>
      <c r="M237" s="16">
        <f t="shared" si="55"/>
        <v>7.7222249769133597E-2</v>
      </c>
      <c r="N237" s="16">
        <f t="shared" si="56"/>
        <v>0.26138283551157421</v>
      </c>
      <c r="O237" s="16">
        <f t="shared" si="57"/>
        <v>-4.2107929705354596E-2</v>
      </c>
      <c r="R237" s="5">
        <f t="shared" si="58"/>
        <v>-0.5</v>
      </c>
    </row>
    <row r="238" spans="2:18" x14ac:dyDescent="0.3">
      <c r="B238" s="16">
        <v>0.26562407311295533</v>
      </c>
      <c r="C238" s="16">
        <f t="shared" si="49"/>
        <v>5.9739128790236247E-2</v>
      </c>
      <c r="D238" s="16" t="str">
        <f t="shared" si="45"/>
        <v xml:space="preserve"> </v>
      </c>
      <c r="E238" s="16" t="str">
        <f t="shared" si="46"/>
        <v xml:space="preserve"> </v>
      </c>
      <c r="F238" s="16" t="str">
        <f t="shared" si="47"/>
        <v xml:space="preserve"> </v>
      </c>
      <c r="G238" s="16">
        <f t="shared" si="50"/>
        <v>1.7481802955967303E-2</v>
      </c>
      <c r="H238" s="16">
        <f t="shared" si="51"/>
        <v>-3.5324265398429762E-2</v>
      </c>
      <c r="I238" s="16">
        <f t="shared" si="52"/>
        <v>-3.5309583805384424E-2</v>
      </c>
      <c r="J238" s="16">
        <f t="shared" si="48"/>
        <v>1.7481802955967303E-2</v>
      </c>
      <c r="K238" s="16">
        <f t="shared" si="53"/>
        <v>-3.5309583805384424E-2</v>
      </c>
      <c r="L238" s="16">
        <f t="shared" si="54"/>
        <v>0.2677329986006694</v>
      </c>
      <c r="M238" s="16">
        <f t="shared" si="55"/>
        <v>7.7183695236729244E-2</v>
      </c>
      <c r="N238" s="16">
        <f t="shared" si="56"/>
        <v>0.26351514762524125</v>
      </c>
      <c r="O238" s="16">
        <f t="shared" si="57"/>
        <v>-4.2220089324794645E-2</v>
      </c>
      <c r="R238" s="5">
        <f t="shared" si="58"/>
        <v>-0.5</v>
      </c>
    </row>
    <row r="239" spans="2:18" x14ac:dyDescent="0.3">
      <c r="B239" s="16">
        <v>0.26776431521390176</v>
      </c>
      <c r="C239" s="16">
        <f t="shared" si="49"/>
        <v>5.9773647406830693E-2</v>
      </c>
      <c r="D239" s="16" t="str">
        <f t="shared" si="45"/>
        <v xml:space="preserve"> </v>
      </c>
      <c r="E239" s="16" t="str">
        <f t="shared" si="46"/>
        <v xml:space="preserve"> </v>
      </c>
      <c r="F239" s="16" t="str">
        <f t="shared" si="47"/>
        <v xml:space="preserve"> </v>
      </c>
      <c r="G239" s="16">
        <f t="shared" si="50"/>
        <v>1.7406212557623521E-2</v>
      </c>
      <c r="H239" s="16">
        <f t="shared" si="51"/>
        <v>-3.5312893790977594E-2</v>
      </c>
      <c r="I239" s="16">
        <f t="shared" si="52"/>
        <v>-3.5298226365226677E-2</v>
      </c>
      <c r="J239" s="16">
        <f t="shared" si="48"/>
        <v>1.7406212557623521E-2</v>
      </c>
      <c r="K239" s="16">
        <f t="shared" si="53"/>
        <v>-3.5298226365226677E-2</v>
      </c>
      <c r="L239" s="16">
        <f t="shared" si="54"/>
        <v>0.26987378083374564</v>
      </c>
      <c r="M239" s="16">
        <f t="shared" si="55"/>
        <v>7.7142625900866804E-2</v>
      </c>
      <c r="N239" s="16">
        <f t="shared" si="56"/>
        <v>0.26565484959405788</v>
      </c>
      <c r="O239" s="16">
        <f t="shared" si="57"/>
        <v>-4.2330200785619762E-2</v>
      </c>
      <c r="R239" s="5">
        <f t="shared" si="58"/>
        <v>-0.5</v>
      </c>
    </row>
    <row r="240" spans="2:18" x14ac:dyDescent="0.3">
      <c r="B240" s="16">
        <v>0.26991181317985435</v>
      </c>
      <c r="C240" s="16">
        <f t="shared" si="49"/>
        <v>5.9805881228880656E-2</v>
      </c>
      <c r="D240" s="16" t="str">
        <f t="shared" si="45"/>
        <v xml:space="preserve"> </v>
      </c>
      <c r="E240" s="16" t="str">
        <f t="shared" si="46"/>
        <v xml:space="preserve"> </v>
      </c>
      <c r="F240" s="16" t="str">
        <f t="shared" si="47"/>
        <v xml:space="preserve"> </v>
      </c>
      <c r="G240" s="16">
        <f t="shared" si="50"/>
        <v>1.7330390881993205E-2</v>
      </c>
      <c r="H240" s="16">
        <f t="shared" si="51"/>
        <v>-3.5300991382782233E-2</v>
      </c>
      <c r="I240" s="16">
        <f t="shared" si="52"/>
        <v>-3.5286338775864921E-2</v>
      </c>
      <c r="J240" s="16">
        <f t="shared" si="48"/>
        <v>1.7330390881993205E-2</v>
      </c>
      <c r="K240" s="16">
        <f t="shared" si="53"/>
        <v>-3.5286338775864921E-2</v>
      </c>
      <c r="L240" s="16">
        <f t="shared" si="54"/>
        <v>0.27202170585513991</v>
      </c>
      <c r="M240" s="16">
        <f t="shared" si="55"/>
        <v>7.7099043054028649E-2</v>
      </c>
      <c r="N240" s="16">
        <f t="shared" si="56"/>
        <v>0.2678019205045688</v>
      </c>
      <c r="O240" s="16">
        <f t="shared" si="57"/>
        <v>-4.2438261290042231E-2</v>
      </c>
      <c r="R240" s="5">
        <f t="shared" si="58"/>
        <v>-0.5</v>
      </c>
    </row>
    <row r="241" spans="2:18" x14ac:dyDescent="0.3">
      <c r="B241" s="16">
        <v>0.27206654573084033</v>
      </c>
      <c r="C241" s="16">
        <f t="shared" si="49"/>
        <v>5.9835829607171452E-2</v>
      </c>
      <c r="D241" s="16" t="str">
        <f t="shared" si="45"/>
        <v xml:space="preserve"> </v>
      </c>
      <c r="E241" s="16" t="str">
        <f t="shared" si="46"/>
        <v xml:space="preserve"> </v>
      </c>
      <c r="F241" s="16" t="str">
        <f t="shared" si="47"/>
        <v xml:space="preserve"> </v>
      </c>
      <c r="G241" s="16">
        <f t="shared" si="50"/>
        <v>1.7254339998012552E-2</v>
      </c>
      <c r="H241" s="16">
        <f t="shared" si="51"/>
        <v>-3.5288553301129483E-2</v>
      </c>
      <c r="I241" s="16">
        <f t="shared" si="52"/>
        <v>-3.5273916169313621E-2</v>
      </c>
      <c r="J241" s="16">
        <f t="shared" si="48"/>
        <v>1.7254339998012552E-2</v>
      </c>
      <c r="K241" s="16">
        <f t="shared" si="53"/>
        <v>-3.5273916169313621E-2</v>
      </c>
      <c r="L241" s="16">
        <f t="shared" si="54"/>
        <v>0.27417675210104181</v>
      </c>
      <c r="M241" s="16">
        <f t="shared" si="55"/>
        <v>7.7052948124403053E-2</v>
      </c>
      <c r="N241" s="16">
        <f t="shared" si="56"/>
        <v>0.26995633936063884</v>
      </c>
      <c r="O241" s="16">
        <f t="shared" si="57"/>
        <v>-4.2544268128377957E-2</v>
      </c>
      <c r="R241" s="5">
        <f t="shared" si="58"/>
        <v>-0.5</v>
      </c>
    </row>
    <row r="242" spans="2:18" x14ac:dyDescent="0.3">
      <c r="B242" s="16">
        <v>0.27422849151519824</v>
      </c>
      <c r="C242" s="16">
        <f t="shared" si="49"/>
        <v>5.9863492004597896E-2</v>
      </c>
      <c r="D242" s="16" t="str">
        <f t="shared" si="45"/>
        <v xml:space="preserve"> </v>
      </c>
      <c r="E242" s="16" t="str">
        <f t="shared" si="46"/>
        <v xml:space="preserve"> </v>
      </c>
      <c r="F242" s="16" t="str">
        <f t="shared" si="47"/>
        <v xml:space="preserve"> </v>
      </c>
      <c r="G242" s="16">
        <f t="shared" si="50"/>
        <v>1.7178061998474471E-2</v>
      </c>
      <c r="H242" s="16">
        <f t="shared" si="51"/>
        <v>-3.5275574676532702E-2</v>
      </c>
      <c r="I242" s="16">
        <f t="shared" si="52"/>
        <v>-3.5260953680734411E-2</v>
      </c>
      <c r="J242" s="16">
        <f t="shared" si="48"/>
        <v>1.7178061998474471E-2</v>
      </c>
      <c r="K242" s="16">
        <f t="shared" si="53"/>
        <v>-3.5260953680734411E-2</v>
      </c>
      <c r="L242" s="16">
        <f t="shared" si="54"/>
        <v>0.27633889794684918</v>
      </c>
      <c r="M242" s="16">
        <f t="shared" si="55"/>
        <v>7.7004342675763796E-2</v>
      </c>
      <c r="N242" s="16">
        <f t="shared" si="56"/>
        <v>0.27211808508354729</v>
      </c>
      <c r="O242" s="16">
        <f t="shared" si="57"/>
        <v>-4.2648218678814853E-2</v>
      </c>
      <c r="R242" s="5">
        <f t="shared" si="58"/>
        <v>-0.5</v>
      </c>
    </row>
    <row r="243" spans="2:18" x14ac:dyDescent="0.3">
      <c r="B243" s="16">
        <v>0.27639762910978904</v>
      </c>
      <c r="C243" s="16">
        <f t="shared" si="49"/>
        <v>5.988886799597197E-2</v>
      </c>
      <c r="D243" s="16" t="str">
        <f t="shared" si="45"/>
        <v xml:space="preserve"> </v>
      </c>
      <c r="E243" s="16" t="str">
        <f t="shared" si="46"/>
        <v xml:space="preserve"> </v>
      </c>
      <c r="F243" s="16" t="str">
        <f t="shared" si="47"/>
        <v xml:space="preserve"> </v>
      </c>
      <c r="G243" s="16">
        <f t="shared" si="50"/>
        <v>1.7101559000082138E-2</v>
      </c>
      <c r="H243" s="16">
        <f t="shared" si="51"/>
        <v>-3.5262050642978986E-2</v>
      </c>
      <c r="I243" s="16">
        <f t="shared" si="52"/>
        <v>-3.5247446448680254E-2</v>
      </c>
      <c r="J243" s="16">
        <f t="shared" si="48"/>
        <v>1.7101559000082138E-2</v>
      </c>
      <c r="K243" s="16">
        <f t="shared" si="53"/>
        <v>-3.5247446448680254E-2</v>
      </c>
      <c r="L243" s="16">
        <f t="shared" si="54"/>
        <v>0.27850812170749412</v>
      </c>
      <c r="M243" s="16">
        <f t="shared" si="55"/>
        <v>7.695322840732581E-2</v>
      </c>
      <c r="N243" s="16">
        <f t="shared" si="56"/>
        <v>0.27428713651208397</v>
      </c>
      <c r="O243" s="16">
        <f t="shared" si="57"/>
        <v>-4.2750110407161535E-2</v>
      </c>
      <c r="R243" s="5">
        <f t="shared" si="58"/>
        <v>-0.5</v>
      </c>
    </row>
    <row r="244" spans="2:18" x14ac:dyDescent="0.3">
      <c r="B244" s="16">
        <v>0.27857393702020894</v>
      </c>
      <c r="C244" s="16">
        <f t="shared" si="49"/>
        <v>5.991195726780852E-2</v>
      </c>
      <c r="D244" s="16" t="str">
        <f t="shared" si="45"/>
        <v xml:space="preserve"> </v>
      </c>
      <c r="E244" s="16" t="str">
        <f t="shared" si="46"/>
        <v xml:space="preserve"> </v>
      </c>
      <c r="F244" s="16" t="str">
        <f t="shared" si="47"/>
        <v xml:space="preserve"> </v>
      </c>
      <c r="G244" s="16">
        <f t="shared" si="50"/>
        <v>1.7024833143500378E-2</v>
      </c>
      <c r="H244" s="16">
        <f t="shared" si="51"/>
        <v>-3.5247976338175349E-2</v>
      </c>
      <c r="I244" s="16">
        <f t="shared" si="52"/>
        <v>-3.5233389615339582E-2</v>
      </c>
      <c r="J244" s="16">
        <f t="shared" si="48"/>
        <v>1.7024833143500378E-2</v>
      </c>
      <c r="K244" s="16">
        <f t="shared" si="53"/>
        <v>-3.5233389615339582E-2</v>
      </c>
      <c r="L244" s="16">
        <f t="shared" si="54"/>
        <v>0.2806844016377697</v>
      </c>
      <c r="M244" s="16">
        <f t="shared" si="55"/>
        <v>7.6899607153576924E-2</v>
      </c>
      <c r="N244" s="16">
        <f t="shared" si="56"/>
        <v>0.27646347240264818</v>
      </c>
      <c r="O244" s="16">
        <f t="shared" si="57"/>
        <v>-4.2849940866576175E-2</v>
      </c>
      <c r="R244" s="5">
        <f t="shared" si="58"/>
        <v>-0.5</v>
      </c>
    </row>
    <row r="245" spans="2:18" x14ac:dyDescent="0.3">
      <c r="B245" s="16">
        <v>0.28075739368100194</v>
      </c>
      <c r="C245" s="16">
        <f t="shared" si="49"/>
        <v>5.9932759618089526E-2</v>
      </c>
      <c r="D245" s="16" t="str">
        <f t="shared" si="45"/>
        <v xml:space="preserve"> </v>
      </c>
      <c r="E245" s="16" t="str">
        <f t="shared" si="46"/>
        <v xml:space="preserve"> </v>
      </c>
      <c r="F245" s="16" t="str">
        <f t="shared" si="47"/>
        <v xml:space="preserve"> </v>
      </c>
      <c r="G245" s="16">
        <f t="shared" si="50"/>
        <v>1.6947886593405025E-2</v>
      </c>
      <c r="H245" s="16">
        <f t="shared" si="51"/>
        <v>-3.5233346903794927E-2</v>
      </c>
      <c r="I245" s="16">
        <f t="shared" si="52"/>
        <v>-3.5218778326780505E-2</v>
      </c>
      <c r="J245" s="16">
        <f t="shared" si="48"/>
        <v>1.6947886593405025E-2</v>
      </c>
      <c r="K245" s="16">
        <f t="shared" si="53"/>
        <v>-3.5218778326780505E-2</v>
      </c>
      <c r="L245" s="16">
        <f t="shared" si="54"/>
        <v>0.28286771593265447</v>
      </c>
      <c r="M245" s="16">
        <f t="shared" si="55"/>
        <v>7.6843480884086227E-2</v>
      </c>
      <c r="N245" s="16">
        <f t="shared" si="56"/>
        <v>0.27864707142934941</v>
      </c>
      <c r="O245" s="16">
        <f t="shared" si="57"/>
        <v>-4.2947707697276183E-2</v>
      </c>
      <c r="R245" s="5">
        <f t="shared" si="58"/>
        <v>-0.5</v>
      </c>
    </row>
    <row r="246" spans="2:18" x14ac:dyDescent="0.3">
      <c r="B246" s="16">
        <v>0.28294797745587386</v>
      </c>
      <c r="C246" s="16">
        <f t="shared" si="49"/>
        <v>5.995127495600619E-2</v>
      </c>
      <c r="D246" s="16" t="str">
        <f t="shared" si="45"/>
        <v xml:space="preserve"> </v>
      </c>
      <c r="E246" s="16" t="str">
        <f t="shared" si="46"/>
        <v xml:space="preserve"> </v>
      </c>
      <c r="F246" s="16" t="str">
        <f t="shared" si="47"/>
        <v xml:space="preserve"> </v>
      </c>
      <c r="G246" s="16">
        <f t="shared" si="50"/>
        <v>1.6870721538530063E-2</v>
      </c>
      <c r="H246" s="16">
        <f t="shared" si="51"/>
        <v>-3.5218157485723219E-2</v>
      </c>
      <c r="I246" s="16">
        <f t="shared" si="52"/>
        <v>-3.5203607733195023E-2</v>
      </c>
      <c r="J246" s="16">
        <f t="shared" si="48"/>
        <v>1.6870721538530063E-2</v>
      </c>
      <c r="K246" s="16">
        <f t="shared" si="53"/>
        <v>-3.5203607733195023E-2</v>
      </c>
      <c r="L246" s="16">
        <f t="shared" si="54"/>
        <v>0.28505804272763641</v>
      </c>
      <c r="M246" s="16">
        <f t="shared" si="55"/>
        <v>7.6784851703287998E-2</v>
      </c>
      <c r="N246" s="16">
        <f t="shared" si="56"/>
        <v>0.2808379121841113</v>
      </c>
      <c r="O246" s="16">
        <f t="shared" si="57"/>
        <v>-4.3043408626227866E-2</v>
      </c>
      <c r="R246" s="5">
        <f t="shared" si="58"/>
        <v>-0.5</v>
      </c>
    </row>
    <row r="247" spans="2:18" x14ac:dyDescent="0.3">
      <c r="B247" s="16">
        <v>0.28514566663790619</v>
      </c>
      <c r="C247" s="16">
        <f t="shared" si="49"/>
        <v>5.9967503301679784E-2</v>
      </c>
      <c r="D247" s="16" t="str">
        <f t="shared" si="45"/>
        <v xml:space="preserve"> </v>
      </c>
      <c r="E247" s="16" t="str">
        <f t="shared" si="46"/>
        <v xml:space="preserve"> </v>
      </c>
      <c r="F247" s="16" t="str">
        <f t="shared" si="47"/>
        <v xml:space="preserve"> </v>
      </c>
      <c r="G247" s="16">
        <f t="shared" si="50"/>
        <v>1.6793340191712729E-2</v>
      </c>
      <c r="H247" s="16">
        <f t="shared" si="51"/>
        <v>-3.5202403234304361E-2</v>
      </c>
      <c r="I247" s="16">
        <f t="shared" si="52"/>
        <v>-3.5187872989143242E-2</v>
      </c>
      <c r="J247" s="16">
        <f t="shared" si="48"/>
        <v>1.6793340191712729E-2</v>
      </c>
      <c r="K247" s="16">
        <f t="shared" si="53"/>
        <v>-3.5187872989143242E-2</v>
      </c>
      <c r="L247" s="16">
        <f t="shared" si="54"/>
        <v>0.28725536009903552</v>
      </c>
      <c r="M247" s="16">
        <f t="shared" si="55"/>
        <v>7.6723721850242524E-2</v>
      </c>
      <c r="N247" s="16">
        <f t="shared" si="56"/>
        <v>0.28303597317677687</v>
      </c>
      <c r="O247" s="16">
        <f t="shared" si="57"/>
        <v>-4.3137041466817058E-2</v>
      </c>
      <c r="R247" s="5">
        <f t="shared" si="58"/>
        <v>-0.5</v>
      </c>
    </row>
    <row r="248" spans="2:18" x14ac:dyDescent="0.3">
      <c r="B248" s="16">
        <v>0.28735043944977212</v>
      </c>
      <c r="C248" s="16">
        <f t="shared" si="49"/>
        <v>5.9981444785860503E-2</v>
      </c>
      <c r="D248" s="16" t="str">
        <f t="shared" si="45"/>
        <v xml:space="preserve"> </v>
      </c>
      <c r="E248" s="16" t="str">
        <f t="shared" si="46"/>
        <v xml:space="preserve"> </v>
      </c>
      <c r="F248" s="16" t="str">
        <f t="shared" si="47"/>
        <v xml:space="preserve"> </v>
      </c>
      <c r="G248" s="16">
        <f t="shared" si="50"/>
        <v>1.6715744789936354E-2</v>
      </c>
      <c r="H248" s="16">
        <f t="shared" si="51"/>
        <v>-3.518607930458733E-2</v>
      </c>
      <c r="I248" s="16">
        <f t="shared" si="52"/>
        <v>-3.517156925379758E-2</v>
      </c>
      <c r="J248" s="16">
        <f t="shared" si="48"/>
        <v>1.6715744789936354E-2</v>
      </c>
      <c r="K248" s="16">
        <f t="shared" si="53"/>
        <v>-3.517156925379758E-2</v>
      </c>
      <c r="L248" s="16">
        <f t="shared" si="54"/>
        <v>0.28945964606432623</v>
      </c>
      <c r="M248" s="16">
        <f t="shared" si="55"/>
        <v>7.6660093698372692E-2</v>
      </c>
      <c r="N248" s="16">
        <f t="shared" si="56"/>
        <v>0.28524123283521802</v>
      </c>
      <c r="O248" s="16">
        <f t="shared" si="57"/>
        <v>-4.3228604118499991E-2</v>
      </c>
      <c r="R248" s="5">
        <f t="shared" si="58"/>
        <v>-0.5</v>
      </c>
    </row>
    <row r="249" spans="2:18" x14ac:dyDescent="0.3">
      <c r="B249" s="16">
        <v>0.28956227404395118</v>
      </c>
      <c r="C249" s="16">
        <f t="shared" si="49"/>
        <v>5.9993099649604892E-2</v>
      </c>
      <c r="D249" s="16" t="str">
        <f t="shared" si="45"/>
        <v xml:space="preserve"> </v>
      </c>
      <c r="E249" s="16" t="str">
        <f t="shared" si="46"/>
        <v xml:space="preserve"> </v>
      </c>
      <c r="F249" s="16" t="str">
        <f t="shared" si="47"/>
        <v xml:space="preserve"> </v>
      </c>
      <c r="G249" s="16">
        <f t="shared" si="50"/>
        <v>1.6637937594371134E-2</v>
      </c>
      <c r="H249" s="16">
        <f t="shared" si="51"/>
        <v>-3.5169180856572224E-2</v>
      </c>
      <c r="I249" s="16">
        <f t="shared" si="52"/>
        <v>-3.5154691691186998E-2</v>
      </c>
      <c r="J249" s="16">
        <f t="shared" si="48"/>
        <v>1.6637937594371134E-2</v>
      </c>
      <c r="K249" s="16">
        <f t="shared" si="53"/>
        <v>-3.5154691691186998E-2</v>
      </c>
      <c r="L249" s="16">
        <f t="shared" si="54"/>
        <v>0.29167087858245705</v>
      </c>
      <c r="M249" s="16">
        <f t="shared" si="55"/>
        <v>7.6593969755177238E-2</v>
      </c>
      <c r="N249" s="16">
        <f t="shared" si="56"/>
        <v>0.28745366950544532</v>
      </c>
      <c r="O249" s="16">
        <f t="shared" si="57"/>
        <v>-4.331809456643497E-2</v>
      </c>
      <c r="R249" s="5">
        <f t="shared" si="58"/>
        <v>-0.5</v>
      </c>
    </row>
    <row r="250" spans="2:18" x14ac:dyDescent="0.3">
      <c r="B250" s="16">
        <v>0.2917811485029469</v>
      </c>
      <c r="C250" s="16">
        <f t="shared" si="49"/>
        <v>6.0002468243931503E-2</v>
      </c>
      <c r="D250" s="16" t="str">
        <f t="shared" si="45"/>
        <v xml:space="preserve"> </v>
      </c>
      <c r="E250" s="16" t="str">
        <f t="shared" si="46"/>
        <v xml:space="preserve"> </v>
      </c>
      <c r="F250" s="16" t="str">
        <f t="shared" si="47"/>
        <v xml:space="preserve"> </v>
      </c>
      <c r="G250" s="16">
        <f t="shared" si="50"/>
        <v>1.6559920890412659E-2</v>
      </c>
      <c r="H250" s="16">
        <f t="shared" si="51"/>
        <v>-3.5151703055456431E-2</v>
      </c>
      <c r="I250" s="16">
        <f t="shared" si="52"/>
        <v>-3.5137235470441126E-2</v>
      </c>
      <c r="J250" s="16">
        <f t="shared" si="48"/>
        <v>1.6559920890412659E-2</v>
      </c>
      <c r="K250" s="16">
        <f t="shared" si="53"/>
        <v>-3.5137235470441126E-2</v>
      </c>
      <c r="L250" s="16">
        <f t="shared" si="54"/>
        <v>0.29388903555417117</v>
      </c>
      <c r="M250" s="16">
        <f t="shared" si="55"/>
        <v>7.6525352661919899E-2</v>
      </c>
      <c r="N250" s="16">
        <f t="shared" si="56"/>
        <v>0.28967326145172262</v>
      </c>
      <c r="O250" s="16">
        <f t="shared" si="57"/>
        <v>-4.3405510881094581E-2</v>
      </c>
      <c r="R250" s="5">
        <f t="shared" si="58"/>
        <v>-0.5</v>
      </c>
    </row>
    <row r="251" spans="2:18" x14ac:dyDescent="0.3">
      <c r="B251" s="16">
        <v>0.29400704083950302</v>
      </c>
      <c r="C251" s="16">
        <f t="shared" si="49"/>
        <v>6.0009551029455266E-2</v>
      </c>
      <c r="D251" s="16" t="str">
        <f t="shared" si="45"/>
        <v xml:space="preserve"> </v>
      </c>
      <c r="E251" s="16" t="str">
        <f t="shared" si="46"/>
        <v xml:space="preserve"> </v>
      </c>
      <c r="F251" s="16" t="str">
        <f t="shared" si="47"/>
        <v xml:space="preserve"> </v>
      </c>
      <c r="G251" s="16">
        <f t="shared" si="50"/>
        <v>1.6481696987718279E-2</v>
      </c>
      <c r="H251" s="16">
        <f t="shared" si="51"/>
        <v>-3.5133641071880835E-2</v>
      </c>
      <c r="I251" s="16">
        <f t="shared" si="52"/>
        <v>-3.511919576603445E-2</v>
      </c>
      <c r="J251" s="16">
        <f t="shared" si="48"/>
        <v>1.6481696987718279E-2</v>
      </c>
      <c r="K251" s="16">
        <f t="shared" si="53"/>
        <v>-3.511919576603445E-2</v>
      </c>
      <c r="L251" s="16">
        <f t="shared" si="54"/>
        <v>0.29611409482232381</v>
      </c>
      <c r="M251" s="16">
        <f t="shared" si="55"/>
        <v>7.6454245193295425E-2</v>
      </c>
      <c r="N251" s="16">
        <f t="shared" si="56"/>
        <v>0.29189998685668223</v>
      </c>
      <c r="O251" s="16">
        <f t="shared" si="57"/>
        <v>-4.3490851217858867E-2</v>
      </c>
      <c r="R251" s="5">
        <f t="shared" si="58"/>
        <v>-0.5</v>
      </c>
    </row>
    <row r="252" spans="2:18" x14ac:dyDescent="0.3">
      <c r="B252" s="16">
        <v>0.29623992899682194</v>
      </c>
      <c r="C252" s="16">
        <f t="shared" si="49"/>
        <v>6.001434857600025E-2</v>
      </c>
      <c r="D252" s="16" t="str">
        <f t="shared" si="45"/>
        <v xml:space="preserve"> </v>
      </c>
      <c r="E252" s="16" t="str">
        <f t="shared" si="46"/>
        <v xml:space="preserve"> </v>
      </c>
      <c r="F252" s="16" t="str">
        <f t="shared" si="47"/>
        <v xml:space="preserve"> </v>
      </c>
      <c r="G252" s="16">
        <f t="shared" si="50"/>
        <v>1.6403268220241241E-2</v>
      </c>
      <c r="H252" s="16">
        <f t="shared" si="51"/>
        <v>-3.5114990082175973E-2</v>
      </c>
      <c r="I252" s="16">
        <f t="shared" si="52"/>
        <v>-3.5100567758030422E-2</v>
      </c>
      <c r="J252" s="16">
        <f t="shared" si="48"/>
        <v>1.6403268220241241E-2</v>
      </c>
      <c r="K252" s="16">
        <f t="shared" si="53"/>
        <v>-3.5100567758030422E-2</v>
      </c>
      <c r="L252" s="16">
        <f t="shared" si="54"/>
        <v>0.29834603417220013</v>
      </c>
      <c r="M252" s="16">
        <f t="shared" si="55"/>
        <v>7.6380650257071664E-2</v>
      </c>
      <c r="N252" s="16">
        <f t="shared" si="56"/>
        <v>0.29413382382144376</v>
      </c>
      <c r="O252" s="16">
        <f t="shared" si="57"/>
        <v>-4.3574113816589183E-2</v>
      </c>
      <c r="R252" s="5">
        <f t="shared" si="58"/>
        <v>-0.5</v>
      </c>
    </row>
    <row r="253" spans="2:18" x14ac:dyDescent="0.3">
      <c r="B253" s="16">
        <v>0.29847979084878318</v>
      </c>
      <c r="C253" s="16">
        <f t="shared" si="49"/>
        <v>6.0016861562190903E-2</v>
      </c>
      <c r="D253" s="16" t="str">
        <f t="shared" si="45"/>
        <v xml:space="preserve"> </v>
      </c>
      <c r="E253" s="16" t="str">
        <f t="shared" si="46"/>
        <v xml:space="preserve"> </v>
      </c>
      <c r="F253" s="16" t="str">
        <f t="shared" si="47"/>
        <v xml:space="preserve"> </v>
      </c>
      <c r="G253" s="16">
        <f t="shared" si="50"/>
        <v>1.6324636946262617E-2</v>
      </c>
      <c r="H253" s="16">
        <f t="shared" si="51"/>
        <v>-3.5095745268608085E-2</v>
      </c>
      <c r="I253" s="16">
        <f t="shared" si="52"/>
        <v>-3.508134663232549E-2</v>
      </c>
      <c r="J253" s="16">
        <f t="shared" si="48"/>
        <v>1.6324636946262617E-2</v>
      </c>
      <c r="K253" s="16">
        <f t="shared" si="53"/>
        <v>-3.508134663232549E-2</v>
      </c>
      <c r="L253" s="16">
        <f t="shared" si="54"/>
        <v>0.30058483133183067</v>
      </c>
      <c r="M253" s="16">
        <f t="shared" si="55"/>
        <v>7.6304570893708068E-2</v>
      </c>
      <c r="N253" s="16">
        <f t="shared" si="56"/>
        <v>0.29637475036573568</v>
      </c>
      <c r="O253" s="16">
        <f t="shared" si="57"/>
        <v>-4.3655297001182827E-2</v>
      </c>
      <c r="R253" s="5">
        <f t="shared" si="58"/>
        <v>-0.5</v>
      </c>
    </row>
    <row r="254" spans="2:18" x14ac:dyDescent="0.3">
      <c r="B254" s="16">
        <v>0.30072660420016228</v>
      </c>
      <c r="C254" s="16">
        <f t="shared" si="49"/>
        <v>6.0017090775022389E-2</v>
      </c>
      <c r="D254" s="16" t="str">
        <f t="shared" si="45"/>
        <v xml:space="preserve"> </v>
      </c>
      <c r="E254" s="16" t="str">
        <f t="shared" si="46"/>
        <v xml:space="preserve"> </v>
      </c>
      <c r="F254" s="16" t="str">
        <f t="shared" si="47"/>
        <v xml:space="preserve"> </v>
      </c>
      <c r="G254" s="16">
        <f t="shared" si="50"/>
        <v>1.6245805548421019E-2</v>
      </c>
      <c r="H254" s="16">
        <f t="shared" si="51"/>
        <v>-3.5075901819625152E-2</v>
      </c>
      <c r="I254" s="16">
        <f t="shared" si="52"/>
        <v>-3.5061527580893079E-2</v>
      </c>
      <c r="J254" s="16">
        <f t="shared" si="48"/>
        <v>1.6245805548421019E-2</v>
      </c>
      <c r="K254" s="16">
        <f t="shared" si="53"/>
        <v>-3.5061527580893079E-2</v>
      </c>
      <c r="L254" s="16">
        <f t="shared" si="54"/>
        <v>0.30283046397230617</v>
      </c>
      <c r="M254" s="16">
        <f t="shared" si="55"/>
        <v>7.6226010275951189E-2</v>
      </c>
      <c r="N254" s="16">
        <f t="shared" si="56"/>
        <v>0.29862274442801839</v>
      </c>
      <c r="O254" s="16">
        <f t="shared" si="57"/>
        <v>-4.3734399179109151E-2</v>
      </c>
      <c r="R254" s="5">
        <f t="shared" si="58"/>
        <v>-0.5</v>
      </c>
    </row>
    <row r="255" spans="2:18" x14ac:dyDescent="0.3">
      <c r="B255" s="16">
        <v>0.30298034678685137</v>
      </c>
      <c r="C255" s="16">
        <f t="shared" si="49"/>
        <v>6.0015037109408996E-2</v>
      </c>
      <c r="D255" s="16" t="str">
        <f t="shared" si="45"/>
        <v xml:space="preserve"> </v>
      </c>
      <c r="E255" s="16" t="str">
        <f t="shared" si="46"/>
        <v xml:space="preserve"> </v>
      </c>
      <c r="F255" s="16" t="str">
        <f t="shared" si="47"/>
        <v xml:space="preserve"> </v>
      </c>
      <c r="G255" s="16">
        <f t="shared" si="50"/>
        <v>1.616677643374001E-2</v>
      </c>
      <c r="H255" s="16">
        <f t="shared" si="51"/>
        <v>-3.5055454930102863E-2</v>
      </c>
      <c r="I255" s="16">
        <f t="shared" si="52"/>
        <v>-3.5041105802027545E-2</v>
      </c>
      <c r="J255" s="16">
        <f t="shared" si="48"/>
        <v>1.616677643374001E-2</v>
      </c>
      <c r="K255" s="16">
        <f t="shared" si="53"/>
        <v>-3.5041105802027545E-2</v>
      </c>
      <c r="L255" s="16">
        <f t="shared" si="54"/>
        <v>0.30508290970809132</v>
      </c>
      <c r="M255" s="16">
        <f t="shared" si="55"/>
        <v>7.6144971708406006E-2</v>
      </c>
      <c r="N255" s="16">
        <f t="shared" si="56"/>
        <v>0.30087778386561143</v>
      </c>
      <c r="O255" s="16">
        <f t="shared" si="57"/>
        <v>-4.3811418840925979E-2</v>
      </c>
      <c r="R255" s="5">
        <f t="shared" si="58"/>
        <v>-0.5</v>
      </c>
    </row>
    <row r="256" spans="2:18" x14ac:dyDescent="0.3">
      <c r="B256" s="16">
        <v>0.30524099627607926</v>
      </c>
      <c r="C256" s="16">
        <f t="shared" si="49"/>
        <v>6.0010701567711856E-2</v>
      </c>
      <c r="D256" s="16" t="str">
        <f t="shared" si="45"/>
        <v xml:space="preserve"> </v>
      </c>
      <c r="E256" s="16" t="str">
        <f t="shared" si="46"/>
        <v xml:space="preserve"> </v>
      </c>
      <c r="F256" s="16" t="str">
        <f t="shared" si="47"/>
        <v xml:space="preserve"> </v>
      </c>
      <c r="G256" s="16">
        <f t="shared" si="50"/>
        <v>1.6087552033653325E-2</v>
      </c>
      <c r="H256" s="16">
        <f t="shared" si="51"/>
        <v>-3.5034399801590455E-2</v>
      </c>
      <c r="I256" s="16">
        <f t="shared" si="52"/>
        <v>-3.5020076500587999E-2</v>
      </c>
      <c r="J256" s="16">
        <f t="shared" si="48"/>
        <v>1.6087552033653325E-2</v>
      </c>
      <c r="K256" s="16">
        <f t="shared" si="53"/>
        <v>-3.5020076500587999E-2</v>
      </c>
      <c r="L256" s="16">
        <f t="shared" si="54"/>
        <v>0.30734214609733679</v>
      </c>
      <c r="M256" s="16">
        <f t="shared" si="55"/>
        <v>7.6061458627084466E-2</v>
      </c>
      <c r="N256" s="16">
        <f t="shared" si="56"/>
        <v>0.30313984645482173</v>
      </c>
      <c r="O256" s="16">
        <f t="shared" si="57"/>
        <v>-4.3886354559777824E-2</v>
      </c>
      <c r="R256" s="5">
        <f t="shared" si="58"/>
        <v>-0.5</v>
      </c>
    </row>
    <row r="257" spans="2:18" x14ac:dyDescent="0.3">
      <c r="B257" s="16">
        <v>0.30750853026663305</v>
      </c>
      <c r="C257" s="16">
        <f t="shared" si="49"/>
        <v>6.0004085259245374E-2</v>
      </c>
      <c r="D257" s="16" t="str">
        <f t="shared" ref="D257:D320" si="59">IF($Q$1=1, IF(B257&lt;$A$8, ($A$10/6)*((B257^3)-3*$A$8*(B257^2)+($A$8^2)*(3-$A$8)*B257), (($A$10*($A$8^3))/6)*(1-B257)), " ")</f>
        <v xml:space="preserve"> </v>
      </c>
      <c r="E257" s="16" t="str">
        <f t="shared" ref="E257:E320" si="60">IF($Q$1=1,IF(B257&lt;$A$8, ($A$10/6)*(3*(B257^2)-6*$A$8*B257+($A$8^2)*(3-$A$8)), -($A$10*($A$8^3))/6), " ")</f>
        <v xml:space="preserve"> </v>
      </c>
      <c r="F257" s="16" t="str">
        <f t="shared" ref="F257:F320" si="61">IF($Q$1=1, ATAN(E257), " ")</f>
        <v xml:space="preserve"> </v>
      </c>
      <c r="G257" s="16">
        <f t="shared" si="50"/>
        <v>1.6008134804027761E-2</v>
      </c>
      <c r="H257" s="16">
        <f t="shared" si="51"/>
        <v>-3.501273164255652E-2</v>
      </c>
      <c r="I257" s="16">
        <f t="shared" si="52"/>
        <v>-3.4998434888242065E-2</v>
      </c>
      <c r="J257" s="16">
        <f t="shared" ref="J257:J320" si="62">IF($Q$1=1, D257, G257)</f>
        <v>1.6008134804027761E-2</v>
      </c>
      <c r="K257" s="16">
        <f t="shared" si="53"/>
        <v>-3.4998434888242065E-2</v>
      </c>
      <c r="L257" s="16">
        <f t="shared" si="54"/>
        <v>0.30960815064218999</v>
      </c>
      <c r="M257" s="16">
        <f t="shared" si="55"/>
        <v>7.5975474598930559E-2</v>
      </c>
      <c r="N257" s="16">
        <f t="shared" si="56"/>
        <v>0.30540890989107611</v>
      </c>
      <c r="O257" s="16">
        <f t="shared" si="57"/>
        <v>-4.3959204990875043E-2</v>
      </c>
      <c r="R257" s="5">
        <f t="shared" si="58"/>
        <v>-0.5</v>
      </c>
    </row>
    <row r="258" spans="2:18" x14ac:dyDescent="0.3">
      <c r="B258" s="16">
        <v>0.30978292628908</v>
      </c>
      <c r="C258" s="16">
        <f t="shared" ref="C258:C321" si="63">IF(AND($Q$1=2, $A$3=1), 0, IF($T$3, 5*$A$7*(0.2969*SQRT(B258)-0.126*B258-0.3516*(B258^2)+0.2843*(B258^3)-0.1036*(B258^4)),  5*$A$7*(0.2969*SQRT(B258)-0.126*B258-0.3516*(B258^2)+0.2843*(B258^3)-0.1015*(B258^4))))</f>
        <v>5.9995189399762422E-2</v>
      </c>
      <c r="D258" s="16" t="str">
        <f t="shared" si="59"/>
        <v xml:space="preserve"> </v>
      </c>
      <c r="E258" s="16" t="str">
        <f t="shared" si="60"/>
        <v xml:space="preserve"> </v>
      </c>
      <c r="F258" s="16" t="str">
        <f t="shared" si="61"/>
        <v xml:space="preserve"> </v>
      </c>
      <c r="G258" s="16">
        <f t="shared" ref="G258:G321" si="64">IF($Q$1=2, IF(A260&lt;&gt;1, IF(B258&lt;$A$11, ($A$12/6)*((B258-$A$11)^3-$A$13*((1-$A$11)^3)*B258-($A$11^3)*B258+$A$11^3), ($A$12/6)*($A$13*(B258-$A$11)^3-$A$13*((1-$A$11)^3)*B258-($A$11^3)*B258+$A$11^3)), 0), " ")</f>
        <v>1.5928527225183835E-2</v>
      </c>
      <c r="H258" s="16">
        <f t="shared" ref="H258:H321" si="65">IF($Q$1=2, IF(A260&lt;&gt;1, IF(B258&lt;$A$11, ($A$12/6)*(3*(B258-$A$11)^2-$A$13*((1-$A$11)^3)-($A$11^3)), ($A$12/6)*(3*$A$13*(B258-$A$11)^2-$A$13*((1-$A$11)^3)-($A$11^3))),0 ), " ")</f>
        <v>-3.499044566863465E-2</v>
      </c>
      <c r="I258" s="16">
        <f t="shared" ref="I258:I321" si="66">IF($Q$1=2, IF(A260&lt;&gt;1,  ATAN(H258), 0), " ")</f>
        <v>-3.4976176183709518E-2</v>
      </c>
      <c r="J258" s="16">
        <f t="shared" si="62"/>
        <v>1.5928527225183835E-2</v>
      </c>
      <c r="K258" s="16">
        <f t="shared" ref="K258:K321" si="67">IF($Q$1=1, F258, I258)</f>
        <v>-3.4976176183709518E-2</v>
      </c>
      <c r="L258" s="16">
        <f t="shared" ref="L258:L321" si="68">B258-C258*SIN(K258)</f>
        <v>0.31188090078910496</v>
      </c>
      <c r="M258" s="16">
        <f t="shared" ref="M258:M321" si="69">J258+C258*COS(K258)</f>
        <v>7.5887023321321953E-2</v>
      </c>
      <c r="N258" s="16">
        <f t="shared" ref="N258:N321" si="70">B258+C258*SIN(K258)</f>
        <v>0.30768495178905503</v>
      </c>
      <c r="O258" s="16">
        <f t="shared" ref="O258:O321" si="71">J258-C258*COS(K258)</f>
        <v>-4.4029968870954284E-2</v>
      </c>
      <c r="R258" s="5">
        <f t="shared" ref="R258:R321" si="72">IF($T$1, J258, -0.5)</f>
        <v>-0.5</v>
      </c>
    </row>
    <row r="259" spans="2:18" x14ac:dyDescent="0.3">
      <c r="B259" s="16">
        <v>0.31206416180598984</v>
      </c>
      <c r="C259" s="16">
        <f t="shared" si="63"/>
        <v>5.9984015310918876E-2</v>
      </c>
      <c r="D259" s="16" t="str">
        <f t="shared" si="59"/>
        <v xml:space="preserve"> </v>
      </c>
      <c r="E259" s="16" t="str">
        <f t="shared" si="60"/>
        <v xml:space="preserve"> </v>
      </c>
      <c r="F259" s="16" t="str">
        <f t="shared" si="61"/>
        <v xml:space="preserve"> </v>
      </c>
      <c r="G259" s="16">
        <f t="shared" si="64"/>
        <v>1.584873180191412E-2</v>
      </c>
      <c r="H259" s="16">
        <f t="shared" si="65"/>
        <v>-3.4967537102868998E-2</v>
      </c>
      <c r="I259" s="16">
        <f t="shared" si="66"/>
        <v>-3.4953295613005836E-2</v>
      </c>
      <c r="J259" s="16">
        <f t="shared" si="62"/>
        <v>1.584873180191412E-2</v>
      </c>
      <c r="K259" s="16">
        <f t="shared" si="67"/>
        <v>-3.4953295613005836E-2</v>
      </c>
      <c r="L259" s="16">
        <f t="shared" si="68"/>
        <v>0.31416037392915008</v>
      </c>
      <c r="M259" s="16">
        <f t="shared" si="69"/>
        <v>7.5796108621548744E-2</v>
      </c>
      <c r="N259" s="16">
        <f t="shared" si="70"/>
        <v>0.30996794968282959</v>
      </c>
      <c r="O259" s="16">
        <f t="shared" si="71"/>
        <v>-4.4098645017720497E-2</v>
      </c>
      <c r="R259" s="5">
        <f t="shared" si="72"/>
        <v>-0.5</v>
      </c>
    </row>
    <row r="260" spans="2:18" x14ac:dyDescent="0.3">
      <c r="B260" s="16">
        <v>0.31435221421215875</v>
      </c>
      <c r="C260" s="16">
        <f t="shared" si="63"/>
        <v>5.9970564419716987E-2</v>
      </c>
      <c r="D260" s="16" t="str">
        <f t="shared" si="59"/>
        <v xml:space="preserve"> </v>
      </c>
      <c r="E260" s="16" t="str">
        <f t="shared" si="60"/>
        <v xml:space="preserve"> </v>
      </c>
      <c r="F260" s="16" t="str">
        <f t="shared" si="61"/>
        <v xml:space="preserve"> </v>
      </c>
      <c r="G260" s="16">
        <f t="shared" si="64"/>
        <v>1.5768751063499266E-2</v>
      </c>
      <c r="H260" s="16">
        <f t="shared" si="65"/>
        <v>-3.4944001175959714E-2</v>
      </c>
      <c r="I260" s="16">
        <f t="shared" si="66"/>
        <v>-3.4929788409685622E-2</v>
      </c>
      <c r="J260" s="16">
        <f t="shared" si="62"/>
        <v>1.5768751063499266E-2</v>
      </c>
      <c r="K260" s="16">
        <f t="shared" si="67"/>
        <v>-3.4929788409685622E-2</v>
      </c>
      <c r="L260" s="16">
        <f t="shared" si="68"/>
        <v>0.31644654739831563</v>
      </c>
      <c r="M260" s="16">
        <f t="shared" si="69"/>
        <v>7.5702734456268905E-2</v>
      </c>
      <c r="N260" s="16">
        <f t="shared" si="70"/>
        <v>0.31225788102600188</v>
      </c>
      <c r="O260" s="16">
        <f t="shared" si="71"/>
        <v>-4.4165232329270374E-2</v>
      </c>
      <c r="R260" s="5">
        <f t="shared" si="72"/>
        <v>-0.5</v>
      </c>
    </row>
    <row r="261" spans="2:18" x14ac:dyDescent="0.3">
      <c r="B261" s="16">
        <v>0.31664706083483307</v>
      </c>
      <c r="C261" s="16">
        <f t="shared" si="63"/>
        <v>5.9954838257928071E-2</v>
      </c>
      <c r="D261" s="16" t="str">
        <f t="shared" si="59"/>
        <v xml:space="preserve"> </v>
      </c>
      <c r="E261" s="16" t="str">
        <f t="shared" si="60"/>
        <v xml:space="preserve"> </v>
      </c>
      <c r="F261" s="16" t="str">
        <f t="shared" si="61"/>
        <v xml:space="preserve"> </v>
      </c>
      <c r="G261" s="16">
        <f t="shared" si="64"/>
        <v>1.5688587563721709E-2</v>
      </c>
      <c r="H261" s="16">
        <f t="shared" si="65"/>
        <v>-3.4919833126508246E-2</v>
      </c>
      <c r="I261" s="16">
        <f t="shared" si="66"/>
        <v>-3.4905649815085892E-2</v>
      </c>
      <c r="J261" s="16">
        <f t="shared" si="62"/>
        <v>1.5688587563721709E-2</v>
      </c>
      <c r="K261" s="16">
        <f t="shared" si="67"/>
        <v>-3.4905649815085892E-2</v>
      </c>
      <c r="L261" s="16">
        <f t="shared" si="68"/>
        <v>0.31873939847781912</v>
      </c>
      <c r="M261" s="16">
        <f t="shared" si="69"/>
        <v>7.5606904910940825E-2</v>
      </c>
      <c r="N261" s="16">
        <f t="shared" si="70"/>
        <v>0.31455472319184702</v>
      </c>
      <c r="O261" s="16">
        <f t="shared" si="71"/>
        <v>-4.4229729783497401E-2</v>
      </c>
      <c r="R261" s="5">
        <f t="shared" si="72"/>
        <v>-0.5</v>
      </c>
    </row>
    <row r="262" spans="2:18" x14ac:dyDescent="0.3">
      <c r="B262" s="16">
        <v>0.31894867893393375</v>
      </c>
      <c r="C262" s="16">
        <f t="shared" si="63"/>
        <v>5.9936838461494529E-2</v>
      </c>
      <c r="D262" s="16" t="str">
        <f t="shared" si="59"/>
        <v xml:space="preserve"> </v>
      </c>
      <c r="E262" s="16" t="str">
        <f t="shared" si="60"/>
        <v xml:space="preserve"> </v>
      </c>
      <c r="F262" s="16" t="str">
        <f t="shared" si="61"/>
        <v xml:space="preserve"> </v>
      </c>
      <c r="G262" s="16">
        <f t="shared" si="64"/>
        <v>1.5608243880877091E-2</v>
      </c>
      <c r="H262" s="16">
        <f t="shared" si="65"/>
        <v>-3.4895028201262474E-2</v>
      </c>
      <c r="I262" s="16">
        <f t="shared" si="66"/>
        <v>-3.4880875078569254E-2</v>
      </c>
      <c r="J262" s="16">
        <f t="shared" si="62"/>
        <v>1.5608243880877091E-2</v>
      </c>
      <c r="K262" s="16">
        <f t="shared" si="67"/>
        <v>-3.4880875078569254E-2</v>
      </c>
      <c r="L262" s="16">
        <f t="shared" si="68"/>
        <v>0.32103890439440913</v>
      </c>
      <c r="M262" s="16">
        <f t="shared" si="69"/>
        <v>7.5508624199232918E-2</v>
      </c>
      <c r="N262" s="16">
        <f t="shared" si="70"/>
        <v>0.31685845347345837</v>
      </c>
      <c r="O262" s="16">
        <f t="shared" si="71"/>
        <v>-4.4292136437478744E-2</v>
      </c>
      <c r="R262" s="5">
        <f t="shared" si="72"/>
        <v>-0.5</v>
      </c>
    </row>
    <row r="263" spans="2:18" x14ac:dyDescent="0.3">
      <c r="B263" s="16">
        <v>0.3212570457022822</v>
      </c>
      <c r="C263" s="16">
        <f t="shared" si="63"/>
        <v>5.991656676991125E-2</v>
      </c>
      <c r="D263" s="16" t="str">
        <f t="shared" si="59"/>
        <v xml:space="preserve"> </v>
      </c>
      <c r="E263" s="16" t="str">
        <f t="shared" si="60"/>
        <v xml:space="preserve"> </v>
      </c>
      <c r="F263" s="16" t="str">
        <f t="shared" si="61"/>
        <v xml:space="preserve"> </v>
      </c>
      <c r="G263" s="16">
        <f t="shared" si="64"/>
        <v>1.5527722617783249E-2</v>
      </c>
      <c r="H263" s="16">
        <f t="shared" si="65"/>
        <v>-3.486958165536172E-2</v>
      </c>
      <c r="I263" s="16">
        <f t="shared" si="66"/>
        <v>-3.4855459457766878E-2</v>
      </c>
      <c r="J263" s="16">
        <f t="shared" si="62"/>
        <v>1.5527722617783249E-2</v>
      </c>
      <c r="K263" s="16">
        <f t="shared" si="67"/>
        <v>-3.4855459457766878E-2</v>
      </c>
      <c r="L263" s="16">
        <f t="shared" si="68"/>
        <v>0.32334504232066857</v>
      </c>
      <c r="M263" s="16">
        <f t="shared" si="69"/>
        <v>7.5407896662410406E-2</v>
      </c>
      <c r="N263" s="16">
        <f t="shared" si="70"/>
        <v>0.31916904908389582</v>
      </c>
      <c r="O263" s="16">
        <f t="shared" si="71"/>
        <v>-4.4352451426843909E-2</v>
      </c>
      <c r="R263" s="5">
        <f t="shared" si="72"/>
        <v>-0.5</v>
      </c>
    </row>
    <row r="264" spans="2:18" x14ac:dyDescent="0.3">
      <c r="B264" s="16">
        <v>0.32357213826582509</v>
      </c>
      <c r="C264" s="16">
        <f t="shared" si="63"/>
        <v>5.9894025025586314E-2</v>
      </c>
      <c r="D264" s="16" t="str">
        <f t="shared" si="59"/>
        <v xml:space="preserve"> </v>
      </c>
      <c r="E264" s="16" t="str">
        <f t="shared" si="60"/>
        <v xml:space="preserve"> </v>
      </c>
      <c r="F264" s="16" t="str">
        <f t="shared" si="61"/>
        <v xml:space="preserve"> </v>
      </c>
      <c r="G264" s="16">
        <f t="shared" si="64"/>
        <v>1.5447026401786981E-2</v>
      </c>
      <c r="H264" s="16">
        <f t="shared" si="65"/>
        <v>-3.4843488752581614E-2</v>
      </c>
      <c r="I264" s="16">
        <f t="shared" si="66"/>
        <v>-3.4829398218821424E-2</v>
      </c>
      <c r="J264" s="16">
        <f t="shared" si="62"/>
        <v>1.5447026401786981E-2</v>
      </c>
      <c r="K264" s="16">
        <f t="shared" si="67"/>
        <v>-3.4829398218821424E-2</v>
      </c>
      <c r="L264" s="16">
        <f t="shared" si="68"/>
        <v>0.32565778937531498</v>
      </c>
      <c r="M264" s="16">
        <f t="shared" si="69"/>
        <v>7.5304726768699204E-2</v>
      </c>
      <c r="N264" s="16">
        <f t="shared" si="70"/>
        <v>0.32148648715633521</v>
      </c>
      <c r="O264" s="16">
        <f t="shared" si="71"/>
        <v>-4.4410673965125234E-2</v>
      </c>
      <c r="R264" s="5">
        <f t="shared" si="72"/>
        <v>-0.5</v>
      </c>
    </row>
    <row r="265" spans="2:18" x14ac:dyDescent="0.3">
      <c r="B265" s="16">
        <v>0.32589393368386299</v>
      </c>
      <c r="C265" s="16">
        <f t="shared" si="63"/>
        <v>5.9869215173181674E-2</v>
      </c>
      <c r="D265" s="16" t="str">
        <f t="shared" si="59"/>
        <v xml:space="preserve"> </v>
      </c>
      <c r="E265" s="16" t="str">
        <f t="shared" si="60"/>
        <v xml:space="preserve"> </v>
      </c>
      <c r="F265" s="16" t="str">
        <f t="shared" si="61"/>
        <v xml:space="preserve"> </v>
      </c>
      <c r="G265" s="16">
        <f t="shared" si="64"/>
        <v>1.5366157884768297E-2</v>
      </c>
      <c r="H265" s="16">
        <f t="shared" si="65"/>
        <v>-3.481674476557866E-2</v>
      </c>
      <c r="I265" s="16">
        <f t="shared" si="66"/>
        <v>-3.480268663662963E-2</v>
      </c>
      <c r="J265" s="16">
        <f t="shared" si="62"/>
        <v>1.5366157884768297E-2</v>
      </c>
      <c r="K265" s="16">
        <f t="shared" si="67"/>
        <v>-3.480268663662963E-2</v>
      </c>
      <c r="L265" s="16">
        <f t="shared" si="68"/>
        <v>0.32797712262350215</v>
      </c>
      <c r="M265" s="16">
        <f t="shared" si="69"/>
        <v>7.5199119112627416E-2</v>
      </c>
      <c r="N265" s="16">
        <f t="shared" si="70"/>
        <v>0.32381074474422383</v>
      </c>
      <c r="O265" s="16">
        <f t="shared" si="71"/>
        <v>-4.4466803343090819E-2</v>
      </c>
      <c r="R265" s="5">
        <f t="shared" si="72"/>
        <v>-0.5</v>
      </c>
    </row>
    <row r="266" spans="2:18" x14ac:dyDescent="0.3">
      <c r="B266" s="16">
        <v>0.3282224089492759</v>
      </c>
      <c r="C266" s="16">
        <f t="shared" si="63"/>
        <v>5.9842139258933211E-2</v>
      </c>
      <c r="D266" s="16" t="str">
        <f t="shared" si="59"/>
        <v xml:space="preserve"> </v>
      </c>
      <c r="E266" s="16" t="str">
        <f t="shared" si="60"/>
        <v xml:space="preserve"> </v>
      </c>
      <c r="F266" s="16" t="str">
        <f t="shared" si="61"/>
        <v xml:space="preserve"> </v>
      </c>
      <c r="G266" s="16">
        <f t="shared" si="64"/>
        <v>1.5285119743142438E-2</v>
      </c>
      <c r="H266" s="16">
        <f t="shared" si="65"/>
        <v>-3.4789344976134791E-2</v>
      </c>
      <c r="I266" s="16">
        <f t="shared" si="66"/>
        <v>-3.4775319995084916E-2</v>
      </c>
      <c r="J266" s="16">
        <f t="shared" si="62"/>
        <v>1.5285119743142438E-2</v>
      </c>
      <c r="K266" s="16">
        <f t="shared" si="67"/>
        <v>-3.4775319995084916E-2</v>
      </c>
      <c r="L266" s="16">
        <f t="shared" si="68"/>
        <v>0.33030301907711679</v>
      </c>
      <c r="M266" s="16">
        <f t="shared" si="69"/>
        <v>7.5091078414344106E-2</v>
      </c>
      <c r="N266" s="16">
        <f t="shared" si="70"/>
        <v>0.32614179882143501</v>
      </c>
      <c r="O266" s="16">
        <f t="shared" si="71"/>
        <v>-4.4520838928059227E-2</v>
      </c>
      <c r="R266" s="5">
        <f t="shared" si="72"/>
        <v>-0.5</v>
      </c>
    </row>
    <row r="267" spans="2:18" x14ac:dyDescent="0.3">
      <c r="B267" s="16">
        <v>0.33055754098875223</v>
      </c>
      <c r="C267" s="16">
        <f t="shared" si="63"/>
        <v>5.9812799429950658E-2</v>
      </c>
      <c r="D267" s="16" t="str">
        <f t="shared" si="59"/>
        <v xml:space="preserve"> </v>
      </c>
      <c r="E267" s="16" t="str">
        <f t="shared" si="60"/>
        <v xml:space="preserve"> </v>
      </c>
      <c r="F267" s="16" t="str">
        <f t="shared" si="61"/>
        <v xml:space="preserve"> </v>
      </c>
      <c r="G267" s="16">
        <f t="shared" si="64"/>
        <v>1.5203914677859419E-2</v>
      </c>
      <c r="H267" s="16">
        <f t="shared" si="65"/>
        <v>-3.4761284675401585E-2</v>
      </c>
      <c r="I267" s="16">
        <f t="shared" si="66"/>
        <v>-3.4747293587319643E-2</v>
      </c>
      <c r="J267" s="16">
        <f t="shared" si="62"/>
        <v>1.5203914677859419E-2</v>
      </c>
      <c r="K267" s="16">
        <f t="shared" si="67"/>
        <v>-3.4747293587319643E-2</v>
      </c>
      <c r="L267" s="16">
        <f t="shared" si="68"/>
        <v>0.3326354556950768</v>
      </c>
      <c r="M267" s="16">
        <f t="shared" si="69"/>
        <v>7.4980609518915539E-2</v>
      </c>
      <c r="N267" s="16">
        <f t="shared" si="70"/>
        <v>0.32847962628242766</v>
      </c>
      <c r="O267" s="16">
        <f t="shared" si="71"/>
        <v>-4.4572780163196705E-2</v>
      </c>
      <c r="R267" s="5">
        <f t="shared" si="72"/>
        <v>-0.5</v>
      </c>
    </row>
    <row r="268" spans="2:18" x14ac:dyDescent="0.3">
      <c r="B268" s="16">
        <v>0.33289930666301693</v>
      </c>
      <c r="C268" s="16">
        <f t="shared" si="63"/>
        <v>5.9781197933497815E-2</v>
      </c>
      <c r="D268" s="16" t="str">
        <f t="shared" si="59"/>
        <v xml:space="preserve"> </v>
      </c>
      <c r="E268" s="16" t="str">
        <f t="shared" si="60"/>
        <v xml:space="preserve"> </v>
      </c>
      <c r="F268" s="16" t="str">
        <f t="shared" si="61"/>
        <v xml:space="preserve"> </v>
      </c>
      <c r="G268" s="16">
        <f t="shared" si="64"/>
        <v>1.5122545414401226E-2</v>
      </c>
      <c r="H268" s="16">
        <f t="shared" si="65"/>
        <v>-3.4732559164144375E-2</v>
      </c>
      <c r="I268" s="16">
        <f t="shared" si="66"/>
        <v>-3.4718602715947289E-2</v>
      </c>
      <c r="J268" s="16">
        <f t="shared" si="62"/>
        <v>1.5122545414401226E-2</v>
      </c>
      <c r="K268" s="16">
        <f t="shared" si="67"/>
        <v>-3.4718602715947289E-2</v>
      </c>
      <c r="L268" s="16">
        <f t="shared" si="68"/>
        <v>0.33497440938362588</v>
      </c>
      <c r="M268" s="16">
        <f t="shared" si="69"/>
        <v>7.486771739559954E-2</v>
      </c>
      <c r="N268" s="16">
        <f t="shared" si="70"/>
        <v>0.33082420394240797</v>
      </c>
      <c r="O268" s="16">
        <f t="shared" si="71"/>
        <v>-4.4622626566797094E-2</v>
      </c>
      <c r="R268" s="5">
        <f t="shared" si="72"/>
        <v>-0.5</v>
      </c>
    </row>
    <row r="269" spans="2:18" x14ac:dyDescent="0.3">
      <c r="B269" s="16">
        <v>0.33524768276706118</v>
      </c>
      <c r="C269" s="16">
        <f t="shared" si="63"/>
        <v>5.9747337116252207E-2</v>
      </c>
      <c r="D269" s="16" t="str">
        <f t="shared" si="59"/>
        <v xml:space="preserve"> </v>
      </c>
      <c r="E269" s="16" t="str">
        <f t="shared" si="60"/>
        <v xml:space="preserve"> </v>
      </c>
      <c r="F269" s="16" t="str">
        <f t="shared" si="61"/>
        <v xml:space="preserve"> </v>
      </c>
      <c r="G269" s="16">
        <f t="shared" si="64"/>
        <v>1.5041014702776594E-2</v>
      </c>
      <c r="H269" s="16">
        <f t="shared" si="65"/>
        <v>-3.4703163752986058E-2</v>
      </c>
      <c r="I269" s="16">
        <f t="shared" si="66"/>
        <v>-3.4689242693304354E-2</v>
      </c>
      <c r="J269" s="16">
        <f t="shared" si="62"/>
        <v>1.5041014702776594E-2</v>
      </c>
      <c r="K269" s="16">
        <f t="shared" si="67"/>
        <v>-3.4689242693304354E-2</v>
      </c>
      <c r="L269" s="16">
        <f t="shared" si="68"/>
        <v>0.3373198569966282</v>
      </c>
      <c r="M269" s="16">
        <f t="shared" si="69"/>
        <v>7.4752407137096924E-2</v>
      </c>
      <c r="N269" s="16">
        <f t="shared" si="70"/>
        <v>0.33317550853749417</v>
      </c>
      <c r="O269" s="16">
        <f t="shared" si="71"/>
        <v>-4.4670377731543739E-2</v>
      </c>
      <c r="R269" s="5">
        <f t="shared" si="72"/>
        <v>-0.5</v>
      </c>
    </row>
    <row r="270" spans="2:18" x14ac:dyDescent="0.3">
      <c r="B270" s="16">
        <v>0.33760264603037182</v>
      </c>
      <c r="C270" s="16">
        <f t="shared" si="63"/>
        <v>5.9711219423545639E-2</v>
      </c>
      <c r="D270" s="16" t="str">
        <f t="shared" si="59"/>
        <v xml:space="preserve"> </v>
      </c>
      <c r="E270" s="16" t="str">
        <f t="shared" si="60"/>
        <v xml:space="preserve"> </v>
      </c>
      <c r="F270" s="16" t="str">
        <f t="shared" si="61"/>
        <v xml:space="preserve"> </v>
      </c>
      <c r="G270" s="16">
        <f t="shared" si="64"/>
        <v>1.4959325317513381E-2</v>
      </c>
      <c r="H270" s="16">
        <f t="shared" si="65"/>
        <v>-3.4673093762650757E-2</v>
      </c>
      <c r="I270" s="16">
        <f t="shared" si="66"/>
        <v>-3.4659208841692116E-2</v>
      </c>
      <c r="J270" s="16">
        <f t="shared" si="62"/>
        <v>1.4959325317513381E-2</v>
      </c>
      <c r="K270" s="16">
        <f t="shared" si="67"/>
        <v>-3.4659208841692116E-2</v>
      </c>
      <c r="L270" s="16">
        <f t="shared" si="68"/>
        <v>0.33967177533586035</v>
      </c>
      <c r="M270" s="16">
        <f t="shared" si="69"/>
        <v>7.4634683958781575E-2</v>
      </c>
      <c r="N270" s="16">
        <f t="shared" si="70"/>
        <v>0.3355335167248833</v>
      </c>
      <c r="O270" s="16">
        <f t="shared" si="71"/>
        <v>-4.4716033323754817E-2</v>
      </c>
      <c r="R270" s="5">
        <f t="shared" si="72"/>
        <v>-0.5</v>
      </c>
    </row>
    <row r="271" spans="2:18" x14ac:dyDescent="0.3">
      <c r="B271" s="16">
        <v>0.33996417311716254</v>
      </c>
      <c r="C271" s="16">
        <f t="shared" si="63"/>
        <v>5.967284739858441E-2</v>
      </c>
      <c r="D271" s="16" t="str">
        <f t="shared" si="59"/>
        <v xml:space="preserve"> </v>
      </c>
      <c r="E271" s="16" t="str">
        <f t="shared" si="60"/>
        <v xml:space="preserve"> </v>
      </c>
      <c r="F271" s="16" t="str">
        <f t="shared" si="61"/>
        <v xml:space="preserve"> </v>
      </c>
      <c r="G271" s="16">
        <f t="shared" si="64"/>
        <v>1.4877480057648501E-2</v>
      </c>
      <c r="H271" s="16">
        <f t="shared" si="65"/>
        <v>-3.4642344524207162E-2</v>
      </c>
      <c r="I271" s="16">
        <f t="shared" si="66"/>
        <v>-3.4628496493618044E-2</v>
      </c>
      <c r="J271" s="16">
        <f t="shared" si="62"/>
        <v>1.4877480057648501E-2</v>
      </c>
      <c r="K271" s="16">
        <f t="shared" si="67"/>
        <v>-3.4628496493618044E-2</v>
      </c>
      <c r="L271" s="16">
        <f t="shared" si="68"/>
        <v>0.34203014115130276</v>
      </c>
      <c r="M271" s="16">
        <f t="shared" si="69"/>
        <v>7.4514553197907937E-2</v>
      </c>
      <c r="N271" s="16">
        <f t="shared" si="70"/>
        <v>0.33789820508302232</v>
      </c>
      <c r="O271" s="16">
        <f t="shared" si="71"/>
        <v>-4.4759593082610932E-2</v>
      </c>
      <c r="R271" s="5">
        <f t="shared" si="72"/>
        <v>-0.5</v>
      </c>
    </row>
    <row r="272" spans="2:18" x14ac:dyDescent="0.3">
      <c r="B272" s="16">
        <v>0.34233224062660483</v>
      </c>
      <c r="C272" s="16">
        <f t="shared" si="63"/>
        <v>5.9632223681650429E-2</v>
      </c>
      <c r="D272" s="16" t="str">
        <f t="shared" si="59"/>
        <v xml:space="preserve"> </v>
      </c>
      <c r="E272" s="16" t="str">
        <f t="shared" si="60"/>
        <v xml:space="preserve"> </v>
      </c>
      <c r="F272" s="16" t="str">
        <f t="shared" si="61"/>
        <v xml:space="preserve"> </v>
      </c>
      <c r="G272" s="16">
        <f t="shared" si="64"/>
        <v>1.4795481746715446E-2</v>
      </c>
      <c r="H272" s="16">
        <f t="shared" si="65"/>
        <v>-3.4610911379311694E-2</v>
      </c>
      <c r="I272" s="16">
        <f t="shared" si="66"/>
        <v>-3.4597100992037132E-2</v>
      </c>
      <c r="J272" s="16">
        <f t="shared" si="62"/>
        <v>1.4795481746715446E-2</v>
      </c>
      <c r="K272" s="16">
        <f t="shared" si="67"/>
        <v>-3.4597100992037132E-2</v>
      </c>
      <c r="L272" s="16">
        <f t="shared" si="68"/>
        <v>0.34439493114142922</v>
      </c>
      <c r="M272" s="16">
        <f t="shared" si="69"/>
        <v>7.4392020312796986E-2</v>
      </c>
      <c r="N272" s="16">
        <f t="shared" si="70"/>
        <v>0.34026955011178045</v>
      </c>
      <c r="O272" s="16">
        <f t="shared" si="71"/>
        <v>-4.4801056819366088E-2</v>
      </c>
      <c r="R272" s="5">
        <f t="shared" si="72"/>
        <v>-0.5</v>
      </c>
    </row>
    <row r="273" spans="2:18" x14ac:dyDescent="0.3">
      <c r="B273" s="16">
        <v>0.34470682509305983</v>
      </c>
      <c r="C273" s="16">
        <f t="shared" si="63"/>
        <v>5.9589351009282761E-2</v>
      </c>
      <c r="D273" s="16" t="str">
        <f t="shared" si="59"/>
        <v xml:space="preserve"> </v>
      </c>
      <c r="E273" s="16" t="str">
        <f t="shared" si="60"/>
        <v xml:space="preserve"> </v>
      </c>
      <c r="F273" s="16" t="str">
        <f t="shared" si="61"/>
        <v xml:space="preserve"> </v>
      </c>
      <c r="G273" s="16">
        <f t="shared" si="64"/>
        <v>1.4713333232729373E-2</v>
      </c>
      <c r="H273" s="16">
        <f t="shared" si="65"/>
        <v>-3.4578789680451388E-2</v>
      </c>
      <c r="I273" s="16">
        <f t="shared" si="66"/>
        <v>-3.4565017690592913E-2</v>
      </c>
      <c r="J273" s="16">
        <f t="shared" si="62"/>
        <v>1.4713333232729373E-2</v>
      </c>
      <c r="K273" s="16">
        <f t="shared" si="67"/>
        <v>-3.4565017690592913E-2</v>
      </c>
      <c r="L273" s="16">
        <f t="shared" si="68"/>
        <v>0.34676612195349454</v>
      </c>
      <c r="M273" s="16">
        <f t="shared" si="69"/>
        <v>7.4267090882000439E-2</v>
      </c>
      <c r="N273" s="16">
        <f t="shared" si="70"/>
        <v>0.34264752823262512</v>
      </c>
      <c r="O273" s="16">
        <f t="shared" si="71"/>
        <v>-4.4840424416541694E-2</v>
      </c>
      <c r="R273" s="5">
        <f t="shared" si="72"/>
        <v>-0.5</v>
      </c>
    </row>
    <row r="274" spans="2:18" x14ac:dyDescent="0.3">
      <c r="B274" s="16">
        <v>0.34708790298631065</v>
      </c>
      <c r="C274" s="16">
        <f t="shared" si="63"/>
        <v>5.954423221343981E-2</v>
      </c>
      <c r="D274" s="16" t="str">
        <f t="shared" si="59"/>
        <v xml:space="preserve"> </v>
      </c>
      <c r="E274" s="16" t="str">
        <f t="shared" si="60"/>
        <v xml:space="preserve"> </v>
      </c>
      <c r="F274" s="16" t="str">
        <f t="shared" si="61"/>
        <v xml:space="preserve"> </v>
      </c>
      <c r="G274" s="16">
        <f t="shared" si="64"/>
        <v>1.4631037388169732E-2</v>
      </c>
      <c r="H274" s="16">
        <f t="shared" si="65"/>
        <v>-3.4545974791186485E-2</v>
      </c>
      <c r="I274" s="16">
        <f t="shared" si="66"/>
        <v>-3.4532241953858171E-2</v>
      </c>
      <c r="J274" s="16">
        <f t="shared" si="62"/>
        <v>1.4631037388169732E-2</v>
      </c>
      <c r="K274" s="16">
        <f t="shared" si="67"/>
        <v>-3.4532241953858171E-2</v>
      </c>
      <c r="L274" s="16">
        <f t="shared" si="68"/>
        <v>0.34914369018382091</v>
      </c>
      <c r="M274" s="16">
        <f t="shared" si="69"/>
        <v>7.4139770603443234E-2</v>
      </c>
      <c r="N274" s="16">
        <f t="shared" si="70"/>
        <v>0.34503211578880039</v>
      </c>
      <c r="O274" s="16">
        <f t="shared" si="71"/>
        <v>-4.4877695827103777E-2</v>
      </c>
      <c r="R274" s="5">
        <f t="shared" si="72"/>
        <v>-0.5</v>
      </c>
    </row>
    <row r="275" spans="2:18" x14ac:dyDescent="0.3">
      <c r="B275" s="16">
        <v>0.34947545071179609</v>
      </c>
      <c r="C275" s="16">
        <f t="shared" si="63"/>
        <v>5.949687022064272E-2</v>
      </c>
      <c r="D275" s="16" t="str">
        <f t="shared" si="59"/>
        <v xml:space="preserve"> </v>
      </c>
      <c r="E275" s="16" t="str">
        <f t="shared" si="60"/>
        <v xml:space="preserve"> </v>
      </c>
      <c r="F275" s="16" t="str">
        <f t="shared" si="61"/>
        <v xml:space="preserve"> </v>
      </c>
      <c r="G275" s="16">
        <f t="shared" si="64"/>
        <v>1.4548597109960428E-2</v>
      </c>
      <c r="H275" s="16">
        <f t="shared" si="65"/>
        <v>-3.4512462086392762E-2</v>
      </c>
      <c r="I275" s="16">
        <f t="shared" si="66"/>
        <v>-3.4498769157575493E-2</v>
      </c>
      <c r="J275" s="16">
        <f t="shared" si="62"/>
        <v>1.4548597109960428E-2</v>
      </c>
      <c r="K275" s="16">
        <f t="shared" si="67"/>
        <v>-3.4498769157575493E-2</v>
      </c>
      <c r="L275" s="16">
        <f t="shared" si="68"/>
        <v>0.35152761237808328</v>
      </c>
      <c r="M275" s="16">
        <f t="shared" si="69"/>
        <v>7.4010065293544855E-2</v>
      </c>
      <c r="N275" s="16">
        <f t="shared" si="70"/>
        <v>0.3474232890455089</v>
      </c>
      <c r="O275" s="16">
        <f t="shared" si="71"/>
        <v>-4.4912871073624003E-2</v>
      </c>
      <c r="R275" s="5">
        <f t="shared" si="72"/>
        <v>-0.5</v>
      </c>
    </row>
    <row r="276" spans="2:18" x14ac:dyDescent="0.3">
      <c r="B276" s="16">
        <v>0.35186944461084391</v>
      </c>
      <c r="C276" s="16">
        <f t="shared" si="63"/>
        <v>5.9447268051099095E-2</v>
      </c>
      <c r="D276" s="16" t="str">
        <f t="shared" si="59"/>
        <v xml:space="preserve"> </v>
      </c>
      <c r="E276" s="16" t="str">
        <f t="shared" si="60"/>
        <v xml:space="preserve"> </v>
      </c>
      <c r="F276" s="16" t="str">
        <f t="shared" si="61"/>
        <v xml:space="preserve"> </v>
      </c>
      <c r="G276" s="16">
        <f t="shared" si="64"/>
        <v>1.4466015319447544E-2</v>
      </c>
      <c r="H276" s="16">
        <f t="shared" si="65"/>
        <v>-3.4478246952503615E-2</v>
      </c>
      <c r="I276" s="16">
        <f t="shared" si="66"/>
        <v>-3.4464594688897524E-2</v>
      </c>
      <c r="J276" s="16">
        <f t="shared" si="62"/>
        <v>1.4466015319447544E-2</v>
      </c>
      <c r="K276" s="16">
        <f t="shared" si="67"/>
        <v>-3.4464594688897524E-2</v>
      </c>
      <c r="L276" s="16">
        <f t="shared" si="68"/>
        <v>0.35391786503159212</v>
      </c>
      <c r="M276" s="16">
        <f t="shared" si="69"/>
        <v>7.387798088631875E-2</v>
      </c>
      <c r="N276" s="16">
        <f t="shared" si="70"/>
        <v>0.3498210241900957</v>
      </c>
      <c r="O276" s="16">
        <f t="shared" si="71"/>
        <v>-4.4945950247423656E-2</v>
      </c>
      <c r="R276" s="5">
        <f t="shared" si="72"/>
        <v>-0.5</v>
      </c>
    </row>
    <row r="277" spans="2:18" x14ac:dyDescent="0.3">
      <c r="B277" s="16">
        <v>0.35426986096090574</v>
      </c>
      <c r="C277" s="16">
        <f t="shared" si="63"/>
        <v>5.9395428817808835E-2</v>
      </c>
      <c r="D277" s="16" t="str">
        <f t="shared" si="59"/>
        <v xml:space="preserve"> </v>
      </c>
      <c r="E277" s="16" t="str">
        <f t="shared" si="60"/>
        <v xml:space="preserve"> </v>
      </c>
      <c r="F277" s="16" t="str">
        <f t="shared" si="61"/>
        <v xml:space="preserve"> </v>
      </c>
      <c r="G277" s="16">
        <f t="shared" si="64"/>
        <v>1.4383294962374558E-2</v>
      </c>
      <c r="H277" s="16">
        <f t="shared" si="65"/>
        <v>-3.4443324787751764E-2</v>
      </c>
      <c r="I277" s="16">
        <f t="shared" si="66"/>
        <v>-3.4429713946626889E-2</v>
      </c>
      <c r="J277" s="16">
        <f t="shared" si="62"/>
        <v>1.4383294962374558E-2</v>
      </c>
      <c r="K277" s="16">
        <f t="shared" si="67"/>
        <v>-3.4429713946626889E-2</v>
      </c>
      <c r="L277" s="16">
        <f t="shared" si="68"/>
        <v>0.35631442458957574</v>
      </c>
      <c r="M277" s="16">
        <f t="shared" si="69"/>
        <v>7.3743523432451358E-2</v>
      </c>
      <c r="N277" s="16">
        <f t="shared" si="70"/>
        <v>0.35222529733223573</v>
      </c>
      <c r="O277" s="16">
        <f t="shared" si="71"/>
        <v>-4.4976933507702238E-2</v>
      </c>
      <c r="R277" s="5">
        <f t="shared" si="72"/>
        <v>-0.5</v>
      </c>
    </row>
    <row r="278" spans="2:18" x14ac:dyDescent="0.3">
      <c r="B278" s="16">
        <v>0.35667667597579156</v>
      </c>
      <c r="C278" s="16">
        <f t="shared" si="63"/>
        <v>5.9341355725650372E-2</v>
      </c>
      <c r="D278" s="16" t="str">
        <f t="shared" si="59"/>
        <v xml:space="preserve"> </v>
      </c>
      <c r="E278" s="16" t="str">
        <f t="shared" si="60"/>
        <v xml:space="preserve"> </v>
      </c>
      <c r="F278" s="16" t="str">
        <f t="shared" si="61"/>
        <v xml:space="preserve"> </v>
      </c>
      <c r="G278" s="16">
        <f t="shared" si="64"/>
        <v>1.4300439008855125E-2</v>
      </c>
      <c r="H278" s="16">
        <f t="shared" si="65"/>
        <v>-3.4407691002410701E-2</v>
      </c>
      <c r="I278" s="16">
        <f t="shared" si="66"/>
        <v>-3.439412234145587E-2</v>
      </c>
      <c r="J278" s="16">
        <f t="shared" si="62"/>
        <v>1.4300439008855125E-2</v>
      </c>
      <c r="K278" s="16">
        <f t="shared" si="67"/>
        <v>-3.439412234145587E-2</v>
      </c>
      <c r="L278" s="16">
        <f t="shared" si="68"/>
        <v>0.3587172674474598</v>
      </c>
      <c r="M278" s="16">
        <f t="shared" si="69"/>
        <v>7.3606699098359443E-2</v>
      </c>
      <c r="N278" s="16">
        <f t="shared" si="70"/>
        <v>0.35463608450412332</v>
      </c>
      <c r="O278" s="16">
        <f t="shared" si="71"/>
        <v>-4.5005821080649197E-2</v>
      </c>
      <c r="R278" s="5">
        <f t="shared" si="72"/>
        <v>-0.5</v>
      </c>
    </row>
    <row r="279" spans="2:18" x14ac:dyDescent="0.3">
      <c r="B279" s="16">
        <v>0.35908986580590629</v>
      </c>
      <c r="C279" s="16">
        <f t="shared" si="63"/>
        <v>5.9285052070449172E-2</v>
      </c>
      <c r="D279" s="16" t="str">
        <f t="shared" si="59"/>
        <v xml:space="preserve"> </v>
      </c>
      <c r="E279" s="16" t="str">
        <f t="shared" si="60"/>
        <v xml:space="preserve"> </v>
      </c>
      <c r="F279" s="16" t="str">
        <f t="shared" si="61"/>
        <v xml:space="preserve"> </v>
      </c>
      <c r="G279" s="16">
        <f t="shared" si="64"/>
        <v>1.4217450453343317E-2</v>
      </c>
      <c r="H279" s="16">
        <f t="shared" si="65"/>
        <v>-3.4371341019035814E-2</v>
      </c>
      <c r="I279" s="16">
        <f t="shared" si="66"/>
        <v>-3.4357815296205803E-2</v>
      </c>
      <c r="J279" s="16">
        <f t="shared" si="62"/>
        <v>1.4217450453343317E-2</v>
      </c>
      <c r="K279" s="16">
        <f t="shared" si="67"/>
        <v>-3.4357815296205803E-2</v>
      </c>
      <c r="L279" s="16">
        <f t="shared" si="68"/>
        <v>0.36112636995114705</v>
      </c>
      <c r="M279" s="16">
        <f t="shared" si="69"/>
        <v>7.3467514165227094E-2</v>
      </c>
      <c r="N279" s="16">
        <f t="shared" si="70"/>
        <v>0.35705336166066554</v>
      </c>
      <c r="O279" s="16">
        <f t="shared" si="71"/>
        <v>-4.5032613258540466E-2</v>
      </c>
      <c r="R279" s="5">
        <f t="shared" si="72"/>
        <v>-0.5</v>
      </c>
    </row>
    <row r="280" spans="2:18" x14ac:dyDescent="0.3">
      <c r="B280" s="16">
        <v>0.36150940653848485</v>
      </c>
      <c r="C280" s="16">
        <f t="shared" si="63"/>
        <v>5.9226521238027158E-2</v>
      </c>
      <c r="D280" s="16" t="str">
        <f t="shared" si="59"/>
        <v xml:space="preserve"> </v>
      </c>
      <c r="E280" s="16" t="str">
        <f t="shared" si="60"/>
        <v xml:space="preserve"> </v>
      </c>
      <c r="F280" s="16" t="str">
        <f t="shared" si="61"/>
        <v xml:space="preserve"> </v>
      </c>
      <c r="G280" s="16">
        <f t="shared" si="64"/>
        <v>1.4134332314601433E-2</v>
      </c>
      <c r="H280" s="16">
        <f t="shared" si="65"/>
        <v>-3.4334270272705171E-2</v>
      </c>
      <c r="I280" s="16">
        <f t="shared" si="66"/>
        <v>-3.4320788246066124E-2</v>
      </c>
      <c r="J280" s="16">
        <f t="shared" si="62"/>
        <v>1.4134332314601433E-2</v>
      </c>
      <c r="K280" s="16">
        <f t="shared" si="67"/>
        <v>-3.4320788246066124E-2</v>
      </c>
      <c r="L280" s="16">
        <f t="shared" si="68"/>
        <v>0.36354170839729283</v>
      </c>
      <c r="M280" s="16">
        <f t="shared" si="69"/>
        <v>7.3325975028021434E-2</v>
      </c>
      <c r="N280" s="16">
        <f t="shared" si="70"/>
        <v>0.35947710467967686</v>
      </c>
      <c r="O280" s="16">
        <f t="shared" si="71"/>
        <v>-4.5057310398818572E-2</v>
      </c>
      <c r="R280" s="5">
        <f t="shared" si="72"/>
        <v>-0.5</v>
      </c>
    </row>
    <row r="281" spans="2:18" x14ac:dyDescent="0.3">
      <c r="B281" s="16">
        <v>0.36393527419783034</v>
      </c>
      <c r="C281" s="16">
        <f t="shared" si="63"/>
        <v>5.9165766703234646E-2</v>
      </c>
      <c r="D281" s="16" t="str">
        <f t="shared" si="59"/>
        <v xml:space="preserve"> </v>
      </c>
      <c r="E281" s="16" t="str">
        <f t="shared" si="60"/>
        <v xml:space="preserve"> </v>
      </c>
      <c r="F281" s="16" t="str">
        <f t="shared" si="61"/>
        <v xml:space="preserve"> </v>
      </c>
      <c r="G281" s="16">
        <f t="shared" si="64"/>
        <v>1.4051087635665227E-2</v>
      </c>
      <c r="H281" s="16">
        <f t="shared" si="65"/>
        <v>-3.4296474211259996E-2</v>
      </c>
      <c r="I281" s="16">
        <f t="shared" si="66"/>
        <v>-3.4283036638833163E-2</v>
      </c>
      <c r="J281" s="16">
        <f t="shared" si="62"/>
        <v>1.4051087635665227E-2</v>
      </c>
      <c r="K281" s="16">
        <f t="shared" si="67"/>
        <v>-3.4283036638833163E-2</v>
      </c>
      <c r="L281" s="16">
        <f t="shared" si="68"/>
        <v>0.36596325903358201</v>
      </c>
      <c r="M281" s="16">
        <f t="shared" si="69"/>
        <v>7.3182088194488445E-2</v>
      </c>
      <c r="N281" s="16">
        <f t="shared" si="70"/>
        <v>0.36190728936207867</v>
      </c>
      <c r="O281" s="16">
        <f t="shared" si="71"/>
        <v>-4.5079912923157987E-2</v>
      </c>
      <c r="R281" s="5">
        <f t="shared" si="72"/>
        <v>-0.5</v>
      </c>
    </row>
    <row r="282" spans="2:18" x14ac:dyDescent="0.3">
      <c r="B282" s="16">
        <v>0.36636744474555105</v>
      </c>
      <c r="C282" s="16">
        <f t="shared" si="63"/>
        <v>5.9102792028963624E-2</v>
      </c>
      <c r="D282" s="16" t="str">
        <f t="shared" si="59"/>
        <v xml:space="preserve"> </v>
      </c>
      <c r="E282" s="16" t="str">
        <f t="shared" si="60"/>
        <v xml:space="preserve"> </v>
      </c>
      <c r="F282" s="16" t="str">
        <f t="shared" si="61"/>
        <v xml:space="preserve"> </v>
      </c>
      <c r="G282" s="16">
        <f t="shared" si="64"/>
        <v>1.3967719483806708E-2</v>
      </c>
      <c r="H282" s="16">
        <f t="shared" si="65"/>
        <v>-3.425794829554471E-2</v>
      </c>
      <c r="I282" s="16">
        <f t="shared" si="66"/>
        <v>-3.4244555935148482E-2</v>
      </c>
      <c r="J282" s="16">
        <f t="shared" si="62"/>
        <v>1.3967719483806708E-2</v>
      </c>
      <c r="K282" s="16">
        <f t="shared" si="67"/>
        <v>-3.4244555935148482E-2</v>
      </c>
      <c r="L282" s="16">
        <f t="shared" si="68"/>
        <v>0.36839099805900238</v>
      </c>
      <c r="M282" s="16">
        <f t="shared" si="69"/>
        <v>7.3035860284127715E-2</v>
      </c>
      <c r="N282" s="16">
        <f t="shared" si="70"/>
        <v>0.36434389143209972</v>
      </c>
      <c r="O282" s="16">
        <f t="shared" si="71"/>
        <v>-4.5100421316514296E-2</v>
      </c>
      <c r="R282" s="5">
        <f t="shared" si="72"/>
        <v>-0.5</v>
      </c>
    </row>
    <row r="283" spans="2:18" x14ac:dyDescent="0.3">
      <c r="B283" s="16">
        <v>0.36880589408079867</v>
      </c>
      <c r="C283" s="16">
        <f t="shared" si="63"/>
        <v>5.9037600865143772E-2</v>
      </c>
      <c r="D283" s="16" t="str">
        <f t="shared" si="59"/>
        <v xml:space="preserve"> </v>
      </c>
      <c r="E283" s="16" t="str">
        <f t="shared" si="60"/>
        <v xml:space="preserve"> </v>
      </c>
      <c r="F283" s="16" t="str">
        <f t="shared" si="61"/>
        <v xml:space="preserve"> </v>
      </c>
      <c r="G283" s="16">
        <f t="shared" si="64"/>
        <v>1.3884230950494356E-2</v>
      </c>
      <c r="H283" s="16">
        <f t="shared" si="65"/>
        <v>-3.4218687999646717E-2</v>
      </c>
      <c r="I283" s="16">
        <f t="shared" si="66"/>
        <v>-3.4205341608737054E-2</v>
      </c>
      <c r="J283" s="16">
        <f t="shared" si="62"/>
        <v>1.3884230950494356E-2</v>
      </c>
      <c r="K283" s="16">
        <f t="shared" si="67"/>
        <v>-3.4205341608737054E-2</v>
      </c>
      <c r="L283" s="16">
        <f t="shared" si="68"/>
        <v>0.37082490162411691</v>
      </c>
      <c r="M283" s="16">
        <f t="shared" si="69"/>
        <v>7.2887298027147662E-2</v>
      </c>
      <c r="N283" s="16">
        <f t="shared" si="70"/>
        <v>0.36678688653748043</v>
      </c>
      <c r="O283" s="16">
        <f t="shared" si="71"/>
        <v>-4.5118836126158947E-2</v>
      </c>
      <c r="R283" s="5">
        <f t="shared" si="72"/>
        <v>-0.5</v>
      </c>
    </row>
    <row r="284" spans="2:18" x14ac:dyDescent="0.3">
      <c r="B284" s="16">
        <v>0.3712505980405072</v>
      </c>
      <c r="C284" s="16">
        <f t="shared" si="63"/>
        <v>5.8970196947720169E-2</v>
      </c>
      <c r="D284" s="16" t="str">
        <f t="shared" si="59"/>
        <v xml:space="preserve"> </v>
      </c>
      <c r="E284" s="16" t="str">
        <f t="shared" si="60"/>
        <v xml:space="preserve"> </v>
      </c>
      <c r="F284" s="16" t="str">
        <f t="shared" si="61"/>
        <v xml:space="preserve"> </v>
      </c>
      <c r="G284" s="16">
        <f t="shared" si="64"/>
        <v>1.3800625151350873E-2</v>
      </c>
      <c r="H284" s="16">
        <f t="shared" si="65"/>
        <v>-3.417868881113581E-2</v>
      </c>
      <c r="I284" s="16">
        <f t="shared" si="66"/>
        <v>-3.416538914664502E-2</v>
      </c>
      <c r="J284" s="16">
        <f t="shared" si="62"/>
        <v>1.3800625151350873E-2</v>
      </c>
      <c r="K284" s="16">
        <f t="shared" si="67"/>
        <v>-3.416538914664502E-2</v>
      </c>
      <c r="L284" s="16">
        <f t="shared" si="68"/>
        <v>0.37326494583133452</v>
      </c>
      <c r="M284" s="16">
        <f t="shared" si="69"/>
        <v>7.2736408263399999E-2</v>
      </c>
      <c r="N284" s="16">
        <f t="shared" si="70"/>
        <v>0.36923625024967988</v>
      </c>
      <c r="O284" s="16">
        <f t="shared" si="71"/>
        <v>-4.5135157960698245E-2</v>
      </c>
      <c r="R284" s="5">
        <f t="shared" si="72"/>
        <v>-0.5</v>
      </c>
    </row>
    <row r="285" spans="2:18" x14ac:dyDescent="0.3">
      <c r="B285" s="16">
        <v>0.37370153239963222</v>
      </c>
      <c r="C285" s="16">
        <f t="shared" si="63"/>
        <v>5.8900584097614221E-2</v>
      </c>
      <c r="D285" s="16" t="str">
        <f t="shared" si="59"/>
        <v xml:space="preserve"> </v>
      </c>
      <c r="E285" s="16" t="str">
        <f t="shared" si="60"/>
        <v xml:space="preserve"> </v>
      </c>
      <c r="F285" s="16" t="str">
        <f t="shared" si="61"/>
        <v xml:space="preserve"> </v>
      </c>
      <c r="G285" s="16">
        <f t="shared" si="64"/>
        <v>1.3716905226108373E-2</v>
      </c>
      <c r="H285" s="16">
        <f t="shared" si="65"/>
        <v>-3.4137946231303069E-2</v>
      </c>
      <c r="I285" s="16">
        <f t="shared" si="66"/>
        <v>-3.4124694049477003E-2</v>
      </c>
      <c r="J285" s="16">
        <f t="shared" si="62"/>
        <v>1.3716905226108373E-2</v>
      </c>
      <c r="K285" s="16">
        <f t="shared" si="67"/>
        <v>-3.4124694049477003E-2</v>
      </c>
      <c r="L285" s="16">
        <f t="shared" si="68"/>
        <v>0.37571110673517943</v>
      </c>
      <c r="M285" s="16">
        <f t="shared" si="69"/>
        <v>7.2583197941295002E-2</v>
      </c>
      <c r="N285" s="16">
        <f t="shared" si="70"/>
        <v>0.371691958064085</v>
      </c>
      <c r="O285" s="16">
        <f t="shared" si="71"/>
        <v>-4.5149387489078263E-2</v>
      </c>
      <c r="R285" s="5">
        <f t="shared" si="72"/>
        <v>-0.5</v>
      </c>
    </row>
    <row r="286" spans="2:18" x14ac:dyDescent="0.3">
      <c r="B286" s="16">
        <v>0.37615867287139115</v>
      </c>
      <c r="C286" s="16">
        <f t="shared" si="63"/>
        <v>5.8828766219666664E-2</v>
      </c>
      <c r="D286" s="16" t="str">
        <f t="shared" si="59"/>
        <v xml:space="preserve"> </v>
      </c>
      <c r="E286" s="16" t="str">
        <f t="shared" si="60"/>
        <v xml:space="preserve"> </v>
      </c>
      <c r="F286" s="16" t="str">
        <f t="shared" si="61"/>
        <v xml:space="preserve"> </v>
      </c>
      <c r="G286" s="16">
        <f t="shared" si="64"/>
        <v>1.3633074338561041E-2</v>
      </c>
      <c r="H286" s="16">
        <f t="shared" si="65"/>
        <v>-3.4096455775399541E-2</v>
      </c>
      <c r="I286" s="16">
        <f t="shared" si="66"/>
        <v>-3.4083251831633195E-2</v>
      </c>
      <c r="J286" s="16">
        <f t="shared" si="62"/>
        <v>1.3633074338561041E-2</v>
      </c>
      <c r="K286" s="16">
        <f t="shared" si="67"/>
        <v>-3.4083251831633195E-2</v>
      </c>
      <c r="L286" s="16">
        <f t="shared" si="68"/>
        <v>0.37816336034255865</v>
      </c>
      <c r="M286" s="16">
        <f t="shared" si="69"/>
        <v>7.2427674116696594E-2</v>
      </c>
      <c r="N286" s="16">
        <f t="shared" si="70"/>
        <v>0.37415398540022365</v>
      </c>
      <c r="O286" s="16">
        <f t="shared" si="71"/>
        <v>-4.5161525439574517E-2</v>
      </c>
      <c r="R286" s="5">
        <f t="shared" si="72"/>
        <v>-0.5</v>
      </c>
    </row>
    <row r="287" spans="2:18" x14ac:dyDescent="0.3">
      <c r="B287" s="16">
        <v>0.37862199510750394</v>
      </c>
      <c r="C287" s="16">
        <f t="shared" si="63"/>
        <v>5.8754747301563735E-2</v>
      </c>
      <c r="D287" s="16" t="str">
        <f t="shared" si="59"/>
        <v xml:space="preserve"> </v>
      </c>
      <c r="E287" s="16" t="str">
        <f t="shared" si="60"/>
        <v xml:space="preserve"> </v>
      </c>
      <c r="F287" s="16" t="str">
        <f t="shared" si="61"/>
        <v xml:space="preserve"> </v>
      </c>
      <c r="G287" s="16">
        <f t="shared" si="64"/>
        <v>1.3549135676515254E-2</v>
      </c>
      <c r="H287" s="16">
        <f t="shared" si="65"/>
        <v>-3.405421297287442E-2</v>
      </c>
      <c r="I287" s="16">
        <f t="shared" si="66"/>
        <v>-3.4041058021546056E-2</v>
      </c>
      <c r="J287" s="16">
        <f t="shared" si="62"/>
        <v>1.3549135676515254E-2</v>
      </c>
      <c r="K287" s="16">
        <f t="shared" si="67"/>
        <v>-3.4041058021546056E-2</v>
      </c>
      <c r="L287" s="16">
        <f t="shared" si="68"/>
        <v>0.38062168261302842</v>
      </c>
      <c r="M287" s="16">
        <f t="shared" si="69"/>
        <v>7.2269843951798002E-2</v>
      </c>
      <c r="N287" s="16">
        <f t="shared" si="70"/>
        <v>0.37662230760197946</v>
      </c>
      <c r="O287" s="16">
        <f t="shared" si="71"/>
        <v>-4.5171572598767501E-2</v>
      </c>
      <c r="R287" s="5">
        <f t="shared" si="72"/>
        <v>-0.5</v>
      </c>
    </row>
    <row r="288" spans="2:18" x14ac:dyDescent="0.3">
      <c r="B288" s="16">
        <v>0.38109147469843418</v>
      </c>
      <c r="C288" s="16">
        <f t="shared" si="63"/>
        <v>5.8678531412746496E-2</v>
      </c>
      <c r="D288" s="16" t="str">
        <f t="shared" si="59"/>
        <v xml:space="preserve"> </v>
      </c>
      <c r="E288" s="16" t="str">
        <f t="shared" si="60"/>
        <v xml:space="preserve"> </v>
      </c>
      <c r="F288" s="16" t="str">
        <f t="shared" si="61"/>
        <v xml:space="preserve"> </v>
      </c>
      <c r="G288" s="16">
        <f t="shared" si="64"/>
        <v>1.3465092451737172E-2</v>
      </c>
      <c r="H288" s="16">
        <f t="shared" si="65"/>
        <v>-3.4011213367612828E-2</v>
      </c>
      <c r="I288" s="16">
        <f t="shared" si="66"/>
        <v>-3.3998108161916514E-2</v>
      </c>
      <c r="J288" s="16">
        <f t="shared" si="62"/>
        <v>1.3465092451737172E-2</v>
      </c>
      <c r="K288" s="16">
        <f t="shared" si="67"/>
        <v>-3.3998108161916514E-2</v>
      </c>
      <c r="L288" s="16">
        <f t="shared" si="68"/>
        <v>0.38308604945905833</v>
      </c>
      <c r="M288" s="16">
        <f t="shared" si="69"/>
        <v>7.2109714713978382E-2</v>
      </c>
      <c r="N288" s="16">
        <f t="shared" si="70"/>
        <v>0.37909689993781004</v>
      </c>
      <c r="O288" s="16">
        <f t="shared" si="71"/>
        <v>-4.5179529810504042E-2</v>
      </c>
      <c r="R288" s="5">
        <f t="shared" si="72"/>
        <v>-0.5</v>
      </c>
    </row>
    <row r="289" spans="2:18" x14ac:dyDescent="0.3">
      <c r="B289" s="16">
        <v>0.38356708717363108</v>
      </c>
      <c r="C289" s="16">
        <f t="shared" si="63"/>
        <v>5.8600122703303087E-2</v>
      </c>
      <c r="D289" s="16" t="str">
        <f t="shared" si="59"/>
        <v xml:space="preserve"> </v>
      </c>
      <c r="E289" s="16" t="str">
        <f t="shared" si="60"/>
        <v xml:space="preserve"> </v>
      </c>
      <c r="F289" s="16" t="str">
        <f t="shared" si="61"/>
        <v xml:space="preserve"> </v>
      </c>
      <c r="G289" s="16">
        <f t="shared" si="64"/>
        <v>1.3380947899897758E-2</v>
      </c>
      <c r="H289" s="16">
        <f t="shared" si="65"/>
        <v>-3.3967452518173208E-2</v>
      </c>
      <c r="I289" s="16">
        <f t="shared" si="66"/>
        <v>-3.3954397809949952E-2</v>
      </c>
      <c r="J289" s="16">
        <f t="shared" si="62"/>
        <v>1.3380947899897758E-2</v>
      </c>
      <c r="K289" s="16">
        <f t="shared" si="67"/>
        <v>-3.3954397809949952E-2</v>
      </c>
      <c r="L289" s="16">
        <f t="shared" si="68"/>
        <v>0.38555643674629431</v>
      </c>
      <c r="M289" s="16">
        <f t="shared" si="69"/>
        <v>7.1947293774639876E-2</v>
      </c>
      <c r="N289" s="16">
        <f t="shared" si="70"/>
        <v>0.38157773760096786</v>
      </c>
      <c r="O289" s="16">
        <f t="shared" si="71"/>
        <v>-4.5185397974844353E-2</v>
      </c>
      <c r="R289" s="5">
        <f t="shared" si="72"/>
        <v>-0.5</v>
      </c>
    </row>
    <row r="290" spans="2:18" x14ac:dyDescent="0.3">
      <c r="B290" s="16">
        <v>0.38604880800177188</v>
      </c>
      <c r="C290" s="16">
        <f t="shared" si="63"/>
        <v>5.8519525402844899E-2</v>
      </c>
      <c r="D290" s="16" t="str">
        <f t="shared" si="59"/>
        <v xml:space="preserve"> </v>
      </c>
      <c r="E290" s="16" t="str">
        <f t="shared" si="60"/>
        <v xml:space="preserve"> </v>
      </c>
      <c r="F290" s="16" t="str">
        <f t="shared" si="61"/>
        <v xml:space="preserve"> </v>
      </c>
      <c r="G290" s="16">
        <f t="shared" si="64"/>
        <v>1.3296705280515266E-2</v>
      </c>
      <c r="H290" s="16">
        <f t="shared" si="65"/>
        <v>-3.392292599802426E-2</v>
      </c>
      <c r="I290" s="16">
        <f t="shared" si="66"/>
        <v>-3.3909922537591633E-2</v>
      </c>
      <c r="J290" s="16">
        <f t="shared" si="62"/>
        <v>1.3296705280515266E-2</v>
      </c>
      <c r="K290" s="16">
        <f t="shared" si="67"/>
        <v>-3.3909922537591633E-2</v>
      </c>
      <c r="L290" s="16">
        <f t="shared" si="68"/>
        <v>0.38803282029382014</v>
      </c>
      <c r="M290" s="16">
        <f t="shared" si="69"/>
        <v>7.178258860802611E-2</v>
      </c>
      <c r="N290" s="16">
        <f t="shared" si="70"/>
        <v>0.38406479570972363</v>
      </c>
      <c r="O290" s="16">
        <f t="shared" si="71"/>
        <v>-4.5189178046995584E-2</v>
      </c>
      <c r="R290" s="5">
        <f t="shared" si="72"/>
        <v>-0.5</v>
      </c>
    </row>
    <row r="291" spans="2:18" x14ac:dyDescent="0.3">
      <c r="B291" s="16">
        <v>0.3885366125910048</v>
      </c>
      <c r="C291" s="16">
        <f t="shared" si="63"/>
        <v>5.843674381936588E-2</v>
      </c>
      <c r="D291" s="16" t="str">
        <f t="shared" si="59"/>
        <v xml:space="preserve"> </v>
      </c>
      <c r="E291" s="16" t="str">
        <f t="shared" si="60"/>
        <v xml:space="preserve"> </v>
      </c>
      <c r="F291" s="16" t="str">
        <f t="shared" si="61"/>
        <v xml:space="preserve"> </v>
      </c>
      <c r="G291" s="16">
        <f t="shared" si="64"/>
        <v>1.3212367876895146E-2</v>
      </c>
      <c r="H291" s="16">
        <f t="shared" si="65"/>
        <v>-3.3877629395781442E-2</v>
      </c>
      <c r="I291" s="16">
        <f t="shared" si="66"/>
        <v>-3.3864677931761844E-2</v>
      </c>
      <c r="J291" s="16">
        <f t="shared" si="62"/>
        <v>1.3212367876895146E-2</v>
      </c>
      <c r="K291" s="16">
        <f t="shared" si="67"/>
        <v>-3.3864677931761844E-2</v>
      </c>
      <c r="L291" s="16">
        <f t="shared" si="68"/>
        <v>0.39051517587441698</v>
      </c>
      <c r="M291" s="16">
        <f t="shared" si="69"/>
        <v>7.1615606790021616E-2</v>
      </c>
      <c r="N291" s="16">
        <f t="shared" si="70"/>
        <v>0.38655804930759263</v>
      </c>
      <c r="O291" s="16">
        <f t="shared" si="71"/>
        <v>-4.5190871036231317E-2</v>
      </c>
      <c r="R291" s="5">
        <f t="shared" si="72"/>
        <v>-0.5</v>
      </c>
    </row>
    <row r="292" spans="2:18" x14ac:dyDescent="0.3">
      <c r="B292" s="16">
        <v>0.39103047628919319</v>
      </c>
      <c r="C292" s="16">
        <f t="shared" si="63"/>
        <v>5.8351782338086133E-2</v>
      </c>
      <c r="D292" s="16" t="str">
        <f t="shared" si="59"/>
        <v xml:space="preserve"> </v>
      </c>
      <c r="E292" s="16" t="str">
        <f t="shared" si="60"/>
        <v xml:space="preserve"> </v>
      </c>
      <c r="F292" s="16" t="str">
        <f t="shared" si="61"/>
        <v xml:space="preserve"> </v>
      </c>
      <c r="G292" s="16">
        <f t="shared" si="64"/>
        <v>1.3127938996067401E-2</v>
      </c>
      <c r="H292" s="16">
        <f t="shared" si="65"/>
        <v>-3.3831558315443024E-2</v>
      </c>
      <c r="I292" s="16">
        <f t="shared" si="66"/>
        <v>-3.3818659594590531E-2</v>
      </c>
      <c r="J292" s="16">
        <f t="shared" si="62"/>
        <v>1.3127938996067401E-2</v>
      </c>
      <c r="K292" s="16">
        <f t="shared" si="67"/>
        <v>-3.3818659594590531E-2</v>
      </c>
      <c r="L292" s="16">
        <f t="shared" si="68"/>
        <v>0.39300347921482232</v>
      </c>
      <c r="M292" s="16">
        <f t="shared" si="69"/>
        <v>7.1446355996932914E-2</v>
      </c>
      <c r="N292" s="16">
        <f t="shared" si="70"/>
        <v>0.38905747336356405</v>
      </c>
      <c r="O292" s="16">
        <f t="shared" si="71"/>
        <v>-4.5190478004798112E-2</v>
      </c>
      <c r="R292" s="5">
        <f t="shared" si="72"/>
        <v>-0.5</v>
      </c>
    </row>
    <row r="293" spans="2:18" x14ac:dyDescent="0.3">
      <c r="B293" s="16">
        <v>0.39353037438415939</v>
      </c>
      <c r="C293" s="16">
        <f t="shared" si="63"/>
        <v>5.826464542027944E-2</v>
      </c>
      <c r="D293" s="16" t="str">
        <f t="shared" si="59"/>
        <v xml:space="preserve"> </v>
      </c>
      <c r="E293" s="16" t="str">
        <f t="shared" si="60"/>
        <v xml:space="preserve"> </v>
      </c>
      <c r="F293" s="16" t="str">
        <f t="shared" si="61"/>
        <v xml:space="preserve"> </v>
      </c>
      <c r="G293" s="16">
        <f t="shared" si="64"/>
        <v>1.3043421968721368E-2</v>
      </c>
      <c r="H293" s="16">
        <f t="shared" si="65"/>
        <v>-3.3784708376625693E-2</v>
      </c>
      <c r="I293" s="16">
        <f t="shared" si="66"/>
        <v>-3.3771863143651583E-2</v>
      </c>
      <c r="J293" s="16">
        <f t="shared" si="62"/>
        <v>1.3043421968721368E-2</v>
      </c>
      <c r="K293" s="16">
        <f t="shared" si="67"/>
        <v>-3.3771863143651583E-2</v>
      </c>
      <c r="L293" s="16">
        <f t="shared" si="68"/>
        <v>0.39549770599598599</v>
      </c>
      <c r="M293" s="16">
        <f t="shared" si="69"/>
        <v>7.127484400425127E-2</v>
      </c>
      <c r="N293" s="16">
        <f t="shared" si="70"/>
        <v>0.39156304277233278</v>
      </c>
      <c r="O293" s="16">
        <f t="shared" si="71"/>
        <v>-4.5188000066808537E-2</v>
      </c>
      <c r="R293" s="5">
        <f t="shared" si="72"/>
        <v>-0.5</v>
      </c>
    </row>
    <row r="294" spans="2:18" x14ac:dyDescent="0.3">
      <c r="B294" s="16">
        <v>0.3960362821039296</v>
      </c>
      <c r="C294" s="16">
        <f t="shared" si="63"/>
        <v>5.8175337602084987E-2</v>
      </c>
      <c r="D294" s="16" t="str">
        <f t="shared" si="59"/>
        <v xml:space="preserve"> </v>
      </c>
      <c r="E294" s="16" t="str">
        <f t="shared" si="60"/>
        <v xml:space="preserve"> </v>
      </c>
      <c r="F294" s="16" t="str">
        <f t="shared" si="61"/>
        <v xml:space="preserve"> </v>
      </c>
      <c r="G294" s="16">
        <f t="shared" si="64"/>
        <v>1.2958820149137944E-2</v>
      </c>
      <c r="H294" s="16">
        <f t="shared" si="65"/>
        <v>-3.3737075214799669E-2</v>
      </c>
      <c r="I294" s="16">
        <f t="shared" si="66"/>
        <v>-3.3724284212196615E-2</v>
      </c>
      <c r="J294" s="16">
        <f t="shared" si="62"/>
        <v>1.2958820149137944E-2</v>
      </c>
      <c r="K294" s="16">
        <f t="shared" si="67"/>
        <v>-3.3724284212196615E-2</v>
      </c>
      <c r="L294" s="16">
        <f t="shared" si="68"/>
        <v>0.39799783185332571</v>
      </c>
      <c r="M294" s="16">
        <f t="shared" si="69"/>
        <v>7.1101078685397154E-2</v>
      </c>
      <c r="N294" s="16">
        <f t="shared" si="70"/>
        <v>0.3940747323545335</v>
      </c>
      <c r="O294" s="16">
        <f t="shared" si="71"/>
        <v>-4.5183438387121272E-2</v>
      </c>
      <c r="R294" s="5">
        <f t="shared" si="72"/>
        <v>-0.5</v>
      </c>
    </row>
    <row r="295" spans="2:18" x14ac:dyDescent="0.3">
      <c r="B295" s="16">
        <v>0.39854817461698</v>
      </c>
      <c r="C295" s="16">
        <f t="shared" si="63"/>
        <v>5.8083863493303516E-2</v>
      </c>
      <c r="D295" s="16" t="str">
        <f t="shared" si="59"/>
        <v xml:space="preserve"> </v>
      </c>
      <c r="E295" s="16" t="str">
        <f t="shared" si="60"/>
        <v xml:space="preserve"> </v>
      </c>
      <c r="F295" s="16" t="str">
        <f t="shared" si="61"/>
        <v xml:space="preserve"> </v>
      </c>
      <c r="G295" s="16">
        <f t="shared" si="64"/>
        <v>1.2874136915119194E-2</v>
      </c>
      <c r="H295" s="16">
        <f t="shared" si="65"/>
        <v>-3.3688654481523354E-2</v>
      </c>
      <c r="I295" s="16">
        <f t="shared" si="66"/>
        <v>-3.3675918449388387E-2</v>
      </c>
      <c r="J295" s="16">
        <f t="shared" si="62"/>
        <v>1.2874136915119194E-2</v>
      </c>
      <c r="K295" s="16">
        <f t="shared" si="67"/>
        <v>-3.3675918449388387E-2</v>
      </c>
      <c r="L295" s="16">
        <f t="shared" si="68"/>
        <v>0.40050383237698123</v>
      </c>
      <c r="M295" s="16">
        <f t="shared" si="69"/>
        <v>7.0925068010446721E-2</v>
      </c>
      <c r="N295" s="16">
        <f t="shared" si="70"/>
        <v>0.39659251685697877</v>
      </c>
      <c r="O295" s="16">
        <f t="shared" si="71"/>
        <v>-4.5176794180208327E-2</v>
      </c>
      <c r="R295" s="5">
        <f t="shared" si="72"/>
        <v>-0.5</v>
      </c>
    </row>
    <row r="296" spans="2:18" x14ac:dyDescent="0.3">
      <c r="B296" s="16">
        <v>0.4010660270324814</v>
      </c>
      <c r="C296" s="16">
        <f t="shared" si="63"/>
        <v>5.799022777617855E-2</v>
      </c>
      <c r="D296" s="16" t="str">
        <f t="shared" si="59"/>
        <v xml:space="preserve"> </v>
      </c>
      <c r="E296" s="16" t="str">
        <f t="shared" si="60"/>
        <v xml:space="preserve"> </v>
      </c>
      <c r="F296" s="16" t="str">
        <f t="shared" si="61"/>
        <v xml:space="preserve"> </v>
      </c>
      <c r="G296" s="16">
        <f t="shared" si="64"/>
        <v>1.2789375667915458E-2</v>
      </c>
      <c r="H296" s="16">
        <f t="shared" si="65"/>
        <v>-3.363944184467748E-2</v>
      </c>
      <c r="I296" s="16">
        <f t="shared" si="66"/>
        <v>-3.3626761520533656E-2</v>
      </c>
      <c r="J296" s="16">
        <f t="shared" si="62"/>
        <v>1.2789375667915458E-2</v>
      </c>
      <c r="K296" s="16">
        <f t="shared" si="67"/>
        <v>-3.3626761520533656E-2</v>
      </c>
      <c r="L296" s="16">
        <f t="shared" si="68"/>
        <v>0.40301568311206509</v>
      </c>
      <c r="M296" s="16">
        <f t="shared" si="69"/>
        <v>7.0746820044840952E-2</v>
      </c>
      <c r="N296" s="16">
        <f t="shared" si="70"/>
        <v>0.3991163709528977</v>
      </c>
      <c r="O296" s="16">
        <f t="shared" si="71"/>
        <v>-4.5168068709010037E-2</v>
      </c>
      <c r="R296" s="5">
        <f t="shared" si="72"/>
        <v>-0.5</v>
      </c>
    </row>
    <row r="297" spans="2:18" x14ac:dyDescent="0.3">
      <c r="B297" s="16">
        <v>0.40358981440054742</v>
      </c>
      <c r="C297" s="16">
        <f t="shared" si="63"/>
        <v>5.7894435204162133E-2</v>
      </c>
      <c r="D297" s="16" t="str">
        <f t="shared" si="59"/>
        <v xml:space="preserve"> </v>
      </c>
      <c r="E297" s="16" t="str">
        <f t="shared" si="60"/>
        <v xml:space="preserve"> </v>
      </c>
      <c r="F297" s="16" t="str">
        <f t="shared" si="61"/>
        <v xml:space="preserve"> </v>
      </c>
      <c r="G297" s="16">
        <f t="shared" si="64"/>
        <v>1.2704539832149779E-2</v>
      </c>
      <c r="H297" s="16">
        <f t="shared" si="65"/>
        <v>-3.3589432988698778E-2</v>
      </c>
      <c r="I297" s="16">
        <f t="shared" si="66"/>
        <v>-3.3576809107315704E-2</v>
      </c>
      <c r="J297" s="16">
        <f t="shared" si="62"/>
        <v>1.2704539832149779E-2</v>
      </c>
      <c r="K297" s="16">
        <f t="shared" si="67"/>
        <v>-3.3576809107315704E-2</v>
      </c>
      <c r="L297" s="16">
        <f t="shared" si="68"/>
        <v>0.40553335955891512</v>
      </c>
      <c r="M297" s="16">
        <f t="shared" si="69"/>
        <v>7.0566342948076899E-2</v>
      </c>
      <c r="N297" s="16">
        <f t="shared" si="70"/>
        <v>0.40164626924217972</v>
      </c>
      <c r="O297" s="16">
        <f t="shared" si="71"/>
        <v>-4.5157263283777338E-2</v>
      </c>
      <c r="R297" s="5">
        <f t="shared" si="72"/>
        <v>-0.5</v>
      </c>
    </row>
    <row r="298" spans="2:18" x14ac:dyDescent="0.3">
      <c r="B298" s="16">
        <v>0.40611951171248117</v>
      </c>
      <c r="C298" s="16">
        <f t="shared" si="63"/>
        <v>5.7796490600665849E-2</v>
      </c>
      <c r="D298" s="16" t="str">
        <f t="shared" si="59"/>
        <v xml:space="preserve"> </v>
      </c>
      <c r="E298" s="16" t="str">
        <f t="shared" si="60"/>
        <v xml:space="preserve"> </v>
      </c>
      <c r="F298" s="16" t="str">
        <f t="shared" si="61"/>
        <v xml:space="preserve"> </v>
      </c>
      <c r="G298" s="16">
        <f t="shared" si="64"/>
        <v>1.2619632855739809E-2</v>
      </c>
      <c r="H298" s="16">
        <f t="shared" si="65"/>
        <v>-3.3538623614813121E-2</v>
      </c>
      <c r="I298" s="16">
        <f t="shared" si="66"/>
        <v>-3.3526056908026305E-2</v>
      </c>
      <c r="J298" s="16">
        <f t="shared" si="62"/>
        <v>1.2619632855739809E-2</v>
      </c>
      <c r="K298" s="16">
        <f t="shared" si="67"/>
        <v>-3.3526056908026305E-2</v>
      </c>
      <c r="L298" s="16">
        <f t="shared" si="68"/>
        <v>0.40805683717334273</v>
      </c>
      <c r="M298" s="16">
        <f t="shared" si="69"/>
        <v>7.0383644972381712E-2</v>
      </c>
      <c r="N298" s="16">
        <f t="shared" si="70"/>
        <v>0.40418218625161961</v>
      </c>
      <c r="O298" s="16">
        <f t="shared" si="71"/>
        <v>-4.5144379260902097E-2</v>
      </c>
      <c r="R298" s="5">
        <f t="shared" si="72"/>
        <v>-0.5</v>
      </c>
    </row>
    <row r="299" spans="2:18" x14ac:dyDescent="0.3">
      <c r="B299" s="16">
        <v>0.4086550939010225</v>
      </c>
      <c r="C299" s="16">
        <f t="shared" si="63"/>
        <v>5.7696398857797371E-2</v>
      </c>
      <c r="D299" s="16" t="str">
        <f t="shared" si="59"/>
        <v xml:space="preserve"> </v>
      </c>
      <c r="E299" s="16" t="str">
        <f t="shared" si="60"/>
        <v xml:space="preserve"> </v>
      </c>
      <c r="F299" s="16" t="str">
        <f t="shared" si="61"/>
        <v xml:space="preserve"> </v>
      </c>
      <c r="G299" s="16">
        <f t="shared" si="64"/>
        <v>1.2534658209817135E-2</v>
      </c>
      <c r="H299" s="16">
        <f t="shared" si="65"/>
        <v>-3.3487009441268152E-2</v>
      </c>
      <c r="I299" s="16">
        <f t="shared" si="66"/>
        <v>-3.3474500637797215E-2</v>
      </c>
      <c r="J299" s="16">
        <f t="shared" si="62"/>
        <v>1.2534658209817135E-2</v>
      </c>
      <c r="K299" s="16">
        <f t="shared" si="67"/>
        <v>-3.3474500637797215E-2</v>
      </c>
      <c r="L299" s="16">
        <f t="shared" si="68"/>
        <v>0.41058609136688023</v>
      </c>
      <c r="M299" s="16">
        <f t="shared" si="69"/>
        <v>7.0198734461369913E-2</v>
      </c>
      <c r="N299" s="16">
        <f t="shared" si="70"/>
        <v>0.40672409643516477</v>
      </c>
      <c r="O299" s="16">
        <f t="shared" si="71"/>
        <v>-4.512941804173564E-2</v>
      </c>
      <c r="R299" s="5">
        <f t="shared" si="72"/>
        <v>-0.5</v>
      </c>
    </row>
    <row r="300" spans="2:18" x14ac:dyDescent="0.3">
      <c r="B300" s="16">
        <v>0.41119653584059757</v>
      </c>
      <c r="C300" s="16">
        <f t="shared" si="63"/>
        <v>5.759416493508239E-2</v>
      </c>
      <c r="D300" s="16" t="str">
        <f t="shared" si="59"/>
        <v xml:space="preserve"> </v>
      </c>
      <c r="E300" s="16" t="str">
        <f t="shared" si="60"/>
        <v xml:space="preserve"> </v>
      </c>
      <c r="F300" s="16" t="str">
        <f t="shared" si="61"/>
        <v xml:space="preserve"> </v>
      </c>
      <c r="G300" s="16">
        <f t="shared" si="64"/>
        <v>1.2449619388643958E-2</v>
      </c>
      <c r="H300" s="16">
        <f t="shared" si="65"/>
        <v>-3.3434586203565375E-2</v>
      </c>
      <c r="I300" s="16">
        <f t="shared" si="66"/>
        <v>-3.3422136028831213E-2</v>
      </c>
      <c r="J300" s="16">
        <f t="shared" si="62"/>
        <v>1.2449619388643958E-2</v>
      </c>
      <c r="K300" s="16">
        <f t="shared" si="67"/>
        <v>-3.3422136028831213E-2</v>
      </c>
      <c r="L300" s="16">
        <f t="shared" si="68"/>
        <v>0.41312109750702841</v>
      </c>
      <c r="M300" s="16">
        <f t="shared" si="69"/>
        <v>7.0011619848683385E-2</v>
      </c>
      <c r="N300" s="16">
        <f t="shared" si="70"/>
        <v>0.40927197417416672</v>
      </c>
      <c r="O300" s="16">
        <f t="shared" si="71"/>
        <v>-4.5112381071395466E-2</v>
      </c>
      <c r="R300" s="5">
        <f t="shared" si="72"/>
        <v>-0.5</v>
      </c>
    </row>
    <row r="301" spans="2:18" x14ac:dyDescent="0.3">
      <c r="B301" s="16">
        <v>0.41374381234756619</v>
      </c>
      <c r="C301" s="16">
        <f t="shared" si="63"/>
        <v>5.7489793858172496E-2</v>
      </c>
      <c r="D301" s="16" t="str">
        <f t="shared" si="59"/>
        <v xml:space="preserve"> </v>
      </c>
      <c r="E301" s="16" t="str">
        <f t="shared" si="60"/>
        <v xml:space="preserve"> </v>
      </c>
      <c r="F301" s="16" t="str">
        <f t="shared" si="61"/>
        <v xml:space="preserve"> </v>
      </c>
      <c r="G301" s="16">
        <f t="shared" si="64"/>
        <v>1.2364519909527262E-2</v>
      </c>
      <c r="H301" s="16">
        <f t="shared" si="65"/>
        <v>-3.3381349654691736E-2</v>
      </c>
      <c r="I301" s="16">
        <f t="shared" si="66"/>
        <v>-3.3368958830632643E-2</v>
      </c>
      <c r="J301" s="16">
        <f t="shared" si="62"/>
        <v>1.2364519909527262E-2</v>
      </c>
      <c r="K301" s="16">
        <f t="shared" si="67"/>
        <v>-3.3368958830632643E-2</v>
      </c>
      <c r="L301" s="16">
        <f t="shared" si="68"/>
        <v>0.41566183091749948</v>
      </c>
      <c r="M301" s="16">
        <f t="shared" si="69"/>
        <v>6.9822309656615164E-2</v>
      </c>
      <c r="N301" s="16">
        <f t="shared" si="70"/>
        <v>0.4118257937776329</v>
      </c>
      <c r="O301" s="16">
        <f t="shared" si="71"/>
        <v>-4.5093269837560637E-2</v>
      </c>
      <c r="R301" s="5">
        <f t="shared" si="72"/>
        <v>-0.5</v>
      </c>
    </row>
    <row r="302" spans="2:18" x14ac:dyDescent="0.3">
      <c r="B302" s="16">
        <v>0.41629689818047322</v>
      </c>
      <c r="C302" s="16">
        <f t="shared" si="63"/>
        <v>5.7383290717539025E-2</v>
      </c>
      <c r="D302" s="16" t="str">
        <f t="shared" si="59"/>
        <v xml:space="preserve"> </v>
      </c>
      <c r="E302" s="16" t="str">
        <f t="shared" si="60"/>
        <v xml:space="preserve"> </v>
      </c>
      <c r="F302" s="16" t="str">
        <f t="shared" si="61"/>
        <v xml:space="preserve"> </v>
      </c>
      <c r="G302" s="16">
        <f t="shared" si="64"/>
        <v>1.2279363312730279E-2</v>
      </c>
      <c r="H302" s="16">
        <f t="shared" si="65"/>
        <v>-3.33272955653506E-2</v>
      </c>
      <c r="I302" s="16">
        <f t="shared" si="66"/>
        <v>-3.3314964810237407E-2</v>
      </c>
      <c r="J302" s="16">
        <f t="shared" si="62"/>
        <v>1.2279363312730279E-2</v>
      </c>
      <c r="K302" s="16">
        <f t="shared" si="67"/>
        <v>-3.3314964810237407E-2</v>
      </c>
      <c r="L302" s="16">
        <f t="shared" si="68"/>
        <v>0.41820826687846246</v>
      </c>
      <c r="M302" s="16">
        <f t="shared" si="69"/>
        <v>6.963081249471649E-2</v>
      </c>
      <c r="N302" s="16">
        <f t="shared" si="70"/>
        <v>0.41438552948248397</v>
      </c>
      <c r="O302" s="16">
        <f t="shared" si="71"/>
        <v>-4.5072085869255936E-2</v>
      </c>
      <c r="R302" s="5">
        <f t="shared" si="72"/>
        <v>-0.5</v>
      </c>
    </row>
    <row r="303" spans="2:18" x14ac:dyDescent="0.3">
      <c r="B303" s="16">
        <v>0.41885576804029723</v>
      </c>
      <c r="C303" s="16">
        <f t="shared" si="63"/>
        <v>5.7274660667153449E-2</v>
      </c>
      <c r="D303" s="16" t="str">
        <f t="shared" si="59"/>
        <v xml:space="preserve"> </v>
      </c>
      <c r="E303" s="16" t="str">
        <f t="shared" si="60"/>
        <v xml:space="preserve"> </v>
      </c>
      <c r="F303" s="16" t="str">
        <f t="shared" si="61"/>
        <v xml:space="preserve"> </v>
      </c>
      <c r="G303" s="16">
        <f t="shared" si="64"/>
        <v>1.2194153161381477E-2</v>
      </c>
      <c r="H303" s="16">
        <f t="shared" si="65"/>
        <v>-3.3272419724192266E-2</v>
      </c>
      <c r="I303" s="16">
        <f t="shared" si="66"/>
        <v>-3.3260149752442514E-2</v>
      </c>
      <c r="J303" s="16">
        <f t="shared" si="62"/>
        <v>1.2194153161381477E-2</v>
      </c>
      <c r="K303" s="16">
        <f t="shared" si="67"/>
        <v>-3.3260149752442514E-2</v>
      </c>
      <c r="L303" s="16">
        <f t="shared" si="68"/>
        <v>0.42076038062678361</v>
      </c>
      <c r="M303" s="16">
        <f t="shared" si="69"/>
        <v>6.9437137058388207E-2</v>
      </c>
      <c r="N303" s="16">
        <f t="shared" si="70"/>
        <v>0.41695115545381084</v>
      </c>
      <c r="O303" s="16">
        <f t="shared" si="71"/>
        <v>-4.5048830735625253E-2</v>
      </c>
      <c r="R303" s="5">
        <f t="shared" si="72"/>
        <v>-0.5</v>
      </c>
    </row>
    <row r="304" spans="2:18" x14ac:dyDescent="0.3">
      <c r="B304" s="16">
        <v>0.42142039657070196</v>
      </c>
      <c r="C304" s="16">
        <f t="shared" si="63"/>
        <v>5.716390892315406E-2</v>
      </c>
      <c r="D304" s="16" t="str">
        <f t="shared" si="59"/>
        <v xml:space="preserve"> </v>
      </c>
      <c r="E304" s="16" t="str">
        <f t="shared" si="60"/>
        <v xml:space="preserve"> </v>
      </c>
      <c r="F304" s="16" t="str">
        <f t="shared" si="61"/>
        <v xml:space="preserve"> </v>
      </c>
      <c r="G304" s="16">
        <f t="shared" si="64"/>
        <v>1.2108893041380865E-2</v>
      </c>
      <c r="H304" s="16">
        <f t="shared" si="65"/>
        <v>-3.3216717938043774E-2</v>
      </c>
      <c r="I304" s="16">
        <f t="shared" si="66"/>
        <v>-3.3204509460035003E-2</v>
      </c>
      <c r="J304" s="16">
        <f t="shared" si="62"/>
        <v>1.2108893041380865E-2</v>
      </c>
      <c r="K304" s="16">
        <f t="shared" si="67"/>
        <v>-3.3204509460035003E-2</v>
      </c>
      <c r="L304" s="16">
        <f t="shared" si="68"/>
        <v>0.42331814735626788</v>
      </c>
      <c r="M304" s="16">
        <f t="shared" si="69"/>
        <v>6.9241292127455806E-2</v>
      </c>
      <c r="N304" s="16">
        <f t="shared" si="70"/>
        <v>0.41952264578513604</v>
      </c>
      <c r="O304" s="16">
        <f t="shared" si="71"/>
        <v>-4.5023506044694073E-2</v>
      </c>
      <c r="R304" s="5">
        <f t="shared" si="72"/>
        <v>-0.5</v>
      </c>
    </row>
    <row r="305" spans="2:18" x14ac:dyDescent="0.3">
      <c r="B305" s="16">
        <v>0.42399075835828748</v>
      </c>
      <c r="C305" s="16">
        <f t="shared" si="63"/>
        <v>5.7051040762499373E-2</v>
      </c>
      <c r="D305" s="16" t="str">
        <f t="shared" si="59"/>
        <v xml:space="preserve"> </v>
      </c>
      <c r="E305" s="16" t="str">
        <f t="shared" si="60"/>
        <v xml:space="preserve"> </v>
      </c>
      <c r="F305" s="16" t="str">
        <f t="shared" si="61"/>
        <v xml:space="preserve"> </v>
      </c>
      <c r="G305" s="16">
        <f t="shared" si="64"/>
        <v>1.2023586561303734E-2</v>
      </c>
      <c r="H305" s="16">
        <f t="shared" si="65"/>
        <v>-3.3160186032138265E-2</v>
      </c>
      <c r="I305" s="16">
        <f t="shared" si="66"/>
        <v>-3.3148039754020454E-2</v>
      </c>
      <c r="J305" s="16">
        <f t="shared" si="62"/>
        <v>1.2023586561303734E-2</v>
      </c>
      <c r="K305" s="16">
        <f t="shared" si="67"/>
        <v>-3.3148039754020454E-2</v>
      </c>
      <c r="L305" s="16">
        <f t="shared" si="68"/>
        <v>0.42588154221789776</v>
      </c>
      <c r="M305" s="16">
        <f t="shared" si="69"/>
        <v>6.9043286564728884E-2</v>
      </c>
      <c r="N305" s="16">
        <f t="shared" si="70"/>
        <v>0.4220999744986772</v>
      </c>
      <c r="O305" s="16">
        <f t="shared" si="71"/>
        <v>-4.499611344212142E-2</v>
      </c>
      <c r="R305" s="5">
        <f t="shared" si="72"/>
        <v>-0.5</v>
      </c>
    </row>
    <row r="306" spans="2:18" x14ac:dyDescent="0.3">
      <c r="B306" s="16">
        <v>0.42656682793284162</v>
      </c>
      <c r="C306" s="16">
        <f t="shared" si="63"/>
        <v>5.6936061521608954E-2</v>
      </c>
      <c r="D306" s="16" t="str">
        <f t="shared" si="59"/>
        <v xml:space="preserve"> </v>
      </c>
      <c r="E306" s="16" t="str">
        <f t="shared" si="60"/>
        <v xml:space="preserve"> </v>
      </c>
      <c r="F306" s="16" t="str">
        <f t="shared" si="61"/>
        <v xml:space="preserve"> </v>
      </c>
      <c r="G306" s="16">
        <f t="shared" si="64"/>
        <v>1.1938237352301796E-2</v>
      </c>
      <c r="H306" s="16">
        <f t="shared" si="65"/>
        <v>-3.3102819850343704E-2</v>
      </c>
      <c r="I306" s="16">
        <f t="shared" si="66"/>
        <v>-3.3090736473850885E-2</v>
      </c>
      <c r="J306" s="16">
        <f t="shared" si="62"/>
        <v>1.1938237352301796E-2</v>
      </c>
      <c r="K306" s="16">
        <f t="shared" si="67"/>
        <v>-3.3090736473850885E-2</v>
      </c>
      <c r="L306" s="16">
        <f t="shared" si="68"/>
        <v>0.42845054032007107</v>
      </c>
      <c r="M306" s="16">
        <f t="shared" si="69"/>
        <v>6.8843129314545587E-2</v>
      </c>
      <c r="N306" s="16">
        <f t="shared" si="70"/>
        <v>0.42468311554561217</v>
      </c>
      <c r="O306" s="16">
        <f t="shared" si="71"/>
        <v>-4.4966654609941994E-2</v>
      </c>
      <c r="R306" s="5">
        <f t="shared" si="72"/>
        <v>-0.5</v>
      </c>
    </row>
    <row r="307" spans="2:18" x14ac:dyDescent="0.3">
      <c r="B307" s="16">
        <v>0.42914857976759269</v>
      </c>
      <c r="C307" s="16">
        <f t="shared" si="63"/>
        <v>5.6818976594991147E-2</v>
      </c>
      <c r="D307" s="16" t="str">
        <f t="shared" si="59"/>
        <v xml:space="preserve"> </v>
      </c>
      <c r="E307" s="16" t="str">
        <f t="shared" si="60"/>
        <v xml:space="preserve"> </v>
      </c>
      <c r="F307" s="16" t="str">
        <f t="shared" si="61"/>
        <v xml:space="preserve"> </v>
      </c>
      <c r="G307" s="16">
        <f t="shared" si="64"/>
        <v>1.1852849068001738E-2</v>
      </c>
      <c r="H307" s="16">
        <f t="shared" si="65"/>
        <v>-3.3044615255390979E-2</v>
      </c>
      <c r="I307" s="16">
        <f t="shared" si="66"/>
        <v>-3.3032595477652103E-2</v>
      </c>
      <c r="J307" s="16">
        <f t="shared" si="62"/>
        <v>1.1852849068001738E-2</v>
      </c>
      <c r="K307" s="16">
        <f t="shared" si="67"/>
        <v>-3.3032595477652103E-2</v>
      </c>
      <c r="L307" s="16">
        <f t="shared" si="68"/>
        <v>0.43102511672883731</v>
      </c>
      <c r="M307" s="16">
        <f t="shared" si="69"/>
        <v>6.8640829401301451E-2</v>
      </c>
      <c r="N307" s="16">
        <f t="shared" si="70"/>
        <v>0.42727204280634806</v>
      </c>
      <c r="O307" s="16">
        <f t="shared" si="71"/>
        <v>-4.4935131265297967E-2</v>
      </c>
      <c r="R307" s="5">
        <f t="shared" si="72"/>
        <v>-0.5</v>
      </c>
    </row>
    <row r="308" spans="2:18" x14ac:dyDescent="0.3">
      <c r="B308" s="16">
        <v>0.43173598827946269</v>
      </c>
      <c r="C308" s="16">
        <f t="shared" si="63"/>
        <v>5.6699791433858483E-2</v>
      </c>
      <c r="D308" s="16" t="str">
        <f t="shared" si="59"/>
        <v xml:space="preserve"> </v>
      </c>
      <c r="E308" s="16" t="str">
        <f t="shared" si="60"/>
        <v xml:space="preserve"> </v>
      </c>
      <c r="F308" s="16" t="str">
        <f t="shared" si="61"/>
        <v xml:space="preserve"> </v>
      </c>
      <c r="G308" s="16">
        <f t="shared" si="64"/>
        <v>1.1767425384401111E-2</v>
      </c>
      <c r="H308" s="16">
        <f t="shared" si="65"/>
        <v>-3.2985568129101417E-2</v>
      </c>
      <c r="I308" s="16">
        <f t="shared" si="66"/>
        <v>-3.2973612642450523E-2</v>
      </c>
      <c r="J308" s="16">
        <f t="shared" si="62"/>
        <v>1.1767425384401111E-2</v>
      </c>
      <c r="K308" s="16">
        <f t="shared" si="67"/>
        <v>-3.2973612642450523E-2</v>
      </c>
      <c r="L308" s="16">
        <f t="shared" si="68"/>
        <v>0.43360524646813342</v>
      </c>
      <c r="M308" s="16">
        <f t="shared" si="69"/>
        <v>6.8436395927963481E-2</v>
      </c>
      <c r="N308" s="16">
        <f t="shared" si="70"/>
        <v>0.42986673009079196</v>
      </c>
      <c r="O308" s="16">
        <f t="shared" si="71"/>
        <v>-4.4901545159161255E-2</v>
      </c>
      <c r="R308" s="5">
        <f t="shared" si="72"/>
        <v>-0.5</v>
      </c>
    </row>
    <row r="309" spans="2:18" x14ac:dyDescent="0.3">
      <c r="B309" s="16">
        <v>0.43432902782932004</v>
      </c>
      <c r="C309" s="16">
        <f t="shared" si="63"/>
        <v>5.6578511544730849E-2</v>
      </c>
      <c r="D309" s="16" t="str">
        <f t="shared" si="59"/>
        <v xml:space="preserve"> </v>
      </c>
      <c r="E309" s="16" t="str">
        <f t="shared" si="60"/>
        <v xml:space="preserve"> </v>
      </c>
      <c r="F309" s="16" t="str">
        <f t="shared" si="61"/>
        <v xml:space="preserve"> </v>
      </c>
      <c r="G309" s="16">
        <f t="shared" si="64"/>
        <v>1.1681969999761732E-2</v>
      </c>
      <c r="H309" s="16">
        <f t="shared" si="65"/>
        <v>-3.2925674372613706E-2</v>
      </c>
      <c r="I309" s="16">
        <f t="shared" si="66"/>
        <v>-3.2913783864399415E-2</v>
      </c>
      <c r="J309" s="16">
        <f t="shared" si="62"/>
        <v>1.1681969999761732E-2</v>
      </c>
      <c r="K309" s="16">
        <f t="shared" si="67"/>
        <v>-3.2913783864399415E-2</v>
      </c>
      <c r="L309" s="16">
        <f t="shared" si="68"/>
        <v>0.43619090452001669</v>
      </c>
      <c r="M309" s="16">
        <f t="shared" si="69"/>
        <v>6.8229838074569671E-2</v>
      </c>
      <c r="N309" s="16">
        <f t="shared" si="70"/>
        <v>0.43246715113862338</v>
      </c>
      <c r="O309" s="16">
        <f t="shared" si="71"/>
        <v>-4.48658980750462E-2</v>
      </c>
      <c r="R309" s="5">
        <f t="shared" si="72"/>
        <v>-0.5</v>
      </c>
    </row>
    <row r="310" spans="2:18" x14ac:dyDescent="0.3">
      <c r="B310" s="16">
        <v>0.43692767272223476</v>
      </c>
      <c r="C310" s="16">
        <f t="shared" si="63"/>
        <v>5.6455142488026709E-2</v>
      </c>
      <c r="D310" s="16" t="str">
        <f t="shared" si="59"/>
        <v xml:space="preserve"> </v>
      </c>
      <c r="E310" s="16" t="str">
        <f t="shared" si="60"/>
        <v xml:space="preserve"> </v>
      </c>
      <c r="F310" s="16" t="str">
        <f t="shared" si="61"/>
        <v xml:space="preserve"> </v>
      </c>
      <c r="G310" s="16">
        <f t="shared" si="64"/>
        <v>1.1596486634500349E-2</v>
      </c>
      <c r="H310" s="16">
        <f t="shared" si="65"/>
        <v>-3.2864929906610142E-2</v>
      </c>
      <c r="I310" s="16">
        <f t="shared" si="66"/>
        <v>-3.2853105059004531E-2</v>
      </c>
      <c r="J310" s="16">
        <f t="shared" si="62"/>
        <v>1.1596486634500349E-2</v>
      </c>
      <c r="K310" s="16">
        <f t="shared" si="67"/>
        <v>-3.2853105059004531E-2</v>
      </c>
      <c r="L310" s="16">
        <f t="shared" si="68"/>
        <v>0.43878206582489843</v>
      </c>
      <c r="M310" s="16">
        <f t="shared" si="69"/>
        <v>6.8021165096713951E-2</v>
      </c>
      <c r="N310" s="16">
        <f t="shared" si="70"/>
        <v>0.4350732796195711</v>
      </c>
      <c r="O310" s="16">
        <f t="shared" si="71"/>
        <v>-4.4828191827713255E-2</v>
      </c>
      <c r="R310" s="5">
        <f t="shared" si="72"/>
        <v>-0.5</v>
      </c>
    </row>
    <row r="311" spans="2:18" x14ac:dyDescent="0.3">
      <c r="B311" s="16">
        <v>0.43953189720773167</v>
      </c>
      <c r="C311" s="16">
        <f t="shared" si="63"/>
        <v>5.6329689876642719E-2</v>
      </c>
      <c r="D311" s="16" t="str">
        <f t="shared" si="59"/>
        <v xml:space="preserve"> </v>
      </c>
      <c r="E311" s="16" t="str">
        <f t="shared" si="60"/>
        <v xml:space="preserve"> </v>
      </c>
      <c r="F311" s="16" t="str">
        <f t="shared" si="61"/>
        <v xml:space="preserve"> </v>
      </c>
      <c r="G311" s="16">
        <f t="shared" si="64"/>
        <v>1.1510979031076844E-2</v>
      </c>
      <c r="H311" s="16">
        <f t="shared" si="65"/>
        <v>-3.2803330671542293E-2</v>
      </c>
      <c r="I311" s="16">
        <f t="shared" si="66"/>
        <v>-3.2791572161349238E-2</v>
      </c>
      <c r="J311" s="16">
        <f t="shared" si="62"/>
        <v>1.1510979031076844E-2</v>
      </c>
      <c r="K311" s="16">
        <f t="shared" si="67"/>
        <v>-3.2791572161349238E-2</v>
      </c>
      <c r="L311" s="16">
        <f t="shared" si="68"/>
        <v>0.44137870528177381</v>
      </c>
      <c r="M311" s="16">
        <f t="shared" si="69"/>
        <v>6.7810386324017299E-2</v>
      </c>
      <c r="N311" s="16">
        <f t="shared" si="70"/>
        <v>0.43768508913368953</v>
      </c>
      <c r="O311" s="16">
        <f t="shared" si="71"/>
        <v>-4.4788428261863619E-2</v>
      </c>
      <c r="R311" s="5">
        <f t="shared" si="72"/>
        <v>-0.5</v>
      </c>
    </row>
    <row r="312" spans="2:18" x14ac:dyDescent="0.3">
      <c r="B312" s="16">
        <v>0.4421416754800469</v>
      </c>
      <c r="C312" s="16">
        <f t="shared" si="63"/>
        <v>5.6202159374521603E-2</v>
      </c>
      <c r="D312" s="16" t="str">
        <f t="shared" si="59"/>
        <v xml:space="preserve"> </v>
      </c>
      <c r="E312" s="16" t="str">
        <f t="shared" si="60"/>
        <v xml:space="preserve"> </v>
      </c>
      <c r="F312" s="16" t="str">
        <f t="shared" si="61"/>
        <v xml:space="preserve"> </v>
      </c>
      <c r="G312" s="16">
        <f t="shared" si="64"/>
        <v>1.1425450953879715E-2</v>
      </c>
      <c r="H312" s="16">
        <f t="shared" si="65"/>
        <v>-3.274087262785598E-2</v>
      </c>
      <c r="I312" s="16">
        <f t="shared" si="66"/>
        <v>-3.2729181126318993E-2</v>
      </c>
      <c r="J312" s="16">
        <f t="shared" si="62"/>
        <v>1.1425450953879715E-2</v>
      </c>
      <c r="K312" s="16">
        <f t="shared" si="67"/>
        <v>-3.2729181126318993E-2</v>
      </c>
      <c r="L312" s="16">
        <f t="shared" si="68"/>
        <v>0.44398079774845339</v>
      </c>
      <c r="M312" s="16">
        <f t="shared" si="69"/>
        <v>6.7597511158584492E-2</v>
      </c>
      <c r="N312" s="16">
        <f t="shared" si="70"/>
        <v>0.44030255321164041</v>
      </c>
      <c r="O312" s="16">
        <f t="shared" si="71"/>
        <v>-4.4746609250825062E-2</v>
      </c>
      <c r="R312" s="5">
        <f t="shared" si="72"/>
        <v>-0.5</v>
      </c>
    </row>
    <row r="313" spans="2:18" x14ac:dyDescent="0.3">
      <c r="B313" s="16">
        <v>0.44475698167838285</v>
      </c>
      <c r="C313" s="16">
        <f t="shared" si="63"/>
        <v>5.6072556695209254E-2</v>
      </c>
      <c r="D313" s="16" t="str">
        <f t="shared" si="59"/>
        <v xml:space="preserve"> </v>
      </c>
      <c r="E313" s="16" t="str">
        <f t="shared" si="60"/>
        <v xml:space="preserve"> </v>
      </c>
      <c r="F313" s="16" t="str">
        <f t="shared" si="61"/>
        <v xml:space="preserve"> </v>
      </c>
      <c r="G313" s="16">
        <f t="shared" si="64"/>
        <v>1.1339906189109045E-2</v>
      </c>
      <c r="H313" s="16">
        <f t="shared" si="65"/>
        <v>-3.2677551756215596E-2</v>
      </c>
      <c r="I313" s="16">
        <f t="shared" si="66"/>
        <v>-3.2665927928825188E-2</v>
      </c>
      <c r="J313" s="16">
        <f t="shared" si="62"/>
        <v>1.1339906189109045E-2</v>
      </c>
      <c r="K313" s="16">
        <f t="shared" si="67"/>
        <v>-3.2665927928825188E-2</v>
      </c>
      <c r="L313" s="16">
        <f t="shared" si="68"/>
        <v>0.44658831804179094</v>
      </c>
      <c r="M313" s="16">
        <f t="shared" si="69"/>
        <v>6.7382549073447706E-2</v>
      </c>
      <c r="N313" s="16">
        <f t="shared" si="70"/>
        <v>0.44292564531497475</v>
      </c>
      <c r="O313" s="16">
        <f t="shared" si="71"/>
        <v>-4.4702736695229617E-2</v>
      </c>
      <c r="R313" s="5">
        <f t="shared" si="72"/>
        <v>-0.5</v>
      </c>
    </row>
    <row r="314" spans="2:18" x14ac:dyDescent="0.3">
      <c r="B314" s="16">
        <v>0.44737778988716459</v>
      </c>
      <c r="C314" s="16">
        <f t="shared" si="63"/>
        <v>5.5940887600400592E-2</v>
      </c>
      <c r="D314" s="16" t="str">
        <f t="shared" si="59"/>
        <v xml:space="preserve"> </v>
      </c>
      <c r="E314" s="16" t="str">
        <f t="shared" si="60"/>
        <v xml:space="preserve"> </v>
      </c>
      <c r="F314" s="16" t="str">
        <f t="shared" si="61"/>
        <v xml:space="preserve"> </v>
      </c>
      <c r="G314" s="16">
        <f t="shared" si="64"/>
        <v>1.1254348544656833E-2</v>
      </c>
      <c r="H314" s="16">
        <f t="shared" si="65"/>
        <v>-3.2613364057727801E-2</v>
      </c>
      <c r="I314" s="16">
        <f t="shared" si="66"/>
        <v>-3.260180856402848E-2</v>
      </c>
      <c r="J314" s="16">
        <f t="shared" si="62"/>
        <v>1.1254348544656833E-2</v>
      </c>
      <c r="K314" s="16">
        <f t="shared" si="67"/>
        <v>-3.260180856402848E-2</v>
      </c>
      <c r="L314" s="16">
        <f t="shared" si="68"/>
        <v>0.44920124093791136</v>
      </c>
      <c r="M314" s="16">
        <f t="shared" si="69"/>
        <v>6.7165509610996557E-2</v>
      </c>
      <c r="N314" s="16">
        <f t="shared" si="70"/>
        <v>0.44555433883641782</v>
      </c>
      <c r="O314" s="16">
        <f t="shared" si="71"/>
        <v>-4.4656812521682895E-2</v>
      </c>
      <c r="R314" s="5">
        <f t="shared" si="72"/>
        <v>-0.5</v>
      </c>
    </row>
    <row r="315" spans="2:18" x14ac:dyDescent="0.3">
      <c r="B315" s="16">
        <v>0.45000407413629695</v>
      </c>
      <c r="C315" s="16">
        <f t="shared" si="63"/>
        <v>5.5807157898474999E-2</v>
      </c>
      <c r="D315" s="16" t="str">
        <f t="shared" si="59"/>
        <v xml:space="preserve"> </v>
      </c>
      <c r="E315" s="16" t="str">
        <f t="shared" si="60"/>
        <v xml:space="preserve"> </v>
      </c>
      <c r="F315" s="16" t="str">
        <f t="shared" si="61"/>
        <v xml:space="preserve"> </v>
      </c>
      <c r="G315" s="16">
        <f t="shared" si="64"/>
        <v>1.1168781849984729E-2</v>
      </c>
      <c r="H315" s="16">
        <f t="shared" si="65"/>
        <v>-3.2548305554164533E-2</v>
      </c>
      <c r="I315" s="16">
        <f t="shared" si="66"/>
        <v>-3.2536819047561436E-2</v>
      </c>
      <c r="J315" s="16">
        <f t="shared" si="62"/>
        <v>1.1168781849984729E-2</v>
      </c>
      <c r="K315" s="16">
        <f t="shared" si="67"/>
        <v>-3.2536819047561436E-2</v>
      </c>
      <c r="L315" s="16">
        <f t="shared" si="68"/>
        <v>0.45181954117243756</v>
      </c>
      <c r="M315" s="16">
        <f t="shared" si="69"/>
        <v>6.6946402381395057E-2</v>
      </c>
      <c r="N315" s="16">
        <f t="shared" si="70"/>
        <v>0.44818860710015634</v>
      </c>
      <c r="O315" s="16">
        <f t="shared" si="71"/>
        <v>-4.4608838681425601E-2</v>
      </c>
      <c r="R315" s="5">
        <f t="shared" si="72"/>
        <v>-0.5</v>
      </c>
    </row>
    <row r="316" spans="2:18" x14ac:dyDescent="0.3">
      <c r="B316" s="16">
        <v>0.45263580840142115</v>
      </c>
      <c r="C316" s="16">
        <f t="shared" si="63"/>
        <v>5.5671373443021199E-2</v>
      </c>
      <c r="D316" s="16" t="str">
        <f t="shared" si="59"/>
        <v xml:space="preserve"> </v>
      </c>
      <c r="E316" s="16" t="str">
        <f t="shared" si="60"/>
        <v xml:space="preserve"> </v>
      </c>
      <c r="F316" s="16" t="str">
        <f t="shared" si="61"/>
        <v xml:space="preserve"> </v>
      </c>
      <c r="G316" s="16">
        <f t="shared" si="64"/>
        <v>1.1083209955999209E-2</v>
      </c>
      <c r="H316" s="16">
        <f t="shared" si="65"/>
        <v>-3.2482372288185291E-2</v>
      </c>
      <c r="I316" s="16">
        <f t="shared" si="66"/>
        <v>-3.2470955415750555E-2</v>
      </c>
      <c r="J316" s="16">
        <f t="shared" si="62"/>
        <v>1.1083209955999209E-2</v>
      </c>
      <c r="K316" s="16">
        <f t="shared" si="67"/>
        <v>-3.2470955415750555E-2</v>
      </c>
      <c r="L316" s="16">
        <f t="shared" si="68"/>
        <v>0.4544431934407146</v>
      </c>
      <c r="M316" s="16">
        <f t="shared" si="69"/>
        <v>6.672523706098582E-2</v>
      </c>
      <c r="N316" s="16">
        <f t="shared" si="70"/>
        <v>0.45082842336212769</v>
      </c>
      <c r="O316" s="16">
        <f t="shared" si="71"/>
        <v>-4.4558817148987399E-2</v>
      </c>
      <c r="R316" s="5">
        <f t="shared" si="72"/>
        <v>-0.5</v>
      </c>
    </row>
    <row r="317" spans="2:18" x14ac:dyDescent="0.3">
      <c r="B317" s="16">
        <v>0.45527296660417349</v>
      </c>
      <c r="C317" s="16">
        <f t="shared" si="63"/>
        <v>5.5533540131352359E-2</v>
      </c>
      <c r="D317" s="16" t="str">
        <f t="shared" si="59"/>
        <v xml:space="preserve"> </v>
      </c>
      <c r="E317" s="16" t="str">
        <f t="shared" si="60"/>
        <v xml:space="preserve"> </v>
      </c>
      <c r="F317" s="16" t="str">
        <f t="shared" si="61"/>
        <v xml:space="preserve"> </v>
      </c>
      <c r="G317" s="16">
        <f t="shared" si="64"/>
        <v>1.0997636734924099E-2</v>
      </c>
      <c r="H317" s="16">
        <f t="shared" si="65"/>
        <v>-3.2415560323558766E-2</v>
      </c>
      <c r="I317" s="16">
        <f t="shared" si="66"/>
        <v>-3.2404213725837676E-2</v>
      </c>
      <c r="J317" s="16">
        <f t="shared" si="62"/>
        <v>1.0997636734924099E-2</v>
      </c>
      <c r="K317" s="16">
        <f t="shared" si="67"/>
        <v>-3.2404213725837676E-2</v>
      </c>
      <c r="L317" s="16">
        <f t="shared" si="68"/>
        <v>0.45707217239803533</v>
      </c>
      <c r="M317" s="16">
        <f t="shared" si="69"/>
        <v>6.6502023390681828E-2</v>
      </c>
      <c r="N317" s="16">
        <f t="shared" si="70"/>
        <v>0.45347376081031165</v>
      </c>
      <c r="O317" s="16">
        <f t="shared" si="71"/>
        <v>-4.450674992083363E-2</v>
      </c>
      <c r="R317" s="5">
        <f t="shared" si="72"/>
        <v>-0.5</v>
      </c>
    </row>
    <row r="318" spans="2:18" x14ac:dyDescent="0.3">
      <c r="B318" s="16">
        <v>0.45791552261244328</v>
      </c>
      <c r="C318" s="16">
        <f t="shared" si="63"/>
        <v>5.5393663903010835E-2</v>
      </c>
      <c r="D318" s="16" t="str">
        <f t="shared" si="59"/>
        <v xml:space="preserve"> </v>
      </c>
      <c r="E318" s="16" t="str">
        <f t="shared" si="60"/>
        <v xml:space="preserve"> </v>
      </c>
      <c r="F318" s="16" t="str">
        <f t="shared" si="61"/>
        <v xml:space="preserve"> </v>
      </c>
      <c r="G318" s="16">
        <f t="shared" si="64"/>
        <v>1.0912066080170568E-2</v>
      </c>
      <c r="H318" s="16">
        <f t="shared" si="65"/>
        <v>-3.2347865745383786E-2</v>
      </c>
      <c r="I318" s="16">
        <f t="shared" si="66"/>
        <v>-3.233659005620073E-2</v>
      </c>
      <c r="J318" s="16">
        <f t="shared" si="62"/>
        <v>1.0912066080170568E-2</v>
      </c>
      <c r="K318" s="16">
        <f t="shared" si="67"/>
        <v>-3.233659005620073E-2</v>
      </c>
      <c r="L318" s="16">
        <f t="shared" si="68"/>
        <v>0.45970645265986243</v>
      </c>
      <c r="M318" s="16">
        <f t="shared" si="69"/>
        <v>6.6276771174345647E-2</v>
      </c>
      <c r="N318" s="16">
        <f t="shared" si="70"/>
        <v>0.45612459256502413</v>
      </c>
      <c r="O318" s="16">
        <f t="shared" si="71"/>
        <v>-4.4452639014004515E-2</v>
      </c>
      <c r="R318" s="5">
        <f t="shared" si="72"/>
        <v>-0.5</v>
      </c>
    </row>
    <row r="319" spans="2:18" x14ac:dyDescent="0.3">
      <c r="B319" s="16">
        <v>0.46056345024063217</v>
      </c>
      <c r="C319" s="16">
        <f t="shared" si="63"/>
        <v>5.5251750738264001E-2</v>
      </c>
      <c r="D319" s="16" t="str">
        <f t="shared" si="59"/>
        <v xml:space="preserve"> </v>
      </c>
      <c r="E319" s="16" t="str">
        <f t="shared" si="60"/>
        <v xml:space="preserve"> </v>
      </c>
      <c r="F319" s="16" t="str">
        <f t="shared" si="61"/>
        <v xml:space="preserve"> </v>
      </c>
      <c r="G319" s="16">
        <f t="shared" si="64"/>
        <v>1.0826501906204485E-2</v>
      </c>
      <c r="H319" s="16">
        <f t="shared" si="65"/>
        <v>-3.22792846603095E-2</v>
      </c>
      <c r="I319" s="16">
        <f t="shared" si="66"/>
        <v>-3.2268080506573843E-2</v>
      </c>
      <c r="J319" s="16">
        <f t="shared" si="62"/>
        <v>1.0826501906204485E-2</v>
      </c>
      <c r="K319" s="16">
        <f t="shared" si="67"/>
        <v>-3.2268080506573843E-2</v>
      </c>
      <c r="L319" s="16">
        <f t="shared" si="68"/>
        <v>0.46234600880205112</v>
      </c>
      <c r="M319" s="16">
        <f t="shared" si="69"/>
        <v>6.6049490277157105E-2</v>
      </c>
      <c r="N319" s="16">
        <f t="shared" si="70"/>
        <v>0.45878089167921321</v>
      </c>
      <c r="O319" s="16">
        <f t="shared" si="71"/>
        <v>-4.4396486464748142E-2</v>
      </c>
      <c r="R319" s="5">
        <f t="shared" si="72"/>
        <v>-0.5</v>
      </c>
    </row>
    <row r="320" spans="2:18" x14ac:dyDescent="0.3">
      <c r="B320" s="16">
        <v>0.46321672324991292</v>
      </c>
      <c r="C320" s="16">
        <f t="shared" si="63"/>
        <v>5.510780665659027E-2</v>
      </c>
      <c r="D320" s="16" t="str">
        <f t="shared" si="59"/>
        <v xml:space="preserve"> </v>
      </c>
      <c r="E320" s="16" t="str">
        <f t="shared" si="60"/>
        <v xml:space="preserve"> </v>
      </c>
      <c r="F320" s="16" t="str">
        <f t="shared" si="61"/>
        <v xml:space="preserve"> </v>
      </c>
      <c r="G320" s="16">
        <f t="shared" si="64"/>
        <v>1.0740948148411244E-2</v>
      </c>
      <c r="H320" s="16">
        <f t="shared" si="65"/>
        <v>-3.2209813196754873E-2</v>
      </c>
      <c r="I320" s="16">
        <f t="shared" si="66"/>
        <v>-3.2198681198266778E-2</v>
      </c>
      <c r="J320" s="16">
        <f t="shared" si="62"/>
        <v>1.0740948148411244E-2</v>
      </c>
      <c r="K320" s="16">
        <f t="shared" si="67"/>
        <v>-3.2198681198266778E-2</v>
      </c>
      <c r="L320" s="16">
        <f t="shared" si="68"/>
        <v>0.4649908153610694</v>
      </c>
      <c r="M320" s="16">
        <f t="shared" si="69"/>
        <v>6.5820190623968836E-2</v>
      </c>
      <c r="N320" s="16">
        <f t="shared" si="70"/>
        <v>0.46144263113875644</v>
      </c>
      <c r="O320" s="16">
        <f t="shared" si="71"/>
        <v>-4.4338294327146345E-2</v>
      </c>
      <c r="R320" s="5">
        <f t="shared" si="72"/>
        <v>-0.5</v>
      </c>
    </row>
    <row r="321" spans="2:18" x14ac:dyDescent="0.3">
      <c r="B321" s="16">
        <v>0.46587531534849058</v>
      </c>
      <c r="C321" s="16">
        <f t="shared" si="63"/>
        <v>5.4961837715156558E-2</v>
      </c>
      <c r="D321" s="16" t="str">
        <f t="shared" ref="D321:D384" si="73">IF($Q$1=1, IF(B321&lt;$A$8, ($A$10/6)*((B321^3)-3*$A$8*(B321^2)+($A$8^2)*(3-$A$8)*B321), (($A$10*($A$8^3))/6)*(1-B321)), " ")</f>
        <v xml:space="preserve"> </v>
      </c>
      <c r="E321" s="16" t="str">
        <f t="shared" ref="E321:E384" si="74">IF($Q$1=1,IF(B321&lt;$A$8, ($A$10/6)*(3*(B321^2)-6*$A$8*B321+($A$8^2)*(3-$A$8)), -($A$10*($A$8^3))/6), " ")</f>
        <v xml:space="preserve"> </v>
      </c>
      <c r="F321" s="16" t="str">
        <f t="shared" ref="F321:F384" si="75">IF($Q$1=1, ATAN(E321), " ")</f>
        <v xml:space="preserve"> </v>
      </c>
      <c r="G321" s="16">
        <f t="shared" si="64"/>
        <v>1.0655408762957922E-2</v>
      </c>
      <c r="H321" s="16">
        <f t="shared" si="65"/>
        <v>-3.2139447505127434E-2</v>
      </c>
      <c r="I321" s="16">
        <f t="shared" si="66"/>
        <v>-3.2128388274383711E-2</v>
      </c>
      <c r="J321" s="16">
        <f t="shared" ref="J321:J384" si="76">IF($Q$1=1, D321, G321)</f>
        <v>1.0655408762957922E-2</v>
      </c>
      <c r="K321" s="16">
        <f t="shared" si="67"/>
        <v>-3.2128388274383711E-2</v>
      </c>
      <c r="L321" s="16">
        <f t="shared" si="68"/>
        <v>0.46764084683421919</v>
      </c>
      <c r="M321" s="16">
        <f t="shared" si="69"/>
        <v>6.5588882197650786E-2</v>
      </c>
      <c r="N321" s="16">
        <f t="shared" si="70"/>
        <v>0.46410978386276197</v>
      </c>
      <c r="O321" s="16">
        <f t="shared" si="71"/>
        <v>-4.4278064671734937E-2</v>
      </c>
      <c r="R321" s="5">
        <f t="shared" si="72"/>
        <v>-0.5</v>
      </c>
    </row>
    <row r="322" spans="2:18" x14ac:dyDescent="0.3">
      <c r="B322" s="16">
        <v>0.46853920019186157</v>
      </c>
      <c r="C322" s="16">
        <f t="shared" ref="C322:C385" si="77">IF(AND($Q$1=2, $A$3=1), 0, IF($T$3, 5*$A$7*(0.2969*SQRT(B322)-0.126*B322-0.3516*(B322^2)+0.2843*(B322^3)-0.1036*(B322^4)),  5*$A$7*(0.2969*SQRT(B322)-0.126*B322-0.3516*(B322^2)+0.2843*(B322^3)-0.1015*(B322^4))))</f>
        <v>5.4813850007286766E-2</v>
      </c>
      <c r="D322" s="16" t="str">
        <f t="shared" si="73"/>
        <v xml:space="preserve"> </v>
      </c>
      <c r="E322" s="16" t="str">
        <f t="shared" si="74"/>
        <v xml:space="preserve"> </v>
      </c>
      <c r="F322" s="16" t="str">
        <f t="shared" si="75"/>
        <v xml:space="preserve"> </v>
      </c>
      <c r="G322" s="16">
        <f t="shared" ref="G322:G385" si="78">IF($Q$1=2, IF(A324&lt;&gt;1, IF(B322&lt;$A$11, ($A$12/6)*((B322-$A$11)^3-$A$13*((1-$A$11)^3)*B322-($A$11^3)*B322+$A$11^3), ($A$12/6)*($A$13*(B322-$A$11)^3-$A$13*((1-$A$11)^3)*B322-($A$11^3)*B322+$A$11^3)), 0), " ")</f>
        <v>1.0569887726652976E-2</v>
      </c>
      <c r="H322" s="16">
        <f t="shared" ref="H322:H385" si="79">IF($Q$1=2, IF(A324&lt;&gt;1, IF(B322&lt;$A$11, ($A$12/6)*(3*(B322-$A$11)^2-$A$13*((1-$A$11)^3)-($A$11^3)), ($A$12/6)*(3*$A$13*(B322-$A$11)^2-$A$13*((1-$A$11)^3)-($A$11^3))),0 ), " ")</f>
        <v>-3.2068183758041317E-2</v>
      </c>
      <c r="I322" s="16">
        <f t="shared" ref="I322:I385" si="80">IF($Q$1=2, IF(A324&lt;&gt;1,  ATAN(H322), 0), " ")</f>
        <v>-3.2057197900041308E-2</v>
      </c>
      <c r="J322" s="16">
        <f t="shared" si="76"/>
        <v>1.0569887726652976E-2</v>
      </c>
      <c r="K322" s="16">
        <f t="shared" ref="K322:K385" si="81">IF($Q$1=1, F322, I322)</f>
        <v>-3.2057197900041308E-2</v>
      </c>
      <c r="L322" s="16">
        <f t="shared" ref="L322:L385" si="82">B322-C322*SIN(K322)</f>
        <v>0.47029607767985393</v>
      </c>
      <c r="M322" s="16">
        <f t="shared" ref="M322:M385" si="83">J322+C322*COS(K322)</f>
        <v>6.5355575037423452E-2</v>
      </c>
      <c r="N322" s="16">
        <f t="shared" ref="N322:N385" si="84">B322+C322*SIN(K322)</f>
        <v>0.46678232270386921</v>
      </c>
      <c r="O322" s="16">
        <f t="shared" ref="O322:O385" si="85">J322-C322*COS(K322)</f>
        <v>-4.4215799584117498E-2</v>
      </c>
      <c r="R322" s="5">
        <f t="shared" ref="R322:R385" si="86">IF($T$1, J322, -0.5)</f>
        <v>-0.5</v>
      </c>
    </row>
    <row r="323" spans="2:18" x14ac:dyDescent="0.3">
      <c r="B323" s="16">
        <v>0.47120835138307604</v>
      </c>
      <c r="C323" s="16">
        <f t="shared" si="77"/>
        <v>5.466384966092195E-2</v>
      </c>
      <c r="D323" s="16" t="str">
        <f t="shared" si="73"/>
        <v xml:space="preserve"> </v>
      </c>
      <c r="E323" s="16" t="str">
        <f t="shared" si="74"/>
        <v xml:space="preserve"> </v>
      </c>
      <c r="F323" s="16" t="str">
        <f t="shared" si="75"/>
        <v xml:space="preserve"> </v>
      </c>
      <c r="G323" s="16">
        <f t="shared" si="78"/>
        <v>1.0484389036803239E-2</v>
      </c>
      <c r="H323" s="16">
        <f t="shared" si="79"/>
        <v>-3.199601815053451E-2</v>
      </c>
      <c r="I323" s="16">
        <f t="shared" si="80"/>
        <v>-3.198510626258616E-2</v>
      </c>
      <c r="J323" s="16">
        <f t="shared" si="76"/>
        <v>1.0484389036803239E-2</v>
      </c>
      <c r="K323" s="16">
        <f t="shared" si="81"/>
        <v>-3.198510626258616E-2</v>
      </c>
      <c r="L323" s="16">
        <f t="shared" si="82"/>
        <v>0.4729564823175979</v>
      </c>
      <c r="M323" s="16">
        <f t="shared" si="83"/>
        <v>6.5120279237180181E-2</v>
      </c>
      <c r="N323" s="16">
        <f t="shared" si="84"/>
        <v>0.46946022044855418</v>
      </c>
      <c r="O323" s="16">
        <f t="shared" si="85"/>
        <v>-4.4151501163573699E-2</v>
      </c>
      <c r="R323" s="5">
        <f t="shared" si="86"/>
        <v>-0.5</v>
      </c>
    </row>
    <row r="324" spans="2:18" x14ac:dyDescent="0.3">
      <c r="B324" s="16">
        <v>0.47388274247299855</v>
      </c>
      <c r="C324" s="16">
        <f t="shared" si="77"/>
        <v>5.4511842837072409E-2</v>
      </c>
      <c r="D324" s="16" t="str">
        <f t="shared" si="73"/>
        <v xml:space="preserve"> </v>
      </c>
      <c r="E324" s="16" t="str">
        <f t="shared" si="74"/>
        <v xml:space="preserve"> </v>
      </c>
      <c r="F324" s="16" t="str">
        <f t="shared" si="75"/>
        <v xml:space="preserve"> </v>
      </c>
      <c r="G324" s="16">
        <f t="shared" si="78"/>
        <v>1.039891671106845E-2</v>
      </c>
      <c r="H324" s="16">
        <f t="shared" si="79"/>
        <v>-3.1922946900285361E-2</v>
      </c>
      <c r="I324" s="16">
        <f t="shared" si="80"/>
        <v>-3.1912109571811488E-2</v>
      </c>
      <c r="J324" s="16">
        <f t="shared" si="76"/>
        <v>1.039891671106845E-2</v>
      </c>
      <c r="K324" s="16">
        <f t="shared" si="81"/>
        <v>-3.1912109571811488E-2</v>
      </c>
      <c r="L324" s="16">
        <f t="shared" si="82"/>
        <v>0.47562203512856249</v>
      </c>
      <c r="M324" s="16">
        <f t="shared" si="83"/>
        <v>6.4883004943799158E-2</v>
      </c>
      <c r="N324" s="16">
        <f t="shared" si="84"/>
        <v>0.47214344981743461</v>
      </c>
      <c r="O324" s="16">
        <f t="shared" si="85"/>
        <v>-4.4085171521662254E-2</v>
      </c>
      <c r="R324" s="5">
        <f t="shared" si="86"/>
        <v>-0.5</v>
      </c>
    </row>
    <row r="325" spans="2:18" x14ac:dyDescent="0.3">
      <c r="B325" s="16">
        <v>0.47656234696057043</v>
      </c>
      <c r="C325" s="16">
        <f t="shared" si="77"/>
        <v>5.4357835728261999E-2</v>
      </c>
      <c r="D325" s="16" t="str">
        <f t="shared" si="73"/>
        <v xml:space="preserve"> </v>
      </c>
      <c r="E325" s="16" t="str">
        <f t="shared" si="74"/>
        <v xml:space="preserve"> </v>
      </c>
      <c r="F325" s="16" t="str">
        <f t="shared" si="75"/>
        <v xml:space="preserve"> </v>
      </c>
      <c r="G325" s="16">
        <f t="shared" si="78"/>
        <v>1.0313474787313143E-2</v>
      </c>
      <c r="H325" s="16">
        <f t="shared" si="79"/>
        <v>-3.1848966247828354E-2</v>
      </c>
      <c r="I325" s="16">
        <f t="shared" si="80"/>
        <v>-3.1838204060173167E-2</v>
      </c>
      <c r="J325" s="16">
        <f t="shared" si="76"/>
        <v>1.0313474787313143E-2</v>
      </c>
      <c r="K325" s="16">
        <f t="shared" si="81"/>
        <v>-3.1838204060173167E-2</v>
      </c>
      <c r="L325" s="16">
        <f t="shared" si="82"/>
        <v>0.47829271045556265</v>
      </c>
      <c r="M325" s="16">
        <f t="shared" si="83"/>
        <v>6.4643762355445111E-2</v>
      </c>
      <c r="N325" s="16">
        <f t="shared" si="84"/>
        <v>0.4748319834655782</v>
      </c>
      <c r="O325" s="16">
        <f t="shared" si="85"/>
        <v>-4.4016812780818822E-2</v>
      </c>
      <c r="R325" s="5">
        <f t="shared" si="86"/>
        <v>-0.5</v>
      </c>
    </row>
    <row r="326" spans="2:18" x14ac:dyDescent="0.3">
      <c r="B326" s="16">
        <v>0.47924713829307297</v>
      </c>
      <c r="C326" s="16">
        <f t="shared" si="77"/>
        <v>5.420183455696459E-2</v>
      </c>
      <c r="D326" s="16" t="str">
        <f t="shared" si="73"/>
        <v xml:space="preserve"> </v>
      </c>
      <c r="E326" s="16" t="str">
        <f t="shared" si="74"/>
        <v xml:space="preserve"> </v>
      </c>
      <c r="F326" s="16" t="str">
        <f t="shared" si="75"/>
        <v xml:space="preserve"> </v>
      </c>
      <c r="G326" s="16">
        <f t="shared" si="78"/>
        <v>1.022806732345599E-2</v>
      </c>
      <c r="H326" s="16">
        <f t="shared" si="79"/>
        <v>-3.1774072456769019E-2</v>
      </c>
      <c r="I326" s="16">
        <f t="shared" si="80"/>
        <v>-3.1763385983004967E-2</v>
      </c>
      <c r="J326" s="16">
        <f t="shared" si="76"/>
        <v>1.022806732345599E-2</v>
      </c>
      <c r="K326" s="16">
        <f t="shared" si="81"/>
        <v>-3.1763385983004967E-2</v>
      </c>
      <c r="L326" s="16">
        <f t="shared" si="82"/>
        <v>0.48096848260333319</v>
      </c>
      <c r="M326" s="16">
        <f t="shared" si="83"/>
        <v>6.4402561719860793E-2</v>
      </c>
      <c r="N326" s="16">
        <f t="shared" si="84"/>
        <v>0.47752579398281275</v>
      </c>
      <c r="O326" s="16">
        <f t="shared" si="85"/>
        <v>-4.3946427072948817E-2</v>
      </c>
      <c r="R326" s="5">
        <f t="shared" si="86"/>
        <v>-0.5</v>
      </c>
    </row>
    <row r="327" spans="2:18" x14ac:dyDescent="0.3">
      <c r="B327" s="16">
        <v>0.48193708986638928</v>
      </c>
      <c r="C327" s="16">
        <f t="shared" si="77"/>
        <v>5.4043845574033703E-2</v>
      </c>
      <c r="D327" s="16" t="str">
        <f t="shared" si="73"/>
        <v xml:space="preserve"> </v>
      </c>
      <c r="E327" s="16" t="str">
        <f t="shared" si="74"/>
        <v xml:space="preserve"> </v>
      </c>
      <c r="F327" s="16" t="str">
        <f t="shared" si="75"/>
        <v xml:space="preserve"> </v>
      </c>
      <c r="G327" s="16">
        <f t="shared" si="78"/>
        <v>1.0142698397316637E-2</v>
      </c>
      <c r="H327" s="16">
        <f t="shared" si="79"/>
        <v>-3.1698261813998173E-2</v>
      </c>
      <c r="I327" s="16">
        <f t="shared" si="80"/>
        <v>-3.1687651618733249E-2</v>
      </c>
      <c r="J327" s="16">
        <f t="shared" si="76"/>
        <v>1.0142698397316637E-2</v>
      </c>
      <c r="K327" s="16">
        <f t="shared" si="81"/>
        <v>-3.1687651618733249E-2</v>
      </c>
      <c r="L327" s="16">
        <f t="shared" si="82"/>
        <v>0.48364932583874154</v>
      </c>
      <c r="M327" s="16">
        <f t="shared" si="83"/>
        <v>6.415941333264924E-2</v>
      </c>
      <c r="N327" s="16">
        <f t="shared" si="84"/>
        <v>0.48022485389403702</v>
      </c>
      <c r="O327" s="16">
        <f t="shared" si="85"/>
        <v>-4.3874016538015974E-2</v>
      </c>
      <c r="R327" s="5">
        <f t="shared" si="86"/>
        <v>-0.5</v>
      </c>
    </row>
    <row r="328" spans="2:18" x14ac:dyDescent="0.3">
      <c r="B328" s="16">
        <v>0.48463217502526945</v>
      </c>
      <c r="C328" s="16">
        <f t="shared" si="77"/>
        <v>5.38838750571249E-2</v>
      </c>
      <c r="D328" s="16" t="str">
        <f t="shared" si="73"/>
        <v xml:space="preserve"> </v>
      </c>
      <c r="E328" s="16" t="str">
        <f t="shared" si="74"/>
        <v xml:space="preserve"> </v>
      </c>
      <c r="F328" s="16" t="str">
        <f t="shared" si="75"/>
        <v xml:space="preserve"> </v>
      </c>
      <c r="G328" s="16">
        <f t="shared" si="78"/>
        <v>1.0057372106459876E-2</v>
      </c>
      <c r="H328" s="16">
        <f t="shared" si="79"/>
        <v>-3.1621530629905262E-2</v>
      </c>
      <c r="I328" s="16">
        <f t="shared" si="80"/>
        <v>-3.1610997269090717E-2</v>
      </c>
      <c r="J328" s="16">
        <f t="shared" si="76"/>
        <v>1.0057372106459876E-2</v>
      </c>
      <c r="K328" s="16">
        <f t="shared" si="81"/>
        <v>-3.1610997269090717E-2</v>
      </c>
      <c r="L328" s="16">
        <f t="shared" si="82"/>
        <v>0.48633521439100375</v>
      </c>
      <c r="M328" s="16">
        <f t="shared" si="83"/>
        <v>6.391432753554635E-2</v>
      </c>
      <c r="N328" s="16">
        <f t="shared" si="84"/>
        <v>0.48292913565953516</v>
      </c>
      <c r="O328" s="16">
        <f t="shared" si="85"/>
        <v>-4.3799583322626595E-2</v>
      </c>
      <c r="R328" s="5">
        <f t="shared" si="86"/>
        <v>-0.5</v>
      </c>
    </row>
    <row r="329" spans="2:18" x14ac:dyDescent="0.3">
      <c r="B329" s="16">
        <v>0.48733236706359295</v>
      </c>
      <c r="C329" s="16">
        <f t="shared" si="77"/>
        <v>5.3721929309111717E-2</v>
      </c>
      <c r="D329" s="16" t="str">
        <f t="shared" si="73"/>
        <v xml:space="preserve"> </v>
      </c>
      <c r="E329" s="16" t="str">
        <f t="shared" si="74"/>
        <v xml:space="preserve"> </v>
      </c>
      <c r="F329" s="16" t="str">
        <f t="shared" si="75"/>
        <v xml:space="preserve"> </v>
      </c>
      <c r="G329" s="16">
        <f t="shared" si="78"/>
        <v>9.9720925680374106E-3</v>
      </c>
      <c r="H329" s="16">
        <f t="shared" si="79"/>
        <v>-3.1543875238590958E-2</v>
      </c>
      <c r="I329" s="16">
        <f t="shared" si="80"/>
        <v>-3.1533419259329572E-2</v>
      </c>
      <c r="J329" s="16">
        <f t="shared" si="76"/>
        <v>9.9720925680374106E-3</v>
      </c>
      <c r="K329" s="16">
        <f t="shared" si="81"/>
        <v>-3.1533419259329572E-2</v>
      </c>
      <c r="L329" s="16">
        <f t="shared" si="82"/>
        <v>0.4890261224518952</v>
      </c>
      <c r="M329" s="16">
        <f t="shared" si="83"/>
        <v>6.366731471468462E-2</v>
      </c>
      <c r="N329" s="16">
        <f t="shared" si="84"/>
        <v>0.48563861167529071</v>
      </c>
      <c r="O329" s="16">
        <f t="shared" si="85"/>
        <v>-4.3723129578609798E-2</v>
      </c>
      <c r="R329" s="5">
        <f t="shared" si="86"/>
        <v>-0.5</v>
      </c>
    </row>
    <row r="330" spans="2:18" x14ac:dyDescent="0.3">
      <c r="B330" s="16">
        <v>0.49003763922463506</v>
      </c>
      <c r="C330" s="16">
        <f t="shared" si="77"/>
        <v>5.3558014656495068E-2</v>
      </c>
      <c r="D330" s="16" t="str">
        <f t="shared" si="73"/>
        <v xml:space="preserve"> </v>
      </c>
      <c r="E330" s="16" t="str">
        <f t="shared" si="74"/>
        <v xml:space="preserve"> </v>
      </c>
      <c r="F330" s="16" t="str">
        <f t="shared" si="75"/>
        <v xml:space="preserve"> </v>
      </c>
      <c r="G330" s="16">
        <f t="shared" si="78"/>
        <v>9.8868639186269203E-3</v>
      </c>
      <c r="H330" s="16">
        <f t="shared" si="79"/>
        <v>-3.1465291998078918E-2</v>
      </c>
      <c r="I330" s="16">
        <f t="shared" si="80"/>
        <v>-3.1454913938433901E-2</v>
      </c>
      <c r="J330" s="16">
        <f t="shared" si="76"/>
        <v>9.8868639186269203E-3</v>
      </c>
      <c r="K330" s="16">
        <f t="shared" si="81"/>
        <v>-3.1454913938433901E-2</v>
      </c>
      <c r="L330" s="16">
        <f t="shared" si="82"/>
        <v>0.49172202417596511</v>
      </c>
      <c r="M330" s="16">
        <f t="shared" si="83"/>
        <v>6.3418385298848065E-2</v>
      </c>
      <c r="N330" s="16">
        <f t="shared" si="84"/>
        <v>0.488353254273305</v>
      </c>
      <c r="O330" s="16">
        <f t="shared" si="85"/>
        <v>-4.3644657461594225E-2</v>
      </c>
      <c r="R330" s="5">
        <f t="shared" si="86"/>
        <v>-0.5</v>
      </c>
    </row>
    <row r="331" spans="2:18" x14ac:dyDescent="0.3">
      <c r="B331" s="16">
        <v>0.49274796470133042</v>
      </c>
      <c r="C331" s="16">
        <f t="shared" si="77"/>
        <v>5.3392137447806728E-2</v>
      </c>
      <c r="D331" s="16" t="str">
        <f t="shared" si="73"/>
        <v xml:space="preserve"> </v>
      </c>
      <c r="E331" s="16" t="str">
        <f t="shared" si="74"/>
        <v xml:space="preserve"> </v>
      </c>
      <c r="F331" s="16" t="str">
        <f t="shared" si="75"/>
        <v xml:space="preserve"> </v>
      </c>
      <c r="G331" s="16">
        <f t="shared" si="78"/>
        <v>9.8016903140687242E-3</v>
      </c>
      <c r="H331" s="16">
        <f t="shared" si="79"/>
        <v>-3.1385777290526759E-2</v>
      </c>
      <c r="I331" s="16">
        <f t="shared" si="80"/>
        <v>-3.1375477679331305E-2</v>
      </c>
      <c r="J331" s="16">
        <f t="shared" si="76"/>
        <v>9.8016903140687242E-3</v>
      </c>
      <c r="K331" s="16">
        <f t="shared" si="81"/>
        <v>-3.1375477679331305E-2</v>
      </c>
      <c r="L331" s="16">
        <f t="shared" si="82"/>
        <v>0.49442289368074638</v>
      </c>
      <c r="M331" s="16">
        <f t="shared" si="83"/>
        <v>6.3167549757718627E-2</v>
      </c>
      <c r="N331" s="16">
        <f t="shared" si="84"/>
        <v>0.49107303572191446</v>
      </c>
      <c r="O331" s="16">
        <f t="shared" si="85"/>
        <v>-4.3564169129581186E-2</v>
      </c>
      <c r="R331" s="5">
        <f t="shared" si="86"/>
        <v>-0.5</v>
      </c>
    </row>
    <row r="332" spans="2:18" x14ac:dyDescent="0.3">
      <c r="B332" s="16">
        <v>0.4954633166365402</v>
      </c>
      <c r="C332" s="16">
        <f t="shared" si="77"/>
        <v>5.3224304052006975E-2</v>
      </c>
      <c r="D332" s="16" t="str">
        <f t="shared" si="73"/>
        <v xml:space="preserve"> </v>
      </c>
      <c r="E332" s="16" t="str">
        <f t="shared" si="74"/>
        <v xml:space="preserve"> </v>
      </c>
      <c r="F332" s="16" t="str">
        <f t="shared" si="75"/>
        <v xml:space="preserve"> </v>
      </c>
      <c r="G332" s="16">
        <f t="shared" si="78"/>
        <v>9.7165759292998088E-3</v>
      </c>
      <c r="H332" s="16">
        <f t="shared" si="79"/>
        <v>-3.1305327522436123E-2</v>
      </c>
      <c r="I332" s="16">
        <f t="shared" si="80"/>
        <v>-3.129510687910371E-2</v>
      </c>
      <c r="J332" s="16">
        <f t="shared" si="76"/>
        <v>9.7165759292998088E-3</v>
      </c>
      <c r="K332" s="16">
        <f t="shared" si="81"/>
        <v>-3.129510687910371E-2</v>
      </c>
      <c r="L332" s="16">
        <f t="shared" si="82"/>
        <v>0.4971287050469681</v>
      </c>
      <c r="M332" s="16">
        <f t="shared" si="83"/>
        <v>6.291481860011458E-2</v>
      </c>
      <c r="N332" s="16">
        <f t="shared" si="84"/>
        <v>0.49379792822611229</v>
      </c>
      <c r="O332" s="16">
        <f t="shared" si="85"/>
        <v>-4.348166674151497E-2</v>
      </c>
      <c r="R332" s="5">
        <f t="shared" si="86"/>
        <v>-0.5</v>
      </c>
    </row>
    <row r="333" spans="2:18" x14ac:dyDescent="0.3">
      <c r="B333" s="16">
        <v>0.4981836681233166</v>
      </c>
      <c r="C333" s="16">
        <f t="shared" si="77"/>
        <v>5.3054520856876917E-2</v>
      </c>
      <c r="D333" s="16" t="str">
        <f t="shared" si="73"/>
        <v xml:space="preserve"> </v>
      </c>
      <c r="E333" s="16" t="str">
        <f t="shared" si="74"/>
        <v xml:space="preserve"> </v>
      </c>
      <c r="F333" s="16" t="str">
        <f t="shared" si="75"/>
        <v xml:space="preserve"> </v>
      </c>
      <c r="G333" s="16">
        <f t="shared" si="78"/>
        <v>9.6315249581854119E-3</v>
      </c>
      <c r="H333" s="16">
        <f t="shared" si="79"/>
        <v>-3.1223939124861995E-2</v>
      </c>
      <c r="I333" s="16">
        <f t="shared" si="80"/>
        <v>-3.1213797959197528E-2</v>
      </c>
      <c r="J333" s="16">
        <f t="shared" si="76"/>
        <v>9.6315249581854119E-3</v>
      </c>
      <c r="K333" s="16">
        <f t="shared" si="81"/>
        <v>-3.1213797959197528E-2</v>
      </c>
      <c r="L333" s="16">
        <f t="shared" si="82"/>
        <v>0.49983943231876438</v>
      </c>
      <c r="M333" s="16">
        <f t="shared" si="83"/>
        <v>6.2660202372221127E-2</v>
      </c>
      <c r="N333" s="16">
        <f t="shared" si="84"/>
        <v>0.49652790392786883</v>
      </c>
      <c r="O333" s="16">
        <f t="shared" si="85"/>
        <v>-4.3397152455850296E-2</v>
      </c>
      <c r="R333" s="5">
        <f t="shared" si="86"/>
        <v>-0.5</v>
      </c>
    </row>
    <row r="334" spans="2:18" x14ac:dyDescent="0.3">
      <c r="B334" s="16">
        <v>0.50090899220517071</v>
      </c>
      <c r="C334" s="16">
        <f t="shared" si="77"/>
        <v>5.2882794267405581E-2</v>
      </c>
      <c r="D334" s="16" t="str">
        <f t="shared" si="73"/>
        <v xml:space="preserve"> </v>
      </c>
      <c r="E334" s="16" t="str">
        <f t="shared" si="74"/>
        <v xml:space="preserve"> </v>
      </c>
      <c r="F334" s="16" t="str">
        <f t="shared" si="75"/>
        <v xml:space="preserve"> </v>
      </c>
      <c r="G334" s="16">
        <f t="shared" si="78"/>
        <v>9.5465416133480065E-3</v>
      </c>
      <c r="H334" s="16">
        <f t="shared" si="79"/>
        <v>-3.1141608553621098E-2</v>
      </c>
      <c r="I334" s="16">
        <f t="shared" si="80"/>
        <v>-3.1131547365632933E-2</v>
      </c>
      <c r="J334" s="16">
        <f t="shared" si="76"/>
        <v>9.5465416133480065E-3</v>
      </c>
      <c r="K334" s="16">
        <f t="shared" si="81"/>
        <v>-3.1131547365632933E-2</v>
      </c>
      <c r="L334" s="16">
        <f t="shared" si="82"/>
        <v>0.5025550495038853</v>
      </c>
      <c r="M334" s="16">
        <f t="shared" si="83"/>
        <v>6.2403711655813321E-2</v>
      </c>
      <c r="N334" s="16">
        <f t="shared" si="84"/>
        <v>0.49926293490645607</v>
      </c>
      <c r="O334" s="16">
        <f t="shared" si="85"/>
        <v>-4.3310628429117315E-2</v>
      </c>
      <c r="R334" s="5">
        <f t="shared" si="86"/>
        <v>-0.5</v>
      </c>
    </row>
    <row r="335" spans="2:18" x14ac:dyDescent="0.3">
      <c r="B335" s="16">
        <v>0.50363926187633923</v>
      </c>
      <c r="C335" s="16">
        <f t="shared" si="77"/>
        <v>5.27091307041722E-2</v>
      </c>
      <c r="D335" s="16" t="str">
        <f t="shared" si="73"/>
        <v xml:space="preserve"> </v>
      </c>
      <c r="E335" s="16" t="str">
        <f t="shared" si="74"/>
        <v xml:space="preserve"> </v>
      </c>
      <c r="F335" s="16" t="str">
        <f t="shared" si="75"/>
        <v xml:space="preserve"> </v>
      </c>
      <c r="G335" s="16">
        <f t="shared" si="78"/>
        <v>9.4616301259938373E-3</v>
      </c>
      <c r="H335" s="16">
        <f t="shared" si="79"/>
        <v>-3.1058332289499477E-2</v>
      </c>
      <c r="I335" s="16">
        <f t="shared" si="80"/>
        <v>-3.1048351569212401E-2</v>
      </c>
      <c r="J335" s="16">
        <f t="shared" si="76"/>
        <v>9.4616301259938373E-3</v>
      </c>
      <c r="K335" s="16">
        <f t="shared" si="81"/>
        <v>-3.1048351569212401E-2</v>
      </c>
      <c r="L335" s="16">
        <f t="shared" si="82"/>
        <v>0.50527553057390584</v>
      </c>
      <c r="M335" s="16">
        <f t="shared" si="83"/>
        <v>6.2145357066472076E-2</v>
      </c>
      <c r="N335" s="16">
        <f t="shared" si="84"/>
        <v>0.50200299317877262</v>
      </c>
      <c r="O335" s="16">
        <f t="shared" si="85"/>
        <v>-4.3222096814484398E-2</v>
      </c>
      <c r="R335" s="5">
        <f t="shared" si="86"/>
        <v>-0.5</v>
      </c>
    </row>
    <row r="336" spans="2:18" x14ac:dyDescent="0.3">
      <c r="B336" s="16">
        <v>0.50637445008205195</v>
      </c>
      <c r="C336" s="16">
        <f t="shared" si="77"/>
        <v>5.2533536601723795E-2</v>
      </c>
      <c r="D336" s="16" t="str">
        <f t="shared" si="73"/>
        <v xml:space="preserve"> </v>
      </c>
      <c r="E336" s="16" t="str">
        <f t="shared" si="74"/>
        <v xml:space="preserve"> </v>
      </c>
      <c r="F336" s="16" t="str">
        <f t="shared" si="75"/>
        <v xml:space="preserve"> </v>
      </c>
      <c r="G336" s="16">
        <f t="shared" si="78"/>
        <v>9.3767947457369018E-3</v>
      </c>
      <c r="H336" s="16">
        <f t="shared" si="79"/>
        <v>-3.0974106838459196E-2</v>
      </c>
      <c r="I336" s="16">
        <f t="shared" si="80"/>
        <v>-3.0964207065728458E-2</v>
      </c>
      <c r="J336" s="16">
        <f t="shared" si="76"/>
        <v>9.3767947457369018E-3</v>
      </c>
      <c r="K336" s="16">
        <f t="shared" si="81"/>
        <v>-3.0964207065728458E-2</v>
      </c>
      <c r="L336" s="16">
        <f t="shared" si="82"/>
        <v>0.50800084946443425</v>
      </c>
      <c r="M336" s="16">
        <f t="shared" si="83"/>
        <v>6.1885149251792795E-2</v>
      </c>
      <c r="N336" s="16">
        <f t="shared" si="84"/>
        <v>0.50474805069966966</v>
      </c>
      <c r="O336" s="16">
        <f t="shared" si="85"/>
        <v>-4.3131559760318988E-2</v>
      </c>
      <c r="R336" s="5">
        <f t="shared" si="86"/>
        <v>-0.5</v>
      </c>
    </row>
    <row r="337" spans="2:18" x14ac:dyDescent="0.3">
      <c r="B337" s="16">
        <v>0.50911452971880011</v>
      </c>
      <c r="C337" s="16">
        <f t="shared" si="77"/>
        <v>5.2356018406949117E-2</v>
      </c>
      <c r="D337" s="16" t="str">
        <f t="shared" si="73"/>
        <v xml:space="preserve"> </v>
      </c>
      <c r="E337" s="16" t="str">
        <f t="shared" si="74"/>
        <v xml:space="preserve"> </v>
      </c>
      <c r="F337" s="16" t="str">
        <f t="shared" si="75"/>
        <v xml:space="preserve"> </v>
      </c>
      <c r="G337" s="16">
        <f t="shared" si="78"/>
        <v>9.2920397404204508E-3</v>
      </c>
      <c r="H337" s="16">
        <f t="shared" si="79"/>
        <v>-3.0888928731844151E-2</v>
      </c>
      <c r="I337" s="16">
        <f t="shared" si="80"/>
        <v>-3.0879110376170613E-2</v>
      </c>
      <c r="J337" s="16">
        <f t="shared" si="76"/>
        <v>9.2920397404204508E-3</v>
      </c>
      <c r="K337" s="16">
        <f t="shared" si="81"/>
        <v>-3.0879110376170613E-2</v>
      </c>
      <c r="L337" s="16">
        <f t="shared" si="82"/>
        <v>0.5107309800753207</v>
      </c>
      <c r="M337" s="16">
        <f t="shared" si="83"/>
        <v>6.1623098889588251E-2</v>
      </c>
      <c r="N337" s="16">
        <f t="shared" si="84"/>
        <v>0.50749807936227953</v>
      </c>
      <c r="O337" s="16">
        <f t="shared" si="85"/>
        <v>-4.3039019408747353E-2</v>
      </c>
      <c r="R337" s="5">
        <f t="shared" si="86"/>
        <v>-0.5</v>
      </c>
    </row>
    <row r="338" spans="2:18" x14ac:dyDescent="0.3">
      <c r="B338" s="16">
        <v>0.51185947363460449</v>
      </c>
      <c r="C338" s="16">
        <f t="shared" si="77"/>
        <v>5.2176582577447915E-2</v>
      </c>
      <c r="D338" s="16" t="str">
        <f t="shared" si="73"/>
        <v xml:space="preserve"> </v>
      </c>
      <c r="E338" s="16" t="str">
        <f t="shared" si="74"/>
        <v xml:space="preserve"> </v>
      </c>
      <c r="F338" s="16" t="str">
        <f t="shared" si="75"/>
        <v xml:space="preserve"> </v>
      </c>
      <c r="G338" s="16">
        <f t="shared" si="78"/>
        <v>9.2073693959360235E-3</v>
      </c>
      <c r="H338" s="16">
        <f t="shared" si="79"/>
        <v>-3.0802794526585013E-2</v>
      </c>
      <c r="I338" s="16">
        <f t="shared" si="80"/>
        <v>-3.0793058046931478E-2</v>
      </c>
      <c r="J338" s="16">
        <f t="shared" si="76"/>
        <v>9.2073693959360235E-3</v>
      </c>
      <c r="K338" s="16">
        <f t="shared" si="81"/>
        <v>-3.0793058046931478E-2</v>
      </c>
      <c r="L338" s="16">
        <f t="shared" si="82"/>
        <v>0.51346589627086481</v>
      </c>
      <c r="M338" s="16">
        <f t="shared" si="83"/>
        <v>6.1359216686084364E-2</v>
      </c>
      <c r="N338" s="16">
        <f t="shared" si="84"/>
        <v>0.51025305099834417</v>
      </c>
      <c r="O338" s="16">
        <f t="shared" si="85"/>
        <v>-4.294447789421231E-2</v>
      </c>
      <c r="R338" s="5">
        <f t="shared" si="86"/>
        <v>-0.5</v>
      </c>
    </row>
    <row r="339" spans="2:18" x14ac:dyDescent="0.3">
      <c r="B339" s="16">
        <v>0.51460925462928531</v>
      </c>
      <c r="C339" s="16">
        <f t="shared" si="77"/>
        <v>5.1995235579897173E-2</v>
      </c>
      <c r="D339" s="16" t="str">
        <f t="shared" si="73"/>
        <v xml:space="preserve"> </v>
      </c>
      <c r="E339" s="16" t="str">
        <f t="shared" si="74"/>
        <v xml:space="preserve"> </v>
      </c>
      <c r="F339" s="16" t="str">
        <f t="shared" si="75"/>
        <v xml:space="preserve"> </v>
      </c>
      <c r="G339" s="16">
        <f t="shared" si="78"/>
        <v>9.1227880160399104E-3</v>
      </c>
      <c r="H339" s="16">
        <f t="shared" si="79"/>
        <v>-3.0715700805403284E-2</v>
      </c>
      <c r="I339" s="16">
        <f t="shared" si="80"/>
        <v>-3.07060466500121E-2</v>
      </c>
      <c r="J339" s="16">
        <f t="shared" si="76"/>
        <v>9.1227880160399104E-3</v>
      </c>
      <c r="K339" s="16">
        <f t="shared" si="81"/>
        <v>-3.07060466500121E-2</v>
      </c>
      <c r="L339" s="16">
        <f t="shared" si="82"/>
        <v>0.51620557188002358</v>
      </c>
      <c r="M339" s="16">
        <f t="shared" si="83"/>
        <v>6.1093513374110495E-2</v>
      </c>
      <c r="N339" s="16">
        <f t="shared" si="84"/>
        <v>0.51301293737854703</v>
      </c>
      <c r="O339" s="16">
        <f t="shared" si="85"/>
        <v>-4.284793734203067E-2</v>
      </c>
      <c r="R339" s="5">
        <f t="shared" si="86"/>
        <v>-0.5</v>
      </c>
    </row>
    <row r="340" spans="2:18" x14ac:dyDescent="0.3">
      <c r="B340" s="16">
        <v>0.51736384545473046</v>
      </c>
      <c r="C340" s="16">
        <f t="shared" si="77"/>
        <v>5.1811983888413939E-2</v>
      </c>
      <c r="D340" s="16" t="str">
        <f t="shared" si="73"/>
        <v xml:space="preserve"> </v>
      </c>
      <c r="E340" s="16" t="str">
        <f t="shared" si="74"/>
        <v xml:space="preserve"> </v>
      </c>
      <c r="F340" s="16" t="str">
        <f t="shared" si="75"/>
        <v xml:space="preserve"> </v>
      </c>
      <c r="G340" s="16">
        <f t="shared" si="78"/>
        <v>9.0382999221672693E-3</v>
      </c>
      <c r="H340" s="16">
        <f t="shared" si="79"/>
        <v>-3.0627644177014426E-2</v>
      </c>
      <c r="I340" s="16">
        <f t="shared" si="80"/>
        <v>-3.0618072783226435E-2</v>
      </c>
      <c r="J340" s="16">
        <f t="shared" si="76"/>
        <v>9.0382999221672693E-3</v>
      </c>
      <c r="K340" s="16">
        <f t="shared" si="81"/>
        <v>-3.0618072783226435E-2</v>
      </c>
      <c r="L340" s="16">
        <f t="shared" si="82"/>
        <v>0.51894998069661757</v>
      </c>
      <c r="M340" s="16">
        <f t="shared" si="83"/>
        <v>6.0825999711284273E-2</v>
      </c>
      <c r="N340" s="16">
        <f t="shared" si="84"/>
        <v>0.51577771021284335</v>
      </c>
      <c r="O340" s="16">
        <f t="shared" si="85"/>
        <v>-4.2749399866949742E-2</v>
      </c>
      <c r="R340" s="5">
        <f t="shared" si="86"/>
        <v>-0.5</v>
      </c>
    </row>
    <row r="341" spans="2:18" x14ac:dyDescent="0.3">
      <c r="B341" s="16">
        <v>0.52012321881516699</v>
      </c>
      <c r="C341" s="16">
        <f t="shared" si="77"/>
        <v>5.1626833982914989E-2</v>
      </c>
      <c r="D341" s="16" t="str">
        <f t="shared" si="73"/>
        <v xml:space="preserve"> </v>
      </c>
      <c r="E341" s="16" t="str">
        <f t="shared" si="74"/>
        <v xml:space="preserve"> </v>
      </c>
      <c r="F341" s="16" t="str">
        <f t="shared" si="75"/>
        <v xml:space="preserve"> </v>
      </c>
      <c r="G341" s="16">
        <f t="shared" si="78"/>
        <v>8.9539094532436227E-3</v>
      </c>
      <c r="H341" s="16">
        <f t="shared" si="79"/>
        <v>-3.0538621276330107E-2</v>
      </c>
      <c r="I341" s="16">
        <f t="shared" si="80"/>
        <v>-3.0529133070405005E-2</v>
      </c>
      <c r="J341" s="16">
        <f t="shared" si="76"/>
        <v>8.9539094532436227E-3</v>
      </c>
      <c r="K341" s="16">
        <f t="shared" si="81"/>
        <v>-3.0529133070405005E-2</v>
      </c>
      <c r="L341" s="16">
        <f t="shared" si="82"/>
        <v>0.52169909647953872</v>
      </c>
      <c r="M341" s="16">
        <f t="shared" si="83"/>
        <v>6.0556686478190638E-2</v>
      </c>
      <c r="N341" s="16">
        <f t="shared" si="84"/>
        <v>0.51854734115079526</v>
      </c>
      <c r="O341" s="16">
        <f t="shared" si="85"/>
        <v>-4.26488675717034E-2</v>
      </c>
      <c r="R341" s="5">
        <f t="shared" si="86"/>
        <v>-0.5</v>
      </c>
    </row>
    <row r="342" spans="2:18" x14ac:dyDescent="0.3">
      <c r="B342" s="16">
        <v>0.52288734736743059</v>
      </c>
      <c r="C342" s="16">
        <f t="shared" si="77"/>
        <v>5.1439792347474214E-2</v>
      </c>
      <c r="D342" s="16" t="str">
        <f t="shared" si="73"/>
        <v xml:space="preserve"> </v>
      </c>
      <c r="E342" s="16" t="str">
        <f t="shared" si="74"/>
        <v xml:space="preserve"> </v>
      </c>
      <c r="F342" s="16" t="str">
        <f t="shared" si="75"/>
        <v xml:space="preserve"> </v>
      </c>
      <c r="G342" s="16">
        <f t="shared" si="78"/>
        <v>8.8696209654940197E-3</v>
      </c>
      <c r="H342" s="16">
        <f t="shared" si="79"/>
        <v>-3.044862876465949E-2</v>
      </c>
      <c r="I342" s="16">
        <f t="shared" si="80"/>
        <v>-3.0439224161597698E-2</v>
      </c>
      <c r="J342" s="16">
        <f t="shared" si="76"/>
        <v>8.8696209654940197E-3</v>
      </c>
      <c r="K342" s="16">
        <f t="shared" si="81"/>
        <v>-3.0439224161597698E-2</v>
      </c>
      <c r="L342" s="16">
        <f t="shared" si="82"/>
        <v>0.52445289295295616</v>
      </c>
      <c r="M342" s="16">
        <f t="shared" si="83"/>
        <v>6.0285584476556499E-2</v>
      </c>
      <c r="N342" s="16">
        <f t="shared" si="84"/>
        <v>0.52132180178190501</v>
      </c>
      <c r="O342" s="16">
        <f t="shared" si="85"/>
        <v>-4.2546342545568459E-2</v>
      </c>
      <c r="R342" s="5">
        <f t="shared" si="86"/>
        <v>-0.5</v>
      </c>
    </row>
    <row r="343" spans="2:18" x14ac:dyDescent="0.3">
      <c r="B343" s="16">
        <v>0.52565620372123711</v>
      </c>
      <c r="C343" s="16">
        <f t="shared" si="77"/>
        <v>5.1250865468677256E-2</v>
      </c>
      <c r="D343" s="16" t="str">
        <f t="shared" si="73"/>
        <v xml:space="preserve"> </v>
      </c>
      <c r="E343" s="16" t="str">
        <f t="shared" si="74"/>
        <v xml:space="preserve"> </v>
      </c>
      <c r="F343" s="16" t="str">
        <f t="shared" si="75"/>
        <v xml:space="preserve"> </v>
      </c>
      <c r="G343" s="16">
        <f t="shared" si="78"/>
        <v>8.7854388322496646E-3</v>
      </c>
      <c r="H343" s="16">
        <f t="shared" si="79"/>
        <v>-3.0357663329909627E-2</v>
      </c>
      <c r="I343" s="16">
        <f t="shared" si="80"/>
        <v>-3.0348342733275739E-2</v>
      </c>
      <c r="J343" s="16">
        <f t="shared" si="76"/>
        <v>8.7854388322496646E-3</v>
      </c>
      <c r="K343" s="16">
        <f t="shared" si="81"/>
        <v>-3.0348342733275739E-2</v>
      </c>
      <c r="L343" s="16">
        <f t="shared" si="82"/>
        <v>0.5272113438065229</v>
      </c>
      <c r="M343" s="16">
        <f t="shared" si="83"/>
        <v>6.0012704527420163E-2</v>
      </c>
      <c r="N343" s="16">
        <f t="shared" si="84"/>
        <v>0.52410106363595133</v>
      </c>
      <c r="O343" s="16">
        <f t="shared" si="85"/>
        <v>-4.2441826862920834E-2</v>
      </c>
      <c r="R343" s="5">
        <f t="shared" si="86"/>
        <v>-0.5</v>
      </c>
    </row>
    <row r="344" spans="2:18" x14ac:dyDescent="0.3">
      <c r="B344" s="16">
        <v>0.52842976043945322</v>
      </c>
      <c r="C344" s="16">
        <f t="shared" si="77"/>
        <v>5.1060059833974651E-2</v>
      </c>
      <c r="D344" s="16" t="str">
        <f t="shared" si="73"/>
        <v xml:space="preserve"> </v>
      </c>
      <c r="E344" s="16" t="str">
        <f t="shared" si="74"/>
        <v xml:space="preserve"> </v>
      </c>
      <c r="F344" s="16" t="str">
        <f t="shared" si="75"/>
        <v xml:space="preserve"> </v>
      </c>
      <c r="G344" s="16">
        <f t="shared" si="78"/>
        <v>8.7013674437521581E-3</v>
      </c>
      <c r="H344" s="16">
        <f t="shared" si="79"/>
        <v>-3.026572168678493E-2</v>
      </c>
      <c r="I344" s="16">
        <f t="shared" si="80"/>
        <v>-3.0256485488532818E-2</v>
      </c>
      <c r="J344" s="16">
        <f t="shared" si="76"/>
        <v>8.7013674437521581E-3</v>
      </c>
      <c r="K344" s="16">
        <f t="shared" si="81"/>
        <v>-3.0256485488532818E-2</v>
      </c>
      <c r="L344" s="16">
        <f t="shared" si="82"/>
        <v>0.52997442269558104</v>
      </c>
      <c r="M344" s="16">
        <f t="shared" si="83"/>
        <v>5.9738057469297168E-2</v>
      </c>
      <c r="N344" s="16">
        <f t="shared" si="84"/>
        <v>0.52688509818332541</v>
      </c>
      <c r="O344" s="16">
        <f t="shared" si="85"/>
        <v>-4.2335322581792859E-2</v>
      </c>
      <c r="R344" s="5">
        <f t="shared" si="86"/>
        <v>-0.5</v>
      </c>
    </row>
    <row r="345" spans="2:18" x14ac:dyDescent="0.3">
      <c r="B345" s="16">
        <v>0.53120799003836905</v>
      </c>
      <c r="C345" s="16">
        <f t="shared" si="77"/>
        <v>5.0867381930032748E-2</v>
      </c>
      <c r="D345" s="16" t="str">
        <f t="shared" si="73"/>
        <v xml:space="preserve"> </v>
      </c>
      <c r="E345" s="16" t="str">
        <f t="shared" si="74"/>
        <v xml:space="preserve"> </v>
      </c>
      <c r="F345" s="16" t="str">
        <f t="shared" si="75"/>
        <v xml:space="preserve"> </v>
      </c>
      <c r="G345" s="16">
        <f t="shared" si="78"/>
        <v>8.6174112069552448E-3</v>
      </c>
      <c r="H345" s="16">
        <f t="shared" si="79"/>
        <v>-3.0172800576985643E-2</v>
      </c>
      <c r="I345" s="16">
        <f t="shared" si="80"/>
        <v>-3.01636491572853E-2</v>
      </c>
      <c r="J345" s="16">
        <f t="shared" si="76"/>
        <v>8.6174112069552448E-3</v>
      </c>
      <c r="K345" s="16">
        <f t="shared" si="81"/>
        <v>-3.01636491572853E-2</v>
      </c>
      <c r="L345" s="16">
        <f t="shared" si="82"/>
        <v>0.53274210324136873</v>
      </c>
      <c r="M345" s="16">
        <f t="shared" si="83"/>
        <v>5.9461654156341401E-2</v>
      </c>
      <c r="N345" s="16">
        <f t="shared" si="84"/>
        <v>0.52967387683536937</v>
      </c>
      <c r="O345" s="16">
        <f t="shared" si="85"/>
        <v>-4.2226831742430915E-2</v>
      </c>
      <c r="R345" s="5">
        <f t="shared" si="86"/>
        <v>-0.5</v>
      </c>
    </row>
    <row r="346" spans="2:18" x14ac:dyDescent="0.3">
      <c r="B346" s="16">
        <v>0.53399086498797033</v>
      </c>
      <c r="C346" s="16">
        <f t="shared" si="77"/>
        <v>5.0672838241083581E-2</v>
      </c>
      <c r="D346" s="16" t="str">
        <f t="shared" si="73"/>
        <v xml:space="preserve"> </v>
      </c>
      <c r="E346" s="16" t="str">
        <f t="shared" si="74"/>
        <v xml:space="preserve"> </v>
      </c>
      <c r="F346" s="16" t="str">
        <f t="shared" si="75"/>
        <v xml:space="preserve"> </v>
      </c>
      <c r="G346" s="16">
        <f t="shared" si="78"/>
        <v>8.5335745453241837E-3</v>
      </c>
      <c r="H346" s="16">
        <f t="shared" si="79"/>
        <v>-3.007889676940538E-2</v>
      </c>
      <c r="I346" s="16">
        <f t="shared" si="80"/>
        <v>-3.0069830496471588E-2</v>
      </c>
      <c r="J346" s="16">
        <f t="shared" si="76"/>
        <v>8.5335745453241837E-3</v>
      </c>
      <c r="K346" s="16">
        <f t="shared" si="81"/>
        <v>-3.0069830496471588E-2</v>
      </c>
      <c r="L346" s="16">
        <f t="shared" si="82"/>
        <v>0.53551435903122524</v>
      </c>
      <c r="M346" s="16">
        <f t="shared" si="83"/>
        <v>5.9183505456503027E-2</v>
      </c>
      <c r="N346" s="16">
        <f t="shared" si="84"/>
        <v>0.53246737094471541</v>
      </c>
      <c r="O346" s="16">
        <f t="shared" si="85"/>
        <v>-4.211635636585466E-2</v>
      </c>
      <c r="R346" s="5">
        <f t="shared" si="86"/>
        <v>-0.5</v>
      </c>
    </row>
    <row r="347" spans="2:18" x14ac:dyDescent="0.3">
      <c r="B347" s="16">
        <v>0.53677835771221083</v>
      </c>
      <c r="C347" s="16">
        <f t="shared" si="77"/>
        <v>5.0476435247273646E-2</v>
      </c>
      <c r="D347" s="16" t="str">
        <f t="shared" si="73"/>
        <v xml:space="preserve"> </v>
      </c>
      <c r="E347" s="16" t="str">
        <f t="shared" si="74"/>
        <v xml:space="preserve"> </v>
      </c>
      <c r="F347" s="16" t="str">
        <f t="shared" si="75"/>
        <v xml:space="preserve"> </v>
      </c>
      <c r="G347" s="16">
        <f t="shared" si="78"/>
        <v>8.4498618986326764E-3</v>
      </c>
      <c r="H347" s="16">
        <f t="shared" si="79"/>
        <v>-2.9984007060327757E-2</v>
      </c>
      <c r="I347" s="16">
        <f t="shared" si="80"/>
        <v>-2.9975026290250655E-2</v>
      </c>
      <c r="J347" s="16">
        <f t="shared" si="76"/>
        <v>8.4498618986326764E-3</v>
      </c>
      <c r="K347" s="16">
        <f t="shared" si="81"/>
        <v>-2.9975026290250655E-2</v>
      </c>
      <c r="L347" s="16">
        <f t="shared" si="82"/>
        <v>0.53829116361879681</v>
      </c>
      <c r="M347" s="16">
        <f t="shared" si="83"/>
        <v>5.8903622249682909E-2</v>
      </c>
      <c r="N347" s="16">
        <f t="shared" si="84"/>
        <v>0.53526555180562485</v>
      </c>
      <c r="O347" s="16">
        <f t="shared" si="85"/>
        <v>-4.2003898452417553E-2</v>
      </c>
      <c r="R347" s="5">
        <f t="shared" si="86"/>
        <v>-0.5</v>
      </c>
    </row>
    <row r="348" spans="2:18" x14ac:dyDescent="0.3">
      <c r="B348" s="16">
        <v>0.53957044058928638</v>
      </c>
      <c r="C348" s="16">
        <f t="shared" si="77"/>
        <v>5.0278179423011958E-2</v>
      </c>
      <c r="D348" s="16" t="str">
        <f t="shared" si="73"/>
        <v xml:space="preserve"> </v>
      </c>
      <c r="E348" s="16" t="str">
        <f t="shared" si="74"/>
        <v xml:space="preserve"> </v>
      </c>
      <c r="F348" s="16" t="str">
        <f t="shared" si="75"/>
        <v xml:space="preserve"> </v>
      </c>
      <c r="G348" s="16">
        <f t="shared" si="78"/>
        <v>8.366277722757394E-3</v>
      </c>
      <c r="H348" s="16">
        <f t="shared" si="79"/>
        <v>-2.9888128273621941E-2</v>
      </c>
      <c r="I348" s="16">
        <f t="shared" si="80"/>
        <v>-2.9879233350199576E-2</v>
      </c>
      <c r="J348" s="16">
        <f t="shared" si="76"/>
        <v>8.366277722757394E-3</v>
      </c>
      <c r="K348" s="16">
        <f t="shared" si="81"/>
        <v>-2.9879233350199576E-2</v>
      </c>
      <c r="L348" s="16">
        <f t="shared" si="82"/>
        <v>0.54107249052424289</v>
      </c>
      <c r="M348" s="16">
        <f t="shared" si="83"/>
        <v>5.8622015425884189E-2</v>
      </c>
      <c r="N348" s="16">
        <f t="shared" si="84"/>
        <v>0.53806839065432988</v>
      </c>
      <c r="O348" s="16">
        <f t="shared" si="85"/>
        <v>-4.1889459980369401E-2</v>
      </c>
      <c r="R348" s="5">
        <f t="shared" si="86"/>
        <v>-0.5</v>
      </c>
    </row>
    <row r="349" spans="2:18" x14ac:dyDescent="0.3">
      <c r="B349" s="16">
        <v>0.54236708595190763</v>
      </c>
      <c r="C349" s="16">
        <f t="shared" si="77"/>
        <v>5.0078077235317604E-2</v>
      </c>
      <c r="D349" s="16" t="str">
        <f t="shared" si="73"/>
        <v xml:space="preserve"> </v>
      </c>
      <c r="E349" s="16" t="str">
        <f t="shared" si="74"/>
        <v xml:space="preserve"> </v>
      </c>
      <c r="F349" s="16" t="str">
        <f t="shared" si="75"/>
        <v xml:space="preserve"> </v>
      </c>
      <c r="G349" s="16">
        <f t="shared" si="78"/>
        <v>8.282826489470119E-3</v>
      </c>
      <c r="H349" s="16">
        <f t="shared" si="79"/>
        <v>-2.9791257260937346E-2</v>
      </c>
      <c r="I349" s="16">
        <f t="shared" si="80"/>
        <v>-2.9782448515510294E-2</v>
      </c>
      <c r="J349" s="16">
        <f t="shared" si="76"/>
        <v>8.282826489470119E-3</v>
      </c>
      <c r="K349" s="16">
        <f t="shared" si="81"/>
        <v>-2.9782448515510294E-2</v>
      </c>
      <c r="L349" s="16">
        <f t="shared" si="82"/>
        <v>0.54385831323444089</v>
      </c>
      <c r="M349" s="16">
        <f t="shared" si="83"/>
        <v>5.8338695883361012E-2</v>
      </c>
      <c r="N349" s="16">
        <f t="shared" si="84"/>
        <v>0.54087585866937438</v>
      </c>
      <c r="O349" s="16">
        <f t="shared" si="85"/>
        <v>-4.1773042904420778E-2</v>
      </c>
      <c r="R349" s="5">
        <f t="shared" si="86"/>
        <v>-0.5</v>
      </c>
    </row>
    <row r="350" spans="2:18" x14ac:dyDescent="0.3">
      <c r="B350" s="16">
        <v>0.54516826608757496</v>
      </c>
      <c r="C350" s="16">
        <f t="shared" si="77"/>
        <v>4.987613514216728E-2</v>
      </c>
      <c r="D350" s="16" t="str">
        <f t="shared" si="73"/>
        <v xml:space="preserve"> </v>
      </c>
      <c r="E350" s="16" t="str">
        <f t="shared" si="74"/>
        <v xml:space="preserve"> </v>
      </c>
      <c r="F350" s="16" t="str">
        <f t="shared" si="75"/>
        <v xml:space="preserve"> </v>
      </c>
      <c r="G350" s="16">
        <f t="shared" si="78"/>
        <v>8.1995126862274819E-3</v>
      </c>
      <c r="H350" s="16">
        <f t="shared" si="79"/>
        <v>-2.9693390901897231E-2</v>
      </c>
      <c r="I350" s="16">
        <f t="shared" si="80"/>
        <v>-2.9684668653185364E-2</v>
      </c>
      <c r="J350" s="16">
        <f t="shared" si="76"/>
        <v>8.1995126862274819E-3</v>
      </c>
      <c r="K350" s="16">
        <f t="shared" si="81"/>
        <v>-2.9684668653185364E-2</v>
      </c>
      <c r="L350" s="16">
        <f t="shared" si="82"/>
        <v>0.54664860520319247</v>
      </c>
      <c r="M350" s="16">
        <f t="shared" si="83"/>
        <v>5.8053674526764999E-2</v>
      </c>
      <c r="N350" s="16">
        <f t="shared" si="84"/>
        <v>0.54368792697195745</v>
      </c>
      <c r="O350" s="16">
        <f t="shared" si="85"/>
        <v>-4.1654649154310032E-2</v>
      </c>
      <c r="R350" s="5">
        <f t="shared" si="86"/>
        <v>-0.5</v>
      </c>
    </row>
    <row r="351" spans="2:18" x14ac:dyDescent="0.3">
      <c r="B351" s="16">
        <v>0.54797395323885223</v>
      </c>
      <c r="C351" s="16">
        <f t="shared" si="77"/>
        <v>4.9672359590843186E-2</v>
      </c>
      <c r="D351" s="16" t="str">
        <f t="shared" si="73"/>
        <v xml:space="preserve"> </v>
      </c>
      <c r="E351" s="16" t="str">
        <f t="shared" si="74"/>
        <v xml:space="preserve"> </v>
      </c>
      <c r="F351" s="16" t="str">
        <f t="shared" si="75"/>
        <v xml:space="preserve"> </v>
      </c>
      <c r="G351" s="16">
        <f t="shared" si="78"/>
        <v>8.1163408159583526E-3</v>
      </c>
      <c r="H351" s="16">
        <f t="shared" si="79"/>
        <v>-2.9594526104291391E-2</v>
      </c>
      <c r="I351" s="16">
        <f t="shared" si="80"/>
        <v>-2.9585890658232892E-2</v>
      </c>
      <c r="J351" s="16">
        <f t="shared" si="76"/>
        <v>8.1163408159583526E-3</v>
      </c>
      <c r="K351" s="16">
        <f t="shared" si="81"/>
        <v>-2.9585890658232892E-2</v>
      </c>
      <c r="L351" s="16">
        <f t="shared" si="82"/>
        <v>0.54944333985142879</v>
      </c>
      <c r="M351" s="16">
        <f t="shared" si="83"/>
        <v>5.7766962265289795E-2</v>
      </c>
      <c r="N351" s="16">
        <f t="shared" si="84"/>
        <v>0.54650456662627567</v>
      </c>
      <c r="O351" s="16">
        <f t="shared" si="85"/>
        <v>-4.1534280633373097E-2</v>
      </c>
      <c r="R351" s="5">
        <f t="shared" si="86"/>
        <v>-0.5</v>
      </c>
    </row>
    <row r="352" spans="2:18" x14ac:dyDescent="0.3">
      <c r="B352" s="16">
        <v>0.55078411960364337</v>
      </c>
      <c r="C352" s="16">
        <f t="shared" si="77"/>
        <v>4.946675701628122E-2</v>
      </c>
      <c r="D352" s="16" t="str">
        <f t="shared" si="73"/>
        <v xml:space="preserve"> </v>
      </c>
      <c r="E352" s="16" t="str">
        <f t="shared" si="74"/>
        <v xml:space="preserve"> </v>
      </c>
      <c r="F352" s="16" t="str">
        <f t="shared" si="75"/>
        <v xml:space="preserve"> </v>
      </c>
      <c r="G352" s="16">
        <f t="shared" si="78"/>
        <v>8.0333153968487996E-3</v>
      </c>
      <c r="H352" s="16">
        <f t="shared" si="79"/>
        <v>-2.9494659804267756E-2</v>
      </c>
      <c r="I352" s="16">
        <f t="shared" si="80"/>
        <v>-2.9486111453860434E-2</v>
      </c>
      <c r="J352" s="16">
        <f t="shared" si="76"/>
        <v>8.0333153968487996E-3</v>
      </c>
      <c r="K352" s="16">
        <f t="shared" si="81"/>
        <v>-2.9486111453860434E-2</v>
      </c>
      <c r="L352" s="16">
        <f t="shared" si="82"/>
        <v>0.5522424905674177</v>
      </c>
      <c r="M352" s="16">
        <f t="shared" si="83"/>
        <v>5.7478570010813801E-2</v>
      </c>
      <c r="N352" s="16">
        <f t="shared" si="84"/>
        <v>0.54932574863986905</v>
      </c>
      <c r="O352" s="16">
        <f t="shared" si="85"/>
        <v>-4.1411939217116209E-2</v>
      </c>
      <c r="R352" s="5">
        <f t="shared" si="86"/>
        <v>-0.5</v>
      </c>
    </row>
    <row r="353" spans="2:18" x14ac:dyDescent="0.3">
      <c r="B353" s="16">
        <v>0.55359873733546627</v>
      </c>
      <c r="C353" s="16">
        <f t="shared" si="77"/>
        <v>4.9259333839420279E-2</v>
      </c>
      <c r="D353" s="16" t="str">
        <f t="shared" si="73"/>
        <v xml:space="preserve"> </v>
      </c>
      <c r="E353" s="16" t="str">
        <f t="shared" si="74"/>
        <v xml:space="preserve"> </v>
      </c>
      <c r="F353" s="16" t="str">
        <f t="shared" si="75"/>
        <v xml:space="preserve"> </v>
      </c>
      <c r="G353" s="16">
        <f t="shared" si="78"/>
        <v>7.9504409621247978E-3</v>
      </c>
      <c r="H353" s="16">
        <f t="shared" si="79"/>
        <v>-2.939378896652306E-2</v>
      </c>
      <c r="I353" s="16">
        <f t="shared" si="80"/>
        <v>-2.9385327991668084E-2</v>
      </c>
      <c r="J353" s="16">
        <f t="shared" si="76"/>
        <v>7.9504409621247978E-3</v>
      </c>
      <c r="K353" s="16">
        <f t="shared" si="81"/>
        <v>-2.9385327991668084E-2</v>
      </c>
      <c r="L353" s="16">
        <f t="shared" si="82"/>
        <v>0.55504603070696856</v>
      </c>
      <c r="M353" s="16">
        <f t="shared" si="83"/>
        <v>5.7188508676041652E-2</v>
      </c>
      <c r="N353" s="16">
        <f t="shared" si="84"/>
        <v>0.55215144396396398</v>
      </c>
      <c r="O353" s="16">
        <f t="shared" si="85"/>
        <v>-4.1287626751792053E-2</v>
      </c>
      <c r="R353" s="5">
        <f t="shared" si="86"/>
        <v>-0.5</v>
      </c>
    </row>
    <row r="354" spans="2:18" x14ac:dyDescent="0.3">
      <c r="B354" s="16">
        <v>0.55641777854372954</v>
      </c>
      <c r="C354" s="16">
        <f t="shared" si="77"/>
        <v>4.9050096465552882E-2</v>
      </c>
      <c r="D354" s="16" t="str">
        <f t="shared" si="73"/>
        <v xml:space="preserve"> </v>
      </c>
      <c r="E354" s="16" t="str">
        <f t="shared" si="74"/>
        <v xml:space="preserve"> </v>
      </c>
      <c r="F354" s="16" t="str">
        <f t="shared" si="75"/>
        <v xml:space="preserve"> </v>
      </c>
      <c r="G354" s="16">
        <f t="shared" si="78"/>
        <v>7.8677220598325041E-3</v>
      </c>
      <c r="H354" s="16">
        <f t="shared" si="79"/>
        <v>-2.9291910584492431E-2</v>
      </c>
      <c r="I354" s="16">
        <f t="shared" si="80"/>
        <v>-2.9283537251840554E-2</v>
      </c>
      <c r="J354" s="16">
        <f t="shared" si="76"/>
        <v>7.8677220598325041E-3</v>
      </c>
      <c r="K354" s="16">
        <f t="shared" si="81"/>
        <v>-2.9283537251840554E-2</v>
      </c>
      <c r="L354" s="16">
        <f t="shared" si="82"/>
        <v>0.55785393359363911</v>
      </c>
      <c r="M354" s="16">
        <f t="shared" si="83"/>
        <v>5.6896789172644902E-2</v>
      </c>
      <c r="N354" s="16">
        <f t="shared" si="84"/>
        <v>0.55498162349381996</v>
      </c>
      <c r="O354" s="16">
        <f t="shared" si="85"/>
        <v>-4.11613450529799E-2</v>
      </c>
      <c r="R354" s="5">
        <f t="shared" si="86"/>
        <v>-0.5</v>
      </c>
    </row>
    <row r="355" spans="2:18" x14ac:dyDescent="0.3">
      <c r="B355" s="16">
        <v>0.55924121529400872</v>
      </c>
      <c r="C355" s="16">
        <f t="shared" si="77"/>
        <v>4.8839051282676849E-2</v>
      </c>
      <c r="D355" s="16" t="str">
        <f t="shared" si="73"/>
        <v xml:space="preserve"> </v>
      </c>
      <c r="E355" s="16" t="str">
        <f t="shared" si="74"/>
        <v xml:space="preserve"> </v>
      </c>
      <c r="F355" s="16" t="str">
        <f t="shared" si="75"/>
        <v xml:space="preserve"> </v>
      </c>
      <c r="G355" s="16">
        <f t="shared" si="78"/>
        <v>7.7851632526162468E-3</v>
      </c>
      <c r="H355" s="16">
        <f t="shared" si="79"/>
        <v>-2.918902168053799E-2</v>
      </c>
      <c r="I355" s="16">
        <f t="shared" si="80"/>
        <v>-2.9180736243338338E-2</v>
      </c>
      <c r="J355" s="16">
        <f t="shared" si="76"/>
        <v>7.7851632526162468E-3</v>
      </c>
      <c r="K355" s="16">
        <f t="shared" si="81"/>
        <v>-2.9180736243338338E-2</v>
      </c>
      <c r="L355" s="16">
        <f t="shared" si="82"/>
        <v>0.56066617251894224</v>
      </c>
      <c r="M355" s="16">
        <f t="shared" si="83"/>
        <v>5.660342240940152E-2</v>
      </c>
      <c r="N355" s="16">
        <f t="shared" si="84"/>
        <v>0.5578162580690752</v>
      </c>
      <c r="O355" s="16">
        <f t="shared" si="85"/>
        <v>-4.103309590416903E-2</v>
      </c>
      <c r="R355" s="5">
        <f t="shared" si="86"/>
        <v>-0.5</v>
      </c>
    </row>
    <row r="356" spans="2:18" x14ac:dyDescent="0.3">
      <c r="B356" s="16">
        <v>0.56206901960832267</v>
      </c>
      <c r="C356" s="16">
        <f t="shared" si="77"/>
        <v>4.862620465984948E-2</v>
      </c>
      <c r="D356" s="16" t="str">
        <f t="shared" si="73"/>
        <v xml:space="preserve"> </v>
      </c>
      <c r="E356" s="16" t="str">
        <f t="shared" si="74"/>
        <v xml:space="preserve"> </v>
      </c>
      <c r="F356" s="16" t="str">
        <f t="shared" si="75"/>
        <v xml:space="preserve"> </v>
      </c>
      <c r="G356" s="16">
        <f t="shared" si="78"/>
        <v>7.7027691174942053E-3</v>
      </c>
      <c r="H356" s="16">
        <f t="shared" si="79"/>
        <v>-2.908511930613639E-2</v>
      </c>
      <c r="I356" s="16">
        <f t="shared" si="80"/>
        <v>-2.9076922004087923E-2</v>
      </c>
      <c r="J356" s="16">
        <f t="shared" si="76"/>
        <v>7.7027691174942053E-3</v>
      </c>
      <c r="K356" s="16">
        <f t="shared" si="81"/>
        <v>-2.9076922004087923E-2</v>
      </c>
      <c r="L356" s="16">
        <f t="shared" si="82"/>
        <v>0.56348272074255212</v>
      </c>
      <c r="M356" s="16">
        <f t="shared" si="83"/>
        <v>5.6308419290335698E-2</v>
      </c>
      <c r="N356" s="16">
        <f t="shared" si="84"/>
        <v>0.56065531847409322</v>
      </c>
      <c r="O356" s="16">
        <f t="shared" si="85"/>
        <v>-4.0902881055347284E-2</v>
      </c>
      <c r="R356" s="5">
        <f t="shared" si="86"/>
        <v>-0.5</v>
      </c>
    </row>
    <row r="357" spans="2:18" x14ac:dyDescent="0.3">
      <c r="B357" s="16">
        <v>0.56490116346541219</v>
      </c>
      <c r="C357" s="16">
        <f t="shared" si="77"/>
        <v>4.8411562945543482E-2</v>
      </c>
      <c r="D357" s="16" t="str">
        <f t="shared" si="73"/>
        <v xml:space="preserve"> </v>
      </c>
      <c r="E357" s="16" t="str">
        <f t="shared" si="74"/>
        <v xml:space="preserve"> </v>
      </c>
      <c r="F357" s="16" t="str">
        <f t="shared" si="75"/>
        <v xml:space="preserve"> </v>
      </c>
      <c r="G357" s="16">
        <f t="shared" si="78"/>
        <v>7.6205442456317085E-3</v>
      </c>
      <c r="H357" s="16">
        <f t="shared" si="79"/>
        <v>-2.8980200542065286E-2</v>
      </c>
      <c r="I357" s="16">
        <f t="shared" si="80"/>
        <v>-2.8972091601171007E-2</v>
      </c>
      <c r="J357" s="16">
        <f t="shared" si="76"/>
        <v>7.6205442456317085E-3</v>
      </c>
      <c r="K357" s="16">
        <f t="shared" si="81"/>
        <v>-2.8972091601171007E-2</v>
      </c>
      <c r="L357" s="16">
        <f t="shared" si="82"/>
        <v>0.56630355149251288</v>
      </c>
      <c r="M357" s="16">
        <f t="shared" si="83"/>
        <v>5.6011790712857196E-2</v>
      </c>
      <c r="N357" s="16">
        <f t="shared" si="84"/>
        <v>0.56349877543831151</v>
      </c>
      <c r="O357" s="16">
        <f t="shared" si="85"/>
        <v>-4.0770702221593777E-2</v>
      </c>
      <c r="R357" s="5">
        <f t="shared" si="86"/>
        <v>-0.5</v>
      </c>
    </row>
    <row r="358" spans="2:18" x14ac:dyDescent="0.3">
      <c r="B358" s="16">
        <v>0.56773761880101548</v>
      </c>
      <c r="C358" s="16">
        <f t="shared" si="77"/>
        <v>4.8195132466005444E-2</v>
      </c>
      <c r="D358" s="16" t="str">
        <f t="shared" si="73"/>
        <v xml:space="preserve"> </v>
      </c>
      <c r="E358" s="16" t="str">
        <f t="shared" si="74"/>
        <v xml:space="preserve"> </v>
      </c>
      <c r="F358" s="16" t="str">
        <f t="shared" si="75"/>
        <v xml:space="preserve"> </v>
      </c>
      <c r="G358" s="16">
        <f t="shared" si="78"/>
        <v>7.5384932421123756E-3</v>
      </c>
      <c r="H358" s="16">
        <f t="shared" si="79"/>
        <v>-2.8874262498588835E-2</v>
      </c>
      <c r="I358" s="16">
        <f t="shared" si="80"/>
        <v>-2.8866242131012829E-2</v>
      </c>
      <c r="J358" s="16">
        <f t="shared" si="76"/>
        <v>7.5384932421123756E-3</v>
      </c>
      <c r="K358" s="16">
        <f t="shared" si="81"/>
        <v>-2.8866242131012829E-2</v>
      </c>
      <c r="L358" s="16">
        <f t="shared" si="82"/>
        <v>0.56912863796544433</v>
      </c>
      <c r="M358" s="16">
        <f t="shared" si="83"/>
        <v>5.5713547565901189E-2</v>
      </c>
      <c r="N358" s="16">
        <f t="shared" si="84"/>
        <v>0.56634659963658662</v>
      </c>
      <c r="O358" s="16">
        <f t="shared" si="85"/>
        <v>-4.0636561081676445E-2</v>
      </c>
      <c r="R358" s="5">
        <f t="shared" si="86"/>
        <v>-0.5</v>
      </c>
    </row>
    <row r="359" spans="2:18" x14ac:dyDescent="0.3">
      <c r="B359" s="16">
        <v>0.57057835750814878</v>
      </c>
      <c r="C359" s="16">
        <f t="shared" si="77"/>
        <v>4.7976919523617566E-2</v>
      </c>
      <c r="D359" s="16" t="str">
        <f t="shared" si="73"/>
        <v xml:space="preserve"> </v>
      </c>
      <c r="E359" s="16" t="str">
        <f t="shared" si="74"/>
        <v xml:space="preserve"> </v>
      </c>
      <c r="F359" s="16" t="str">
        <f t="shared" si="75"/>
        <v xml:space="preserve"> </v>
      </c>
      <c r="G359" s="16">
        <f t="shared" si="78"/>
        <v>7.4566207257068E-3</v>
      </c>
      <c r="H359" s="16">
        <f t="shared" si="79"/>
        <v>-2.8767302315642018E-2</v>
      </c>
      <c r="I359" s="16">
        <f t="shared" si="80"/>
        <v>-2.8759370719569431E-2</v>
      </c>
      <c r="J359" s="16">
        <f t="shared" si="76"/>
        <v>7.4566207257068E-3</v>
      </c>
      <c r="K359" s="16">
        <f t="shared" si="81"/>
        <v>-2.8759370719569431E-2</v>
      </c>
      <c r="L359" s="16">
        <f t="shared" si="82"/>
        <v>0.57195795332675214</v>
      </c>
      <c r="M359" s="16">
        <f t="shared" si="83"/>
        <v>5.5413700728068997E-2</v>
      </c>
      <c r="N359" s="16">
        <f t="shared" si="84"/>
        <v>0.56919876168954542</v>
      </c>
      <c r="O359" s="16">
        <f t="shared" si="85"/>
        <v>-4.0500459276655403E-2</v>
      </c>
      <c r="R359" s="5">
        <f t="shared" si="86"/>
        <v>-0.5</v>
      </c>
    </row>
    <row r="360" spans="2:18" x14ac:dyDescent="0.3">
      <c r="B360" s="16">
        <v>0.5734233514373821</v>
      </c>
      <c r="C360" s="16">
        <f t="shared" si="77"/>
        <v>4.7756930395262014E-2</v>
      </c>
      <c r="D360" s="16" t="str">
        <f t="shared" si="73"/>
        <v xml:space="preserve"> </v>
      </c>
      <c r="E360" s="16" t="str">
        <f t="shared" si="74"/>
        <v xml:space="preserve"> </v>
      </c>
      <c r="F360" s="16" t="str">
        <f t="shared" si="75"/>
        <v xml:space="preserve"> </v>
      </c>
      <c r="G360" s="16">
        <f t="shared" si="78"/>
        <v>7.3749313286391631E-3</v>
      </c>
      <c r="H360" s="16">
        <f t="shared" si="79"/>
        <v>-2.8659317163014016E-2</v>
      </c>
      <c r="I360" s="16">
        <f t="shared" si="80"/>
        <v>-2.8651474522514028E-2</v>
      </c>
      <c r="J360" s="16">
        <f t="shared" si="76"/>
        <v>7.3749313286391631E-3</v>
      </c>
      <c r="K360" s="16">
        <f t="shared" si="81"/>
        <v>-2.8651474522514028E-2</v>
      </c>
      <c r="L360" s="16">
        <f t="shared" si="82"/>
        <v>0.57479147071083392</v>
      </c>
      <c r="M360" s="16">
        <f t="shared" si="83"/>
        <v>5.5112261065769524E-2</v>
      </c>
      <c r="N360" s="16">
        <f t="shared" si="84"/>
        <v>0.57205523216393028</v>
      </c>
      <c r="O360" s="16">
        <f t="shared" si="85"/>
        <v>-4.0362398408491193E-2</v>
      </c>
      <c r="R360" s="5">
        <f t="shared" si="86"/>
        <v>-0.5</v>
      </c>
    </row>
    <row r="361" spans="2:18" x14ac:dyDescent="0.3">
      <c r="B361" s="16">
        <v>0.57627257239712093</v>
      </c>
      <c r="C361" s="16">
        <f t="shared" si="77"/>
        <v>4.7535171330689088E-2</v>
      </c>
      <c r="D361" s="16" t="str">
        <f t="shared" si="73"/>
        <v xml:space="preserve"> </v>
      </c>
      <c r="E361" s="16" t="str">
        <f t="shared" si="74"/>
        <v xml:space="preserve"> </v>
      </c>
      <c r="F361" s="16" t="str">
        <f t="shared" si="75"/>
        <v xml:space="preserve"> </v>
      </c>
      <c r="G361" s="16">
        <f t="shared" si="78"/>
        <v>7.2934296963513799E-3</v>
      </c>
      <c r="H361" s="16">
        <f t="shared" si="79"/>
        <v>-2.8550304240530389E-2</v>
      </c>
      <c r="I361" s="16">
        <f t="shared" si="80"/>
        <v>-2.8542550725422305E-2</v>
      </c>
      <c r="J361" s="16">
        <f t="shared" si="76"/>
        <v>7.2934296963513799E-3</v>
      </c>
      <c r="K361" s="16">
        <f t="shared" si="81"/>
        <v>-2.8542550725422305E-2</v>
      </c>
      <c r="L361" s="16">
        <f t="shared" si="82"/>
        <v>0.57762916322129065</v>
      </c>
      <c r="M361" s="16">
        <f t="shared" si="83"/>
        <v>5.480923943136215E-2</v>
      </c>
      <c r="N361" s="16">
        <f t="shared" si="84"/>
        <v>0.57491598157295121</v>
      </c>
      <c r="O361" s="16">
        <f t="shared" si="85"/>
        <v>-4.0222380038659397E-2</v>
      </c>
      <c r="R361" s="5">
        <f t="shared" si="86"/>
        <v>-0.5</v>
      </c>
    </row>
    <row r="362" spans="2:18" x14ac:dyDescent="0.3">
      <c r="B362" s="16">
        <v>0.5791259921538835</v>
      </c>
      <c r="C362" s="16">
        <f t="shared" si="77"/>
        <v>4.7311648550889228E-2</v>
      </c>
      <c r="D362" s="16" t="str">
        <f t="shared" si="73"/>
        <v xml:space="preserve"> </v>
      </c>
      <c r="E362" s="16" t="str">
        <f t="shared" si="74"/>
        <v xml:space="preserve"> </v>
      </c>
      <c r="F362" s="16" t="str">
        <f t="shared" si="75"/>
        <v xml:space="preserve"> </v>
      </c>
      <c r="G362" s="16">
        <f t="shared" si="78"/>
        <v>7.212120487265195E-3</v>
      </c>
      <c r="H362" s="16">
        <f t="shared" si="79"/>
        <v>-2.8440260778234264E-2</v>
      </c>
      <c r="I362" s="16">
        <f t="shared" si="80"/>
        <v>-2.8432596543956773E-2</v>
      </c>
      <c r="J362" s="16">
        <f t="shared" si="76"/>
        <v>7.212120487265195E-3</v>
      </c>
      <c r="K362" s="16">
        <f t="shared" si="81"/>
        <v>-2.8432596543956773E-2</v>
      </c>
      <c r="L362" s="16">
        <f t="shared" si="82"/>
        <v>0.5804710039311346</v>
      </c>
      <c r="M362" s="16">
        <f t="shared" si="83"/>
        <v>5.4504646661301559E-2</v>
      </c>
      <c r="N362" s="16">
        <f t="shared" si="84"/>
        <v>0.57778098037663239</v>
      </c>
      <c r="O362" s="16">
        <f t="shared" si="85"/>
        <v>-4.0080405686771167E-2</v>
      </c>
      <c r="R362" s="5">
        <f t="shared" si="86"/>
        <v>-0.5</v>
      </c>
    </row>
    <row r="363" spans="2:18" x14ac:dyDescent="0.3">
      <c r="B363" s="16">
        <v>0.58198358243258186</v>
      </c>
      <c r="C363" s="16">
        <f t="shared" si="77"/>
        <v>4.7086368246469057E-2</v>
      </c>
      <c r="D363" s="16" t="str">
        <f t="shared" si="73"/>
        <v xml:space="preserve"> </v>
      </c>
      <c r="E363" s="16" t="str">
        <f t="shared" si="74"/>
        <v xml:space="preserve"> </v>
      </c>
      <c r="F363" s="16" t="str">
        <f t="shared" si="75"/>
        <v xml:space="preserve"> </v>
      </c>
      <c r="G363" s="16">
        <f t="shared" si="78"/>
        <v>7.1310083725419039E-3</v>
      </c>
      <c r="H363" s="16">
        <f t="shared" si="79"/>
        <v>-2.8329184036566368E-2</v>
      </c>
      <c r="I363" s="16">
        <f t="shared" si="80"/>
        <v>-2.8321609224050109E-2</v>
      </c>
      <c r="J363" s="16">
        <f t="shared" si="76"/>
        <v>7.1310083725419039E-3</v>
      </c>
      <c r="K363" s="16">
        <f t="shared" si="81"/>
        <v>-2.8321609224050109E-2</v>
      </c>
      <c r="L363" s="16">
        <f t="shared" si="82"/>
        <v>0.58331696588300042</v>
      </c>
      <c r="M363" s="16">
        <f t="shared" si="83"/>
        <v>5.4198493574284294E-2</v>
      </c>
      <c r="N363" s="16">
        <f t="shared" si="84"/>
        <v>0.5806501989821633</v>
      </c>
      <c r="O363" s="16">
        <f t="shared" si="85"/>
        <v>-3.9936476829200492E-2</v>
      </c>
      <c r="R363" s="5">
        <f t="shared" si="86"/>
        <v>-0.5</v>
      </c>
    </row>
    <row r="364" spans="2:18" x14ac:dyDescent="0.3">
      <c r="B364" s="16">
        <v>0.58484531491680136</v>
      </c>
      <c r="C364" s="16">
        <f t="shared" si="77"/>
        <v>4.6859336576031869E-2</v>
      </c>
      <c r="D364" s="16" t="str">
        <f t="shared" si="73"/>
        <v xml:space="preserve"> </v>
      </c>
      <c r="E364" s="16" t="str">
        <f t="shared" si="74"/>
        <v xml:space="preserve"> </v>
      </c>
      <c r="F364" s="16" t="str">
        <f t="shared" si="75"/>
        <v xml:space="preserve"> </v>
      </c>
      <c r="G364" s="16">
        <f t="shared" si="78"/>
        <v>7.0500980358399494E-3</v>
      </c>
      <c r="H364" s="16">
        <f t="shared" si="79"/>
        <v>-2.8217071306543991E-2</v>
      </c>
      <c r="I364" s="16">
        <f t="shared" si="80"/>
        <v>-2.8209586042087471E-2</v>
      </c>
      <c r="J364" s="16">
        <f t="shared" si="76"/>
        <v>7.0500980358399494E-3</v>
      </c>
      <c r="K364" s="16">
        <f t="shared" si="81"/>
        <v>-2.8209586042087471E-2</v>
      </c>
      <c r="L364" s="16">
        <f t="shared" si="82"/>
        <v>0.58616702208935545</v>
      </c>
      <c r="M364" s="16">
        <f t="shared" si="83"/>
        <v>5.3890790969397806E-2</v>
      </c>
      <c r="N364" s="16">
        <f t="shared" si="84"/>
        <v>0.58352360774424727</v>
      </c>
      <c r="O364" s="16">
        <f t="shared" si="85"/>
        <v>-3.9790594897717912E-2</v>
      </c>
      <c r="R364" s="5">
        <f t="shared" si="86"/>
        <v>-0.5</v>
      </c>
    </row>
    <row r="365" spans="2:18" x14ac:dyDescent="0.3">
      <c r="B365" s="16">
        <v>0.58771116124908085</v>
      </c>
      <c r="C365" s="16">
        <f t="shared" si="77"/>
        <v>4.6630559664563295E-2</v>
      </c>
      <c r="D365" s="16" t="str">
        <f t="shared" si="73"/>
        <v xml:space="preserve"> </v>
      </c>
      <c r="E365" s="16" t="str">
        <f t="shared" si="74"/>
        <v xml:space="preserve"> </v>
      </c>
      <c r="F365" s="16" t="str">
        <f t="shared" si="75"/>
        <v xml:space="preserve"> </v>
      </c>
      <c r="G365" s="16">
        <f t="shared" si="78"/>
        <v>6.9693941730702849E-3</v>
      </c>
      <c r="H365" s="16">
        <f t="shared" si="79"/>
        <v>-2.8103919909938872E-2</v>
      </c>
      <c r="I365" s="16">
        <f t="shared" si="80"/>
        <v>-2.8096524305087831E-2</v>
      </c>
      <c r="J365" s="16">
        <f t="shared" si="76"/>
        <v>6.9693941730702849E-3</v>
      </c>
      <c r="K365" s="16">
        <f t="shared" si="81"/>
        <v>-2.8096524305087831E-2</v>
      </c>
      <c r="L365" s="16">
        <f t="shared" si="82"/>
        <v>0.58902114553271101</v>
      </c>
      <c r="M365" s="16">
        <f t="shared" si="83"/>
        <v>5.3581549624272487E-2</v>
      </c>
      <c r="N365" s="16">
        <f t="shared" si="84"/>
        <v>0.58640117696545069</v>
      </c>
      <c r="O365" s="16">
        <f t="shared" si="85"/>
        <v>-3.9642761278131919E-2</v>
      </c>
      <c r="R365" s="5">
        <f t="shared" si="86"/>
        <v>-0.5</v>
      </c>
    </row>
    <row r="366" spans="2:18" x14ac:dyDescent="0.3">
      <c r="B366" s="16">
        <v>0.59058109303119544</v>
      </c>
      <c r="C366" s="16">
        <f t="shared" si="77"/>
        <v>4.6400043601821379E-2</v>
      </c>
      <c r="D366" s="16" t="str">
        <f t="shared" si="73"/>
        <v xml:space="preserve"> </v>
      </c>
      <c r="E366" s="16" t="str">
        <f t="shared" si="74"/>
        <v xml:space="preserve"> </v>
      </c>
      <c r="F366" s="16" t="str">
        <f t="shared" si="75"/>
        <v xml:space="preserve"> </v>
      </c>
      <c r="G366" s="16">
        <f t="shared" si="78"/>
        <v>6.8889014921495271E-3</v>
      </c>
      <c r="H366" s="16">
        <f t="shared" si="79"/>
        <v>-2.7989727199453834E-2</v>
      </c>
      <c r="I366" s="16">
        <f t="shared" si="80"/>
        <v>-2.7982421350884187E-2</v>
      </c>
      <c r="J366" s="16">
        <f t="shared" si="76"/>
        <v>6.8889014921495271E-3</v>
      </c>
      <c r="K366" s="16">
        <f t="shared" si="81"/>
        <v>-2.7982421350884187E-2</v>
      </c>
      <c r="L366" s="16">
        <f t="shared" si="82"/>
        <v>0.59187930916583598</v>
      </c>
      <c r="M366" s="16">
        <f t="shared" si="83"/>
        <v>5.3270780293236099E-2</v>
      </c>
      <c r="N366" s="16">
        <f t="shared" si="84"/>
        <v>0.5892828768965549</v>
      </c>
      <c r="O366" s="16">
        <f t="shared" si="85"/>
        <v>-3.9492977308937048E-2</v>
      </c>
      <c r="R366" s="5">
        <f t="shared" si="86"/>
        <v>-0.5</v>
      </c>
    </row>
    <row r="367" spans="2:18" x14ac:dyDescent="0.3">
      <c r="B367" s="16">
        <v>0.59345508182443574</v>
      </c>
      <c r="C367" s="16">
        <f t="shared" si="77"/>
        <v>4.6167794440732955E-2</v>
      </c>
      <c r="D367" s="16" t="str">
        <f t="shared" si="73"/>
        <v xml:space="preserve"> </v>
      </c>
      <c r="E367" s="16" t="str">
        <f t="shared" si="74"/>
        <v xml:space="preserve"> </v>
      </c>
      <c r="F367" s="16" t="str">
        <f t="shared" si="75"/>
        <v xml:space="preserve"> </v>
      </c>
      <c r="G367" s="16">
        <f t="shared" si="78"/>
        <v>6.8086247127509755E-3</v>
      </c>
      <c r="H367" s="16">
        <f t="shared" si="79"/>
        <v>-2.7874490558898485E-2</v>
      </c>
      <c r="I367" s="16">
        <f t="shared" si="80"/>
        <v>-2.7867274548302876E-2</v>
      </c>
      <c r="J367" s="16">
        <f t="shared" si="76"/>
        <v>6.8086247127509755E-3</v>
      </c>
      <c r="K367" s="16">
        <f t="shared" si="81"/>
        <v>-2.7867274548302876E-2</v>
      </c>
      <c r="L367" s="16">
        <f t="shared" si="82"/>
        <v>0.59474148591196774</v>
      </c>
      <c r="M367" s="16">
        <f t="shared" si="83"/>
        <v>5.2958493705472433E-2</v>
      </c>
      <c r="N367" s="16">
        <f t="shared" si="84"/>
        <v>0.59216867773690374</v>
      </c>
      <c r="O367" s="16">
        <f t="shared" si="85"/>
        <v>-3.9341244279970482E-2</v>
      </c>
      <c r="R367" s="5">
        <f t="shared" si="86"/>
        <v>-0.5</v>
      </c>
    </row>
    <row r="368" spans="2:18" x14ac:dyDescent="0.3">
      <c r="B368" s="16">
        <v>0.59633309914989119</v>
      </c>
      <c r="C368" s="16">
        <f t="shared" si="77"/>
        <v>4.5933818195795208E-2</v>
      </c>
      <c r="D368" s="16" t="str">
        <f t="shared" si="73"/>
        <v xml:space="preserve"> </v>
      </c>
      <c r="E368" s="16" t="str">
        <f t="shared" si="74"/>
        <v xml:space="preserve"> </v>
      </c>
      <c r="F368" s="16" t="str">
        <f t="shared" si="75"/>
        <v xml:space="preserve"> </v>
      </c>
      <c r="G368" s="16">
        <f t="shared" si="78"/>
        <v>6.7285685660534644E-3</v>
      </c>
      <c r="H368" s="16">
        <f t="shared" si="79"/>
        <v>-2.7758207403363641E-2</v>
      </c>
      <c r="I368" s="16">
        <f t="shared" si="80"/>
        <v>-2.7751081297341738E-2</v>
      </c>
      <c r="J368" s="16">
        <f t="shared" si="76"/>
        <v>6.7285685660534644E-3</v>
      </c>
      <c r="K368" s="16">
        <f t="shared" si="81"/>
        <v>-2.7751081297341738E-2</v>
      </c>
      <c r="L368" s="16">
        <f t="shared" si="82"/>
        <v>0.59760764866502769</v>
      </c>
      <c r="M368" s="16">
        <f t="shared" si="83"/>
        <v>5.2644700563183107E-2</v>
      </c>
      <c r="N368" s="16">
        <f t="shared" si="84"/>
        <v>0.59505854963475469</v>
      </c>
      <c r="O368" s="16">
        <f t="shared" si="85"/>
        <v>-3.9187563431076176E-2</v>
      </c>
      <c r="R368" s="5">
        <f t="shared" si="86"/>
        <v>-0.5</v>
      </c>
    </row>
    <row r="369" spans="2:18" x14ac:dyDescent="0.3">
      <c r="B369" s="16">
        <v>0.59921511648873138</v>
      </c>
      <c r="C369" s="16">
        <f t="shared" si="77"/>
        <v>4.5698120841483496E-2</v>
      </c>
      <c r="D369" s="16" t="str">
        <f t="shared" si="73"/>
        <v xml:space="preserve"> </v>
      </c>
      <c r="E369" s="16" t="str">
        <f t="shared" si="74"/>
        <v xml:space="preserve"> </v>
      </c>
      <c r="F369" s="16" t="str">
        <f t="shared" si="75"/>
        <v xml:space="preserve"> </v>
      </c>
      <c r="G369" s="16">
        <f t="shared" si="78"/>
        <v>6.6487377944880466E-3</v>
      </c>
      <c r="H369" s="16">
        <f t="shared" si="79"/>
        <v>-2.7640875179394668E-2</v>
      </c>
      <c r="I369" s="16">
        <f t="shared" si="80"/>
        <v>-2.7633839029347278E-2</v>
      </c>
      <c r="J369" s="16">
        <f t="shared" si="76"/>
        <v>6.6487377944880466E-3</v>
      </c>
      <c r="K369" s="16">
        <f t="shared" si="81"/>
        <v>-2.7633839029347278E-2</v>
      </c>
      <c r="L369" s="16">
        <f t="shared" si="82"/>
        <v>0.60047777028983496</v>
      </c>
      <c r="M369" s="16">
        <f t="shared" si="83"/>
        <v>5.2329411539753526E-2</v>
      </c>
      <c r="N369" s="16">
        <f t="shared" si="84"/>
        <v>0.59795246268762781</v>
      </c>
      <c r="O369" s="16">
        <f t="shared" si="85"/>
        <v>-3.9031935950777433E-2</v>
      </c>
      <c r="R369" s="5">
        <f t="shared" si="86"/>
        <v>-0.5</v>
      </c>
    </row>
    <row r="370" spans="2:18" x14ac:dyDescent="0.3">
      <c r="B370" s="16">
        <v>0.6021011052824895</v>
      </c>
      <c r="C370" s="16">
        <f t="shared" si="77"/>
        <v>4.5460708310665766E-2</v>
      </c>
      <c r="D370" s="16" t="str">
        <f t="shared" si="73"/>
        <v xml:space="preserve"> </v>
      </c>
      <c r="E370" s="16" t="str">
        <f t="shared" si="74"/>
        <v xml:space="preserve"> </v>
      </c>
      <c r="F370" s="16" t="str">
        <f t="shared" si="75"/>
        <v xml:space="preserve"> </v>
      </c>
      <c r="G370" s="16">
        <f t="shared" si="78"/>
        <v>6.5691371514825722E-3</v>
      </c>
      <c r="H370" s="16">
        <f t="shared" si="79"/>
        <v>-2.7522491365163663E-2</v>
      </c>
      <c r="I370" s="16">
        <f t="shared" si="80"/>
        <v>-2.7515545207190746E-2</v>
      </c>
      <c r="J370" s="16">
        <f t="shared" si="76"/>
        <v>6.5691371514825722E-3</v>
      </c>
      <c r="K370" s="16">
        <f t="shared" si="81"/>
        <v>-2.7515545207190746E-2</v>
      </c>
      <c r="L370" s="16">
        <f t="shared" si="82"/>
        <v>0.60335182362232231</v>
      </c>
      <c r="M370" s="16">
        <f t="shared" si="83"/>
        <v>5.2012637277923553E-2</v>
      </c>
      <c r="N370" s="16">
        <f t="shared" si="84"/>
        <v>0.60085038694265669</v>
      </c>
      <c r="O370" s="16">
        <f t="shared" si="85"/>
        <v>-3.8874362974958408E-2</v>
      </c>
      <c r="R370" s="5">
        <f t="shared" si="86"/>
        <v>-0.5</v>
      </c>
    </row>
    <row r="371" spans="2:18" x14ac:dyDescent="0.3">
      <c r="B371" s="16">
        <v>0.60499103693334377</v>
      </c>
      <c r="C371" s="16">
        <f t="shared" si="77"/>
        <v>4.5221586493023776E-2</v>
      </c>
      <c r="D371" s="16" t="str">
        <f t="shared" si="73"/>
        <v xml:space="preserve"> </v>
      </c>
      <c r="E371" s="16" t="str">
        <f t="shared" si="74"/>
        <v xml:space="preserve"> </v>
      </c>
      <c r="F371" s="16" t="str">
        <f t="shared" si="75"/>
        <v xml:space="preserve"> </v>
      </c>
      <c r="G371" s="16">
        <f t="shared" si="78"/>
        <v>6.4897714012041837E-3</v>
      </c>
      <c r="H371" s="16">
        <f t="shared" si="79"/>
        <v>-2.7403053470640523E-2</v>
      </c>
      <c r="I371" s="16">
        <f t="shared" si="80"/>
        <v>-2.7396197325443211E-2</v>
      </c>
      <c r="J371" s="16">
        <f t="shared" si="76"/>
        <v>6.4897714012041837E-3</v>
      </c>
      <c r="K371" s="16">
        <f t="shared" si="81"/>
        <v>-2.7396197325443211E-2</v>
      </c>
      <c r="L371" s="16">
        <f t="shared" si="82"/>
        <v>0.60622978146975171</v>
      </c>
      <c r="M371" s="16">
        <f t="shared" si="83"/>
        <v>5.169438838796285E-2</v>
      </c>
      <c r="N371" s="16">
        <f t="shared" si="84"/>
        <v>0.60375229239693584</v>
      </c>
      <c r="O371" s="16">
        <f t="shared" si="85"/>
        <v>-3.8714845585554478E-2</v>
      </c>
      <c r="R371" s="5">
        <f t="shared" si="86"/>
        <v>-0.5</v>
      </c>
    </row>
    <row r="372" spans="2:18" x14ac:dyDescent="0.3">
      <c r="B372" s="16">
        <v>0.60788488280440323</v>
      </c>
      <c r="C372" s="16">
        <f t="shared" si="77"/>
        <v>4.4980761233480757E-2</v>
      </c>
      <c r="D372" s="16" t="str">
        <f t="shared" si="73"/>
        <v xml:space="preserve"> </v>
      </c>
      <c r="E372" s="16" t="str">
        <f t="shared" si="74"/>
        <v xml:space="preserve"> </v>
      </c>
      <c r="F372" s="16" t="str">
        <f t="shared" si="75"/>
        <v xml:space="preserve"> </v>
      </c>
      <c r="G372" s="16">
        <f t="shared" si="78"/>
        <v>6.4106453182996128E-3</v>
      </c>
      <c r="H372" s="16">
        <f t="shared" si="79"/>
        <v>-2.7282559037762732E-2</v>
      </c>
      <c r="I372" s="16">
        <f t="shared" si="80"/>
        <v>-2.7275792910549452E-2</v>
      </c>
      <c r="J372" s="16">
        <f t="shared" si="76"/>
        <v>6.4106453182996128E-3</v>
      </c>
      <c r="K372" s="16">
        <f t="shared" si="81"/>
        <v>-2.7275792910549452E-2</v>
      </c>
      <c r="L372" s="16">
        <f t="shared" si="82"/>
        <v>0.60911161661093383</v>
      </c>
      <c r="M372" s="16">
        <f t="shared" si="83"/>
        <v>5.1374675445850684E-2</v>
      </c>
      <c r="N372" s="16">
        <f t="shared" si="84"/>
        <v>0.60665814899787263</v>
      </c>
      <c r="O372" s="16">
        <f t="shared" si="85"/>
        <v>-3.8553384809251454E-2</v>
      </c>
      <c r="R372" s="5">
        <f t="shared" si="86"/>
        <v>-0.5</v>
      </c>
    </row>
    <row r="373" spans="2:18" x14ac:dyDescent="0.3">
      <c r="B373" s="16">
        <v>0.61078261421998925</v>
      </c>
      <c r="C373" s="16">
        <f t="shared" si="77"/>
        <v>4.4738238330637413E-2</v>
      </c>
      <c r="D373" s="16" t="str">
        <f t="shared" si="73"/>
        <v xml:space="preserve"> </v>
      </c>
      <c r="E373" s="16" t="str">
        <f t="shared" si="74"/>
        <v xml:space="preserve"> </v>
      </c>
      <c r="F373" s="16" t="str">
        <f t="shared" si="75"/>
        <v xml:space="preserve"> </v>
      </c>
      <c r="G373" s="16">
        <f t="shared" si="78"/>
        <v>6.3317636876335194E-3</v>
      </c>
      <c r="H373" s="16">
        <f t="shared" si="79"/>
        <v>-2.7161005640604141E-2</v>
      </c>
      <c r="I373" s="16">
        <f t="shared" si="80"/>
        <v>-2.7154329521000893E-2</v>
      </c>
      <c r="J373" s="16">
        <f t="shared" si="76"/>
        <v>6.3317636876335194E-3</v>
      </c>
      <c r="K373" s="16">
        <f t="shared" si="81"/>
        <v>-2.7154329521000893E-2</v>
      </c>
      <c r="L373" s="16">
        <f t="shared" si="82"/>
        <v>0.61199730179644418</v>
      </c>
      <c r="M373" s="16">
        <f t="shared" si="83"/>
        <v>5.1053508991462174E-2</v>
      </c>
      <c r="N373" s="16">
        <f t="shared" si="84"/>
        <v>0.60956792664353432</v>
      </c>
      <c r="O373" s="16">
        <f t="shared" si="85"/>
        <v>-3.838998161619514E-2</v>
      </c>
      <c r="R373" s="5">
        <f t="shared" si="86"/>
        <v>-0.5</v>
      </c>
    </row>
    <row r="374" spans="2:18" x14ac:dyDescent="0.3">
      <c r="B374" s="16">
        <v>0.61368420246592092</v>
      </c>
      <c r="C374" s="16">
        <f t="shared" si="77"/>
        <v>4.449402353521513E-2</v>
      </c>
      <c r="D374" s="16" t="str">
        <f t="shared" si="73"/>
        <v xml:space="preserve"> </v>
      </c>
      <c r="E374" s="16" t="str">
        <f t="shared" si="74"/>
        <v xml:space="preserve"> </v>
      </c>
      <c r="F374" s="16" t="str">
        <f t="shared" si="75"/>
        <v xml:space="preserve"> </v>
      </c>
      <c r="G374" s="16">
        <f t="shared" si="78"/>
        <v>6.2531313040247024E-3</v>
      </c>
      <c r="H374" s="16">
        <f t="shared" si="79"/>
        <v>-2.7038390885542437E-2</v>
      </c>
      <c r="I374" s="16">
        <f t="shared" si="80"/>
        <v>-2.7031804747507372E-2</v>
      </c>
      <c r="J374" s="16">
        <f t="shared" si="76"/>
        <v>6.2531313040247024E-3</v>
      </c>
      <c r="K374" s="16">
        <f t="shared" si="81"/>
        <v>-2.7031804747507372E-2</v>
      </c>
      <c r="L374" s="16">
        <f t="shared" si="82"/>
        <v>0.6148868097488438</v>
      </c>
      <c r="M374" s="16">
        <f t="shared" si="83"/>
        <v>5.0730899526759743E-2</v>
      </c>
      <c r="N374" s="16">
        <f t="shared" si="84"/>
        <v>0.61248159518299805</v>
      </c>
      <c r="O374" s="16">
        <f t="shared" si="85"/>
        <v>-3.8224636918710336E-2</v>
      </c>
      <c r="R374" s="5">
        <f t="shared" si="86"/>
        <v>-0.5</v>
      </c>
    </row>
    <row r="375" spans="2:18" x14ac:dyDescent="0.3">
      <c r="B375" s="16">
        <v>0.61658961878979923</v>
      </c>
      <c r="C375" s="16">
        <f t="shared" si="77"/>
        <v>4.4248122548507109E-2</v>
      </c>
      <c r="D375" s="16" t="str">
        <f t="shared" si="73"/>
        <v xml:space="preserve"> </v>
      </c>
      <c r="E375" s="16" t="str">
        <f t="shared" si="74"/>
        <v xml:space="preserve"> </v>
      </c>
      <c r="F375" s="16" t="str">
        <f t="shared" si="75"/>
        <v xml:space="preserve"> </v>
      </c>
      <c r="G375" s="16">
        <f t="shared" si="78"/>
        <v>6.1747529719802345E-3</v>
      </c>
      <c r="H375" s="16">
        <f t="shared" si="79"/>
        <v>-2.6914712411425512E-2</v>
      </c>
      <c r="I375" s="16">
        <f t="shared" si="80"/>
        <v>-2.690821621316785E-2</v>
      </c>
      <c r="J375" s="16">
        <f t="shared" si="76"/>
        <v>6.1747529719802345E-3</v>
      </c>
      <c r="K375" s="16">
        <f t="shared" si="81"/>
        <v>-2.690821621316785E-2</v>
      </c>
      <c r="L375" s="16">
        <f t="shared" si="82"/>
        <v>0.61778011316289949</v>
      </c>
      <c r="M375" s="16">
        <f t="shared" si="83"/>
        <v>5.0406857513990433E-2</v>
      </c>
      <c r="N375" s="16">
        <f t="shared" si="84"/>
        <v>0.61539912441669897</v>
      </c>
      <c r="O375" s="16">
        <f t="shared" si="85"/>
        <v>-3.8057351570029971E-2</v>
      </c>
      <c r="R375" s="5">
        <f t="shared" si="86"/>
        <v>-0.5</v>
      </c>
    </row>
    <row r="376" spans="2:18" x14ac:dyDescent="0.3">
      <c r="B376" s="16">
        <v>0.61949883440129161</v>
      </c>
      <c r="C376" s="16">
        <f t="shared" si="77"/>
        <v>4.4000541020838287E-2</v>
      </c>
      <c r="D376" s="16" t="str">
        <f t="shared" si="73"/>
        <v xml:space="preserve"> </v>
      </c>
      <c r="E376" s="16" t="str">
        <f t="shared" si="74"/>
        <v xml:space="preserve"> </v>
      </c>
      <c r="F376" s="16" t="str">
        <f t="shared" si="75"/>
        <v xml:space="preserve"> </v>
      </c>
      <c r="G376" s="16">
        <f t="shared" si="78"/>
        <v>6.0966335054276751E-3</v>
      </c>
      <c r="H376" s="16">
        <f t="shared" si="79"/>
        <v>-2.6789967889736602E-2</v>
      </c>
      <c r="I376" s="16">
        <f t="shared" si="80"/>
        <v>-2.6783561573640032E-2</v>
      </c>
      <c r="J376" s="16">
        <f t="shared" si="76"/>
        <v>6.0966335054276751E-3</v>
      </c>
      <c r="K376" s="16">
        <f t="shared" si="81"/>
        <v>-2.6783561573640032E-2</v>
      </c>
      <c r="L376" s="16">
        <f t="shared" si="82"/>
        <v>0.62067718470580546</v>
      </c>
      <c r="M376" s="16">
        <f t="shared" si="83"/>
        <v>5.0081393373890351E-2</v>
      </c>
      <c r="N376" s="16">
        <f t="shared" si="84"/>
        <v>0.61832048409677776</v>
      </c>
      <c r="O376" s="16">
        <f t="shared" si="85"/>
        <v>-3.7888126363034999E-2</v>
      </c>
      <c r="R376" s="5">
        <f t="shared" si="86"/>
        <v>-0.5</v>
      </c>
    </row>
    <row r="377" spans="2:18" x14ac:dyDescent="0.3">
      <c r="B377" s="16">
        <v>0.6224118204724185</v>
      </c>
      <c r="C377" s="16">
        <f t="shared" si="77"/>
        <v>4.3751284550033603E-2</v>
      </c>
      <c r="D377" s="16" t="str">
        <f t="shared" si="73"/>
        <v xml:space="preserve"> </v>
      </c>
      <c r="E377" s="16" t="str">
        <f t="shared" si="74"/>
        <v xml:space="preserve"> </v>
      </c>
      <c r="F377" s="16" t="str">
        <f t="shared" si="75"/>
        <v xml:space="preserve"> </v>
      </c>
      <c r="G377" s="16">
        <f t="shared" si="78"/>
        <v>6.0187777274450785E-3</v>
      </c>
      <c r="H377" s="16">
        <f t="shared" si="79"/>
        <v>-2.6664155024758177E-2</v>
      </c>
      <c r="I377" s="16">
        <f t="shared" si="80"/>
        <v>-2.6657838517308772E-2</v>
      </c>
      <c r="J377" s="16">
        <f t="shared" si="76"/>
        <v>6.0187777274450785E-3</v>
      </c>
      <c r="K377" s="16">
        <f t="shared" si="81"/>
        <v>-2.6657838517308772E-2</v>
      </c>
      <c r="L377" s="16">
        <f t="shared" si="82"/>
        <v>0.62357799701740702</v>
      </c>
      <c r="M377" s="16">
        <f t="shared" si="83"/>
        <v>4.9754517483895158E-2</v>
      </c>
      <c r="N377" s="16">
        <f t="shared" si="84"/>
        <v>0.62124564392742998</v>
      </c>
      <c r="O377" s="16">
        <f t="shared" si="85"/>
        <v>-3.7716962029005E-2</v>
      </c>
      <c r="R377" s="5">
        <f t="shared" si="86"/>
        <v>-0.5</v>
      </c>
    </row>
    <row r="378" spans="2:18" x14ac:dyDescent="0.3">
      <c r="B378" s="16">
        <v>0.625328548137837</v>
      </c>
      <c r="C378" s="16">
        <f t="shared" si="77"/>
        <v>4.3500358679895469E-2</v>
      </c>
      <c r="D378" s="16" t="str">
        <f t="shared" si="73"/>
        <v xml:space="preserve"> </v>
      </c>
      <c r="E378" s="16" t="str">
        <f t="shared" si="74"/>
        <v xml:space="preserve"> </v>
      </c>
      <c r="F378" s="16" t="str">
        <f t="shared" si="75"/>
        <v xml:space="preserve"> </v>
      </c>
      <c r="G378" s="16">
        <f t="shared" si="78"/>
        <v>5.941190469989254E-3</v>
      </c>
      <c r="H378" s="16">
        <f t="shared" si="79"/>
        <v>-2.6537271553734788E-2</v>
      </c>
      <c r="I378" s="16">
        <f t="shared" si="80"/>
        <v>-2.6531044765453579E-2</v>
      </c>
      <c r="J378" s="16">
        <f t="shared" si="76"/>
        <v>5.941190469989254E-3</v>
      </c>
      <c r="K378" s="16">
        <f t="shared" si="81"/>
        <v>-2.6531044765453579E-2</v>
      </c>
      <c r="L378" s="16">
        <f t="shared" si="82"/>
        <v>0.6264825227104226</v>
      </c>
      <c r="M378" s="16">
        <f t="shared" si="83"/>
        <v>4.9426240176358258E-2</v>
      </c>
      <c r="N378" s="16">
        <f t="shared" si="84"/>
        <v>0.62417457356525141</v>
      </c>
      <c r="O378" s="16">
        <f t="shared" si="85"/>
        <v>-3.7543859236379748E-2</v>
      </c>
      <c r="R378" s="5">
        <f t="shared" si="86"/>
        <v>-0.5</v>
      </c>
    </row>
    <row r="379" spans="2:18" x14ac:dyDescent="0.3">
      <c r="B379" s="16">
        <v>0.62824898849512922</v>
      </c>
      <c r="C379" s="16">
        <f t="shared" si="77"/>
        <v>4.3247768898690593E-2</v>
      </c>
      <c r="D379" s="16" t="str">
        <f t="shared" si="73"/>
        <v xml:space="preserve"> </v>
      </c>
      <c r="E379" s="16" t="str">
        <f t="shared" si="74"/>
        <v xml:space="preserve"> </v>
      </c>
      <c r="F379" s="16" t="str">
        <f t="shared" si="75"/>
        <v xml:space="preserve"> </v>
      </c>
      <c r="G379" s="16">
        <f t="shared" si="78"/>
        <v>5.863876573621786E-3</v>
      </c>
      <c r="H379" s="16">
        <f t="shared" si="79"/>
        <v>-2.6409315247034479E-2</v>
      </c>
      <c r="I379" s="16">
        <f t="shared" si="80"/>
        <v>-2.6403178072414747E-2</v>
      </c>
      <c r="J379" s="16">
        <f t="shared" si="76"/>
        <v>5.863876573621786E-3</v>
      </c>
      <c r="K379" s="16">
        <f t="shared" si="81"/>
        <v>-2.6403178072414747E-2</v>
      </c>
      <c r="L379" s="16">
        <f t="shared" si="82"/>
        <v>0.62939073437067194</v>
      </c>
      <c r="M379" s="16">
        <f t="shared" si="83"/>
        <v>4.9096571736776146E-2</v>
      </c>
      <c r="N379" s="16">
        <f t="shared" si="84"/>
        <v>0.6271072426195865</v>
      </c>
      <c r="O379" s="16">
        <f t="shared" si="85"/>
        <v>-3.7368818589532574E-2</v>
      </c>
      <c r="R379" s="5">
        <f t="shared" si="86"/>
        <v>-0.5</v>
      </c>
    </row>
    <row r="380" spans="2:18" x14ac:dyDescent="0.3">
      <c r="B380" s="16">
        <v>0.63117311260508657</v>
      </c>
      <c r="C380" s="16">
        <f t="shared" si="77"/>
        <v>4.2993520637646152E-2</v>
      </c>
      <c r="D380" s="16" t="str">
        <f t="shared" si="73"/>
        <v xml:space="preserve"> </v>
      </c>
      <c r="E380" s="16" t="str">
        <f t="shared" si="74"/>
        <v xml:space="preserve"> </v>
      </c>
      <c r="F380" s="16" t="str">
        <f t="shared" si="75"/>
        <v xml:space="preserve"> </v>
      </c>
      <c r="G380" s="16">
        <f t="shared" si="78"/>
        <v>5.7868408872333056E-3</v>
      </c>
      <c r="H380" s="16">
        <f t="shared" si="79"/>
        <v>-2.6280283908309179E-2</v>
      </c>
      <c r="I380" s="16">
        <f t="shared" si="80"/>
        <v>-2.6274236225758568E-2</v>
      </c>
      <c r="J380" s="16">
        <f t="shared" si="76"/>
        <v>5.7868408872333056E-3</v>
      </c>
      <c r="K380" s="16">
        <f t="shared" si="81"/>
        <v>-2.6274236225758568E-2</v>
      </c>
      <c r="L380" s="16">
        <f t="shared" si="82"/>
        <v>0.63230260455730003</v>
      </c>
      <c r="M380" s="16">
        <f t="shared" si="83"/>
        <v>4.8765522402021436E-2</v>
      </c>
      <c r="N380" s="16">
        <f t="shared" si="84"/>
        <v>0.63004362065287312</v>
      </c>
      <c r="O380" s="16">
        <f t="shared" si="85"/>
        <v>-3.7191840627554817E-2</v>
      </c>
      <c r="R380" s="5">
        <f t="shared" si="86"/>
        <v>-0.5</v>
      </c>
    </row>
    <row r="381" spans="2:18" x14ac:dyDescent="0.3">
      <c r="B381" s="16">
        <v>0.63410089149199766</v>
      </c>
      <c r="C381" s="16">
        <f t="shared" si="77"/>
        <v>4.2737619269456316E-2</v>
      </c>
      <c r="D381" s="16" t="str">
        <f t="shared" si="73"/>
        <v xml:space="preserve"> </v>
      </c>
      <c r="E381" s="16" t="str">
        <f t="shared" si="74"/>
        <v xml:space="preserve"> </v>
      </c>
      <c r="F381" s="16" t="str">
        <f t="shared" si="75"/>
        <v xml:space="preserve"> </v>
      </c>
      <c r="G381" s="16">
        <f t="shared" si="78"/>
        <v>5.7100882677656858E-3</v>
      </c>
      <c r="H381" s="16">
        <f t="shared" si="79"/>
        <v>-2.6150175374653726E-2</v>
      </c>
      <c r="I381" s="16">
        <f t="shared" si="80"/>
        <v>-2.6144217046441254E-2</v>
      </c>
      <c r="J381" s="16">
        <f t="shared" si="76"/>
        <v>5.7100882677656858E-3</v>
      </c>
      <c r="K381" s="16">
        <f t="shared" si="81"/>
        <v>-2.6144217046441254E-2</v>
      </c>
      <c r="L381" s="16">
        <f t="shared" si="82"/>
        <v>0.63521810580300642</v>
      </c>
      <c r="M381" s="16">
        <f t="shared" si="83"/>
        <v>4.8433102358584244E-2</v>
      </c>
      <c r="N381" s="16">
        <f t="shared" si="84"/>
        <v>0.63298367718098891</v>
      </c>
      <c r="O381" s="16">
        <f t="shared" si="85"/>
        <v>-3.7012925823052871E-2</v>
      </c>
      <c r="R381" s="5">
        <f t="shared" si="86"/>
        <v>-0.5</v>
      </c>
    </row>
    <row r="382" spans="2:18" x14ac:dyDescent="0.3">
      <c r="B382" s="16">
        <v>0.63703229614393531</v>
      </c>
      <c r="C382" s="16">
        <f t="shared" si="77"/>
        <v>4.2480070106798946E-2</v>
      </c>
      <c r="D382" s="16" t="str">
        <f t="shared" si="73"/>
        <v xml:space="preserve"> </v>
      </c>
      <c r="E382" s="16" t="str">
        <f t="shared" si="74"/>
        <v xml:space="preserve"> </v>
      </c>
      <c r="F382" s="16" t="str">
        <f t="shared" si="75"/>
        <v xml:space="preserve"> </v>
      </c>
      <c r="G382" s="16">
        <f t="shared" si="78"/>
        <v>5.6336235799323451E-3</v>
      </c>
      <c r="H382" s="16">
        <f t="shared" si="79"/>
        <v>-2.601898751676374E-2</v>
      </c>
      <c r="I382" s="16">
        <f t="shared" si="80"/>
        <v>-2.6013118388971836E-2</v>
      </c>
      <c r="J382" s="16">
        <f t="shared" si="76"/>
        <v>5.6336235799323451E-3</v>
      </c>
      <c r="K382" s="16">
        <f t="shared" si="81"/>
        <v>-2.6013118388971836E-2</v>
      </c>
      <c r="L382" s="16">
        <f t="shared" si="82"/>
        <v>0.6381372106142742</v>
      </c>
      <c r="M382" s="16">
        <f t="shared" si="83"/>
        <v>4.8099321740822022E-2</v>
      </c>
      <c r="N382" s="16">
        <f t="shared" si="84"/>
        <v>0.63592738167359641</v>
      </c>
      <c r="O382" s="16">
        <f t="shared" si="85"/>
        <v>-3.6832074580957337E-2</v>
      </c>
      <c r="R382" s="5">
        <f t="shared" si="86"/>
        <v>-0.5</v>
      </c>
    </row>
    <row r="383" spans="2:18" x14ac:dyDescent="0.3">
      <c r="B383" s="16">
        <v>0.63996729751304415</v>
      </c>
      <c r="C383" s="16">
        <f t="shared" si="77"/>
        <v>4.2220878400862527E-2</v>
      </c>
      <c r="D383" s="16" t="str">
        <f t="shared" si="73"/>
        <v xml:space="preserve"> </v>
      </c>
      <c r="E383" s="16" t="str">
        <f t="shared" si="74"/>
        <v xml:space="preserve"> </v>
      </c>
      <c r="F383" s="16" t="str">
        <f t="shared" si="75"/>
        <v xml:space="preserve"> </v>
      </c>
      <c r="G383" s="16">
        <f t="shared" si="78"/>
        <v>5.5574516959366518E-3</v>
      </c>
      <c r="H383" s="16">
        <f t="shared" si="79"/>
        <v>-2.588671823909218E-2</v>
      </c>
      <c r="I383" s="16">
        <f t="shared" si="80"/>
        <v>-2.5880938141573776E-2</v>
      </c>
      <c r="J383" s="16">
        <f t="shared" si="76"/>
        <v>5.5574516959366518E-3</v>
      </c>
      <c r="K383" s="16">
        <f t="shared" si="81"/>
        <v>-2.5880938141573776E-2</v>
      </c>
      <c r="L383" s="16">
        <f t="shared" si="82"/>
        <v>0.64105989147160092</v>
      </c>
      <c r="M383" s="16">
        <f t="shared" si="83"/>
        <v>4.7764190629217732E-2</v>
      </c>
      <c r="N383" s="16">
        <f t="shared" si="84"/>
        <v>0.63887470355448739</v>
      </c>
      <c r="O383" s="16">
        <f t="shared" si="85"/>
        <v>-3.6649287237344425E-2</v>
      </c>
      <c r="R383" s="5">
        <f t="shared" si="86"/>
        <v>-0.5</v>
      </c>
    </row>
    <row r="384" spans="2:18" x14ac:dyDescent="0.3">
      <c r="B384" s="16">
        <v>0.64290586651582782</v>
      </c>
      <c r="C384" s="16">
        <f t="shared" si="77"/>
        <v>4.1960049339884571E-2</v>
      </c>
      <c r="D384" s="16" t="str">
        <f t="shared" si="73"/>
        <v xml:space="preserve"> </v>
      </c>
      <c r="E384" s="16" t="str">
        <f t="shared" si="74"/>
        <v xml:space="preserve"> </v>
      </c>
      <c r="F384" s="16" t="str">
        <f t="shared" si="75"/>
        <v xml:space="preserve"> </v>
      </c>
      <c r="G384" s="16">
        <f t="shared" si="78"/>
        <v>5.4815774951884515E-3</v>
      </c>
      <c r="H384" s="16">
        <f t="shared" si="79"/>
        <v>-2.5753365480004769E-2</v>
      </c>
      <c r="I384" s="16">
        <f t="shared" si="80"/>
        <v>-2.574767422634559E-2</v>
      </c>
      <c r="J384" s="16">
        <f t="shared" si="76"/>
        <v>5.4815774951884515E-3</v>
      </c>
      <c r="K384" s="16">
        <f t="shared" si="81"/>
        <v>-2.574767422634559E-2</v>
      </c>
      <c r="L384" s="16">
        <f t="shared" si="82"/>
        <v>0.64398612082973006</v>
      </c>
      <c r="M384" s="16">
        <f t="shared" si="83"/>
        <v>4.7427719048647732E-2</v>
      </c>
      <c r="N384" s="16">
        <f t="shared" si="84"/>
        <v>0.64182561220192558</v>
      </c>
      <c r="O384" s="16">
        <f t="shared" si="85"/>
        <v>-3.6464564058270824E-2</v>
      </c>
      <c r="R384" s="5">
        <f t="shared" si="86"/>
        <v>-0.5</v>
      </c>
    </row>
    <row r="385" spans="2:18" x14ac:dyDescent="0.3">
      <c r="B385" s="16">
        <v>0.64584797403343797</v>
      </c>
      <c r="C385" s="16">
        <f t="shared" si="77"/>
        <v>4.1697588047700872E-2</v>
      </c>
      <c r="D385" s="16" t="str">
        <f t="shared" ref="D385:D448" si="87">IF($Q$1=1, IF(B385&lt;$A$8, ($A$10/6)*((B385^3)-3*$A$8*(B385^2)+($A$8^2)*(3-$A$8)*B385), (($A$10*($A$8^3))/6)*(1-B385)), " ")</f>
        <v xml:space="preserve"> </v>
      </c>
      <c r="E385" s="16" t="str">
        <f t="shared" ref="E385:E448" si="88">IF($Q$1=1,IF(B385&lt;$A$8, ($A$10/6)*(3*(B385^2)-6*$A$8*B385+($A$8^2)*(3-$A$8)), -($A$10*($A$8^3))/6), " ")</f>
        <v xml:space="preserve"> </v>
      </c>
      <c r="F385" s="16" t="str">
        <f t="shared" ref="F385:F448" si="89">IF($Q$1=1, ATAN(E385), " ")</f>
        <v xml:space="preserve"> </v>
      </c>
      <c r="G385" s="16">
        <f t="shared" si="78"/>
        <v>5.4060058640186537E-3</v>
      </c>
      <c r="H385" s="16">
        <f t="shared" si="79"/>
        <v>-2.5618927211934008E-2</v>
      </c>
      <c r="I385" s="16">
        <f t="shared" si="80"/>
        <v>-2.5613324599420128E-2</v>
      </c>
      <c r="J385" s="16">
        <f t="shared" ref="J385:J448" si="90">IF($Q$1=1, D385, G385)</f>
        <v>5.4060058640186537E-3</v>
      </c>
      <c r="K385" s="16">
        <f t="shared" si="81"/>
        <v>-2.5613324599420128E-2</v>
      </c>
      <c r="L385" s="16">
        <f t="shared" si="82"/>
        <v>0.64691587111788518</v>
      </c>
      <c r="M385" s="16">
        <f t="shared" si="83"/>
        <v>4.7089916966658672E-2</v>
      </c>
      <c r="N385" s="16">
        <f t="shared" si="84"/>
        <v>0.64478007694899075</v>
      </c>
      <c r="O385" s="16">
        <f t="shared" si="85"/>
        <v>-3.6277905238621365E-2</v>
      </c>
      <c r="R385" s="5">
        <f t="shared" si="86"/>
        <v>-0.5</v>
      </c>
    </row>
    <row r="386" spans="2:18" x14ac:dyDescent="0.3">
      <c r="B386" s="16">
        <v>0.64879359091196209</v>
      </c>
      <c r="C386" s="16">
        <f t="shared" ref="C386:C449" si="91">IF(AND($Q$1=2, $A$3=1), 0, IF($T$3, 5*$A$7*(0.2969*SQRT(B386)-0.126*B386-0.3516*(B386^2)+0.2843*(B386^3)-0.1036*(B386^4)),  5*$A$7*(0.2969*SQRT(B386)-0.126*B386-0.3516*(B386^2)+0.2843*(B386^3)-0.1015*(B386^4))))</f>
        <v>4.1433499582306424E-2</v>
      </c>
      <c r="D386" s="16" t="str">
        <f t="shared" si="87"/>
        <v xml:space="preserve"> </v>
      </c>
      <c r="E386" s="16" t="str">
        <f t="shared" si="88"/>
        <v xml:space="preserve"> </v>
      </c>
      <c r="F386" s="16" t="str">
        <f t="shared" si="89"/>
        <v xml:space="preserve"> </v>
      </c>
      <c r="G386" s="16">
        <f t="shared" ref="G386:G449" si="92">IF($Q$1=2, IF(A388&lt;&gt;1, IF(B386&lt;$A$11, ($A$12/6)*((B386-$A$11)^3-$A$13*((1-$A$11)^3)*B386-($A$11^3)*B386+$A$11^3), ($A$12/6)*($A$13*(B386-$A$11)^3-$A$13*((1-$A$11)^3)*B386-($A$11^3)*B386+$A$11^3)), 0), " ")</f>
        <v>5.3307416953920599E-3</v>
      </c>
      <c r="H386" s="16">
        <f t="shared" ref="H386:H449" si="93">IF($Q$1=2, IF(A388&lt;&gt;1, IF(B386&lt;$A$11, ($A$12/6)*(3*(B386-$A$11)^2-$A$13*((1-$A$11)^3)-($A$11^3)), ($A$12/6)*(3*$A$13*(B386-$A$11)^2-$A$13*((1-$A$11)^3)-($A$11^3))),0 ), " ")</f>
        <v>-2.5483401441532088E-2</v>
      </c>
      <c r="I386" s="16">
        <f t="shared" ref="I386:I449" si="94">IF($Q$1=2, IF(A388&lt;&gt;1,  ATAN(H386), 0), " ")</f>
        <v>-2.5477887251122842E-2</v>
      </c>
      <c r="J386" s="16">
        <f t="shared" si="90"/>
        <v>5.3307416953920599E-3</v>
      </c>
      <c r="K386" s="16">
        <f t="shared" ref="K386:K449" si="95">IF($Q$1=1, F386, I386)</f>
        <v>-2.5477887251122842E-2</v>
      </c>
      <c r="L386" s="16">
        <f t="shared" ref="L386:L449" si="96">B386-C386*SIN(K386)</f>
        <v>0.64984911474000462</v>
      </c>
      <c r="M386" s="16">
        <f t="shared" ref="M386:M449" si="97">J386+C386*COS(K386)</f>
        <v>4.6750794291754383E-2</v>
      </c>
      <c r="N386" s="16">
        <f t="shared" ref="N386:N449" si="98">B386+C386*SIN(K386)</f>
        <v>0.64773806708391957</v>
      </c>
      <c r="O386" s="16">
        <f t="shared" ref="O386:O449" si="99">J386-C386*COS(K386)</f>
        <v>-3.608931090097027E-2</v>
      </c>
      <c r="R386" s="5">
        <f t="shared" ref="R386:R449" si="100">IF($T$1, J386, -0.5)</f>
        <v>-0.5</v>
      </c>
    </row>
    <row r="387" spans="2:18" x14ac:dyDescent="0.3">
      <c r="B387" s="16">
        <v>0.65174268796271284</v>
      </c>
      <c r="C387" s="16">
        <f t="shared" si="91"/>
        <v>4.1167788934428025E-2</v>
      </c>
      <c r="D387" s="16" t="str">
        <f t="shared" si="87"/>
        <v xml:space="preserve"> </v>
      </c>
      <c r="E387" s="16" t="str">
        <f t="shared" si="88"/>
        <v xml:space="preserve"> </v>
      </c>
      <c r="F387" s="16" t="str">
        <f t="shared" si="89"/>
        <v xml:space="preserve"> </v>
      </c>
      <c r="G387" s="16">
        <f t="shared" si="92"/>
        <v>5.2557898886182878E-3</v>
      </c>
      <c r="H387" s="16">
        <f t="shared" si="93"/>
        <v>-2.5346786209822392E-2</v>
      </c>
      <c r="I387" s="16">
        <f t="shared" si="94"/>
        <v>-2.5341360206128736E-2</v>
      </c>
      <c r="J387" s="16">
        <f t="shared" si="90"/>
        <v>5.2557898886182878E-3</v>
      </c>
      <c r="K387" s="16">
        <f t="shared" si="95"/>
        <v>-2.5341360206128736E-2</v>
      </c>
      <c r="L387" s="16">
        <f t="shared" si="96"/>
        <v>0.65278582407497776</v>
      </c>
      <c r="M387" s="16">
        <f t="shared" si="97"/>
        <v>4.6410360871692612E-2</v>
      </c>
      <c r="N387" s="16">
        <f t="shared" si="98"/>
        <v>0.65069955185044792</v>
      </c>
      <c r="O387" s="16">
        <f t="shared" si="99"/>
        <v>-3.5898781094456038E-2</v>
      </c>
      <c r="R387" s="5">
        <f t="shared" si="100"/>
        <v>-0.5</v>
      </c>
    </row>
    <row r="388" spans="2:18" x14ac:dyDescent="0.3">
      <c r="B388" s="16">
        <v>0.65469523596251733</v>
      </c>
      <c r="C388" s="16">
        <f t="shared" si="91"/>
        <v>4.090046102610919E-2</v>
      </c>
      <c r="D388" s="16" t="str">
        <f t="shared" si="87"/>
        <v xml:space="preserve"> </v>
      </c>
      <c r="E388" s="16" t="str">
        <f t="shared" si="88"/>
        <v xml:space="preserve"> </v>
      </c>
      <c r="F388" s="16" t="str">
        <f t="shared" si="89"/>
        <v xml:space="preserve"> </v>
      </c>
      <c r="G388" s="16">
        <f t="shared" si="92"/>
        <v>5.1811553490608928E-3</v>
      </c>
      <c r="H388" s="16">
        <f t="shared" si="93"/>
        <v>-2.520907959234981E-2</v>
      </c>
      <c r="I388" s="16">
        <f t="shared" si="94"/>
        <v>-2.5203741523618213E-2</v>
      </c>
      <c r="J388" s="16">
        <f t="shared" si="90"/>
        <v>5.1811553490608928E-3</v>
      </c>
      <c r="K388" s="16">
        <f t="shared" si="95"/>
        <v>-2.5203741523618213E-2</v>
      </c>
      <c r="L388" s="16">
        <f t="shared" si="96"/>
        <v>0.65572597147688438</v>
      </c>
      <c r="M388" s="16">
        <f t="shared" si="97"/>
        <v>4.6068626491792372E-2</v>
      </c>
      <c r="N388" s="16">
        <f t="shared" si="98"/>
        <v>0.65366450044815028</v>
      </c>
      <c r="O388" s="16">
        <f t="shared" si="99"/>
        <v>-3.570631579367059E-2</v>
      </c>
      <c r="R388" s="5">
        <f t="shared" si="100"/>
        <v>-0.5</v>
      </c>
    </row>
    <row r="389" spans="2:18" x14ac:dyDescent="0.3">
      <c r="B389" s="16">
        <v>0.65765120565400648</v>
      </c>
      <c r="C389" s="16">
        <f t="shared" si="91"/>
        <v>4.0631520709307554E-2</v>
      </c>
      <c r="D389" s="16" t="str">
        <f t="shared" si="87"/>
        <v xml:space="preserve"> </v>
      </c>
      <c r="E389" s="16" t="str">
        <f t="shared" si="88"/>
        <v xml:space="preserve"> </v>
      </c>
      <c r="F389" s="16" t="str">
        <f t="shared" si="89"/>
        <v xml:space="preserve"> </v>
      </c>
      <c r="G389" s="16">
        <f t="shared" si="92"/>
        <v>5.1068429878447091E-3</v>
      </c>
      <c r="H389" s="16">
        <f t="shared" si="93"/>
        <v>-2.5070279699329758E-2</v>
      </c>
      <c r="I389" s="16">
        <f t="shared" si="94"/>
        <v>-2.5065029297431724E-2</v>
      </c>
      <c r="J389" s="16">
        <f t="shared" si="90"/>
        <v>5.1068429878447091E-3</v>
      </c>
      <c r="K389" s="16">
        <f t="shared" si="95"/>
        <v>-2.5065029297431724E-2</v>
      </c>
      <c r="L389" s="16">
        <f t="shared" si="96"/>
        <v>0.65866952927523303</v>
      </c>
      <c r="M389" s="16">
        <f t="shared" si="97"/>
        <v>4.5725600873252045E-2</v>
      </c>
      <c r="N389" s="16">
        <f t="shared" si="98"/>
        <v>0.65663288203277992</v>
      </c>
      <c r="O389" s="16">
        <f t="shared" si="99"/>
        <v>-3.5511914897562627E-2</v>
      </c>
      <c r="R389" s="5">
        <f t="shared" si="100"/>
        <v>-0.5</v>
      </c>
    </row>
    <row r="390" spans="2:18" x14ac:dyDescent="0.3">
      <c r="B390" s="16">
        <v>0.6606105677459051</v>
      </c>
      <c r="C390" s="16">
        <f t="shared" si="91"/>
        <v>4.0360972764504739E-2</v>
      </c>
      <c r="D390" s="16" t="str">
        <f t="shared" si="87"/>
        <v xml:space="preserve"> </v>
      </c>
      <c r="E390" s="16" t="str">
        <f t="shared" si="88"/>
        <v xml:space="preserve"> </v>
      </c>
      <c r="F390" s="16" t="str">
        <f t="shared" si="89"/>
        <v xml:space="preserve"> </v>
      </c>
      <c r="G390" s="16">
        <f t="shared" si="92"/>
        <v>5.0328577215613939E-3</v>
      </c>
      <c r="H390" s="16">
        <f t="shared" si="93"/>
        <v>-2.4930384675795867E-2</v>
      </c>
      <c r="I390" s="16">
        <f t="shared" si="94"/>
        <v>-2.4925221656223163E-2</v>
      </c>
      <c r="J390" s="16">
        <f t="shared" si="90"/>
        <v>5.0328577215613939E-3</v>
      </c>
      <c r="K390" s="16">
        <f t="shared" si="95"/>
        <v>-2.4925221656223163E-2</v>
      </c>
      <c r="L390" s="16">
        <f t="shared" si="96"/>
        <v>0.66161646977520328</v>
      </c>
      <c r="M390" s="16">
        <f t="shared" si="97"/>
        <v>4.5381293671478307E-2</v>
      </c>
      <c r="N390" s="16">
        <f t="shared" si="98"/>
        <v>0.65960466571660692</v>
      </c>
      <c r="O390" s="16">
        <f t="shared" si="99"/>
        <v>-3.5315578228355515E-2</v>
      </c>
      <c r="R390" s="5">
        <f t="shared" si="100"/>
        <v>-0.5</v>
      </c>
    </row>
    <row r="391" spans="2:18" x14ac:dyDescent="0.3">
      <c r="B391" s="16">
        <v>0.66357329291332134</v>
      </c>
      <c r="C391" s="16">
        <f t="shared" si="91"/>
        <v>4.0088821899329656E-2</v>
      </c>
      <c r="D391" s="16" t="str">
        <f t="shared" si="87"/>
        <v xml:space="preserve"> </v>
      </c>
      <c r="E391" s="16" t="str">
        <f t="shared" si="88"/>
        <v xml:space="preserve"> </v>
      </c>
      <c r="F391" s="16" t="str">
        <f t="shared" si="89"/>
        <v xml:space="preserve"> </v>
      </c>
      <c r="G391" s="16">
        <f t="shared" si="92"/>
        <v>4.9592044719732678E-3</v>
      </c>
      <c r="H391" s="16">
        <f t="shared" si="93"/>
        <v>-2.4789392701746456E-2</v>
      </c>
      <c r="I391" s="16">
        <f t="shared" si="94"/>
        <v>-2.4784316763612139E-2</v>
      </c>
      <c r="J391" s="16">
        <f t="shared" si="90"/>
        <v>4.9592044719732678E-3</v>
      </c>
      <c r="K391" s="16">
        <f t="shared" si="95"/>
        <v>-2.4784316763612139E-2</v>
      </c>
      <c r="L391" s="16">
        <f t="shared" si="96"/>
        <v>0.6645667652578876</v>
      </c>
      <c r="M391" s="16">
        <f t="shared" si="97"/>
        <v>4.5035714474426759E-2</v>
      </c>
      <c r="N391" s="16">
        <f t="shared" si="98"/>
        <v>0.66257982056875508</v>
      </c>
      <c r="O391" s="16">
        <f t="shared" si="99"/>
        <v>-3.5117305530480224E-2</v>
      </c>
      <c r="R391" s="5">
        <f t="shared" si="100"/>
        <v>-0.5</v>
      </c>
    </row>
    <row r="392" spans="2:18" x14ac:dyDescent="0.3">
      <c r="B392" s="16">
        <v>0.66653935179803925</v>
      </c>
      <c r="C392" s="16">
        <f t="shared" si="91"/>
        <v>3.9815072747194778E-2</v>
      </c>
      <c r="D392" s="16" t="str">
        <f t="shared" si="87"/>
        <v xml:space="preserve"> </v>
      </c>
      <c r="E392" s="16" t="str">
        <f t="shared" si="88"/>
        <v xml:space="preserve"> </v>
      </c>
      <c r="F392" s="16" t="str">
        <f t="shared" si="89"/>
        <v xml:space="preserve"> </v>
      </c>
      <c r="G392" s="16">
        <f t="shared" si="92"/>
        <v>4.8858881657153084E-3</v>
      </c>
      <c r="H392" s="16">
        <f t="shared" si="93"/>
        <v>-2.4647301992289566E-2</v>
      </c>
      <c r="I392" s="16">
        <f t="shared" si="94"/>
        <v>-2.464231281833491E-2</v>
      </c>
      <c r="J392" s="16">
        <f t="shared" si="90"/>
        <v>4.8858881657153084E-3</v>
      </c>
      <c r="K392" s="16">
        <f t="shared" si="95"/>
        <v>-2.464231281833491E-2</v>
      </c>
      <c r="L392" s="16">
        <f t="shared" si="96"/>
        <v>0.66752038798053848</v>
      </c>
      <c r="M392" s="16">
        <f t="shared" si="97"/>
        <v>4.4688872800953905E-2</v>
      </c>
      <c r="N392" s="16">
        <f t="shared" si="98"/>
        <v>0.66555831561554002</v>
      </c>
      <c r="O392" s="16">
        <f t="shared" si="99"/>
        <v>-3.491709646952329E-2</v>
      </c>
      <c r="R392" s="5">
        <f t="shared" si="100"/>
        <v>-0.5</v>
      </c>
    </row>
    <row r="393" spans="2:18" x14ac:dyDescent="0.3">
      <c r="B393" s="16">
        <v>0.66950871500880726</v>
      </c>
      <c r="C393" s="16">
        <f t="shared" si="91"/>
        <v>3.9539729865946539E-2</v>
      </c>
      <c r="D393" s="16" t="str">
        <f t="shared" si="87"/>
        <v xml:space="preserve"> </v>
      </c>
      <c r="E393" s="16" t="str">
        <f t="shared" si="88"/>
        <v xml:space="preserve"> </v>
      </c>
      <c r="F393" s="16" t="str">
        <f t="shared" si="89"/>
        <v xml:space="preserve"> </v>
      </c>
      <c r="G393" s="16">
        <f t="shared" si="92"/>
        <v>4.812913733995559E-3</v>
      </c>
      <c r="H393" s="16">
        <f t="shared" si="93"/>
        <v>-2.4504110797786867E-2</v>
      </c>
      <c r="I393" s="16">
        <f t="shared" si="94"/>
        <v>-2.449920805439423E-2</v>
      </c>
      <c r="J393" s="16">
        <f t="shared" si="90"/>
        <v>4.812913733995559E-3</v>
      </c>
      <c r="K393" s="16">
        <f t="shared" si="95"/>
        <v>-2.449920805439423E-2</v>
      </c>
      <c r="L393" s="16">
        <f t="shared" si="96"/>
        <v>0.67047731017681167</v>
      </c>
      <c r="M393" s="16">
        <f t="shared" si="97"/>
        <v>4.4340778099181591E-2</v>
      </c>
      <c r="N393" s="16">
        <f t="shared" si="98"/>
        <v>0.66854011984080286</v>
      </c>
      <c r="O393" s="16">
        <f t="shared" si="99"/>
        <v>-3.4714950631190469E-2</v>
      </c>
      <c r="R393" s="5">
        <f t="shared" si="100"/>
        <v>-0.5</v>
      </c>
    </row>
    <row r="394" spans="2:18" x14ac:dyDescent="0.3">
      <c r="B394" s="16">
        <v>0.67248135312163138</v>
      </c>
      <c r="C394" s="16">
        <f t="shared" si="91"/>
        <v>3.9262797736529138E-2</v>
      </c>
      <c r="D394" s="16" t="str">
        <f t="shared" si="87"/>
        <v xml:space="preserve"> </v>
      </c>
      <c r="E394" s="16" t="str">
        <f t="shared" si="88"/>
        <v xml:space="preserve"> </v>
      </c>
      <c r="F394" s="16" t="str">
        <f t="shared" si="89"/>
        <v xml:space="preserve"> </v>
      </c>
      <c r="G394" s="16">
        <f t="shared" si="92"/>
        <v>4.7402861122937357E-3</v>
      </c>
      <c r="H394" s="16">
        <f t="shared" si="93"/>
        <v>-2.4359817403996079E-2</v>
      </c>
      <c r="I394" s="16">
        <f t="shared" si="94"/>
        <v>-2.4355000741207875E-2</v>
      </c>
      <c r="J394" s="16">
        <f t="shared" si="90"/>
        <v>4.7402861122937357E-3</v>
      </c>
      <c r="K394" s="16">
        <f t="shared" si="95"/>
        <v>-2.4355000741207875E-2</v>
      </c>
      <c r="L394" s="16">
        <f t="shared" si="96"/>
        <v>0.67343750405701719</v>
      </c>
      <c r="M394" s="16">
        <f t="shared" si="97"/>
        <v>4.3991439744873226E-2</v>
      </c>
      <c r="N394" s="16">
        <f t="shared" si="98"/>
        <v>0.67152520218624556</v>
      </c>
      <c r="O394" s="16">
        <f t="shared" si="99"/>
        <v>-3.451086752028576E-2</v>
      </c>
      <c r="R394" s="5">
        <f t="shared" si="100"/>
        <v>-0.5</v>
      </c>
    </row>
    <row r="395" spans="2:18" x14ac:dyDescent="0.3">
      <c r="B395" s="16">
        <v>0.6754572366800653</v>
      </c>
      <c r="C395" s="16">
        <f t="shared" si="91"/>
        <v>3.8984280761663111E-2</v>
      </c>
      <c r="D395" s="16" t="str">
        <f t="shared" si="87"/>
        <v xml:space="preserve"> </v>
      </c>
      <c r="E395" s="16" t="str">
        <f t="shared" si="88"/>
        <v xml:space="preserve"> </v>
      </c>
      <c r="F395" s="16" t="str">
        <f t="shared" si="89"/>
        <v xml:space="preserve"> </v>
      </c>
      <c r="G395" s="16">
        <f t="shared" si="92"/>
        <v>4.6680102400582374E-3</v>
      </c>
      <c r="H395" s="16">
        <f t="shared" si="93"/>
        <v>-2.4214420132212203E-2</v>
      </c>
      <c r="I395" s="16">
        <f t="shared" si="94"/>
        <v>-2.4209689183755979E-2</v>
      </c>
      <c r="J395" s="16">
        <f t="shared" si="90"/>
        <v>4.6680102400582374E-3</v>
      </c>
      <c r="K395" s="16">
        <f t="shared" si="95"/>
        <v>-2.4209689183755979E-2</v>
      </c>
      <c r="L395" s="16">
        <f t="shared" si="96"/>
        <v>0.67640094180836741</v>
      </c>
      <c r="M395" s="16">
        <f t="shared" si="97"/>
        <v>4.364086703982329E-2</v>
      </c>
      <c r="N395" s="16">
        <f t="shared" si="98"/>
        <v>0.67451353155176319</v>
      </c>
      <c r="O395" s="16">
        <f t="shared" si="99"/>
        <v>-3.4304846559706816E-2</v>
      </c>
      <c r="R395" s="5">
        <f t="shared" si="100"/>
        <v>-0.5</v>
      </c>
    </row>
    <row r="396" spans="2:18" x14ac:dyDescent="0.3">
      <c r="B396" s="16">
        <v>0.67843633619550392</v>
      </c>
      <c r="C396" s="16">
        <f t="shared" si="91"/>
        <v>3.8704183264537999E-2</v>
      </c>
      <c r="D396" s="16" t="str">
        <f t="shared" si="87"/>
        <v xml:space="preserve"> </v>
      </c>
      <c r="E396" s="16" t="str">
        <f t="shared" si="88"/>
        <v xml:space="preserve"> </v>
      </c>
      <c r="F396" s="16" t="str">
        <f t="shared" si="89"/>
        <v xml:space="preserve"> </v>
      </c>
      <c r="G396" s="16">
        <f t="shared" si="92"/>
        <v>4.5960910604014053E-3</v>
      </c>
      <c r="H396" s="16">
        <f t="shared" si="93"/>
        <v>-2.4067917339407302E-2</v>
      </c>
      <c r="I396" s="16">
        <f t="shared" si="94"/>
        <v>-2.4063271722727052E-2</v>
      </c>
      <c r="J396" s="16">
        <f t="shared" si="90"/>
        <v>4.5960910604014053E-3</v>
      </c>
      <c r="K396" s="16">
        <f t="shared" si="95"/>
        <v>-2.4063271722727052E-2</v>
      </c>
      <c r="L396" s="16">
        <f t="shared" si="96"/>
        <v>0.67936759559523019</v>
      </c>
      <c r="M396" s="16">
        <f t="shared" si="97"/>
        <v>4.3289069210259094E-2</v>
      </c>
      <c r="N396" s="16">
        <f t="shared" si="98"/>
        <v>0.67750507679577765</v>
      </c>
      <c r="O396" s="16">
        <f t="shared" si="99"/>
        <v>-3.4096887089456289E-2</v>
      </c>
      <c r="R396" s="5">
        <f t="shared" si="100"/>
        <v>-0.5</v>
      </c>
    </row>
    <row r="397" spans="2:18" x14ac:dyDescent="0.3">
      <c r="B397" s="16">
        <v>0.68141862214747362</v>
      </c>
      <c r="C397" s="16">
        <f t="shared" si="91"/>
        <v>3.8422509487520198E-2</v>
      </c>
      <c r="D397" s="16" t="str">
        <f t="shared" si="87"/>
        <v xml:space="preserve"> </v>
      </c>
      <c r="E397" s="16" t="str">
        <f t="shared" si="88"/>
        <v xml:space="preserve"> </v>
      </c>
      <c r="F397" s="16" t="str">
        <f t="shared" si="89"/>
        <v xml:space="preserve"> </v>
      </c>
      <c r="G397" s="16">
        <f t="shared" si="92"/>
        <v>4.5245335197932951E-3</v>
      </c>
      <c r="H397" s="16">
        <f t="shared" si="93"/>
        <v>-2.3920307418369091E-2</v>
      </c>
      <c r="I397" s="16">
        <f t="shared" si="94"/>
        <v>-2.3915746734662912E-2</v>
      </c>
      <c r="J397" s="16">
        <f t="shared" si="90"/>
        <v>4.5245335197932951E-3</v>
      </c>
      <c r="K397" s="16">
        <f t="shared" si="95"/>
        <v>-2.3915746734662912E-2</v>
      </c>
      <c r="L397" s="16">
        <f t="shared" si="96"/>
        <v>0.68233743755938137</v>
      </c>
      <c r="M397" s="16">
        <f t="shared" si="97"/>
        <v>4.2936055405256524E-2</v>
      </c>
      <c r="N397" s="16">
        <f t="shared" si="98"/>
        <v>0.68049980673556587</v>
      </c>
      <c r="O397" s="16">
        <f t="shared" si="99"/>
        <v>-3.3886988365669932E-2</v>
      </c>
      <c r="R397" s="5">
        <f t="shared" si="100"/>
        <v>-0.5</v>
      </c>
    </row>
    <row r="398" spans="2:18" x14ac:dyDescent="0.3">
      <c r="B398" s="16">
        <v>0.68440406498392603</v>
      </c>
      <c r="C398" s="16">
        <f t="shared" si="91"/>
        <v>3.8139263590875903E-2</v>
      </c>
      <c r="D398" s="16" t="str">
        <f t="shared" si="87"/>
        <v xml:space="preserve"> </v>
      </c>
      <c r="E398" s="16" t="str">
        <f t="shared" si="88"/>
        <v xml:space="preserve"> </v>
      </c>
      <c r="F398" s="16" t="str">
        <f t="shared" si="89"/>
        <v xml:space="preserve"> </v>
      </c>
      <c r="G398" s="16">
        <f t="shared" si="92"/>
        <v>4.4533425677536747E-3</v>
      </c>
      <c r="H398" s="16">
        <f t="shared" si="93"/>
        <v>-2.377158879783807E-2</v>
      </c>
      <c r="I398" s="16">
        <f t="shared" si="94"/>
        <v>-2.3767112632102166E-2</v>
      </c>
      <c r="J398" s="16">
        <f t="shared" si="90"/>
        <v>4.4533425677536747E-3</v>
      </c>
      <c r="K398" s="16">
        <f t="shared" si="95"/>
        <v>-2.3767112632102166E-2</v>
      </c>
      <c r="L398" s="16">
        <f t="shared" si="96"/>
        <v>0.68531043982026052</v>
      </c>
      <c r="M398" s="16">
        <f t="shared" si="97"/>
        <v>4.2581834695168991E-2</v>
      </c>
      <c r="N398" s="16">
        <f t="shared" si="98"/>
        <v>0.68349769014759154</v>
      </c>
      <c r="O398" s="16">
        <f t="shared" si="99"/>
        <v>-3.3675149559661638E-2</v>
      </c>
      <c r="R398" s="5">
        <f t="shared" si="100"/>
        <v>-0.5</v>
      </c>
    </row>
    <row r="399" spans="2:18" x14ac:dyDescent="0.3">
      <c r="B399" s="16">
        <v>0.68739263512153115</v>
      </c>
      <c r="C399" s="16">
        <f t="shared" si="91"/>
        <v>3.785444965150897E-2</v>
      </c>
      <c r="D399" s="16" t="str">
        <f t="shared" si="87"/>
        <v xml:space="preserve"> </v>
      </c>
      <c r="E399" s="16" t="str">
        <f t="shared" si="88"/>
        <v xml:space="preserve"> </v>
      </c>
      <c r="F399" s="16" t="str">
        <f t="shared" si="89"/>
        <v xml:space="preserve"> </v>
      </c>
      <c r="G399" s="16">
        <f t="shared" si="92"/>
        <v>4.3825231565425317E-3</v>
      </c>
      <c r="H399" s="16">
        <f t="shared" si="93"/>
        <v>-2.362175994264332E-2</v>
      </c>
      <c r="I399" s="16">
        <f t="shared" si="94"/>
        <v>-2.3617367863722531E-2</v>
      </c>
      <c r="J399" s="16">
        <f t="shared" si="90"/>
        <v>4.3825231565425317E-3</v>
      </c>
      <c r="K399" s="16">
        <f t="shared" si="95"/>
        <v>-2.3617367863722531E-2</v>
      </c>
      <c r="L399" s="16">
        <f t="shared" si="96"/>
        <v>0.68828657447522956</v>
      </c>
      <c r="M399" s="16">
        <f t="shared" si="97"/>
        <v>4.2226416070070022E-2</v>
      </c>
      <c r="N399" s="16">
        <f t="shared" si="98"/>
        <v>0.68649869576783273</v>
      </c>
      <c r="O399" s="16">
        <f t="shared" si="99"/>
        <v>-3.3461369756984966E-2</v>
      </c>
      <c r="R399" s="5">
        <f t="shared" si="100"/>
        <v>-0.5</v>
      </c>
    </row>
    <row r="400" spans="2:18" x14ac:dyDescent="0.3">
      <c r="B400" s="16">
        <v>0.6903843029459692</v>
      </c>
      <c r="C400" s="16">
        <f t="shared" si="91"/>
        <v>3.7568071661715455E-2</v>
      </c>
      <c r="D400" s="16" t="str">
        <f t="shared" si="87"/>
        <v xml:space="preserve"> </v>
      </c>
      <c r="E400" s="16" t="str">
        <f t="shared" si="88"/>
        <v xml:space="preserve"> </v>
      </c>
      <c r="F400" s="16" t="str">
        <f t="shared" si="89"/>
        <v xml:space="preserve"> </v>
      </c>
      <c r="G400" s="16">
        <f t="shared" si="92"/>
        <v>4.3120802408490042E-3</v>
      </c>
      <c r="H400" s="16">
        <f t="shared" si="93"/>
        <v>-2.3470819353837033E-2</v>
      </c>
      <c r="I400" s="16">
        <f t="shared" si="94"/>
        <v>-2.3466510914481899E-2</v>
      </c>
      <c r="J400" s="16">
        <f t="shared" si="90"/>
        <v>4.3120802408490042E-3</v>
      </c>
      <c r="K400" s="16">
        <f t="shared" si="95"/>
        <v>-2.3466510914481899E-2</v>
      </c>
      <c r="L400" s="16">
        <f t="shared" si="96"/>
        <v>0.69126581359982997</v>
      </c>
      <c r="M400" s="16">
        <f t="shared" si="97"/>
        <v>4.1869808438210969E-2</v>
      </c>
      <c r="N400" s="16">
        <f t="shared" si="98"/>
        <v>0.68950279229210842</v>
      </c>
      <c r="O400" s="16">
        <f t="shared" si="99"/>
        <v>-3.3245647956512962E-2</v>
      </c>
      <c r="R400" s="5">
        <f t="shared" si="100"/>
        <v>-0.5</v>
      </c>
    </row>
    <row r="401" spans="2:18" x14ac:dyDescent="0.3">
      <c r="B401" s="16">
        <v>0.69337903881222562</v>
      </c>
      <c r="C401" s="16">
        <f t="shared" si="91"/>
        <v>3.7280133527952966E-2</v>
      </c>
      <c r="D401" s="16" t="str">
        <f t="shared" si="87"/>
        <v xml:space="preserve"> </v>
      </c>
      <c r="E401" s="16" t="str">
        <f t="shared" si="88"/>
        <v xml:space="preserve"> </v>
      </c>
      <c r="F401" s="16" t="str">
        <f t="shared" si="89"/>
        <v xml:space="preserve"> </v>
      </c>
      <c r="G401" s="16">
        <f t="shared" si="92"/>
        <v>4.2420187774787092E-3</v>
      </c>
      <c r="H401" s="16">
        <f t="shared" si="93"/>
        <v>-2.3318765568827577E-2</v>
      </c>
      <c r="I401" s="16">
        <f t="shared" si="94"/>
        <v>-2.3314540305758056E-2</v>
      </c>
      <c r="J401" s="16">
        <f t="shared" si="90"/>
        <v>4.2420187774787092E-3</v>
      </c>
      <c r="K401" s="16">
        <f t="shared" si="95"/>
        <v>-2.3314540305758056E-2</v>
      </c>
      <c r="L401" s="16">
        <f t="shared" si="96"/>
        <v>0.69424812924804591</v>
      </c>
      <c r="M401" s="16">
        <f t="shared" si="97"/>
        <v>4.1512020624491927E-2</v>
      </c>
      <c r="N401" s="16">
        <f t="shared" si="98"/>
        <v>0.69250994837640534</v>
      </c>
      <c r="O401" s="16">
        <f t="shared" si="99"/>
        <v>-3.3027983069534514E-2</v>
      </c>
      <c r="R401" s="5">
        <f t="shared" si="100"/>
        <v>-0.5</v>
      </c>
    </row>
    <row r="402" spans="2:18" x14ac:dyDescent="0.3">
      <c r="B402" s="16">
        <v>0.69637681304488286</v>
      </c>
      <c r="C402" s="16">
        <f t="shared" si="91"/>
        <v>3.6990639069627372E-2</v>
      </c>
      <c r="D402" s="16" t="str">
        <f t="shared" si="87"/>
        <v xml:space="preserve"> </v>
      </c>
      <c r="E402" s="16" t="str">
        <f t="shared" si="88"/>
        <v xml:space="preserve"> </v>
      </c>
      <c r="F402" s="16" t="str">
        <f t="shared" si="89"/>
        <v xml:space="preserve"> </v>
      </c>
      <c r="G402" s="16">
        <f t="shared" si="92"/>
        <v>4.1723437250396345E-3</v>
      </c>
      <c r="H402" s="16">
        <f t="shared" si="93"/>
        <v>-2.3165597161511314E-2</v>
      </c>
      <c r="I402" s="16">
        <f t="shared" si="94"/>
        <v>-2.3161454595487213E-2</v>
      </c>
      <c r="J402" s="16">
        <f t="shared" si="90"/>
        <v>4.1723437250396345E-3</v>
      </c>
      <c r="K402" s="16">
        <f t="shared" si="95"/>
        <v>-2.3161454595487213E-2</v>
      </c>
      <c r="L402" s="16">
        <f t="shared" si="96"/>
        <v>0.69723349345256525</v>
      </c>
      <c r="M402" s="16">
        <f t="shared" si="97"/>
        <v>4.1153061368948821E-2</v>
      </c>
      <c r="N402" s="16">
        <f t="shared" si="98"/>
        <v>0.69552013263720047</v>
      </c>
      <c r="O402" s="16">
        <f t="shared" si="99"/>
        <v>-3.2808373918869552E-2</v>
      </c>
      <c r="R402" s="5">
        <f t="shared" si="100"/>
        <v>-0.5</v>
      </c>
    </row>
    <row r="403" spans="2:18" x14ac:dyDescent="0.3">
      <c r="B403" s="16">
        <v>0.69937759593841675</v>
      </c>
      <c r="C403" s="16">
        <f t="shared" si="91"/>
        <v>3.6699592017895237E-2</v>
      </c>
      <c r="D403" s="16" t="str">
        <f t="shared" si="87"/>
        <v xml:space="preserve"> </v>
      </c>
      <c r="E403" s="16" t="str">
        <f t="shared" si="88"/>
        <v xml:space="preserve"> </v>
      </c>
      <c r="F403" s="16" t="str">
        <f t="shared" si="89"/>
        <v xml:space="preserve"> </v>
      </c>
      <c r="G403" s="16">
        <f t="shared" si="92"/>
        <v>4.1030600436264136E-3</v>
      </c>
      <c r="H403" s="16">
        <f t="shared" si="93"/>
        <v>-2.3011312742402892E-2</v>
      </c>
      <c r="I403" s="16">
        <f t="shared" si="94"/>
        <v>-2.3007252378301118E-2</v>
      </c>
      <c r="J403" s="16">
        <f t="shared" si="90"/>
        <v>4.1030600436264136E-3</v>
      </c>
      <c r="K403" s="16">
        <f t="shared" si="95"/>
        <v>-2.3007252378301118E-2</v>
      </c>
      <c r="L403" s="16">
        <f t="shared" si="96"/>
        <v>0.70022187822504733</v>
      </c>
      <c r="M403" s="16">
        <f t="shared" si="97"/>
        <v>4.0792939325254497E-2</v>
      </c>
      <c r="N403" s="16">
        <f t="shared" si="98"/>
        <v>0.69853331365178617</v>
      </c>
      <c r="O403" s="16">
        <f t="shared" si="99"/>
        <v>-3.258681923800167E-2</v>
      </c>
      <c r="R403" s="5">
        <f t="shared" si="100"/>
        <v>-0.5</v>
      </c>
    </row>
    <row r="404" spans="2:18" x14ac:dyDescent="0.3">
      <c r="B404" s="16">
        <v>0.70238135775748911</v>
      </c>
      <c r="C404" s="16">
        <f t="shared" si="91"/>
        <v>3.6406996014483453E-2</v>
      </c>
      <c r="D404" s="16" t="str">
        <f t="shared" si="87"/>
        <v xml:space="preserve"> </v>
      </c>
      <c r="E404" s="16" t="str">
        <f t="shared" si="88"/>
        <v xml:space="preserve"> </v>
      </c>
      <c r="F404" s="16" t="str">
        <f t="shared" si="89"/>
        <v xml:space="preserve"> </v>
      </c>
      <c r="G404" s="16">
        <f t="shared" si="92"/>
        <v>4.0341726945032274E-3</v>
      </c>
      <c r="H404" s="16">
        <f t="shared" si="93"/>
        <v>-2.2855910958764311E-2</v>
      </c>
      <c r="I404" s="16">
        <f t="shared" si="94"/>
        <v>-2.2851932285662999E-2</v>
      </c>
      <c r="J404" s="16">
        <f t="shared" si="90"/>
        <v>4.0341726945032274E-3</v>
      </c>
      <c r="K404" s="16">
        <f t="shared" si="95"/>
        <v>-2.2851932285662999E-2</v>
      </c>
      <c r="L404" s="16">
        <f t="shared" si="96"/>
        <v>0.70321325555638792</v>
      </c>
      <c r="M404" s="16">
        <f t="shared" si="97"/>
        <v>4.043166305923581E-2</v>
      </c>
      <c r="N404" s="16">
        <f t="shared" si="98"/>
        <v>0.7015494599585903</v>
      </c>
      <c r="O404" s="16">
        <f t="shared" si="99"/>
        <v>-3.2363317670229354E-2</v>
      </c>
      <c r="R404" s="5">
        <f t="shared" si="100"/>
        <v>-0.5</v>
      </c>
    </row>
    <row r="405" spans="2:18" x14ac:dyDescent="0.3">
      <c r="B405" s="16">
        <v>0.70538806873724358</v>
      </c>
      <c r="C405" s="16">
        <f t="shared" si="91"/>
        <v>3.6112854610526018E-2</v>
      </c>
      <c r="D405" s="16" t="str">
        <f t="shared" si="87"/>
        <v xml:space="preserve"> </v>
      </c>
      <c r="E405" s="16" t="str">
        <f t="shared" si="88"/>
        <v xml:space="preserve"> </v>
      </c>
      <c r="F405" s="16" t="str">
        <f t="shared" si="89"/>
        <v xml:space="preserve"> </v>
      </c>
      <c r="G405" s="16">
        <f t="shared" si="92"/>
        <v>3.9656866397851749E-3</v>
      </c>
      <c r="H405" s="16">
        <f t="shared" si="93"/>
        <v>-2.2699390494732498E-2</v>
      </c>
      <c r="I405" s="16">
        <f t="shared" si="94"/>
        <v>-2.2695492986002087E-2</v>
      </c>
      <c r="J405" s="16">
        <f t="shared" si="90"/>
        <v>3.9656866397851749E-3</v>
      </c>
      <c r="K405" s="16">
        <f t="shared" si="95"/>
        <v>-2.2695492986002087E-2</v>
      </c>
      <c r="L405" s="16">
        <f t="shared" si="96"/>
        <v>0.70620759741699002</v>
      </c>
      <c r="M405" s="16">
        <f t="shared" si="97"/>
        <v>4.0069241047406362E-2</v>
      </c>
      <c r="N405" s="16">
        <f t="shared" si="98"/>
        <v>0.70456854005749714</v>
      </c>
      <c r="O405" s="16">
        <f t="shared" si="99"/>
        <v>-3.2137867767836018E-2</v>
      </c>
      <c r="R405" s="5">
        <f t="shared" si="100"/>
        <v>-0.5</v>
      </c>
    </row>
    <row r="406" spans="2:18" x14ac:dyDescent="0.3">
      <c r="B406" s="16">
        <v>0.70839769908359895</v>
      </c>
      <c r="C406" s="16">
        <f t="shared" si="91"/>
        <v>3.5817171265418002E-2</v>
      </c>
      <c r="D406" s="16" t="str">
        <f t="shared" si="87"/>
        <v xml:space="preserve"> </v>
      </c>
      <c r="E406" s="16" t="str">
        <f t="shared" si="88"/>
        <v xml:space="preserve"> </v>
      </c>
      <c r="F406" s="16" t="str">
        <f t="shared" si="89"/>
        <v xml:space="preserve"> </v>
      </c>
      <c r="G406" s="16">
        <f t="shared" si="92"/>
        <v>3.8976068421182658E-3</v>
      </c>
      <c r="H406" s="16">
        <f t="shared" si="93"/>
        <v>-2.2541750071445609E-2</v>
      </c>
      <c r="I406" s="16">
        <f t="shared" si="94"/>
        <v>-2.2537933184846971E-2</v>
      </c>
      <c r="J406" s="16">
        <f t="shared" si="90"/>
        <v>3.8976068421182658E-3</v>
      </c>
      <c r="K406" s="16">
        <f t="shared" si="95"/>
        <v>-2.2537933184846971E-2</v>
      </c>
      <c r="L406" s="16">
        <f t="shared" si="96"/>
        <v>0.70920487575703306</v>
      </c>
      <c r="M406" s="16">
        <f t="shared" si="97"/>
        <v>3.9705681675515123E-2</v>
      </c>
      <c r="N406" s="16">
        <f t="shared" si="98"/>
        <v>0.70759052241016485</v>
      </c>
      <c r="O406" s="16">
        <f t="shared" si="99"/>
        <v>-3.1910467991278585E-2</v>
      </c>
      <c r="R406" s="5">
        <f t="shared" si="100"/>
        <v>-0.5</v>
      </c>
    </row>
    <row r="407" spans="2:18" x14ac:dyDescent="0.3">
      <c r="B407" s="16">
        <v>0.71141021897354673</v>
      </c>
      <c r="C407" s="16">
        <f t="shared" si="91"/>
        <v>3.5519949345687286E-2</v>
      </c>
      <c r="D407" s="16" t="str">
        <f t="shared" si="87"/>
        <v xml:space="preserve"> </v>
      </c>
      <c r="E407" s="16" t="str">
        <f t="shared" si="88"/>
        <v xml:space="preserve"> </v>
      </c>
      <c r="F407" s="16" t="str">
        <f t="shared" si="89"/>
        <v xml:space="preserve"> </v>
      </c>
      <c r="G407" s="16">
        <f t="shared" si="92"/>
        <v>3.8299382643579238E-3</v>
      </c>
      <c r="H407" s="16">
        <f t="shared" si="93"/>
        <v>-2.2382988447167775E-2</v>
      </c>
      <c r="I407" s="16">
        <f t="shared" si="94"/>
        <v>-2.2379251624957453E-2</v>
      </c>
      <c r="J407" s="16">
        <f t="shared" si="90"/>
        <v>3.8299382643579238E-3</v>
      </c>
      <c r="K407" s="16">
        <f t="shared" si="95"/>
        <v>-2.2379251624957453E-2</v>
      </c>
      <c r="L407" s="16">
        <f t="shared" si="96"/>
        <v>0.71220506250674864</v>
      </c>
      <c r="M407" s="16">
        <f t="shared" si="97"/>
        <v>3.9340993237111377E-2</v>
      </c>
      <c r="N407" s="16">
        <f t="shared" si="98"/>
        <v>0.71061537544034481</v>
      </c>
      <c r="O407" s="16">
        <f t="shared" si="99"/>
        <v>-3.1681116708395532E-2</v>
      </c>
      <c r="R407" s="5">
        <f t="shared" si="100"/>
        <v>-0.5</v>
      </c>
    </row>
    <row r="408" spans="2:18" x14ac:dyDescent="0.3">
      <c r="B408" s="16">
        <v>0.71442559855544452</v>
      </c>
      <c r="C408" s="16">
        <f t="shared" si="91"/>
        <v>3.5221192123883971E-2</v>
      </c>
      <c r="D408" s="16" t="str">
        <f t="shared" si="87"/>
        <v xml:space="preserve"> </v>
      </c>
      <c r="E408" s="16" t="str">
        <f t="shared" si="88"/>
        <v xml:space="preserve"> </v>
      </c>
      <c r="F408" s="16" t="str">
        <f t="shared" si="89"/>
        <v xml:space="preserve"> </v>
      </c>
      <c r="G408" s="16">
        <f t="shared" si="92"/>
        <v>3.7626858692461876E-3</v>
      </c>
      <c r="H408" s="16">
        <f t="shared" si="93"/>
        <v>-2.2223104417412619E-2</v>
      </c>
      <c r="I408" s="16">
        <f t="shared" si="94"/>
        <v>-2.2219447086455263E-2</v>
      </c>
      <c r="J408" s="16">
        <f t="shared" si="90"/>
        <v>3.7626858692461876E-3</v>
      </c>
      <c r="K408" s="16">
        <f t="shared" si="95"/>
        <v>-2.2219447086455263E-2</v>
      </c>
      <c r="L408" s="16">
        <f t="shared" si="96"/>
        <v>0.71520812957669389</v>
      </c>
      <c r="M408" s="16">
        <f t="shared" si="97"/>
        <v>3.8975183932126206E-2</v>
      </c>
      <c r="N408" s="16">
        <f t="shared" si="98"/>
        <v>0.71364306753419515</v>
      </c>
      <c r="O408" s="16">
        <f t="shared" si="99"/>
        <v>-3.1449812193633825E-2</v>
      </c>
      <c r="R408" s="5">
        <f t="shared" si="100"/>
        <v>-0.5</v>
      </c>
    </row>
    <row r="409" spans="2:18" x14ac:dyDescent="0.3">
      <c r="B409" s="16">
        <v>0.71744380794931262</v>
      </c>
      <c r="C409" s="16">
        <f t="shared" si="91"/>
        <v>3.4920902777488529E-2</v>
      </c>
      <c r="D409" s="16" t="str">
        <f t="shared" si="87"/>
        <v xml:space="preserve"> </v>
      </c>
      <c r="E409" s="16" t="str">
        <f t="shared" si="88"/>
        <v xml:space="preserve"> </v>
      </c>
      <c r="F409" s="16" t="str">
        <f t="shared" si="89"/>
        <v xml:space="preserve"> </v>
      </c>
      <c r="G409" s="16">
        <f t="shared" si="92"/>
        <v>3.6958546190874928E-3</v>
      </c>
      <c r="H409" s="16">
        <f t="shared" si="93"/>
        <v>-2.2062096815065262E-2</v>
      </c>
      <c r="I409" s="16">
        <f t="shared" si="94"/>
        <v>-2.2058518386953305E-2</v>
      </c>
      <c r="J409" s="16">
        <f t="shared" si="90"/>
        <v>3.6958546190874928E-3</v>
      </c>
      <c r="K409" s="16">
        <f t="shared" si="95"/>
        <v>-2.2058518386953305E-2</v>
      </c>
      <c r="L409" s="16">
        <f t="shared" si="96"/>
        <v>0.71821404885802931</v>
      </c>
      <c r="M409" s="16">
        <f t="shared" si="97"/>
        <v>3.86082618654712E-2</v>
      </c>
      <c r="N409" s="16">
        <f t="shared" si="98"/>
        <v>0.71667356704059593</v>
      </c>
      <c r="O409" s="16">
        <f t="shared" si="99"/>
        <v>-3.1216552627296213E-2</v>
      </c>
      <c r="R409" s="5">
        <f t="shared" si="100"/>
        <v>-0.5</v>
      </c>
    </row>
    <row r="410" spans="2:18" x14ac:dyDescent="0.3">
      <c r="B410" s="16">
        <v>0.72046481724713085</v>
      </c>
      <c r="C410" s="16">
        <f t="shared" si="91"/>
        <v>3.4619084387837534E-2</v>
      </c>
      <c r="D410" s="16" t="str">
        <f t="shared" si="87"/>
        <v xml:space="preserve"> </v>
      </c>
      <c r="E410" s="16" t="str">
        <f t="shared" si="88"/>
        <v xml:space="preserve"> </v>
      </c>
      <c r="F410" s="16" t="str">
        <f t="shared" si="89"/>
        <v xml:space="preserve"> </v>
      </c>
      <c r="G410" s="16">
        <f t="shared" si="92"/>
        <v>3.629449475423104E-3</v>
      </c>
      <c r="H410" s="16">
        <f t="shared" si="93"/>
        <v>-2.1899964510502922E-2</v>
      </c>
      <c r="I410" s="16">
        <f t="shared" si="94"/>
        <v>-2.1896464381683623E-2</v>
      </c>
      <c r="J410" s="16">
        <f t="shared" si="90"/>
        <v>3.629449475423104E-3</v>
      </c>
      <c r="K410" s="16">
        <f t="shared" si="95"/>
        <v>-2.1896464381683623E-2</v>
      </c>
      <c r="L410" s="16">
        <f t="shared" si="96"/>
        <v>0.7212227922227995</v>
      </c>
      <c r="M410" s="16">
        <f t="shared" si="97"/>
        <v>3.824023504565361E-2</v>
      </c>
      <c r="N410" s="16">
        <f t="shared" si="98"/>
        <v>0.7197068422714622</v>
      </c>
      <c r="O410" s="16">
        <f t="shared" si="99"/>
        <v>-3.0981336094807403E-2</v>
      </c>
      <c r="R410" s="5">
        <f t="shared" si="100"/>
        <v>-0.5</v>
      </c>
    </row>
    <row r="411" spans="2:18" x14ac:dyDescent="0.3">
      <c r="B411" s="16">
        <v>0.72348859651313369</v>
      </c>
      <c r="C411" s="16">
        <f t="shared" si="91"/>
        <v>3.4315739939068834E-2</v>
      </c>
      <c r="D411" s="16" t="str">
        <f t="shared" si="87"/>
        <v xml:space="preserve"> </v>
      </c>
      <c r="E411" s="16" t="str">
        <f t="shared" si="88"/>
        <v xml:space="preserve"> </v>
      </c>
      <c r="F411" s="16" t="str">
        <f t="shared" si="89"/>
        <v xml:space="preserve"> </v>
      </c>
      <c r="G411" s="16">
        <f t="shared" si="92"/>
        <v>3.563475398704271E-3</v>
      </c>
      <c r="H411" s="16">
        <f t="shared" si="93"/>
        <v>-2.1736706411714157E-2</v>
      </c>
      <c r="I411" s="16">
        <f t="shared" si="94"/>
        <v>-2.1733283963624034E-2</v>
      </c>
      <c r="J411" s="16">
        <f t="shared" si="90"/>
        <v>3.563475398704271E-3</v>
      </c>
      <c r="K411" s="16">
        <f t="shared" si="95"/>
        <v>-2.1733283963624034E-2</v>
      </c>
      <c r="L411" s="16">
        <f t="shared" si="96"/>
        <v>0.72423433152421324</v>
      </c>
      <c r="M411" s="16">
        <f t="shared" si="97"/>
        <v>3.7871111383409692E-2</v>
      </c>
      <c r="N411" s="16">
        <f t="shared" si="98"/>
        <v>0.72274286150205413</v>
      </c>
      <c r="O411" s="16">
        <f t="shared" si="99"/>
        <v>-3.0744160586001146E-2</v>
      </c>
      <c r="R411" s="5">
        <f t="shared" si="100"/>
        <v>-0.5</v>
      </c>
    </row>
    <row r="412" spans="2:18" x14ac:dyDescent="0.3">
      <c r="B412" s="16">
        <v>0.72651511578410766</v>
      </c>
      <c r="C412" s="16">
        <f t="shared" si="91"/>
        <v>3.4010872317085356E-2</v>
      </c>
      <c r="D412" s="16" t="str">
        <f t="shared" si="87"/>
        <v xml:space="preserve"> </v>
      </c>
      <c r="E412" s="16" t="str">
        <f t="shared" si="88"/>
        <v xml:space="preserve"> </v>
      </c>
      <c r="F412" s="16" t="str">
        <f t="shared" si="89"/>
        <v xml:space="preserve"> </v>
      </c>
      <c r="G412" s="16">
        <f t="shared" si="92"/>
        <v>3.4979373479640508E-3</v>
      </c>
      <c r="H412" s="16">
        <f t="shared" si="93"/>
        <v>-2.1572321464416632E-2</v>
      </c>
      <c r="I412" s="16">
        <f t="shared" si="94"/>
        <v>-2.1568976063623378E-2</v>
      </c>
      <c r="J412" s="16">
        <f t="shared" si="90"/>
        <v>3.4979373479640508E-3</v>
      </c>
      <c r="K412" s="16">
        <f t="shared" si="95"/>
        <v>-2.1568976063623378E-2</v>
      </c>
      <c r="L412" s="16">
        <f t="shared" si="96"/>
        <v>0.7272486385969279</v>
      </c>
      <c r="M412" s="16">
        <f t="shared" si="97"/>
        <v>3.7500898690355326E-2</v>
      </c>
      <c r="N412" s="16">
        <f t="shared" si="98"/>
        <v>0.72578159297128741</v>
      </c>
      <c r="O412" s="16">
        <f t="shared" si="99"/>
        <v>-3.0505023994427224E-2</v>
      </c>
      <c r="R412" s="5">
        <f t="shared" si="100"/>
        <v>-0.5</v>
      </c>
    </row>
    <row r="413" spans="2:18" x14ac:dyDescent="0.3">
      <c r="B413" s="16">
        <v>0.72954434506968779</v>
      </c>
      <c r="C413" s="16">
        <f t="shared" si="91"/>
        <v>3.3704484308538098E-2</v>
      </c>
      <c r="D413" s="16" t="str">
        <f t="shared" si="87"/>
        <v xml:space="preserve"> </v>
      </c>
      <c r="E413" s="16" t="str">
        <f t="shared" si="88"/>
        <v xml:space="preserve"> </v>
      </c>
      <c r="F413" s="16" t="str">
        <f t="shared" si="89"/>
        <v xml:space="preserve"> </v>
      </c>
      <c r="G413" s="16">
        <f t="shared" si="92"/>
        <v>3.4328402804878781E-3</v>
      </c>
      <c r="H413" s="16">
        <f t="shared" si="93"/>
        <v>-2.1406808652173499E-2</v>
      </c>
      <c r="I413" s="16">
        <f t="shared" si="94"/>
        <v>-2.1403539650525452E-2</v>
      </c>
      <c r="J413" s="16">
        <f t="shared" si="90"/>
        <v>3.4328402804878781E-3</v>
      </c>
      <c r="K413" s="16">
        <f t="shared" si="95"/>
        <v>-2.1403539650525452E-2</v>
      </c>
      <c r="L413" s="16">
        <f t="shared" si="96"/>
        <v>0.73026568525733537</v>
      </c>
      <c r="M413" s="16">
        <f t="shared" si="97"/>
        <v>3.7129604677654783E-2</v>
      </c>
      <c r="N413" s="16">
        <f t="shared" si="98"/>
        <v>0.72882300488204022</v>
      </c>
      <c r="O413" s="16">
        <f t="shared" si="99"/>
        <v>-3.0263924116679029E-2</v>
      </c>
      <c r="R413" s="5">
        <f t="shared" si="100"/>
        <v>-0.5</v>
      </c>
    </row>
    <row r="414" spans="2:18" x14ac:dyDescent="0.3">
      <c r="B414" s="16">
        <v>0.73257625435265572</v>
      </c>
      <c r="C414" s="16">
        <f t="shared" si="91"/>
        <v>3.339657859982869E-2</v>
      </c>
      <c r="D414" s="16" t="str">
        <f t="shared" si="87"/>
        <v xml:space="preserve"> </v>
      </c>
      <c r="E414" s="16" t="str">
        <f t="shared" si="88"/>
        <v xml:space="preserve"> </v>
      </c>
      <c r="F414" s="16" t="str">
        <f t="shared" si="89"/>
        <v xml:space="preserve"> </v>
      </c>
      <c r="G414" s="16">
        <f t="shared" si="92"/>
        <v>3.3681891514828772E-3</v>
      </c>
      <c r="H414" s="16">
        <f t="shared" si="93"/>
        <v>-2.1240166996508249E-2</v>
      </c>
      <c r="I414" s="16">
        <f t="shared" si="94"/>
        <v>-2.1236973731291492E-2</v>
      </c>
      <c r="J414" s="16">
        <f t="shared" si="90"/>
        <v>3.3681891514828772E-3</v>
      </c>
      <c r="K414" s="16">
        <f t="shared" si="95"/>
        <v>-2.1236973731291492E-2</v>
      </c>
      <c r="L414" s="16">
        <f t="shared" si="96"/>
        <v>0.73328544330385059</v>
      </c>
      <c r="M414" s="16">
        <f t="shared" si="97"/>
        <v>3.6757236954707798E-2</v>
      </c>
      <c r="N414" s="16">
        <f t="shared" si="98"/>
        <v>0.73186706540146085</v>
      </c>
      <c r="O414" s="16">
        <f t="shared" si="99"/>
        <v>-3.0020858651742047E-2</v>
      </c>
      <c r="R414" s="5">
        <f t="shared" si="100"/>
        <v>-0.5</v>
      </c>
    </row>
    <row r="415" spans="2:18" x14ac:dyDescent="0.3">
      <c r="B415" s="16">
        <v>0.73561081358923541</v>
      </c>
      <c r="C415" s="16">
        <f t="shared" si="91"/>
        <v>3.308715777613154E-2</v>
      </c>
      <c r="D415" s="16" t="str">
        <f t="shared" si="87"/>
        <v xml:space="preserve"> </v>
      </c>
      <c r="E415" s="16" t="str">
        <f t="shared" si="88"/>
        <v xml:space="preserve"> </v>
      </c>
      <c r="F415" s="16" t="str">
        <f t="shared" si="89"/>
        <v xml:space="preserve"> </v>
      </c>
      <c r="G415" s="16">
        <f t="shared" si="92"/>
        <v>3.3039889137459789E-3</v>
      </c>
      <c r="H415" s="16">
        <f t="shared" si="93"/>
        <v>-2.1072395557018335E-2</v>
      </c>
      <c r="I415" s="16">
        <f t="shared" si="94"/>
        <v>-2.1069277351121452E-2</v>
      </c>
      <c r="J415" s="16">
        <f t="shared" si="90"/>
        <v>3.3039889137459789E-3</v>
      </c>
      <c r="K415" s="16">
        <f t="shared" si="95"/>
        <v>-2.1069277351121452E-2</v>
      </c>
      <c r="L415" s="16">
        <f t="shared" si="96"/>
        <v>0.73630788451720053</v>
      </c>
      <c r="M415" s="16">
        <f t="shared" si="97"/>
        <v>3.6383803027855016E-2</v>
      </c>
      <c r="N415" s="16">
        <f t="shared" si="98"/>
        <v>0.7349137426612703</v>
      </c>
      <c r="O415" s="16">
        <f t="shared" si="99"/>
        <v>-2.9775825200363062E-2</v>
      </c>
      <c r="R415" s="5">
        <f t="shared" si="100"/>
        <v>-0.5</v>
      </c>
    </row>
    <row r="416" spans="2:18" x14ac:dyDescent="0.3">
      <c r="B416" s="16">
        <v>0.7386479927093933</v>
      </c>
      <c r="C416" s="16">
        <f t="shared" si="91"/>
        <v>3.2776224320435976E-2</v>
      </c>
      <c r="D416" s="16" t="str">
        <f t="shared" si="87"/>
        <v xml:space="preserve"> </v>
      </c>
      <c r="E416" s="16" t="str">
        <f t="shared" si="88"/>
        <v xml:space="preserve"> </v>
      </c>
      <c r="F416" s="16" t="str">
        <f t="shared" si="89"/>
        <v xml:space="preserve"> </v>
      </c>
      <c r="G416" s="16">
        <f t="shared" si="92"/>
        <v>3.2402445173307631E-3</v>
      </c>
      <c r="H416" s="16">
        <f t="shared" si="93"/>
        <v>-2.0903493431487039E-2</v>
      </c>
      <c r="I416" s="16">
        <f t="shared" si="94"/>
        <v>-2.0900449593573657E-2</v>
      </c>
      <c r="J416" s="16">
        <f t="shared" si="90"/>
        <v>3.2402445173307631E-3</v>
      </c>
      <c r="K416" s="16">
        <f t="shared" si="95"/>
        <v>-2.0900449593573657E-2</v>
      </c>
      <c r="L416" s="16">
        <f t="shared" si="96"/>
        <v>0.73933298066071851</v>
      </c>
      <c r="M416" s="16">
        <f t="shared" si="97"/>
        <v>3.6009310299102419E-2</v>
      </c>
      <c r="N416" s="16">
        <f t="shared" si="98"/>
        <v>0.73796300475806809</v>
      </c>
      <c r="O416" s="16">
        <f t="shared" si="99"/>
        <v>-2.952882126444089E-2</v>
      </c>
      <c r="R416" s="5">
        <f t="shared" si="100"/>
        <v>-0.5</v>
      </c>
    </row>
    <row r="417" spans="2:18" x14ac:dyDescent="0.3">
      <c r="B417" s="16">
        <v>0.74168776161713368</v>
      </c>
      <c r="C417" s="16">
        <f t="shared" si="91"/>
        <v>3.2463780612608795E-2</v>
      </c>
      <c r="D417" s="16" t="str">
        <f t="shared" si="87"/>
        <v xml:space="preserve"> </v>
      </c>
      <c r="E417" s="16" t="str">
        <f t="shared" si="88"/>
        <v xml:space="preserve"> </v>
      </c>
      <c r="F417" s="16" t="str">
        <f t="shared" si="89"/>
        <v xml:space="preserve"> </v>
      </c>
      <c r="G417" s="16">
        <f t="shared" si="92"/>
        <v>3.1769609092132524E-3</v>
      </c>
      <c r="H417" s="16">
        <f t="shared" si="93"/>
        <v>-2.0733459755994239E-2</v>
      </c>
      <c r="I417" s="16">
        <f t="shared" si="94"/>
        <v>-2.0730489580683364E-2</v>
      </c>
      <c r="J417" s="16">
        <f t="shared" si="90"/>
        <v>3.1769609092132524E-3</v>
      </c>
      <c r="K417" s="16">
        <f t="shared" si="95"/>
        <v>-2.0730489580683364E-2</v>
      </c>
      <c r="L417" s="16">
        <f t="shared" si="96"/>
        <v>0.74236070348063654</v>
      </c>
      <c r="M417" s="16">
        <f t="shared" si="97"/>
        <v>3.5633766064864972E-2</v>
      </c>
      <c r="N417" s="16">
        <f t="shared" si="98"/>
        <v>0.74101481975363082</v>
      </c>
      <c r="O417" s="16">
        <f t="shared" si="99"/>
        <v>-2.9279844246438466E-2</v>
      </c>
      <c r="R417" s="5">
        <f t="shared" si="100"/>
        <v>-0.5</v>
      </c>
    </row>
    <row r="418" spans="2:18" x14ac:dyDescent="0.3">
      <c r="B418" s="16">
        <v>0.7447300901907985</v>
      </c>
      <c r="C418" s="16">
        <f t="shared" si="91"/>
        <v>3.2149828928476766E-2</v>
      </c>
      <c r="D418" s="16" t="str">
        <f t="shared" si="87"/>
        <v xml:space="preserve"> </v>
      </c>
      <c r="E418" s="16" t="str">
        <f t="shared" si="88"/>
        <v xml:space="preserve"> </v>
      </c>
      <c r="F418" s="16" t="str">
        <f t="shared" si="89"/>
        <v xml:space="preserve"> </v>
      </c>
      <c r="G418" s="16">
        <f t="shared" si="92"/>
        <v>3.1141430329564368E-3</v>
      </c>
      <c r="H418" s="16">
        <f t="shared" si="93"/>
        <v>-2.0562293705025467E-2</v>
      </c>
      <c r="I418" s="16">
        <f t="shared" si="94"/>
        <v>-2.0559396473079718E-2</v>
      </c>
      <c r="J418" s="16">
        <f t="shared" si="90"/>
        <v>3.1141430329564368E-3</v>
      </c>
      <c r="K418" s="16">
        <f t="shared" si="95"/>
        <v>-2.0559396473079718E-2</v>
      </c>
      <c r="L418" s="16">
        <f t="shared" si="96"/>
        <v>0.74539102470638352</v>
      </c>
      <c r="M418" s="16">
        <f t="shared" si="97"/>
        <v>3.5257177514729156E-2</v>
      </c>
      <c r="N418" s="16">
        <f t="shared" si="98"/>
        <v>0.74406915567521348</v>
      </c>
      <c r="O418" s="16">
        <f t="shared" si="99"/>
        <v>-2.9028891448816284E-2</v>
      </c>
      <c r="R418" s="5">
        <f t="shared" si="100"/>
        <v>-0.5</v>
      </c>
    </row>
    <row r="419" spans="2:18" x14ac:dyDescent="0.3">
      <c r="B419" s="16">
        <v>0.74777494828336577</v>
      </c>
      <c r="C419" s="16">
        <f t="shared" si="91"/>
        <v>3.1834371438930247E-2</v>
      </c>
      <c r="D419" s="16" t="str">
        <f t="shared" si="87"/>
        <v xml:space="preserve"> </v>
      </c>
      <c r="E419" s="16" t="str">
        <f t="shared" si="88"/>
        <v xml:space="preserve"> </v>
      </c>
      <c r="F419" s="16" t="str">
        <f t="shared" si="89"/>
        <v xml:space="preserve"> </v>
      </c>
      <c r="G419" s="16">
        <f t="shared" si="92"/>
        <v>3.0517958283737376E-3</v>
      </c>
      <c r="H419" s="16">
        <f t="shared" si="93"/>
        <v>-2.0389994491579581E-2</v>
      </c>
      <c r="I419" s="16">
        <f t="shared" si="94"/>
        <v>-2.0387169470101361E-2</v>
      </c>
      <c r="J419" s="16">
        <f t="shared" si="90"/>
        <v>3.0517958283737376E-3</v>
      </c>
      <c r="K419" s="16">
        <f t="shared" si="95"/>
        <v>-2.0387169470101361E-2</v>
      </c>
      <c r="L419" s="16">
        <f t="shared" si="96"/>
        <v>0.7484239160508841</v>
      </c>
      <c r="M419" s="16">
        <f t="shared" si="97"/>
        <v>3.4879551730235561E-2</v>
      </c>
      <c r="N419" s="16">
        <f t="shared" si="98"/>
        <v>0.74712598051584744</v>
      </c>
      <c r="O419" s="16">
        <f t="shared" si="99"/>
        <v>-2.8775960073488083E-2</v>
      </c>
      <c r="R419" s="5">
        <f t="shared" si="100"/>
        <v>-0.5</v>
      </c>
    </row>
    <row r="420" spans="2:18" x14ac:dyDescent="0.3">
      <c r="B420" s="16">
        <v>0.75082230572274766</v>
      </c>
      <c r="C420" s="16">
        <f t="shared" si="91"/>
        <v>3.1517410209047685E-2</v>
      </c>
      <c r="D420" s="16" t="str">
        <f t="shared" si="87"/>
        <v xml:space="preserve"> </v>
      </c>
      <c r="E420" s="16" t="str">
        <f t="shared" si="88"/>
        <v xml:space="preserve"> </v>
      </c>
      <c r="F420" s="16" t="str">
        <f t="shared" si="89"/>
        <v xml:space="preserve"> </v>
      </c>
      <c r="G420" s="16">
        <f t="shared" si="92"/>
        <v>2.9899242311913665E-3</v>
      </c>
      <c r="H420" s="16">
        <f t="shared" si="93"/>
        <v>-2.0216561367275024E-2</v>
      </c>
      <c r="I420" s="16">
        <f t="shared" si="94"/>
        <v>-2.0213807809910698E-2</v>
      </c>
      <c r="J420" s="16">
        <f t="shared" si="90"/>
        <v>2.9899242311913665E-3</v>
      </c>
      <c r="K420" s="16">
        <f t="shared" si="95"/>
        <v>-2.0213807809910698E-2</v>
      </c>
      <c r="L420" s="16">
        <f t="shared" si="96"/>
        <v>0.75145934921085933</v>
      </c>
      <c r="M420" s="16">
        <f t="shared" si="97"/>
        <v>3.4500895683681337E-2</v>
      </c>
      <c r="N420" s="16">
        <f t="shared" si="98"/>
        <v>0.750185262234636</v>
      </c>
      <c r="O420" s="16">
        <f t="shared" si="99"/>
        <v>-2.8521047221298602E-2</v>
      </c>
      <c r="R420" s="5">
        <f t="shared" si="100"/>
        <v>-0.5</v>
      </c>
    </row>
    <row r="421" spans="2:18" x14ac:dyDescent="0.3">
      <c r="B421" s="16">
        <v>0.75387213231209049</v>
      </c>
      <c r="C421" s="16">
        <f t="shared" si="91"/>
        <v>3.1198947197240725E-2</v>
      </c>
      <c r="D421" s="16" t="str">
        <f t="shared" si="87"/>
        <v xml:space="preserve"> </v>
      </c>
      <c r="E421" s="16" t="str">
        <f t="shared" si="88"/>
        <v xml:space="preserve"> </v>
      </c>
      <c r="F421" s="16" t="str">
        <f t="shared" si="89"/>
        <v xml:space="preserve"> </v>
      </c>
      <c r="G421" s="16">
        <f t="shared" si="92"/>
        <v>2.9285331727095824E-3</v>
      </c>
      <c r="H421" s="16">
        <f t="shared" si="93"/>
        <v>-2.004199362245453E-2</v>
      </c>
      <c r="I421" s="16">
        <f t="shared" si="94"/>
        <v>-2.0039310769606661E-2</v>
      </c>
      <c r="J421" s="16">
        <f t="shared" si="90"/>
        <v>2.9285331727095824E-3</v>
      </c>
      <c r="K421" s="16">
        <f t="shared" si="95"/>
        <v>-2.0039310769606661E-2</v>
      </c>
      <c r="L421" s="16">
        <f t="shared" si="96"/>
        <v>0.7544972958671311</v>
      </c>
      <c r="M421" s="16">
        <f t="shared" si="97"/>
        <v>3.4121216236942191E-2</v>
      </c>
      <c r="N421" s="16">
        <f t="shared" si="98"/>
        <v>0.75324696875704988</v>
      </c>
      <c r="O421" s="16">
        <f t="shared" si="99"/>
        <v>-2.8264149891523028E-2</v>
      </c>
      <c r="R421" s="5">
        <f t="shared" si="100"/>
        <v>-0.5</v>
      </c>
    </row>
    <row r="422" spans="2:18" x14ac:dyDescent="0.3">
      <c r="B422" s="16">
        <v>0.75692439783007204</v>
      </c>
      <c r="C422" s="16">
        <f t="shared" si="91"/>
        <v>3.0878984254421513E-2</v>
      </c>
      <c r="D422" s="16" t="str">
        <f t="shared" si="87"/>
        <v xml:space="preserve"> </v>
      </c>
      <c r="E422" s="16" t="str">
        <f t="shared" si="88"/>
        <v xml:space="preserve"> </v>
      </c>
      <c r="F422" s="16" t="str">
        <f t="shared" si="89"/>
        <v xml:space="preserve"> </v>
      </c>
      <c r="G422" s="16">
        <f t="shared" si="92"/>
        <v>2.867627579462957E-3</v>
      </c>
      <c r="H422" s="16">
        <f t="shared" si="93"/>
        <v>-1.9866290586288502E-2</v>
      </c>
      <c r="I422" s="16">
        <f t="shared" si="94"/>
        <v>-1.9863677665336227E-2</v>
      </c>
      <c r="J422" s="16">
        <f t="shared" si="90"/>
        <v>2.867627579462957E-3</v>
      </c>
      <c r="K422" s="16">
        <f t="shared" si="95"/>
        <v>-1.9863677665336227E-2</v>
      </c>
      <c r="L422" s="16">
        <f t="shared" si="96"/>
        <v>0.75753772768492522</v>
      </c>
      <c r="M422" s="16">
        <f t="shared" si="97"/>
        <v>3.3740520140315713E-2</v>
      </c>
      <c r="N422" s="16">
        <f t="shared" si="98"/>
        <v>0.75631106797521885</v>
      </c>
      <c r="O422" s="16">
        <f t="shared" si="99"/>
        <v>-2.8005264981389801E-2</v>
      </c>
      <c r="R422" s="5">
        <f t="shared" si="100"/>
        <v>-0.5</v>
      </c>
    </row>
    <row r="423" spans="2:18" x14ac:dyDescent="0.3">
      <c r="B423" s="16">
        <v>0.75997907203120352</v>
      </c>
      <c r="C423" s="16">
        <f t="shared" si="91"/>
        <v>3.0557523123190825E-2</v>
      </c>
      <c r="D423" s="16" t="str">
        <f t="shared" si="87"/>
        <v xml:space="preserve"> </v>
      </c>
      <c r="E423" s="16" t="str">
        <f t="shared" si="88"/>
        <v xml:space="preserve"> </v>
      </c>
      <c r="F423" s="16" t="str">
        <f t="shared" si="89"/>
        <v xml:space="preserve"> </v>
      </c>
      <c r="G423" s="16">
        <f t="shared" si="92"/>
        <v>2.8072123728795383E-3</v>
      </c>
      <c r="H423" s="16">
        <f t="shared" si="93"/>
        <v>-1.9689451626876686E-2</v>
      </c>
      <c r="I423" s="16">
        <f t="shared" si="94"/>
        <v>-1.9686907852404248E-2</v>
      </c>
      <c r="J423" s="16">
        <f t="shared" si="90"/>
        <v>2.8072123728795383E-3</v>
      </c>
      <c r="K423" s="16">
        <f t="shared" si="95"/>
        <v>-1.9686907852404248E-2</v>
      </c>
      <c r="L423" s="16">
        <f t="shared" si="96"/>
        <v>0.76058061631418228</v>
      </c>
      <c r="M423" s="16">
        <f t="shared" si="97"/>
        <v>3.3358814031384409E-2</v>
      </c>
      <c r="N423" s="16">
        <f t="shared" si="98"/>
        <v>0.75937752774822476</v>
      </c>
      <c r="O423" s="16">
        <f t="shared" si="99"/>
        <v>-2.774438928562533E-2</v>
      </c>
      <c r="R423" s="5">
        <f t="shared" si="100"/>
        <v>-0.5</v>
      </c>
    </row>
    <row r="424" spans="2:18" x14ac:dyDescent="0.3">
      <c r="B424" s="16">
        <v>0.76303612464612713</v>
      </c>
      <c r="C424" s="16">
        <f t="shared" si="91"/>
        <v>3.0234565437048597E-2</v>
      </c>
      <c r="D424" s="16" t="str">
        <f t="shared" si="87"/>
        <v xml:space="preserve"> </v>
      </c>
      <c r="E424" s="16" t="str">
        <f t="shared" si="88"/>
        <v xml:space="preserve"> </v>
      </c>
      <c r="F424" s="16" t="str">
        <f t="shared" si="89"/>
        <v xml:space="preserve"> </v>
      </c>
      <c r="G424" s="16">
        <f t="shared" si="92"/>
        <v>2.7472924689390999E-3</v>
      </c>
      <c r="H424" s="16">
        <f t="shared" si="93"/>
        <v>-1.951147615134859E-2</v>
      </c>
      <c r="I424" s="16">
        <f t="shared" si="94"/>
        <v>-1.9509000725382135E-2</v>
      </c>
      <c r="J424" s="16">
        <f t="shared" si="90"/>
        <v>2.7472924689390999E-3</v>
      </c>
      <c r="K424" s="16">
        <f t="shared" si="95"/>
        <v>-1.9509000725382135E-2</v>
      </c>
      <c r="L424" s="16">
        <f t="shared" si="96"/>
        <v>0.76362593338986506</v>
      </c>
      <c r="M424" s="16">
        <f t="shared" si="97"/>
        <v>3.2976104433900338E-2</v>
      </c>
      <c r="N424" s="16">
        <f t="shared" si="98"/>
        <v>0.7624463159023892</v>
      </c>
      <c r="O424" s="16">
        <f t="shared" si="99"/>
        <v>-2.7481519496022139E-2</v>
      </c>
      <c r="R424" s="5">
        <f t="shared" si="100"/>
        <v>-0.5</v>
      </c>
    </row>
    <row r="425" spans="2:18" x14ac:dyDescent="0.3">
      <c r="B425" s="16">
        <v>0.76609552538191783</v>
      </c>
      <c r="C425" s="16">
        <f t="shared" si="91"/>
        <v>2.9910112719625865E-2</v>
      </c>
      <c r="D425" s="16" t="str">
        <f t="shared" si="87"/>
        <v xml:space="preserve"> </v>
      </c>
      <c r="E425" s="16" t="str">
        <f t="shared" si="88"/>
        <v xml:space="preserve"> </v>
      </c>
      <c r="F425" s="16" t="str">
        <f t="shared" si="89"/>
        <v xml:space="preserve"> </v>
      </c>
      <c r="G425" s="16">
        <f t="shared" si="92"/>
        <v>2.6878727778303448E-3</v>
      </c>
      <c r="H425" s="16">
        <f t="shared" si="93"/>
        <v>-1.933236360596223E-2</v>
      </c>
      <c r="I425" s="16">
        <f t="shared" si="94"/>
        <v>-1.9329955718214865E-2</v>
      </c>
      <c r="J425" s="16">
        <f t="shared" si="90"/>
        <v>2.6878727778303448E-3</v>
      </c>
      <c r="K425" s="16">
        <f t="shared" si="95"/>
        <v>-1.9329955718214865E-2</v>
      </c>
      <c r="L425" s="16">
        <f t="shared" si="96"/>
        <v>0.76667365053227277</v>
      </c>
      <c r="M425" s="16">
        <f t="shared" si="97"/>
        <v>3.2592397756690185E-2</v>
      </c>
      <c r="N425" s="16">
        <f t="shared" si="98"/>
        <v>0.76551740023156289</v>
      </c>
      <c r="O425" s="16">
        <f t="shared" si="99"/>
        <v>-2.7216652201029493E-2</v>
      </c>
      <c r="R425" s="5">
        <f t="shared" si="100"/>
        <v>-0.5</v>
      </c>
    </row>
    <row r="426" spans="2:18" x14ac:dyDescent="0.3">
      <c r="B426" s="16">
        <v>0.76915724392238149</v>
      </c>
      <c r="C426" s="16">
        <f t="shared" si="91"/>
        <v>2.9584166383939729E-2</v>
      </c>
      <c r="D426" s="16" t="str">
        <f t="shared" si="87"/>
        <v xml:space="preserve"> </v>
      </c>
      <c r="E426" s="16" t="str">
        <f t="shared" si="88"/>
        <v xml:space="preserve"> </v>
      </c>
      <c r="F426" s="16" t="str">
        <f t="shared" si="89"/>
        <v xml:space="preserve"> </v>
      </c>
      <c r="G426" s="16">
        <f t="shared" si="92"/>
        <v>2.6289582036072277E-3</v>
      </c>
      <c r="H426" s="16">
        <f t="shared" si="93"/>
        <v>-1.9152113476201573E-2</v>
      </c>
      <c r="I426" s="16">
        <f t="shared" si="94"/>
        <v>-1.9149772304326778E-2</v>
      </c>
      <c r="J426" s="16">
        <f t="shared" si="90"/>
        <v>2.6289582036072277E-3</v>
      </c>
      <c r="K426" s="16">
        <f t="shared" si="95"/>
        <v>-1.9149772304326778E-2</v>
      </c>
      <c r="L426" s="16">
        <f t="shared" si="96"/>
        <v>0.76972373934735283</v>
      </c>
      <c r="M426" s="16">
        <f t="shared" si="97"/>
        <v>3.2207700292582478E-2</v>
      </c>
      <c r="N426" s="16">
        <f t="shared" si="98"/>
        <v>0.76859074849741016</v>
      </c>
      <c r="O426" s="16">
        <f t="shared" si="99"/>
        <v>-2.6949783885368023E-2</v>
      </c>
      <c r="R426" s="5">
        <f t="shared" si="100"/>
        <v>-0.5</v>
      </c>
    </row>
    <row r="427" spans="2:18" x14ac:dyDescent="0.3">
      <c r="B427" s="16">
        <v>0.77222124992835761</v>
      </c>
      <c r="C427" s="16">
        <f t="shared" si="91"/>
        <v>2.9256727731669936E-2</v>
      </c>
      <c r="D427" s="16" t="str">
        <f t="shared" si="87"/>
        <v xml:space="preserve"> </v>
      </c>
      <c r="E427" s="16" t="str">
        <f t="shared" si="88"/>
        <v xml:space="preserve"> </v>
      </c>
      <c r="F427" s="16" t="str">
        <f t="shared" si="89"/>
        <v xml:space="preserve"> </v>
      </c>
      <c r="G427" s="16">
        <f t="shared" si="92"/>
        <v>2.5705536438443231E-3</v>
      </c>
      <c r="H427" s="16">
        <f t="shared" si="93"/>
        <v>-1.8970725286872252E-2</v>
      </c>
      <c r="I427" s="16">
        <f t="shared" si="94"/>
        <v>-1.8968449996725693E-2</v>
      </c>
      <c r="J427" s="16">
        <f t="shared" si="90"/>
        <v>2.5705536438443231E-3</v>
      </c>
      <c r="K427" s="16">
        <f t="shared" si="95"/>
        <v>-1.8968449996725693E-2</v>
      </c>
      <c r="L427" s="16">
        <f t="shared" si="96"/>
        <v>0.77277617142702038</v>
      </c>
      <c r="M427" s="16">
        <f t="shared" si="97"/>
        <v>3.182201821735562E-2</v>
      </c>
      <c r="N427" s="16">
        <f t="shared" si="98"/>
        <v>0.77166632842969485</v>
      </c>
      <c r="O427" s="16">
        <f t="shared" si="99"/>
        <v>-2.6680910929666977E-2</v>
      </c>
      <c r="R427" s="5">
        <f t="shared" si="100"/>
        <v>-0.5</v>
      </c>
    </row>
    <row r="428" spans="2:18" x14ac:dyDescent="0.3">
      <c r="B428" s="16">
        <v>0.77528751303801791</v>
      </c>
      <c r="C428" s="16">
        <f t="shared" si="91"/>
        <v>2.8927797952458825E-2</v>
      </c>
      <c r="D428" s="16" t="str">
        <f t="shared" si="87"/>
        <v xml:space="preserve"> </v>
      </c>
      <c r="E428" s="16" t="str">
        <f t="shared" si="88"/>
        <v xml:space="preserve"> </v>
      </c>
      <c r="F428" s="16" t="str">
        <f t="shared" si="89"/>
        <v xml:space="preserve"> </v>
      </c>
      <c r="G428" s="16">
        <f t="shared" si="92"/>
        <v>2.5126639892912939E-3</v>
      </c>
      <c r="H428" s="16">
        <f t="shared" si="93"/>
        <v>-1.8788198602196025E-2</v>
      </c>
      <c r="I428" s="16">
        <f t="shared" si="94"/>
        <v>-1.8785988348105784E-2</v>
      </c>
      <c r="J428" s="16">
        <f t="shared" si="90"/>
        <v>2.5126639892912939E-3</v>
      </c>
      <c r="K428" s="16">
        <f t="shared" si="95"/>
        <v>-1.8785988348105784E-2</v>
      </c>
      <c r="L428" s="16">
        <f t="shared" si="96"/>
        <v>0.77583091834947426</v>
      </c>
      <c r="M428" s="16">
        <f t="shared" si="97"/>
        <v>3.1435357588708378E-2</v>
      </c>
      <c r="N428" s="16">
        <f t="shared" si="98"/>
        <v>0.77474410772656155</v>
      </c>
      <c r="O428" s="16">
        <f t="shared" si="99"/>
        <v>-2.6410029610125792E-2</v>
      </c>
      <c r="R428" s="5">
        <f t="shared" si="100"/>
        <v>-0.5</v>
      </c>
    </row>
    <row r="429" spans="2:18" x14ac:dyDescent="0.3">
      <c r="B429" s="16">
        <v>0.77835600286716788</v>
      </c>
      <c r="C429" s="16">
        <f t="shared" si="91"/>
        <v>2.8597378123233704E-2</v>
      </c>
      <c r="D429" s="16" t="str">
        <f t="shared" si="87"/>
        <v xml:space="preserve"> </v>
      </c>
      <c r="E429" s="16" t="str">
        <f t="shared" si="88"/>
        <v xml:space="preserve"> </v>
      </c>
      <c r="F429" s="16" t="str">
        <f t="shared" si="89"/>
        <v xml:space="preserve"> </v>
      </c>
      <c r="G429" s="16">
        <f t="shared" si="92"/>
        <v>2.4552941235265386E-3</v>
      </c>
      <c r="H429" s="16">
        <f t="shared" si="93"/>
        <v>-1.8604533025903564E-2</v>
      </c>
      <c r="I429" s="16">
        <f t="shared" si="94"/>
        <v>-1.8602386950948881E-2</v>
      </c>
      <c r="J429" s="16">
        <f t="shared" si="90"/>
        <v>2.4552941235265386E-3</v>
      </c>
      <c r="K429" s="16">
        <f t="shared" si="95"/>
        <v>-1.8602386950948881E-2</v>
      </c>
      <c r="L429" s="16">
        <f t="shared" si="96"/>
        <v>0.77888795167951885</v>
      </c>
      <c r="M429" s="16">
        <f t="shared" si="97"/>
        <v>3.1047724345252083E-2</v>
      </c>
      <c r="N429" s="16">
        <f t="shared" si="98"/>
        <v>0.77782405405481692</v>
      </c>
      <c r="O429" s="16">
        <f t="shared" si="99"/>
        <v>-2.6137136098199003E-2</v>
      </c>
      <c r="R429" s="5">
        <f t="shared" si="100"/>
        <v>-0.5</v>
      </c>
    </row>
    <row r="430" spans="2:18" x14ac:dyDescent="0.3">
      <c r="B430" s="16">
        <v>0.78142668900954892</v>
      </c>
      <c r="C430" s="16">
        <f t="shared" si="91"/>
        <v>2.8265469207552345E-2</v>
      </c>
      <c r="D430" s="16" t="str">
        <f t="shared" si="87"/>
        <v xml:space="preserve"> </v>
      </c>
      <c r="E430" s="16" t="str">
        <f t="shared" si="88"/>
        <v xml:space="preserve"> </v>
      </c>
      <c r="F430" s="16" t="str">
        <f t="shared" si="89"/>
        <v xml:space="preserve"> </v>
      </c>
      <c r="G430" s="16">
        <f t="shared" si="92"/>
        <v>2.3984489226099382E-3</v>
      </c>
      <c r="H430" s="16">
        <f t="shared" si="93"/>
        <v>-1.8419728201325716E-2</v>
      </c>
      <c r="I430" s="16">
        <f t="shared" si="94"/>
        <v>-1.8417645437624253E-2</v>
      </c>
      <c r="J430" s="16">
        <f t="shared" si="90"/>
        <v>2.3984489226099382E-3</v>
      </c>
      <c r="K430" s="16">
        <f t="shared" si="95"/>
        <v>-1.8417645437624253E-2</v>
      </c>
      <c r="L430" s="16">
        <f t="shared" si="96"/>
        <v>0.78194724296888807</v>
      </c>
      <c r="M430" s="16">
        <f t="shared" si="97"/>
        <v>3.065912430552508E-2</v>
      </c>
      <c r="N430" s="16">
        <f t="shared" si="98"/>
        <v>0.78090613505020978</v>
      </c>
      <c r="O430" s="16">
        <f t="shared" si="99"/>
        <v>-2.5862226460305206E-2</v>
      </c>
      <c r="R430" s="5">
        <f t="shared" si="100"/>
        <v>-0.5</v>
      </c>
    </row>
    <row r="431" spans="2:18" x14ac:dyDescent="0.3">
      <c r="B431" s="16">
        <v>0.78449954103713782</v>
      </c>
      <c r="C431" s="16">
        <f t="shared" si="91"/>
        <v>2.7932072054972057E-2</v>
      </c>
      <c r="D431" s="16" t="str">
        <f t="shared" si="87"/>
        <v xml:space="preserve"> </v>
      </c>
      <c r="E431" s="16" t="str">
        <f t="shared" si="88"/>
        <v xml:space="preserve"> </v>
      </c>
      <c r="F431" s="16" t="str">
        <f t="shared" si="89"/>
        <v xml:space="preserve"> </v>
      </c>
      <c r="G431" s="16">
        <f t="shared" si="92"/>
        <v>2.3421332547348315E-3</v>
      </c>
      <c r="H431" s="16">
        <f t="shared" si="93"/>
        <v>-1.8233783811483443E-2</v>
      </c>
      <c r="I431" s="16">
        <f t="shared" si="94"/>
        <v>-1.8231763480487127E-2</v>
      </c>
      <c r="J431" s="16">
        <f t="shared" si="90"/>
        <v>2.3421332547348315E-3</v>
      </c>
      <c r="K431" s="16">
        <f t="shared" si="95"/>
        <v>-1.8231763480487127E-2</v>
      </c>
      <c r="L431" s="16">
        <f t="shared" si="96"/>
        <v>0.78500876375656892</v>
      </c>
      <c r="M431" s="16">
        <f t="shared" si="97"/>
        <v>3.0269563167030125E-2</v>
      </c>
      <c r="N431" s="16">
        <f t="shared" si="98"/>
        <v>0.78399031831770671</v>
      </c>
      <c r="O431" s="16">
        <f t="shared" si="99"/>
        <v>-2.5585296657560465E-2</v>
      </c>
      <c r="R431" s="5">
        <f t="shared" si="100"/>
        <v>-0.5</v>
      </c>
    </row>
    <row r="432" spans="2:18" x14ac:dyDescent="0.3">
      <c r="B432" s="16">
        <v>0.78757452850045018</v>
      </c>
      <c r="C432" s="16">
        <f t="shared" si="91"/>
        <v>2.7597187400441769E-2</v>
      </c>
      <c r="D432" s="16" t="str">
        <f t="shared" si="87"/>
        <v xml:space="preserve"> </v>
      </c>
      <c r="E432" s="16" t="str">
        <f t="shared" si="88"/>
        <v xml:space="preserve"> </v>
      </c>
      <c r="F432" s="16" t="str">
        <f t="shared" si="89"/>
        <v xml:space="preserve"> </v>
      </c>
      <c r="G432" s="16">
        <f t="shared" si="92"/>
        <v>2.2863519798791963E-3</v>
      </c>
      <c r="H432" s="16">
        <f t="shared" si="93"/>
        <v>-1.8046699579175946E-2</v>
      </c>
      <c r="I432" s="16">
        <f t="shared" si="94"/>
        <v>-1.8044740791975433E-2</v>
      </c>
      <c r="J432" s="16">
        <f t="shared" si="90"/>
        <v>2.2863519798791963E-3</v>
      </c>
      <c r="K432" s="16">
        <f t="shared" si="95"/>
        <v>-1.8044740791975433E-2</v>
      </c>
      <c r="L432" s="16">
        <f t="shared" si="96"/>
        <v>0.78807248556913034</v>
      </c>
      <c r="M432" s="16">
        <f t="shared" si="97"/>
        <v>2.9879046505293952E-2</v>
      </c>
      <c r="N432" s="16">
        <f t="shared" si="98"/>
        <v>0.78707657143177001</v>
      </c>
      <c r="O432" s="16">
        <f t="shared" si="99"/>
        <v>-2.5306342545535557E-2</v>
      </c>
      <c r="R432" s="5">
        <f t="shared" si="100"/>
        <v>-0.5</v>
      </c>
    </row>
    <row r="433" spans="2:18" x14ac:dyDescent="0.3">
      <c r="B433" s="16">
        <v>0.79065162092883967</v>
      </c>
      <c r="C433" s="16">
        <f t="shared" si="91"/>
        <v>2.7260815863718174E-2</v>
      </c>
      <c r="D433" s="16" t="str">
        <f t="shared" si="87"/>
        <v xml:space="preserve"> </v>
      </c>
      <c r="E433" s="16" t="str">
        <f t="shared" si="88"/>
        <v xml:space="preserve"> </v>
      </c>
      <c r="F433" s="16" t="str">
        <f t="shared" si="89"/>
        <v xml:space="preserve"> </v>
      </c>
      <c r="G433" s="16">
        <f t="shared" si="92"/>
        <v>2.2311099494560869E-3</v>
      </c>
      <c r="H433" s="16">
        <f t="shared" si="93"/>
        <v>-1.7858475267067648E-2</v>
      </c>
      <c r="I433" s="16">
        <f t="shared" si="94"/>
        <v>-1.7856577124705449E-2</v>
      </c>
      <c r="J433" s="16">
        <f t="shared" si="90"/>
        <v>2.2311099494560869E-3</v>
      </c>
      <c r="K433" s="16">
        <f t="shared" si="95"/>
        <v>-1.7856577124705449E-2</v>
      </c>
      <c r="L433" s="16">
        <f t="shared" si="96"/>
        <v>0.79113837992105007</v>
      </c>
      <c r="M433" s="16">
        <f t="shared" si="97"/>
        <v>2.9487579772950301E-2</v>
      </c>
      <c r="N433" s="16">
        <f t="shared" si="98"/>
        <v>0.79016486193662927</v>
      </c>
      <c r="O433" s="16">
        <f t="shared" si="99"/>
        <v>-2.5025359874038124E-2</v>
      </c>
      <c r="R433" s="5">
        <f t="shared" si="100"/>
        <v>-0.5</v>
      </c>
    </row>
    <row r="434" spans="2:18" x14ac:dyDescent="0.3">
      <c r="B434" s="16">
        <v>0.79373078783080309</v>
      </c>
      <c r="C434" s="16">
        <f t="shared" si="91"/>
        <v>2.6922957948805309E-2</v>
      </c>
      <c r="D434" s="16" t="str">
        <f t="shared" si="87"/>
        <v xml:space="preserve"> </v>
      </c>
      <c r="E434" s="16" t="str">
        <f t="shared" si="88"/>
        <v xml:space="preserve"> </v>
      </c>
      <c r="F434" s="16" t="str">
        <f t="shared" si="89"/>
        <v xml:space="preserve"> </v>
      </c>
      <c r="G434" s="16">
        <f t="shared" si="92"/>
        <v>2.1764120059632758E-3</v>
      </c>
      <c r="H434" s="16">
        <f t="shared" si="93"/>
        <v>-1.7669110677773193E-2</v>
      </c>
      <c r="I434" s="16">
        <f t="shared" si="94"/>
        <v>-1.7667272271565497E-2</v>
      </c>
      <c r="J434" s="16">
        <f t="shared" si="90"/>
        <v>2.1764120059632758E-3</v>
      </c>
      <c r="K434" s="16">
        <f t="shared" si="95"/>
        <v>-1.7667272271565497E-2</v>
      </c>
      <c r="L434" s="16">
        <f t="shared" si="96"/>
        <v>0.79420641831505001</v>
      </c>
      <c r="M434" s="16">
        <f t="shared" si="97"/>
        <v>2.9095168298845647E-2</v>
      </c>
      <c r="N434" s="16">
        <f t="shared" si="98"/>
        <v>0.79325515734655616</v>
      </c>
      <c r="O434" s="16">
        <f t="shared" si="99"/>
        <v>-2.4742344286919092E-2</v>
      </c>
      <c r="R434" s="5">
        <f t="shared" si="100"/>
        <v>-0.5</v>
      </c>
    </row>
    <row r="435" spans="2:18" x14ac:dyDescent="0.3">
      <c r="B435" s="16">
        <v>0.79681199869427966</v>
      </c>
      <c r="C435" s="16">
        <f t="shared" si="91"/>
        <v>2.6583614043418642E-2</v>
      </c>
      <c r="D435" s="16" t="str">
        <f t="shared" si="87"/>
        <v xml:space="preserve"> </v>
      </c>
      <c r="E435" s="16" t="str">
        <f t="shared" si="88"/>
        <v xml:space="preserve"> </v>
      </c>
      <c r="F435" s="16" t="str">
        <f t="shared" si="89"/>
        <v xml:space="preserve"> </v>
      </c>
      <c r="G435" s="16">
        <f t="shared" si="92"/>
        <v>2.1222629826322887E-3</v>
      </c>
      <c r="H435" s="16">
        <f t="shared" si="93"/>
        <v>-1.7478605653941354E-2</v>
      </c>
      <c r="I435" s="16">
        <f t="shared" si="94"/>
        <v>-1.7476826065808585E-2</v>
      </c>
      <c r="J435" s="16">
        <f t="shared" si="90"/>
        <v>2.1222629826322887E-3</v>
      </c>
      <c r="K435" s="16">
        <f t="shared" si="95"/>
        <v>-1.7476826065808585E-2</v>
      </c>
      <c r="L435" s="16">
        <f t="shared" si="96"/>
        <v>0.79727657224242621</v>
      </c>
      <c r="M435" s="16">
        <f t="shared" si="97"/>
        <v>2.8701817287168838E-2</v>
      </c>
      <c r="N435" s="16">
        <f t="shared" si="98"/>
        <v>0.7963474251461331</v>
      </c>
      <c r="O435" s="16">
        <f t="shared" si="99"/>
        <v>-2.4457291321904263E-2</v>
      </c>
      <c r="R435" s="5">
        <f t="shared" si="100"/>
        <v>-0.5</v>
      </c>
    </row>
    <row r="436" spans="2:18" x14ac:dyDescent="0.3">
      <c r="B436" s="16">
        <v>0.79989522298695537</v>
      </c>
      <c r="C436" s="16">
        <f t="shared" si="91"/>
        <v>2.6242784418472623E-2</v>
      </c>
      <c r="D436" s="16" t="str">
        <f t="shared" si="87"/>
        <v xml:space="preserve"> </v>
      </c>
      <c r="E436" s="16" t="str">
        <f t="shared" si="88"/>
        <v xml:space="preserve"> </v>
      </c>
      <c r="F436" s="16" t="str">
        <f t="shared" si="89"/>
        <v xml:space="preserve"> </v>
      </c>
      <c r="G436" s="16">
        <f t="shared" si="92"/>
        <v>2.0686677030766721E-3</v>
      </c>
      <c r="H436" s="16">
        <f t="shared" si="93"/>
        <v>-1.7286960078337067E-2</v>
      </c>
      <c r="I436" s="16">
        <f t="shared" si="94"/>
        <v>-1.7285238381143216E-2</v>
      </c>
      <c r="J436" s="16">
        <f t="shared" si="90"/>
        <v>2.0686677030766721E-3</v>
      </c>
      <c r="K436" s="16">
        <f t="shared" si="95"/>
        <v>-1.7285238381143216E-2</v>
      </c>
      <c r="L436" s="16">
        <f t="shared" si="96"/>
        <v>0.8003488131833868</v>
      </c>
      <c r="M436" s="16">
        <f t="shared" si="97"/>
        <v>2.8307531816603591E-2</v>
      </c>
      <c r="N436" s="16">
        <f t="shared" si="98"/>
        <v>0.79944163279052394</v>
      </c>
      <c r="O436" s="16">
        <f t="shared" si="99"/>
        <v>-2.4170196410450245E-2</v>
      </c>
      <c r="R436" s="5">
        <f t="shared" si="100"/>
        <v>-0.5</v>
      </c>
    </row>
    <row r="437" spans="2:18" x14ac:dyDescent="0.3">
      <c r="B437" s="16">
        <v>0.80298043015656417</v>
      </c>
      <c r="C437" s="16">
        <f t="shared" si="91"/>
        <v>2.5900469227593662E-2</v>
      </c>
      <c r="D437" s="16" t="str">
        <f t="shared" si="87"/>
        <v xml:space="preserve"> </v>
      </c>
      <c r="E437" s="16" t="str">
        <f t="shared" si="88"/>
        <v xml:space="preserve"> </v>
      </c>
      <c r="F437" s="16" t="str">
        <f t="shared" si="89"/>
        <v xml:space="preserve"> </v>
      </c>
      <c r="G437" s="16">
        <f t="shared" si="92"/>
        <v>2.0156309809396776E-3</v>
      </c>
      <c r="H437" s="16">
        <f t="shared" si="93"/>
        <v>-1.7094173873922161E-2</v>
      </c>
      <c r="I437" s="16">
        <f t="shared" si="94"/>
        <v>-1.7092509131822923E-2</v>
      </c>
      <c r="J437" s="16">
        <f t="shared" si="90"/>
        <v>2.0156309809396776E-3</v>
      </c>
      <c r="K437" s="16">
        <f t="shared" si="95"/>
        <v>-1.7092509131822923E-2</v>
      </c>
      <c r="L437" s="16">
        <f t="shared" si="96"/>
        <v>0.80342311260738886</v>
      </c>
      <c r="M437" s="16">
        <f t="shared" si="97"/>
        <v>2.7912316839505791E-2</v>
      </c>
      <c r="N437" s="16">
        <f t="shared" si="98"/>
        <v>0.80253774770573949</v>
      </c>
      <c r="O437" s="16">
        <f t="shared" si="99"/>
        <v>-2.3881054877626436E-2</v>
      </c>
      <c r="R437" s="5">
        <f t="shared" si="100"/>
        <v>-0.5</v>
      </c>
    </row>
    <row r="438" spans="2:18" x14ac:dyDescent="0.3">
      <c r="B438" s="16">
        <v>0.80606758963119207</v>
      </c>
      <c r="C438" s="16">
        <f t="shared" si="91"/>
        <v>2.5556668506656478E-2</v>
      </c>
      <c r="D438" s="16" t="str">
        <f t="shared" si="87"/>
        <v xml:space="preserve"> </v>
      </c>
      <c r="E438" s="16" t="str">
        <f t="shared" si="88"/>
        <v xml:space="preserve"> </v>
      </c>
      <c r="F438" s="16" t="str">
        <f t="shared" si="89"/>
        <v xml:space="preserve"> </v>
      </c>
      <c r="G438" s="16">
        <f t="shared" si="92"/>
        <v>1.9631576195412639E-3</v>
      </c>
      <c r="H438" s="16">
        <f t="shared" si="93"/>
        <v>-1.690024700393436E-2</v>
      </c>
      <c r="I438" s="16">
        <f t="shared" si="94"/>
        <v>-1.6898638272734093E-2</v>
      </c>
      <c r="J438" s="16">
        <f t="shared" si="90"/>
        <v>1.9631576195412639E-3</v>
      </c>
      <c r="K438" s="16">
        <f t="shared" si="95"/>
        <v>-1.6898638272734093E-2</v>
      </c>
      <c r="L438" s="16">
        <f t="shared" si="96"/>
        <v>0.80649944197347889</v>
      </c>
      <c r="M438" s="16">
        <f t="shared" si="97"/>
        <v>2.7516177181103621E-2</v>
      </c>
      <c r="N438" s="16">
        <f t="shared" si="98"/>
        <v>0.80563573728890525</v>
      </c>
      <c r="O438" s="16">
        <f t="shared" si="99"/>
        <v>-2.3589861942021097E-2</v>
      </c>
      <c r="R438" s="5">
        <f t="shared" si="100"/>
        <v>-0.5</v>
      </c>
    </row>
    <row r="439" spans="2:18" x14ac:dyDescent="0.3">
      <c r="B439" s="16">
        <v>0.80915667081957843</v>
      </c>
      <c r="C439" s="16">
        <f t="shared" si="91"/>
        <v>2.5211382173346172E-2</v>
      </c>
      <c r="D439" s="16" t="str">
        <f t="shared" si="87"/>
        <v xml:space="preserve"> </v>
      </c>
      <c r="E439" s="16" t="str">
        <f t="shared" si="88"/>
        <v xml:space="preserve"> </v>
      </c>
      <c r="F439" s="16" t="str">
        <f t="shared" si="89"/>
        <v xml:space="preserve"> </v>
      </c>
      <c r="G439" s="16">
        <f t="shared" si="92"/>
        <v>1.9112524115245716E-3</v>
      </c>
      <c r="H439" s="16">
        <f t="shared" si="93"/>
        <v>-1.6705179471964923E-2</v>
      </c>
      <c r="I439" s="16">
        <f t="shared" si="94"/>
        <v>-1.670362579948249E-2</v>
      </c>
      <c r="J439" s="16">
        <f t="shared" si="90"/>
        <v>1.9112524115245716E-3</v>
      </c>
      <c r="K439" s="16">
        <f t="shared" si="95"/>
        <v>-1.670362579948249E-2</v>
      </c>
      <c r="L439" s="16">
        <f t="shared" si="96"/>
        <v>0.80957777273063336</v>
      </c>
      <c r="M439" s="16">
        <f t="shared" si="97"/>
        <v>2.7119117538722926E-2</v>
      </c>
      <c r="N439" s="16">
        <f t="shared" si="98"/>
        <v>0.80873556890852349</v>
      </c>
      <c r="O439" s="16">
        <f t="shared" si="99"/>
        <v>-2.3296612715673785E-2</v>
      </c>
      <c r="R439" s="5">
        <f t="shared" si="100"/>
        <v>-0.5</v>
      </c>
    </row>
    <row r="440" spans="2:18" x14ac:dyDescent="0.3">
      <c r="B440" s="16">
        <v>0.81224764311142017</v>
      </c>
      <c r="C440" s="16">
        <f t="shared" si="91"/>
        <v>2.4864610026744529E-2</v>
      </c>
      <c r="D440" s="16" t="str">
        <f t="shared" si="87"/>
        <v xml:space="preserve"> </v>
      </c>
      <c r="E440" s="16" t="str">
        <f t="shared" si="88"/>
        <v xml:space="preserve"> </v>
      </c>
      <c r="F440" s="16" t="str">
        <f t="shared" si="89"/>
        <v xml:space="preserve"> </v>
      </c>
      <c r="G440" s="16">
        <f t="shared" si="92"/>
        <v>1.8599201385017833E-3</v>
      </c>
      <c r="H440" s="16">
        <f t="shared" si="93"/>
        <v>-1.650897132203457E-2</v>
      </c>
      <c r="I440" s="16">
        <f t="shared" si="94"/>
        <v>-1.6507471748478057E-2</v>
      </c>
      <c r="J440" s="16">
        <f t="shared" si="90"/>
        <v>1.8599201385017833E-3</v>
      </c>
      <c r="K440" s="16">
        <f t="shared" si="95"/>
        <v>-1.6507471748478057E-2</v>
      </c>
      <c r="L440" s="16">
        <f t="shared" si="96"/>
        <v>0.81265807631810383</v>
      </c>
      <c r="M440" s="16">
        <f t="shared" si="97"/>
        <v>2.6721142481036273E-2</v>
      </c>
      <c r="N440" s="16">
        <f t="shared" si="98"/>
        <v>0.81183720990473651</v>
      </c>
      <c r="O440" s="16">
        <f t="shared" si="99"/>
        <v>-2.3001302204032705E-2</v>
      </c>
      <c r="R440" s="5">
        <f t="shared" si="100"/>
        <v>-0.5</v>
      </c>
    </row>
    <row r="441" spans="2:18" x14ac:dyDescent="0.3">
      <c r="B441" s="16">
        <v>0.81534047587767555</v>
      </c>
      <c r="C441" s="16">
        <f t="shared" si="91"/>
        <v>2.4516351746941573E-2</v>
      </c>
      <c r="D441" s="16" t="str">
        <f t="shared" si="87"/>
        <v xml:space="preserve"> </v>
      </c>
      <c r="E441" s="16" t="str">
        <f t="shared" si="88"/>
        <v xml:space="preserve"> </v>
      </c>
      <c r="F441" s="16" t="str">
        <f t="shared" si="89"/>
        <v xml:space="preserve"> </v>
      </c>
      <c r="G441" s="16">
        <f t="shared" si="92"/>
        <v>1.809165570699421E-3</v>
      </c>
      <c r="H441" s="16">
        <f t="shared" si="93"/>
        <v>-1.631162263866788E-2</v>
      </c>
      <c r="I441" s="16">
        <f t="shared" si="94"/>
        <v>-1.6310176197018238E-2</v>
      </c>
      <c r="J441" s="16">
        <f t="shared" si="90"/>
        <v>1.809165570699421E-3</v>
      </c>
      <c r="K441" s="16">
        <f t="shared" si="95"/>
        <v>-1.6310176197018238E-2</v>
      </c>
      <c r="L441" s="16">
        <f t="shared" si="96"/>
        <v>0.81574032416576259</v>
      </c>
      <c r="M441" s="16">
        <f t="shared" si="97"/>
        <v>2.6322256447336722E-2</v>
      </c>
      <c r="N441" s="16">
        <f t="shared" si="98"/>
        <v>0.81494062758958852</v>
      </c>
      <c r="O441" s="16">
        <f t="shared" si="99"/>
        <v>-2.2703925305937882E-2</v>
      </c>
      <c r="R441" s="5">
        <f t="shared" si="100"/>
        <v>-0.5</v>
      </c>
    </row>
    <row r="442" spans="2:18" x14ac:dyDescent="0.3">
      <c r="B442" s="16">
        <v>0.81843513847086635</v>
      </c>
      <c r="C442" s="16">
        <f t="shared" si="91"/>
        <v>2.4166606894672361E-2</v>
      </c>
      <c r="D442" s="16" t="str">
        <f t="shared" si="87"/>
        <v xml:space="preserve"> </v>
      </c>
      <c r="E442" s="16" t="str">
        <f t="shared" si="88"/>
        <v xml:space="preserve"> </v>
      </c>
      <c r="F442" s="16" t="str">
        <f t="shared" si="89"/>
        <v xml:space="preserve"> </v>
      </c>
      <c r="G442" s="16">
        <f t="shared" si="92"/>
        <v>1.7589934666032228E-3</v>
      </c>
      <c r="H442" s="16">
        <f t="shared" si="93"/>
        <v>-1.6113133546966273E-2</v>
      </c>
      <c r="I442" s="16">
        <f t="shared" si="94"/>
        <v>-1.6111739263369888E-2</v>
      </c>
      <c r="J442" s="16">
        <f t="shared" si="90"/>
        <v>1.7589934666032228E-3</v>
      </c>
      <c r="K442" s="16">
        <f t="shared" si="95"/>
        <v>-1.6111739263369888E-2</v>
      </c>
      <c r="L442" s="16">
        <f t="shared" si="96"/>
        <v>0.81882448769444993</v>
      </c>
      <c r="M442" s="16">
        <f t="shared" si="97"/>
        <v>2.5922463746836575E-2</v>
      </c>
      <c r="N442" s="16">
        <f t="shared" si="98"/>
        <v>0.81804578924728277</v>
      </c>
      <c r="O442" s="16">
        <f t="shared" si="99"/>
        <v>-2.2404476813630132E-2</v>
      </c>
      <c r="R442" s="5">
        <f t="shared" si="100"/>
        <v>-0.5</v>
      </c>
    </row>
    <row r="443" spans="2:18" x14ac:dyDescent="0.3">
      <c r="B443" s="16">
        <v>0.82153160022538252</v>
      </c>
      <c r="C443" s="16">
        <f t="shared" si="91"/>
        <v>2.3815374910979136E-2</v>
      </c>
      <c r="D443" s="16" t="str">
        <f t="shared" si="87"/>
        <v xml:space="preserve"> </v>
      </c>
      <c r="E443" s="16" t="str">
        <f t="shared" si="88"/>
        <v xml:space="preserve"> </v>
      </c>
      <c r="F443" s="16" t="str">
        <f t="shared" si="89"/>
        <v xml:space="preserve"> </v>
      </c>
      <c r="G443" s="16">
        <f t="shared" si="92"/>
        <v>1.7094085726024558E-3</v>
      </c>
      <c r="H443" s="16">
        <f t="shared" si="93"/>
        <v>-1.5913504212679241E-2</v>
      </c>
      <c r="I443" s="16">
        <f t="shared" si="94"/>
        <v>-1.5912161106849485E-2</v>
      </c>
      <c r="J443" s="16">
        <f t="shared" si="90"/>
        <v>1.7094085726024558E-3</v>
      </c>
      <c r="K443" s="16">
        <f t="shared" si="95"/>
        <v>-1.5912161106849485E-2</v>
      </c>
      <c r="L443" s="16">
        <f t="shared" si="96"/>
        <v>0.82191053831632388</v>
      </c>
      <c r="M443" s="16">
        <f t="shared" si="97"/>
        <v>2.552176855799089E-2</v>
      </c>
      <c r="N443" s="16">
        <f t="shared" si="98"/>
        <v>0.82115266213444116</v>
      </c>
      <c r="O443" s="16">
        <f t="shared" si="99"/>
        <v>-2.2102951412785982E-2</v>
      </c>
      <c r="R443" s="5">
        <f t="shared" si="100"/>
        <v>-0.5</v>
      </c>
    </row>
    <row r="444" spans="2:18" x14ac:dyDescent="0.3">
      <c r="B444" s="16">
        <v>0.82462983045778548</v>
      </c>
      <c r="C444" s="16">
        <f t="shared" si="91"/>
        <v>2.3462655116898826E-2</v>
      </c>
      <c r="D444" s="16" t="str">
        <f t="shared" si="87"/>
        <v xml:space="preserve"> </v>
      </c>
      <c r="E444" s="16" t="str">
        <f t="shared" si="88"/>
        <v xml:space="preserve"> </v>
      </c>
      <c r="F444" s="16" t="str">
        <f t="shared" si="89"/>
        <v xml:space="preserve"> </v>
      </c>
      <c r="G444" s="16">
        <f t="shared" si="92"/>
        <v>1.6604156226338155E-3</v>
      </c>
      <c r="H444" s="16">
        <f t="shared" si="93"/>
        <v>-1.5712734842274135E-2</v>
      </c>
      <c r="I444" s="16">
        <f t="shared" si="94"/>
        <v>-1.5711441927901876E-2</v>
      </c>
      <c r="J444" s="16">
        <f t="shared" si="90"/>
        <v>1.6604156226338155E-3</v>
      </c>
      <c r="K444" s="16">
        <f t="shared" si="95"/>
        <v>-1.5711441927901876E-2</v>
      </c>
      <c r="L444" s="16">
        <f t="shared" si="96"/>
        <v>0.82499844743521189</v>
      </c>
      <c r="M444" s="16">
        <f t="shared" si="97"/>
        <v>2.5120174927846042E-2</v>
      </c>
      <c r="N444" s="16">
        <f t="shared" si="98"/>
        <v>0.82426121348035908</v>
      </c>
      <c r="O444" s="16">
        <f t="shared" si="99"/>
        <v>-2.1799343682578413E-2</v>
      </c>
      <c r="R444" s="5">
        <f t="shared" si="100"/>
        <v>-0.5</v>
      </c>
    </row>
    <row r="445" spans="2:18" x14ac:dyDescent="0.3">
      <c r="B445" s="16">
        <v>0.82772979846711325</v>
      </c>
      <c r="C445" s="16">
        <f t="shared" si="91"/>
        <v>2.3108446713176332E-2</v>
      </c>
      <c r="D445" s="16" t="str">
        <f t="shared" si="87"/>
        <v xml:space="preserve"> </v>
      </c>
      <c r="E445" s="16" t="str">
        <f t="shared" si="88"/>
        <v xml:space="preserve"> </v>
      </c>
      <c r="F445" s="16" t="str">
        <f t="shared" si="89"/>
        <v xml:space="preserve"> </v>
      </c>
      <c r="G445" s="16">
        <f t="shared" si="92"/>
        <v>1.6120193378248381E-3</v>
      </c>
      <c r="H445" s="16">
        <f t="shared" si="93"/>
        <v>-1.5510825683004294E-2</v>
      </c>
      <c r="I445" s="16">
        <f t="shared" si="94"/>
        <v>-1.5509581968177409E-2</v>
      </c>
      <c r="J445" s="16">
        <f t="shared" si="90"/>
        <v>1.6120193378248381E-3</v>
      </c>
      <c r="K445" s="16">
        <f t="shared" si="95"/>
        <v>-1.5509581968177409E-2</v>
      </c>
      <c r="L445" s="16">
        <f t="shared" si="96"/>
        <v>0.82808818644696514</v>
      </c>
      <c r="M445" s="16">
        <f t="shared" si="97"/>
        <v>2.4717686771413675E-2</v>
      </c>
      <c r="N445" s="16">
        <f t="shared" si="98"/>
        <v>0.82737141048726137</v>
      </c>
      <c r="O445" s="16">
        <f t="shared" si="99"/>
        <v>-2.1493648095764002E-2</v>
      </c>
      <c r="R445" s="5">
        <f t="shared" si="100"/>
        <v>-0.5</v>
      </c>
    </row>
    <row r="446" spans="2:18" x14ac:dyDescent="0.3">
      <c r="B446" s="16">
        <v>0.8308314735351825</v>
      </c>
      <c r="C446" s="16">
        <f t="shared" si="91"/>
        <v>2.2752748780003499E-2</v>
      </c>
      <c r="D446" s="16" t="str">
        <f t="shared" si="87"/>
        <v xml:space="preserve"> </v>
      </c>
      <c r="E446" s="16" t="str">
        <f t="shared" si="88"/>
        <v xml:space="preserve"> </v>
      </c>
      <c r="F446" s="16" t="str">
        <f t="shared" si="89"/>
        <v xml:space="preserve"> </v>
      </c>
      <c r="G446" s="16">
        <f t="shared" si="92"/>
        <v>1.5642244261370338E-3</v>
      </c>
      <c r="H446" s="16">
        <f t="shared" si="93"/>
        <v>-1.5307777022975763E-2</v>
      </c>
      <c r="I446" s="16">
        <f t="shared" si="94"/>
        <v>-1.5306581510607662E-2</v>
      </c>
      <c r="J446" s="16">
        <f t="shared" si="90"/>
        <v>1.5642244261370338E-3</v>
      </c>
      <c r="K446" s="16">
        <f t="shared" si="95"/>
        <v>-1.5306581510607662E-2</v>
      </c>
      <c r="L446" s="16">
        <f t="shared" si="96"/>
        <v>0.83117972673981166</v>
      </c>
      <c r="M446" s="16">
        <f t="shared" si="97"/>
        <v>2.4314307871070071E-2</v>
      </c>
      <c r="N446" s="16">
        <f t="shared" si="98"/>
        <v>0.83048322033055333</v>
      </c>
      <c r="O446" s="16">
        <f t="shared" si="99"/>
        <v>-2.1185859018796001E-2</v>
      </c>
      <c r="R446" s="5">
        <f t="shared" si="100"/>
        <v>-0.5</v>
      </c>
    </row>
    <row r="447" spans="2:18" x14ac:dyDescent="0.3">
      <c r="B447" s="16">
        <v>0.83393482492689608</v>
      </c>
      <c r="C447" s="16">
        <f t="shared" si="91"/>
        <v>2.2395560276784077E-2</v>
      </c>
      <c r="D447" s="16" t="str">
        <f t="shared" si="87"/>
        <v xml:space="preserve"> </v>
      </c>
      <c r="E447" s="16" t="str">
        <f t="shared" si="88"/>
        <v xml:space="preserve"> </v>
      </c>
      <c r="F447" s="16" t="str">
        <f t="shared" si="89"/>
        <v xml:space="preserve"> </v>
      </c>
      <c r="G447" s="16">
        <f t="shared" si="92"/>
        <v>1.5170355820085081E-3</v>
      </c>
      <c r="H447" s="16">
        <f t="shared" si="93"/>
        <v>-1.510358919121214E-2</v>
      </c>
      <c r="I447" s="16">
        <f t="shared" si="94"/>
        <v>-1.5102440879479309E-2</v>
      </c>
      <c r="J447" s="16">
        <f t="shared" si="90"/>
        <v>1.5170355820085081E-3</v>
      </c>
      <c r="K447" s="16">
        <f t="shared" si="95"/>
        <v>-1.5102440879479309E-2</v>
      </c>
      <c r="L447" s="16">
        <f t="shared" si="96"/>
        <v>0.83427303969471645</v>
      </c>
      <c r="M447" s="16">
        <f t="shared" si="97"/>
        <v>2.3910041875981121E-2</v>
      </c>
      <c r="N447" s="16">
        <f t="shared" si="98"/>
        <v>0.83359661015907571</v>
      </c>
      <c r="O447" s="16">
        <f t="shared" si="99"/>
        <v>-2.0875970711964106E-2</v>
      </c>
      <c r="R447" s="5">
        <f t="shared" si="100"/>
        <v>-0.5</v>
      </c>
    </row>
    <row r="448" spans="2:18" x14ac:dyDescent="0.3">
      <c r="B448" s="16">
        <v>0.83703982189054416</v>
      </c>
      <c r="C448" s="16">
        <f t="shared" si="91"/>
        <v>2.203688004192482E-2</v>
      </c>
      <c r="D448" s="16" t="str">
        <f t="shared" si="87"/>
        <v xml:space="preserve"> </v>
      </c>
      <c r="E448" s="16" t="str">
        <f t="shared" si="88"/>
        <v xml:space="preserve"> </v>
      </c>
      <c r="F448" s="16" t="str">
        <f t="shared" si="89"/>
        <v xml:space="preserve"> </v>
      </c>
      <c r="G448" s="16">
        <f t="shared" si="92"/>
        <v>1.4704574859963752E-3</v>
      </c>
      <c r="H448" s="16">
        <f t="shared" si="93"/>
        <v>-1.489826255771823E-2</v>
      </c>
      <c r="I448" s="16">
        <f t="shared" si="94"/>
        <v>-1.4897160440506815E-2</v>
      </c>
      <c r="J448" s="16">
        <f t="shared" si="90"/>
        <v>1.4704574859963752E-3</v>
      </c>
      <c r="K448" s="16">
        <f t="shared" si="95"/>
        <v>-1.4897160440506815E-2</v>
      </c>
      <c r="L448" s="16">
        <f t="shared" si="96"/>
        <v>0.8373680966857372</v>
      </c>
      <c r="M448" s="16">
        <f t="shared" si="97"/>
        <v>2.3504892301553261E-2</v>
      </c>
      <c r="N448" s="16">
        <f t="shared" si="98"/>
        <v>0.83671154709535112</v>
      </c>
      <c r="O448" s="16">
        <f t="shared" si="99"/>
        <v>-2.0563977329560508E-2</v>
      </c>
      <c r="R448" s="5">
        <f t="shared" si="100"/>
        <v>-0.5</v>
      </c>
    </row>
    <row r="449" spans="2:18" x14ac:dyDescent="0.3">
      <c r="B449" s="16">
        <v>0.8401464336581117</v>
      </c>
      <c r="C449" s="16">
        <f t="shared" si="91"/>
        <v>2.1676706792652278E-2</v>
      </c>
      <c r="D449" s="16" t="str">
        <f t="shared" ref="D449:D500" si="101">IF($Q$1=1, IF(B449&lt;$A$8, ($A$10/6)*((B449^3)-3*$A$8*(B449^2)+($A$8^2)*(3-$A$8)*B449), (($A$10*($A$8^3))/6)*(1-B449)), " ")</f>
        <v xml:space="preserve"> </v>
      </c>
      <c r="E449" s="16" t="str">
        <f t="shared" ref="E449:E500" si="102">IF($Q$1=1,IF(B449&lt;$A$8, ($A$10/6)*(3*(B449^2)-6*$A$8*B449+($A$8^2)*(3-$A$8)), -($A$10*($A$8^3))/6), " ")</f>
        <v xml:space="preserve"> </v>
      </c>
      <c r="F449" s="16" t="str">
        <f t="shared" ref="F449:F500" si="103">IF($Q$1=1, ATAN(E449), " ")</f>
        <v xml:space="preserve"> </v>
      </c>
      <c r="G449" s="16">
        <f t="shared" si="92"/>
        <v>1.4244948044187392E-3</v>
      </c>
      <c r="H449" s="16">
        <f t="shared" si="93"/>
        <v>-1.4691797533541748E-2</v>
      </c>
      <c r="I449" s="16">
        <f t="shared" si="94"/>
        <v>-1.4690740600903168E-2</v>
      </c>
      <c r="J449" s="16">
        <f t="shared" ref="J449:J500" si="104">IF($Q$1=1, D449, G449)</f>
        <v>1.4244948044187392E-3</v>
      </c>
      <c r="K449" s="16">
        <f t="shared" si="95"/>
        <v>-1.4690740600903168E-2</v>
      </c>
      <c r="L449" s="16">
        <f t="shared" si="96"/>
        <v>0.84046486908038742</v>
      </c>
      <c r="M449" s="16">
        <f t="shared" si="97"/>
        <v>2.3098862528909744E-2</v>
      </c>
      <c r="N449" s="16">
        <f t="shared" si="98"/>
        <v>0.83982799823583598</v>
      </c>
      <c r="O449" s="16">
        <f t="shared" si="99"/>
        <v>-2.0249872920072267E-2</v>
      </c>
      <c r="R449" s="5">
        <f t="shared" si="100"/>
        <v>-0.5</v>
      </c>
    </row>
    <row r="450" spans="2:18" x14ac:dyDescent="0.3">
      <c r="B450" s="16">
        <v>0.84325462944558205</v>
      </c>
      <c r="C450" s="16">
        <f t="shared" ref="C450:C500" si="105">IF(AND($Q$1=2, $A$3=1), 0, IF($T$3, 5*$A$7*(0.2969*SQRT(B450)-0.126*B450-0.3516*(B450^2)+0.2843*(B450^3)-0.1036*(B450^4)),  5*$A$7*(0.2969*SQRT(B450)-0.126*B450-0.3516*(B450^2)+0.2843*(B450^3)-0.1015*(B450^4))))</f>
        <v>2.131503912485682E-2</v>
      </c>
      <c r="D450" s="16" t="str">
        <f t="shared" si="101"/>
        <v xml:space="preserve"> </v>
      </c>
      <c r="E450" s="16" t="str">
        <f t="shared" si="102"/>
        <v xml:space="preserve"> </v>
      </c>
      <c r="F450" s="16" t="str">
        <f t="shared" si="103"/>
        <v xml:space="preserve"> </v>
      </c>
      <c r="G450" s="16">
        <f t="shared" ref="G450:G500" si="106">IF($Q$1=2, IF(A452&lt;&gt;1, IF(B450&lt;$A$11, ($A$12/6)*((B450-$A$11)^3-$A$13*((1-$A$11)^3)*B450-($A$11^3)*B450+$A$11^3), ($A$12/6)*($A$13*(B450-$A$11)^3-$A$13*((1-$A$11)^3)*B450-($A$11^3)*B450+$A$11^3)), 0), " ")</f>
        <v>1.3791521889964997E-3</v>
      </c>
      <c r="H450" s="16">
        <f t="shared" ref="H450:H500" si="107">IF($Q$1=2, IF(A452&lt;&gt;1, IF(B450&lt;$A$11, ($A$12/6)*(3*(B450-$A$11)^2-$A$13*((1-$A$11)^3)-($A$11^3)), ($A$12/6)*(3*$A$13*(B450-$A$11)^2-$A$13*((1-$A$11)^3)-($A$11^3))),0 ), " ")</f>
        <v>-1.4484194570833667E-2</v>
      </c>
      <c r="I450" s="16">
        <f t="shared" ref="I450:I500" si="108">IF($Q$1=2, IF(A452&lt;&gt;1,  ATAN(H450), 0), " ")</f>
        <v>-1.4483181809449285E-2</v>
      </c>
      <c r="J450" s="16">
        <f t="shared" si="104"/>
        <v>1.3791521889964997E-3</v>
      </c>
      <c r="K450" s="16">
        <f t="shared" ref="K450:K500" si="109">IF($Q$1=1, F450, I450)</f>
        <v>-1.4483181809449285E-2</v>
      </c>
      <c r="L450" s="16">
        <f t="shared" ref="L450:L500" si="110">B450-C450*SIN(K450)</f>
        <v>0.84356332823999747</v>
      </c>
      <c r="M450" s="16">
        <f t="shared" ref="M450:M500" si="111">J450+C450*COS(K450)</f>
        <v>2.2691955804394065E-2</v>
      </c>
      <c r="N450" s="16">
        <f t="shared" ref="N450:N500" si="112">B450+C450*SIN(K450)</f>
        <v>0.84294593065116663</v>
      </c>
      <c r="O450" s="16">
        <f t="shared" ref="O450:O500" si="113">J450-C450*COS(K450)</f>
        <v>-1.9933651426401064E-2</v>
      </c>
      <c r="R450" s="5">
        <f t="shared" ref="R450:R500" si="114">IF($T$1, J450, -0.5)</f>
        <v>-0.5</v>
      </c>
    </row>
    <row r="451" spans="2:18" x14ac:dyDescent="0.3">
      <c r="B451" s="16">
        <v>0.84636437845324164</v>
      </c>
      <c r="C451" s="16">
        <f t="shared" si="105"/>
        <v>2.0951875512962025E-2</v>
      </c>
      <c r="D451" s="16" t="str">
        <f t="shared" si="101"/>
        <v xml:space="preserve"> </v>
      </c>
      <c r="E451" s="16" t="str">
        <f t="shared" si="102"/>
        <v xml:space="preserve"> </v>
      </c>
      <c r="F451" s="16" t="str">
        <f t="shared" si="103"/>
        <v xml:space="preserve"> </v>
      </c>
      <c r="G451" s="16">
        <f t="shared" si="106"/>
        <v>1.3344342764948175E-3</v>
      </c>
      <c r="H451" s="16">
        <f t="shared" si="107"/>
        <v>-1.4275454162906959E-2</v>
      </c>
      <c r="I451" s="16">
        <f t="shared" si="108"/>
        <v>-1.4274484556561792E-2</v>
      </c>
      <c r="J451" s="16">
        <f t="shared" si="104"/>
        <v>1.3344342764948175E-3</v>
      </c>
      <c r="K451" s="16">
        <f t="shared" si="109"/>
        <v>-1.4274484556561792E-2</v>
      </c>
      <c r="L451" s="16">
        <f t="shared" si="110"/>
        <v>0.84666344552007811</v>
      </c>
      <c r="M451" s="16">
        <f t="shared" si="111"/>
        <v>2.2284175239098428E-2</v>
      </c>
      <c r="N451" s="16">
        <f t="shared" si="112"/>
        <v>0.84606531138640517</v>
      </c>
      <c r="O451" s="16">
        <f t="shared" si="113"/>
        <v>-1.961530668610879E-2</v>
      </c>
      <c r="R451" s="5">
        <f t="shared" si="114"/>
        <v>-0.5</v>
      </c>
    </row>
    <row r="452" spans="2:18" x14ac:dyDescent="0.3">
      <c r="B452" s="16">
        <v>0.84947564986598656</v>
      </c>
      <c r="C452" s="16">
        <f t="shared" si="105"/>
        <v>2.0587214309821297E-2</v>
      </c>
      <c r="D452" s="16" t="str">
        <f t="shared" si="101"/>
        <v xml:space="preserve"> </v>
      </c>
      <c r="E452" s="16" t="str">
        <f t="shared" si="102"/>
        <v xml:space="preserve"> </v>
      </c>
      <c r="F452" s="16" t="str">
        <f t="shared" si="103"/>
        <v xml:space="preserve"> </v>
      </c>
      <c r="G452" s="16">
        <f t="shared" si="106"/>
        <v>1.2903456883643957E-3</v>
      </c>
      <c r="H452" s="16">
        <f t="shared" si="107"/>
        <v>-1.4065576844293567E-2</v>
      </c>
      <c r="I452" s="16">
        <f t="shared" si="108"/>
        <v>-1.4064649374359056E-2</v>
      </c>
      <c r="J452" s="16">
        <f t="shared" si="104"/>
        <v>1.2903456883643957E-3</v>
      </c>
      <c r="K452" s="16">
        <f t="shared" si="109"/>
        <v>-1.4064649374359056E-2</v>
      </c>
      <c r="L452" s="16">
        <f t="shared" si="110"/>
        <v>0.8497651922706877</v>
      </c>
      <c r="M452" s="16">
        <f t="shared" si="111"/>
        <v>2.1875523808419384E-2</v>
      </c>
      <c r="N452" s="16">
        <f t="shared" si="112"/>
        <v>0.84918610746128542</v>
      </c>
      <c r="O452" s="16">
        <f t="shared" si="113"/>
        <v>-1.9294832431690594E-2</v>
      </c>
      <c r="R452" s="5">
        <f t="shared" si="114"/>
        <v>-0.5</v>
      </c>
    </row>
    <row r="453" spans="2:18" x14ac:dyDescent="0.3">
      <c r="B453" s="16">
        <v>0.85258841285362663</v>
      </c>
      <c r="C453" s="16">
        <f t="shared" si="105"/>
        <v>2.0221053746640894E-2</v>
      </c>
      <c r="D453" s="16" t="str">
        <f t="shared" si="101"/>
        <v xml:space="preserve"> </v>
      </c>
      <c r="E453" s="16" t="str">
        <f t="shared" si="102"/>
        <v xml:space="preserve"> </v>
      </c>
      <c r="F453" s="16" t="str">
        <f t="shared" si="103"/>
        <v xml:space="preserve"> </v>
      </c>
      <c r="G453" s="16">
        <f t="shared" si="106"/>
        <v>1.246891030382584E-3</v>
      </c>
      <c r="H453" s="16">
        <f t="shared" si="107"/>
        <v>-1.3854563190800015E-2</v>
      </c>
      <c r="I453" s="16">
        <f t="shared" si="108"/>
        <v>-1.385367683672584E-2</v>
      </c>
      <c r="J453" s="16">
        <f t="shared" si="104"/>
        <v>1.246891030382584E-3</v>
      </c>
      <c r="K453" s="16">
        <f t="shared" si="109"/>
        <v>-1.385367683672584E-2</v>
      </c>
      <c r="L453" s="16">
        <f t="shared" si="110"/>
        <v>0.85286853983679789</v>
      </c>
      <c r="M453" s="16">
        <f t="shared" si="111"/>
        <v>2.1466004351639752E-2</v>
      </c>
      <c r="N453" s="16">
        <f t="shared" si="112"/>
        <v>0.85230828587045537</v>
      </c>
      <c r="O453" s="16">
        <f t="shared" si="113"/>
        <v>-1.8972222290874582E-2</v>
      </c>
      <c r="R453" s="5">
        <f t="shared" si="114"/>
        <v>-0.5</v>
      </c>
    </row>
    <row r="454" spans="2:18" x14ac:dyDescent="0.3">
      <c r="B454" s="16">
        <v>0.85570263657119128</v>
      </c>
      <c r="C454" s="16">
        <f t="shared" si="105"/>
        <v>1.9853391932929978E-2</v>
      </c>
      <c r="D454" s="16" t="str">
        <f t="shared" si="101"/>
        <v xml:space="preserve"> </v>
      </c>
      <c r="E454" s="16" t="str">
        <f t="shared" si="102"/>
        <v xml:space="preserve"> </v>
      </c>
      <c r="F454" s="16" t="str">
        <f t="shared" si="103"/>
        <v xml:space="preserve"> </v>
      </c>
      <c r="G454" s="16">
        <f t="shared" si="106"/>
        <v>1.2040748922942665E-3</v>
      </c>
      <c r="H454" s="16">
        <f t="shared" si="107"/>
        <v>-1.3642413819561281E-2</v>
      </c>
      <c r="I454" s="16">
        <f t="shared" si="108"/>
        <v>-1.3641567559376221E-2</v>
      </c>
      <c r="J454" s="16">
        <f t="shared" si="104"/>
        <v>1.2040748922942665E-3</v>
      </c>
      <c r="K454" s="16">
        <f t="shared" si="109"/>
        <v>-1.3641567559376221E-2</v>
      </c>
      <c r="L454" s="16">
        <f t="shared" si="110"/>
        <v>0.855973459558663</v>
      </c>
      <c r="M454" s="16">
        <f t="shared" si="111"/>
        <v>2.1055619571537391E-2</v>
      </c>
      <c r="N454" s="16">
        <f t="shared" si="112"/>
        <v>0.85543181358371956</v>
      </c>
      <c r="O454" s="16">
        <f t="shared" si="113"/>
        <v>-1.864746978694886E-2</v>
      </c>
      <c r="R454" s="5">
        <f t="shared" si="114"/>
        <v>-0.5</v>
      </c>
    </row>
    <row r="455" spans="2:18" x14ac:dyDescent="0.3">
      <c r="B455" s="16">
        <v>0.85881829015923528</v>
      </c>
      <c r="C455" s="16">
        <f t="shared" si="105"/>
        <v>1.9484226856477008E-2</v>
      </c>
      <c r="D455" s="16" t="str">
        <f t="shared" si="101"/>
        <v xml:space="preserve"> </v>
      </c>
      <c r="E455" s="16" t="str">
        <f t="shared" si="102"/>
        <v xml:space="preserve"> </v>
      </c>
      <c r="F455" s="16" t="str">
        <f t="shared" si="103"/>
        <v xml:space="preserve"> </v>
      </c>
      <c r="G455" s="16">
        <f t="shared" si="106"/>
        <v>1.1619018474526347E-3</v>
      </c>
      <c r="H455" s="16">
        <f t="shared" si="107"/>
        <v>-1.3429129389093091E-2</v>
      </c>
      <c r="I455" s="16">
        <f t="shared" si="108"/>
        <v>-1.3428322199914926E-2</v>
      </c>
      <c r="J455" s="16">
        <f t="shared" si="104"/>
        <v>1.1619018474526347E-3</v>
      </c>
      <c r="K455" s="16">
        <f t="shared" si="109"/>
        <v>-1.3428322199914926E-2</v>
      </c>
      <c r="L455" s="16">
        <f t="shared" si="110"/>
        <v>0.85907992277218981</v>
      </c>
      <c r="M455" s="16">
        <f t="shared" si="111"/>
        <v>2.0644372034020315E-2</v>
      </c>
      <c r="N455" s="16">
        <f t="shared" si="112"/>
        <v>0.85855665754628074</v>
      </c>
      <c r="O455" s="16">
        <f t="shared" si="113"/>
        <v>-1.8320568339115044E-2</v>
      </c>
      <c r="R455" s="5">
        <f t="shared" si="114"/>
        <v>-0.5</v>
      </c>
    </row>
    <row r="456" spans="2:18" x14ac:dyDescent="0.3">
      <c r="B456" s="16">
        <v>0.86193534274414518</v>
      </c>
      <c r="C456" s="16">
        <f t="shared" si="105"/>
        <v>1.9113556383353394E-2</v>
      </c>
      <c r="D456" s="16" t="str">
        <f t="shared" si="101"/>
        <v xml:space="preserve"> </v>
      </c>
      <c r="E456" s="16" t="str">
        <f t="shared" si="102"/>
        <v xml:space="preserve"> </v>
      </c>
      <c r="F456" s="16" t="str">
        <f t="shared" si="103"/>
        <v xml:space="preserve"> </v>
      </c>
      <c r="G456" s="16">
        <f t="shared" si="106"/>
        <v>1.1203764524598629E-3</v>
      </c>
      <c r="H456" s="16">
        <f t="shared" si="107"/>
        <v>-1.3214710599342594E-2</v>
      </c>
      <c r="I456" s="16">
        <f t="shared" si="108"/>
        <v>-1.3213941457897038E-2</v>
      </c>
      <c r="J456" s="16">
        <f t="shared" si="104"/>
        <v>1.1203764524598629E-3</v>
      </c>
      <c r="K456" s="16">
        <f t="shared" si="109"/>
        <v>-1.3213941457897038E-2</v>
      </c>
      <c r="L456" s="16">
        <f t="shared" si="110"/>
        <v>0.8621879008093104</v>
      </c>
      <c r="M456" s="16">
        <f t="shared" si="111"/>
        <v>2.0232264167789015E-2</v>
      </c>
      <c r="N456" s="16">
        <f t="shared" si="112"/>
        <v>0.86168278467897996</v>
      </c>
      <c r="O456" s="16">
        <f t="shared" si="113"/>
        <v>-1.7991511262869287E-2</v>
      </c>
      <c r="R456" s="5">
        <f t="shared" si="114"/>
        <v>-0.5</v>
      </c>
    </row>
    <row r="457" spans="2:18" x14ac:dyDescent="0.3">
      <c r="B457" s="16">
        <v>0.86505376343844365</v>
      </c>
      <c r="C457" s="16">
        <f t="shared" si="105"/>
        <v>1.8741378257944336E-2</v>
      </c>
      <c r="D457" s="16" t="str">
        <f t="shared" si="101"/>
        <v xml:space="preserve"> </v>
      </c>
      <c r="E457" s="16" t="str">
        <f t="shared" si="102"/>
        <v xml:space="preserve"> </v>
      </c>
      <c r="F457" s="16" t="str">
        <f t="shared" si="103"/>
        <v xml:space="preserve"> </v>
      </c>
      <c r="G457" s="16">
        <f t="shared" si="106"/>
        <v>1.0795032468077044E-3</v>
      </c>
      <c r="H457" s="16">
        <f t="shared" si="107"/>
        <v>-1.299915819173752E-2</v>
      </c>
      <c r="I457" s="16">
        <f t="shared" si="108"/>
        <v>-1.2998426074886172E-2</v>
      </c>
      <c r="J457" s="16">
        <f t="shared" si="104"/>
        <v>1.0795032468077044E-3</v>
      </c>
      <c r="K457" s="16">
        <f t="shared" si="109"/>
        <v>-1.2998426074886172E-2</v>
      </c>
      <c r="L457" s="16">
        <f t="shared" si="110"/>
        <v>0.86529736499835319</v>
      </c>
      <c r="M457" s="16">
        <f t="shared" si="111"/>
        <v>1.9819298264025963E-2</v>
      </c>
      <c r="N457" s="16">
        <f t="shared" si="112"/>
        <v>0.8648101618785341</v>
      </c>
      <c r="O457" s="16">
        <f t="shared" si="113"/>
        <v>-1.7660291770410553E-2</v>
      </c>
      <c r="R457" s="5">
        <f t="shared" si="114"/>
        <v>-0.5</v>
      </c>
    </row>
    <row r="458" spans="2:18" x14ac:dyDescent="0.3">
      <c r="B458" s="16">
        <v>0.86817352134109738</v>
      </c>
      <c r="C458" s="16">
        <f t="shared" si="105"/>
        <v>1.8367690103006627E-2</v>
      </c>
      <c r="D458" s="16" t="str">
        <f t="shared" si="101"/>
        <v xml:space="preserve"> </v>
      </c>
      <c r="E458" s="16" t="str">
        <f t="shared" si="102"/>
        <v xml:space="preserve"> </v>
      </c>
      <c r="F458" s="16" t="str">
        <f t="shared" si="103"/>
        <v xml:space="preserve"> </v>
      </c>
      <c r="G458" s="16">
        <f t="shared" si="106"/>
        <v>1.0392867525180077E-3</v>
      </c>
      <c r="H458" s="16">
        <f t="shared" si="107"/>
        <v>-1.2782472949233582E-2</v>
      </c>
      <c r="I458" s="16">
        <f t="shared" si="108"/>
        <v>-1.2781776834510891E-2</v>
      </c>
      <c r="J458" s="16">
        <f t="shared" si="104"/>
        <v>1.0392867525180077E-3</v>
      </c>
      <c r="K458" s="16">
        <f t="shared" si="109"/>
        <v>-1.2781776834510891E-2</v>
      </c>
      <c r="L458" s="16">
        <f t="shared" si="110"/>
        <v>0.86840828666441972</v>
      </c>
      <c r="M458" s="16">
        <f t="shared" si="111"/>
        <v>1.9405476476112089E-2</v>
      </c>
      <c r="N458" s="16">
        <f t="shared" si="112"/>
        <v>0.86793875601777504</v>
      </c>
      <c r="O458" s="16">
        <f t="shared" si="113"/>
        <v>-1.7326902971076075E-2</v>
      </c>
      <c r="R458" s="5">
        <f t="shared" si="114"/>
        <v>-0.5</v>
      </c>
    </row>
    <row r="459" spans="2:18" x14ac:dyDescent="0.3">
      <c r="B459" s="16">
        <v>0.87129458553782158</v>
      </c>
      <c r="C459" s="16">
        <f t="shared" si="105"/>
        <v>1.799248941975375E-2</v>
      </c>
      <c r="D459" s="16" t="str">
        <f t="shared" si="101"/>
        <v xml:space="preserve"> </v>
      </c>
      <c r="E459" s="16" t="str">
        <f t="shared" si="102"/>
        <v xml:space="preserve"> </v>
      </c>
      <c r="F459" s="16" t="str">
        <f t="shared" si="103"/>
        <v xml:space="preserve"> </v>
      </c>
      <c r="G459" s="16">
        <f t="shared" si="106"/>
        <v>9.9973147378323315E-4</v>
      </c>
      <c r="H459" s="16">
        <f t="shared" si="107"/>
        <v>-1.2564655696360442E-2</v>
      </c>
      <c r="I459" s="16">
        <f t="shared" si="108"/>
        <v>-1.2563994562519654E-2</v>
      </c>
      <c r="J459" s="16">
        <f t="shared" si="104"/>
        <v>9.9973147378323315E-4</v>
      </c>
      <c r="K459" s="16">
        <f t="shared" si="109"/>
        <v>-1.2563994562519654E-2</v>
      </c>
      <c r="L459" s="16">
        <f t="shared" si="110"/>
        <v>0.87152063712975825</v>
      </c>
      <c r="M459" s="16">
        <f t="shared" si="111"/>
        <v>1.8990800819370601E-2</v>
      </c>
      <c r="N459" s="16">
        <f t="shared" si="112"/>
        <v>0.8710685339458849</v>
      </c>
      <c r="O459" s="16">
        <f t="shared" si="113"/>
        <v>-1.6991337871804138E-2</v>
      </c>
      <c r="R459" s="5">
        <f t="shared" si="114"/>
        <v>-0.5</v>
      </c>
    </row>
    <row r="460" spans="2:18" x14ac:dyDescent="0.3">
      <c r="B460" s="16">
        <v>0.87441692510138791</v>
      </c>
      <c r="C460" s="16">
        <f t="shared" si="105"/>
        <v>1.7615773587968057E-2</v>
      </c>
      <c r="D460" s="16" t="str">
        <f t="shared" si="101"/>
        <v xml:space="preserve"> </v>
      </c>
      <c r="E460" s="16" t="str">
        <f t="shared" si="102"/>
        <v xml:space="preserve"> </v>
      </c>
      <c r="F460" s="16" t="str">
        <f t="shared" si="103"/>
        <v xml:space="preserve"> </v>
      </c>
      <c r="G460" s="16">
        <f t="shared" si="106"/>
        <v>9.6084189660699366E-4</v>
      </c>
      <c r="H460" s="16">
        <f t="shared" si="107"/>
        <v>-1.2345707299265851E-2</v>
      </c>
      <c r="I460" s="16">
        <f t="shared" si="108"/>
        <v>-1.2345080126833934E-2</v>
      </c>
      <c r="J460" s="16">
        <f t="shared" si="104"/>
        <v>9.6084189660699366E-4</v>
      </c>
      <c r="K460" s="16">
        <f t="shared" si="109"/>
        <v>-1.2345080126833934E-2</v>
      </c>
      <c r="L460" s="16">
        <f t="shared" si="110"/>
        <v>0.87463438771414259</v>
      </c>
      <c r="M460" s="16">
        <f t="shared" si="111"/>
        <v>1.8575273170837989E-2</v>
      </c>
      <c r="N460" s="16">
        <f t="shared" si="112"/>
        <v>0.87419946248863323</v>
      </c>
      <c r="O460" s="16">
        <f t="shared" si="113"/>
        <v>-1.6653589377624001E-2</v>
      </c>
      <c r="R460" s="5">
        <f t="shared" si="114"/>
        <v>-0.5</v>
      </c>
    </row>
    <row r="461" spans="2:18" x14ac:dyDescent="0.3">
      <c r="B461" s="16">
        <v>0.87754050909192971</v>
      </c>
      <c r="C461" s="16">
        <f t="shared" si="105"/>
        <v>1.7237539866140787E-2</v>
      </c>
      <c r="D461" s="16" t="str">
        <f t="shared" si="101"/>
        <v xml:space="preserve"> </v>
      </c>
      <c r="E461" s="16" t="str">
        <f t="shared" si="102"/>
        <v xml:space="preserve"> </v>
      </c>
      <c r="F461" s="16" t="str">
        <f t="shared" si="103"/>
        <v xml:space="preserve"> </v>
      </c>
      <c r="G461" s="16">
        <f t="shared" si="106"/>
        <v>9.2262248844460291E-4</v>
      </c>
      <c r="H461" s="16">
        <f t="shared" si="107"/>
        <v>-1.2125628665758375E-2</v>
      </c>
      <c r="I461" s="16">
        <f t="shared" si="108"/>
        <v>-1.2125034437599901E-2</v>
      </c>
      <c r="J461" s="16">
        <f t="shared" si="104"/>
        <v>9.2262248844460291E-4</v>
      </c>
      <c r="K461" s="16">
        <f t="shared" si="109"/>
        <v>-1.2125034437599901E-2</v>
      </c>
      <c r="L461" s="16">
        <f t="shared" si="110"/>
        <v>0.87774950973524923</v>
      </c>
      <c r="M461" s="16">
        <f t="shared" si="111"/>
        <v>1.815889526906295E-2</v>
      </c>
      <c r="N461" s="16">
        <f t="shared" si="112"/>
        <v>0.87733150844861019</v>
      </c>
      <c r="O461" s="16">
        <f t="shared" si="113"/>
        <v>-1.6313650292173746E-2</v>
      </c>
      <c r="R461" s="5">
        <f t="shared" si="114"/>
        <v>-0.5</v>
      </c>
    </row>
    <row r="462" spans="2:18" x14ac:dyDescent="0.3">
      <c r="B462" s="16">
        <v>0.88066530655724884</v>
      </c>
      <c r="C462" s="16">
        <f t="shared" si="105"/>
        <v>1.6857785391639148E-2</v>
      </c>
      <c r="D462" s="16" t="str">
        <f t="shared" si="101"/>
        <v xml:space="preserve"> </v>
      </c>
      <c r="E462" s="16" t="str">
        <f t="shared" si="102"/>
        <v xml:space="preserve"> </v>
      </c>
      <c r="F462" s="16" t="str">
        <f t="shared" si="103"/>
        <v xml:space="preserve"> </v>
      </c>
      <c r="G462" s="16">
        <f t="shared" si="106"/>
        <v>8.8507769784372059E-4</v>
      </c>
      <c r="H462" s="16">
        <f t="shared" si="107"/>
        <v>-1.190442074534841E-2</v>
      </c>
      <c r="I462" s="16">
        <f t="shared" si="108"/>
        <v>-1.1903858447238356E-2</v>
      </c>
      <c r="J462" s="16">
        <f t="shared" si="104"/>
        <v>8.8507769784372059E-4</v>
      </c>
      <c r="K462" s="16">
        <f t="shared" si="109"/>
        <v>-1.1903858447238356E-2</v>
      </c>
      <c r="L462" s="16">
        <f t="shared" si="110"/>
        <v>0.88086597450903659</v>
      </c>
      <c r="M462" s="16">
        <f t="shared" si="111"/>
        <v>1.7741668713932578E-2</v>
      </c>
      <c r="N462" s="16">
        <f t="shared" si="112"/>
        <v>0.88046463860546109</v>
      </c>
      <c r="O462" s="16">
        <f t="shared" si="113"/>
        <v>-1.5971513318245135E-2</v>
      </c>
      <c r="R462" s="5">
        <f t="shared" si="114"/>
        <v>-0.5</v>
      </c>
    </row>
    <row r="463" spans="2:18" x14ac:dyDescent="0.3">
      <c r="B463" s="16">
        <v>0.88379128653312367</v>
      </c>
      <c r="C463" s="16">
        <f t="shared" si="105"/>
        <v>1.6476507180900848E-2</v>
      </c>
      <c r="D463" s="16" t="str">
        <f t="shared" si="101"/>
        <v xml:space="preserve"> </v>
      </c>
      <c r="E463" s="16" t="str">
        <f t="shared" si="102"/>
        <v xml:space="preserve"> </v>
      </c>
      <c r="F463" s="16" t="str">
        <f t="shared" si="103"/>
        <v xml:space="preserve"> </v>
      </c>
      <c r="G463" s="16">
        <f t="shared" si="106"/>
        <v>8.4821195408506104E-4</v>
      </c>
      <c r="H463" s="16">
        <f t="shared" si="107"/>
        <v>-1.168208452928747E-2</v>
      </c>
      <c r="I463" s="16">
        <f t="shared" si="108"/>
        <v>-1.1681553150492923E-2</v>
      </c>
      <c r="J463" s="16">
        <f t="shared" si="104"/>
        <v>8.4821195408506104E-4</v>
      </c>
      <c r="K463" s="16">
        <f t="shared" si="109"/>
        <v>-1.1681553150492923E-2</v>
      </c>
      <c r="L463" s="16">
        <f t="shared" si="110"/>
        <v>0.88398375335012735</v>
      </c>
      <c r="M463" s="16">
        <f t="shared" si="111"/>
        <v>1.7323594966526069E-2</v>
      </c>
      <c r="N463" s="16">
        <f t="shared" si="112"/>
        <v>0.88359881971611998</v>
      </c>
      <c r="O463" s="16">
        <f t="shared" si="113"/>
        <v>-1.5627171058355944E-2</v>
      </c>
      <c r="R463" s="5">
        <f t="shared" si="114"/>
        <v>-0.5</v>
      </c>
    </row>
    <row r="464" spans="2:18" x14ac:dyDescent="0.3">
      <c r="B464" s="16">
        <v>0.88691841804361304</v>
      </c>
      <c r="C464" s="16">
        <f t="shared" si="105"/>
        <v>1.6093702129656912E-2</v>
      </c>
      <c r="D464" s="16" t="str">
        <f t="shared" si="101"/>
        <v xml:space="preserve"> </v>
      </c>
      <c r="E464" s="16" t="str">
        <f t="shared" si="102"/>
        <v xml:space="preserve"> </v>
      </c>
      <c r="F464" s="16" t="str">
        <f t="shared" si="103"/>
        <v xml:space="preserve"> </v>
      </c>
      <c r="G464" s="16">
        <f t="shared" si="106"/>
        <v>8.1202966682327978E-4</v>
      </c>
      <c r="H464" s="16">
        <f t="shared" si="107"/>
        <v>-1.1458621050606166E-2</v>
      </c>
      <c r="I464" s="16">
        <f t="shared" si="108"/>
        <v>-1.1458119584476914E-2</v>
      </c>
      <c r="J464" s="16">
        <f t="shared" si="104"/>
        <v>8.1202966682327978E-4</v>
      </c>
      <c r="K464" s="16">
        <f t="shared" si="109"/>
        <v>-1.1458119584476914E-2</v>
      </c>
      <c r="L464" s="16">
        <f t="shared" si="110"/>
        <v>0.88710281757218679</v>
      </c>
      <c r="M464" s="16">
        <f t="shared" si="111"/>
        <v>1.6904675348997023E-2</v>
      </c>
      <c r="N464" s="16">
        <f t="shared" si="112"/>
        <v>0.8867340185150393</v>
      </c>
      <c r="O464" s="16">
        <f t="shared" si="113"/>
        <v>-1.5280616015350464E-2</v>
      </c>
      <c r="R464" s="5">
        <f t="shared" si="114"/>
        <v>-0.5</v>
      </c>
    </row>
    <row r="465" spans="2:18" x14ac:dyDescent="0.3">
      <c r="B465" s="16">
        <v>0.89004667010136695</v>
      </c>
      <c r="C465" s="16">
        <f t="shared" si="105"/>
        <v>1.5709367013181125E-2</v>
      </c>
      <c r="D465" s="16" t="str">
        <f t="shared" si="101"/>
        <v xml:space="preserve"> </v>
      </c>
      <c r="E465" s="16" t="str">
        <f t="shared" si="102"/>
        <v xml:space="preserve"> </v>
      </c>
      <c r="F465" s="16" t="str">
        <f t="shared" si="103"/>
        <v xml:space="preserve"> </v>
      </c>
      <c r="G465" s="16">
        <f t="shared" si="106"/>
        <v>7.7653522572796146E-4</v>
      </c>
      <c r="H465" s="16">
        <f t="shared" si="107"/>
        <v>-1.1234031384150083E-2</v>
      </c>
      <c r="I465" s="16">
        <f t="shared" si="108"/>
        <v>-1.1233558828718035E-2</v>
      </c>
      <c r="J465" s="16">
        <f t="shared" si="104"/>
        <v>7.7653522572796146E-4</v>
      </c>
      <c r="K465" s="16">
        <f t="shared" si="109"/>
        <v>-1.1233558828718035E-2</v>
      </c>
      <c r="L465" s="16">
        <f t="shared" si="110"/>
        <v>0.89022313848830892</v>
      </c>
      <c r="M465" s="16">
        <f t="shared" si="111"/>
        <v>1.6484911044482534E-2</v>
      </c>
      <c r="N465" s="16">
        <f t="shared" si="112"/>
        <v>0.88987020171442499</v>
      </c>
      <c r="O465" s="16">
        <f t="shared" si="113"/>
        <v>-1.4931840593026611E-2</v>
      </c>
      <c r="R465" s="5">
        <f t="shared" si="114"/>
        <v>-0.5</v>
      </c>
    </row>
    <row r="466" spans="2:18" x14ac:dyDescent="0.3">
      <c r="B466" s="16">
        <v>0.89317601170793026</v>
      </c>
      <c r="C466" s="16">
        <f t="shared" si="105"/>
        <v>1.5323498486568079E-2</v>
      </c>
      <c r="D466" s="16" t="str">
        <f t="shared" si="101"/>
        <v xml:space="preserve"> </v>
      </c>
      <c r="E466" s="16" t="str">
        <f t="shared" si="102"/>
        <v xml:space="preserve"> </v>
      </c>
      <c r="F466" s="16" t="str">
        <f t="shared" si="103"/>
        <v xml:space="preserve"> </v>
      </c>
      <c r="G466" s="16">
        <f t="shared" si="106"/>
        <v>7.4173300012483478E-4</v>
      </c>
      <c r="H466" s="16">
        <f t="shared" si="107"/>
        <v>-1.1008316646614547E-2</v>
      </c>
      <c r="I466" s="16">
        <f t="shared" si="108"/>
        <v>-1.1007872005201966E-2</v>
      </c>
      <c r="J466" s="16">
        <f t="shared" si="104"/>
        <v>7.4173300012483478E-4</v>
      </c>
      <c r="K466" s="16">
        <f t="shared" si="109"/>
        <v>-1.1007872005201966E-2</v>
      </c>
      <c r="L466" s="16">
        <f t="shared" si="110"/>
        <v>0.89334468741139705</v>
      </c>
      <c r="M466" s="16">
        <f t="shared" si="111"/>
        <v>1.6064303097041155E-2</v>
      </c>
      <c r="N466" s="16">
        <f t="shared" si="112"/>
        <v>0.89300733600446347</v>
      </c>
      <c r="O466" s="16">
        <f t="shared" si="113"/>
        <v>-1.4580837096791484E-2</v>
      </c>
      <c r="R466" s="5">
        <f t="shared" si="114"/>
        <v>-0.5</v>
      </c>
    </row>
    <row r="467" spans="2:18" x14ac:dyDescent="0.3">
      <c r="B467" s="16">
        <v>0.89630641185405224</v>
      </c>
      <c r="C467" s="16">
        <f t="shared" si="105"/>
        <v>1.4936093085038328E-2</v>
      </c>
      <c r="D467" s="16" t="str">
        <f t="shared" si="101"/>
        <v xml:space="preserve"> </v>
      </c>
      <c r="E467" s="16" t="str">
        <f t="shared" si="102"/>
        <v xml:space="preserve"> </v>
      </c>
      <c r="F467" s="16" t="str">
        <f t="shared" si="103"/>
        <v xml:space="preserve"> </v>
      </c>
      <c r="G467" s="16">
        <f t="shared" si="106"/>
        <v>7.0762733863719408E-4</v>
      </c>
      <c r="H467" s="16">
        <f t="shared" si="107"/>
        <v>-1.0781477996577317E-2</v>
      </c>
      <c r="I467" s="16">
        <f t="shared" si="108"/>
        <v>-1.0781060278413832E-2</v>
      </c>
      <c r="J467" s="16">
        <f t="shared" si="104"/>
        <v>7.0762733863719408E-4</v>
      </c>
      <c r="K467" s="16">
        <f t="shared" si="109"/>
        <v>-1.0781060278413832E-2</v>
      </c>
      <c r="L467" s="16">
        <f t="shared" si="110"/>
        <v>0.89646743565455056</v>
      </c>
      <c r="M467" s="16">
        <f t="shared" si="111"/>
        <v>1.564285241161828E-2</v>
      </c>
      <c r="N467" s="16">
        <f t="shared" si="112"/>
        <v>0.89614538805355393</v>
      </c>
      <c r="O467" s="16">
        <f t="shared" si="113"/>
        <v>-1.4227597734343893E-2</v>
      </c>
      <c r="R467" s="5">
        <f t="shared" si="114"/>
        <v>-0.5</v>
      </c>
    </row>
    <row r="468" spans="2:18" x14ac:dyDescent="0.3">
      <c r="B468" s="16">
        <v>0.8994378395199919</v>
      </c>
      <c r="C468" s="16">
        <f t="shared" si="105"/>
        <v>1.4547147224271858E-2</v>
      </c>
      <c r="D468" s="16" t="str">
        <f t="shared" si="101"/>
        <v xml:space="preserve"> </v>
      </c>
      <c r="E468" s="16" t="str">
        <f t="shared" si="102"/>
        <v xml:space="preserve"> </v>
      </c>
      <c r="F468" s="16" t="str">
        <f t="shared" si="103"/>
        <v xml:space="preserve"> </v>
      </c>
      <c r="G468" s="16">
        <f t="shared" si="106"/>
        <v>6.7422256882756668E-4</v>
      </c>
      <c r="H468" s="16">
        <f t="shared" si="107"/>
        <v>-1.0553516634529985E-2</v>
      </c>
      <c r="I468" s="16">
        <f t="shared" si="108"/>
        <v>-1.0553124855378331E-2</v>
      </c>
      <c r="J468" s="16">
        <f t="shared" si="104"/>
        <v>6.7422256882756668E-4</v>
      </c>
      <c r="K468" s="16">
        <f t="shared" si="109"/>
        <v>-1.0553124855378331E-2</v>
      </c>
      <c r="L468" s="16">
        <f t="shared" si="110"/>
        <v>0.89959135453144756</v>
      </c>
      <c r="M468" s="16">
        <f t="shared" si="111"/>
        <v>1.5220559754040146E-2</v>
      </c>
      <c r="N468" s="16">
        <f t="shared" si="112"/>
        <v>0.89928432450853624</v>
      </c>
      <c r="O468" s="16">
        <f t="shared" si="113"/>
        <v>-1.3872114616385012E-2</v>
      </c>
      <c r="R468" s="5">
        <f t="shared" si="114"/>
        <v>-0.5</v>
      </c>
    </row>
    <row r="469" spans="2:18" x14ac:dyDescent="0.3">
      <c r="B469" s="16">
        <v>0.9025702636758276</v>
      </c>
      <c r="C469" s="16">
        <f t="shared" si="105"/>
        <v>1.4156657200768859E-2</v>
      </c>
      <c r="D469" s="16" t="str">
        <f t="shared" si="101"/>
        <v xml:space="preserve"> </v>
      </c>
      <c r="E469" s="16" t="str">
        <f t="shared" si="102"/>
        <v xml:space="preserve"> </v>
      </c>
      <c r="F469" s="16" t="str">
        <f t="shared" si="103"/>
        <v xml:space="preserve"> </v>
      </c>
      <c r="G469" s="16">
        <f t="shared" si="106"/>
        <v>6.4152299683964994E-4</v>
      </c>
      <c r="H469" s="16">
        <f t="shared" si="107"/>
        <v>-1.0324433802907452E-2</v>
      </c>
      <c r="I469" s="16">
        <f t="shared" si="108"/>
        <v>-1.0324066985697903E-2</v>
      </c>
      <c r="J469" s="16">
        <f t="shared" si="104"/>
        <v>6.4152299683964994E-4</v>
      </c>
      <c r="K469" s="16">
        <f t="shared" si="109"/>
        <v>-1.0324066985697903E-2</v>
      </c>
      <c r="L469" s="16">
        <f t="shared" si="110"/>
        <v>0.90271641535673364</v>
      </c>
      <c r="M469" s="16">
        <f t="shared" si="111"/>
        <v>1.479742575103548E-2</v>
      </c>
      <c r="N469" s="16">
        <f t="shared" si="112"/>
        <v>0.90242411199492156</v>
      </c>
      <c r="O469" s="16">
        <f t="shared" si="113"/>
        <v>-1.3514379757356181E-2</v>
      </c>
      <c r="R469" s="5">
        <f t="shared" si="114"/>
        <v>-0.5</v>
      </c>
    </row>
    <row r="470" spans="2:18" x14ac:dyDescent="0.3">
      <c r="B470" s="16">
        <v>0.90570365328176206</v>
      </c>
      <c r="C470" s="16">
        <f t="shared" si="105"/>
        <v>1.3764619192238824E-2</v>
      </c>
      <c r="D470" s="16" t="str">
        <f t="shared" si="101"/>
        <v xml:space="preserve"> </v>
      </c>
      <c r="E470" s="16" t="str">
        <f t="shared" si="102"/>
        <v xml:space="preserve"> </v>
      </c>
      <c r="F470" s="16" t="str">
        <f t="shared" si="103"/>
        <v xml:space="preserve"> </v>
      </c>
      <c r="G470" s="16">
        <f t="shared" si="106"/>
        <v>6.0953290704057262E-4</v>
      </c>
      <c r="H470" s="16">
        <f t="shared" si="107"/>
        <v>-1.0094230786116036E-2</v>
      </c>
      <c r="I470" s="16">
        <f t="shared" si="108"/>
        <v>-1.0093887961589484E-2</v>
      </c>
      <c r="J470" s="16">
        <f t="shared" si="104"/>
        <v>6.0953290704057262E-4</v>
      </c>
      <c r="K470" s="16">
        <f t="shared" si="109"/>
        <v>-1.0093887961589484E-2</v>
      </c>
      <c r="L470" s="16">
        <f t="shared" si="110"/>
        <v>0.90584258944640605</v>
      </c>
      <c r="M470" s="16">
        <f t="shared" si="111"/>
        <v>1.4373450890285872E-2</v>
      </c>
      <c r="N470" s="16">
        <f t="shared" si="112"/>
        <v>0.90556471711711806</v>
      </c>
      <c r="O470" s="16">
        <f t="shared" si="113"/>
        <v>-1.3154385076204728E-2</v>
      </c>
      <c r="R470" s="5">
        <f t="shared" si="114"/>
        <v>-0.5</v>
      </c>
    </row>
    <row r="471" spans="2:18" x14ac:dyDescent="0.3">
      <c r="B471" s="16">
        <v>0.90883797728843208</v>
      </c>
      <c r="C471" s="16">
        <f t="shared" si="105"/>
        <v>1.3371029258017442E-2</v>
      </c>
      <c r="D471" s="16" t="str">
        <f t="shared" si="101"/>
        <v xml:space="preserve"> </v>
      </c>
      <c r="E471" s="16" t="str">
        <f t="shared" si="102"/>
        <v xml:space="preserve"> </v>
      </c>
      <c r="F471" s="16" t="str">
        <f t="shared" si="103"/>
        <v xml:space="preserve"> </v>
      </c>
      <c r="G471" s="16">
        <f t="shared" si="106"/>
        <v>5.7825656166347558E-4</v>
      </c>
      <c r="H471" s="16">
        <f t="shared" si="107"/>
        <v>-9.8629089105597163E-3</v>
      </c>
      <c r="I471" s="16">
        <f t="shared" si="108"/>
        <v>-9.8625891179193563E-3</v>
      </c>
      <c r="J471" s="16">
        <f t="shared" si="104"/>
        <v>5.7825656166347558E-4</v>
      </c>
      <c r="K471" s="16">
        <f t="shared" si="109"/>
        <v>-9.8625891179193563E-3</v>
      </c>
      <c r="L471" s="16">
        <f t="shared" si="110"/>
        <v>0.90896984811820281</v>
      </c>
      <c r="M471" s="16">
        <f t="shared" si="111"/>
        <v>1.3948635520504323E-2</v>
      </c>
      <c r="N471" s="16">
        <f t="shared" si="112"/>
        <v>0.90870610645866134</v>
      </c>
      <c r="O471" s="16">
        <f t="shared" si="113"/>
        <v>-1.2792122397177372E-2</v>
      </c>
      <c r="R471" s="5">
        <f t="shared" si="114"/>
        <v>-0.5</v>
      </c>
    </row>
    <row r="472" spans="2:18" x14ac:dyDescent="0.3">
      <c r="B472" s="16">
        <v>0.91197320463721476</v>
      </c>
      <c r="C472" s="16">
        <f t="shared" si="105"/>
        <v>1.2975883339510982E-2</v>
      </c>
      <c r="D472" s="16" t="str">
        <f t="shared" si="101"/>
        <v xml:space="preserve"> </v>
      </c>
      <c r="E472" s="16" t="str">
        <f t="shared" si="102"/>
        <v xml:space="preserve"> </v>
      </c>
      <c r="F472" s="16" t="str">
        <f t="shared" si="103"/>
        <v xml:space="preserve"> </v>
      </c>
      <c r="G472" s="16">
        <f t="shared" si="106"/>
        <v>5.4769820045048553E-4</v>
      </c>
      <c r="H472" s="16">
        <f t="shared" si="107"/>
        <v>-9.6304695446648783E-3</v>
      </c>
      <c r="I472" s="16">
        <f t="shared" si="108"/>
        <v>-9.6301718322364342E-3</v>
      </c>
      <c r="J472" s="16">
        <f t="shared" si="104"/>
        <v>5.4769820045048553E-4</v>
      </c>
      <c r="K472" s="16">
        <f t="shared" si="109"/>
        <v>-9.6301718322364342E-3</v>
      </c>
      <c r="L472" s="16">
        <f t="shared" si="110"/>
        <v>0.91209816269198907</v>
      </c>
      <c r="M472" s="16">
        <f t="shared" si="111"/>
        <v>1.3522979851541753E-2</v>
      </c>
      <c r="N472" s="16">
        <f t="shared" si="112"/>
        <v>0.91184824658244046</v>
      </c>
      <c r="O472" s="16">
        <f t="shared" si="113"/>
        <v>-1.2427583450640782E-2</v>
      </c>
      <c r="R472" s="5">
        <f t="shared" si="114"/>
        <v>-0.5</v>
      </c>
    </row>
    <row r="473" spans="2:18" x14ac:dyDescent="0.3">
      <c r="B473" s="16">
        <v>0.91510930426053605</v>
      </c>
      <c r="C473" s="16">
        <f t="shared" si="105"/>
        <v>1.2579177260669499E-2</v>
      </c>
      <c r="D473" s="16" t="str">
        <f t="shared" si="101"/>
        <v xml:space="preserve"> </v>
      </c>
      <c r="E473" s="16" t="str">
        <f t="shared" si="102"/>
        <v xml:space="preserve"> </v>
      </c>
      <c r="F473" s="16" t="str">
        <f t="shared" si="103"/>
        <v xml:space="preserve"> </v>
      </c>
      <c r="G473" s="16">
        <f t="shared" si="106"/>
        <v>5.1786204029604884E-4</v>
      </c>
      <c r="H473" s="16">
        <f t="shared" si="107"/>
        <v>-9.396914098903357E-3</v>
      </c>
      <c r="I473" s="16">
        <f t="shared" si="108"/>
        <v>-9.3966375248038195E-3</v>
      </c>
      <c r="J473" s="16">
        <f t="shared" si="104"/>
        <v>5.1786204029604884E-4</v>
      </c>
      <c r="K473" s="16">
        <f t="shared" si="109"/>
        <v>-9.3966375248038195E-3</v>
      </c>
      <c r="L473" s="16">
        <f t="shared" si="110"/>
        <v>0.91522750449014667</v>
      </c>
      <c r="M473" s="16">
        <f t="shared" si="111"/>
        <v>1.3096483954522765E-2</v>
      </c>
      <c r="N473" s="16">
        <f t="shared" si="112"/>
        <v>0.91499110403092543</v>
      </c>
      <c r="O473" s="16">
        <f t="shared" si="113"/>
        <v>-1.2060759873930668E-2</v>
      </c>
      <c r="R473" s="5">
        <f t="shared" si="114"/>
        <v>-0.5</v>
      </c>
    </row>
    <row r="474" spans="2:18" x14ac:dyDescent="0.3">
      <c r="B474" s="16">
        <v>0.91824624508217823</v>
      </c>
      <c r="C474" s="16">
        <f t="shared" si="105"/>
        <v>1.2180906728487175E-2</v>
      </c>
      <c r="D474" s="16" t="str">
        <f t="shared" si="101"/>
        <v xml:space="preserve"> </v>
      </c>
      <c r="E474" s="16" t="str">
        <f t="shared" si="102"/>
        <v xml:space="preserve"> </v>
      </c>
      <c r="F474" s="16" t="str">
        <f t="shared" si="103"/>
        <v xml:space="preserve"> </v>
      </c>
      <c r="G474" s="16">
        <f t="shared" si="106"/>
        <v>4.8875227489073687E-4</v>
      </c>
      <c r="H474" s="16">
        <f t="shared" si="107"/>
        <v>-9.1622440258138597E-3</v>
      </c>
      <c r="I474" s="16">
        <f t="shared" si="108"/>
        <v>-9.1619876586286498E-3</v>
      </c>
      <c r="J474" s="16">
        <f t="shared" si="104"/>
        <v>4.8875227489073687E-4</v>
      </c>
      <c r="K474" s="16">
        <f t="shared" si="109"/>
        <v>-9.1619876586286498E-3</v>
      </c>
      <c r="L474" s="16">
        <f t="shared" si="110"/>
        <v>0.91835784483796212</v>
      </c>
      <c r="M474" s="16">
        <f t="shared" si="111"/>
        <v>1.266914776200909E-2</v>
      </c>
      <c r="N474" s="16">
        <f t="shared" si="112"/>
        <v>0.91813464532639433</v>
      </c>
      <c r="O474" s="16">
        <f t="shared" si="113"/>
        <v>-1.1691643212227616E-2</v>
      </c>
      <c r="R474" s="5">
        <f t="shared" si="114"/>
        <v>-0.5</v>
      </c>
    </row>
    <row r="475" spans="2:18" x14ac:dyDescent="0.3">
      <c r="B475" s="16">
        <v>0.92138399601758791</v>
      </c>
      <c r="C475" s="16">
        <f t="shared" si="105"/>
        <v>1.1781067333530926E-2</v>
      </c>
      <c r="D475" s="16" t="str">
        <f t="shared" si="101"/>
        <v xml:space="preserve"> </v>
      </c>
      <c r="E475" s="16" t="str">
        <f t="shared" si="102"/>
        <v xml:space="preserve"> </v>
      </c>
      <c r="F475" s="16" t="str">
        <f t="shared" si="103"/>
        <v xml:space="preserve"> </v>
      </c>
      <c r="G475" s="16">
        <f t="shared" si="106"/>
        <v>4.603730743654651E-4</v>
      </c>
      <c r="H475" s="16">
        <f t="shared" si="107"/>
        <v>-8.9264608200217213E-3</v>
      </c>
      <c r="I475" s="16">
        <f t="shared" si="108"/>
        <v>-8.9262237394902525E-3</v>
      </c>
      <c r="J475" s="16">
        <f t="shared" si="104"/>
        <v>4.603730743654651E-4</v>
      </c>
      <c r="K475" s="16">
        <f t="shared" si="109"/>
        <v>-8.9262237394902525E-3</v>
      </c>
      <c r="L475" s="16">
        <f t="shared" si="110"/>
        <v>0.92148915506401619</v>
      </c>
      <c r="M475" s="16">
        <f t="shared" si="111"/>
        <v>1.2240971068191745E-2</v>
      </c>
      <c r="N475" s="16">
        <f t="shared" si="112"/>
        <v>0.92127883697115964</v>
      </c>
      <c r="O475" s="16">
        <f t="shared" si="113"/>
        <v>-1.1320224919460815E-2</v>
      </c>
      <c r="R475" s="5">
        <f t="shared" si="114"/>
        <v>-0.5</v>
      </c>
    </row>
    <row r="476" spans="2:18" x14ac:dyDescent="0.3">
      <c r="B476" s="16">
        <v>0.92452252597418461</v>
      </c>
      <c r="C476" s="16">
        <f t="shared" si="105"/>
        <v>1.1379654550497425E-2</v>
      </c>
      <c r="D476" s="16" t="str">
        <f t="shared" si="101"/>
        <v xml:space="preserve"> </v>
      </c>
      <c r="E476" s="16" t="str">
        <f t="shared" si="102"/>
        <v xml:space="preserve"> </v>
      </c>
      <c r="F476" s="16" t="str">
        <f t="shared" si="103"/>
        <v xml:space="preserve"> </v>
      </c>
      <c r="G476" s="16">
        <f t="shared" si="106"/>
        <v>4.3272858493624376E-4</v>
      </c>
      <c r="H476" s="16">
        <f t="shared" si="107"/>
        <v>-8.6895660182569959E-3</v>
      </c>
      <c r="I476" s="16">
        <f t="shared" si="108"/>
        <v>-8.6893473159665533E-3</v>
      </c>
      <c r="J476" s="16">
        <f t="shared" si="104"/>
        <v>4.3272858493624376E-4</v>
      </c>
      <c r="K476" s="16">
        <f t="shared" si="109"/>
        <v>-8.6893473159665533E-3</v>
      </c>
      <c r="L476" s="16">
        <f t="shared" si="110"/>
        <v>0.92462140650057367</v>
      </c>
      <c r="M476" s="16">
        <f t="shared" si="111"/>
        <v>1.1811953529112266E-2</v>
      </c>
      <c r="N476" s="16">
        <f t="shared" si="112"/>
        <v>0.92442364544779554</v>
      </c>
      <c r="O476" s="16">
        <f t="shared" si="113"/>
        <v>-1.0946496359239779E-2</v>
      </c>
      <c r="R476" s="5">
        <f t="shared" si="114"/>
        <v>-0.5</v>
      </c>
    </row>
    <row r="477" spans="2:18" x14ac:dyDescent="0.3">
      <c r="B477" s="16">
        <v>0.92766180385166763</v>
      </c>
      <c r="C477" s="16">
        <f t="shared" si="105"/>
        <v>1.0976663738797203E-2</v>
      </c>
      <c r="D477" s="16" t="str">
        <f t="shared" si="101"/>
        <v xml:space="preserve"> </v>
      </c>
      <c r="E477" s="16" t="str">
        <f t="shared" si="102"/>
        <v xml:space="preserve"> </v>
      </c>
      <c r="F477" s="16" t="str">
        <f t="shared" si="103"/>
        <v xml:space="preserve"> </v>
      </c>
      <c r="G477" s="16">
        <f t="shared" si="106"/>
        <v>4.0582292854941099E-4</v>
      </c>
      <c r="H477" s="16">
        <f t="shared" si="107"/>
        <v>-8.4515611993710004E-3</v>
      </c>
      <c r="I477" s="16">
        <f t="shared" si="108"/>
        <v>-8.4513599794588772E-3</v>
      </c>
      <c r="J477" s="16">
        <f t="shared" si="104"/>
        <v>4.0582292854941099E-4</v>
      </c>
      <c r="K477" s="16">
        <f t="shared" si="109"/>
        <v>-8.4513599794588772E-3</v>
      </c>
      <c r="L477" s="16">
        <f t="shared" si="110"/>
        <v>0.92775457048397147</v>
      </c>
      <c r="M477" s="16">
        <f t="shared" si="111"/>
        <v>1.1382094662911511E-2</v>
      </c>
      <c r="N477" s="16">
        <f t="shared" si="112"/>
        <v>0.92756903721936379</v>
      </c>
      <c r="O477" s="16">
        <f t="shared" si="113"/>
        <v>-1.0570448805812689E-2</v>
      </c>
      <c r="R477" s="5">
        <f t="shared" si="114"/>
        <v>-0.5</v>
      </c>
    </row>
    <row r="478" spans="2:18" x14ac:dyDescent="0.3">
      <c r="B478" s="16">
        <v>0.93080179854232581</v>
      </c>
      <c r="C478" s="16">
        <f t="shared" si="105"/>
        <v>1.0572090143167711E-2</v>
      </c>
      <c r="D478" s="16" t="str">
        <f t="shared" si="101"/>
        <v xml:space="preserve"> </v>
      </c>
      <c r="E478" s="16" t="str">
        <f t="shared" si="102"/>
        <v xml:space="preserve"> </v>
      </c>
      <c r="F478" s="16" t="str">
        <f t="shared" si="103"/>
        <v xml:space="preserve"> </v>
      </c>
      <c r="G478" s="16">
        <f t="shared" si="106"/>
        <v>3.7966020252744206E-4</v>
      </c>
      <c r="H478" s="16">
        <f t="shared" si="107"/>
        <v>-8.2124479843510168E-3</v>
      </c>
      <c r="I478" s="16">
        <f t="shared" si="108"/>
        <v>-8.2122633642148519E-3</v>
      </c>
      <c r="J478" s="16">
        <f t="shared" si="104"/>
        <v>3.7966020252744206E-4</v>
      </c>
      <c r="K478" s="16">
        <f t="shared" si="109"/>
        <v>-8.2122633642148519E-3</v>
      </c>
      <c r="L478" s="16">
        <f t="shared" si="110"/>
        <v>0.93088861835501102</v>
      </c>
      <c r="M478" s="16">
        <f t="shared" si="111"/>
        <v>1.0951393850108106E-2</v>
      </c>
      <c r="N478" s="16">
        <f t="shared" si="112"/>
        <v>0.9307149787296406</v>
      </c>
      <c r="O478" s="16">
        <f t="shared" si="113"/>
        <v>-1.0192073445053223E-2</v>
      </c>
      <c r="R478" s="5">
        <f t="shared" si="114"/>
        <v>-0.5</v>
      </c>
    </row>
    <row r="479" spans="2:18" x14ac:dyDescent="0.3">
      <c r="B479" s="16">
        <v>0.93394247893134419</v>
      </c>
      <c r="C479" s="16">
        <f t="shared" si="105"/>
        <v>1.0165928894313789E-2</v>
      </c>
      <c r="D479" s="16" t="str">
        <f t="shared" si="101"/>
        <v xml:space="preserve"> </v>
      </c>
      <c r="E479" s="16" t="str">
        <f t="shared" si="102"/>
        <v xml:space="preserve"> </v>
      </c>
      <c r="F479" s="16" t="str">
        <f t="shared" si="103"/>
        <v xml:space="preserve"> </v>
      </c>
      <c r="G479" s="16">
        <f t="shared" si="106"/>
        <v>3.5424447921531568E-4</v>
      </c>
      <c r="H479" s="16">
        <f t="shared" si="107"/>
        <v>-7.9722280363336128E-3</v>
      </c>
      <c r="I479" s="16">
        <f t="shared" si="108"/>
        <v>-7.972059147349846E-3</v>
      </c>
      <c r="J479" s="16">
        <f t="shared" si="104"/>
        <v>3.5424447921531568E-4</v>
      </c>
      <c r="K479" s="16">
        <f t="shared" si="109"/>
        <v>-7.972059147349846E-3</v>
      </c>
      <c r="L479" s="16">
        <f t="shared" si="110"/>
        <v>0.93402352145934531</v>
      </c>
      <c r="M479" s="16">
        <f t="shared" si="111"/>
        <v>1.0519850333904901E-2</v>
      </c>
      <c r="N479" s="16">
        <f t="shared" si="112"/>
        <v>0.93386143640334307</v>
      </c>
      <c r="O479" s="16">
        <f t="shared" si="113"/>
        <v>-9.8113613754742708E-3</v>
      </c>
      <c r="R479" s="5">
        <f t="shared" si="114"/>
        <v>-0.5</v>
      </c>
    </row>
    <row r="480" spans="2:18" x14ac:dyDescent="0.3">
      <c r="B480" s="16">
        <v>0.9370838138971137</v>
      </c>
      <c r="C480" s="16">
        <f t="shared" si="105"/>
        <v>9.7581750095761168E-3</v>
      </c>
      <c r="D480" s="16" t="str">
        <f t="shared" si="101"/>
        <v xml:space="preserve"> </v>
      </c>
      <c r="E480" s="16" t="str">
        <f t="shared" si="102"/>
        <v xml:space="preserve"> </v>
      </c>
      <c r="F480" s="16" t="str">
        <f t="shared" si="103"/>
        <v xml:space="preserve"> </v>
      </c>
      <c r="G480" s="16">
        <f t="shared" si="106"/>
        <v>3.2957980562749628E-4</v>
      </c>
      <c r="H480" s="16">
        <f t="shared" si="107"/>
        <v>-7.730903060616E-3</v>
      </c>
      <c r="I480" s="16">
        <f t="shared" si="108"/>
        <v>-7.73074904886638E-3</v>
      </c>
      <c r="J480" s="16">
        <f t="shared" si="104"/>
        <v>3.2957980562749628E-4</v>
      </c>
      <c r="K480" s="16">
        <f t="shared" si="109"/>
        <v>-7.73074904886638E-3</v>
      </c>
      <c r="L480" s="16">
        <f t="shared" si="110"/>
        <v>0.93715925114787102</v>
      </c>
      <c r="M480" s="16">
        <f t="shared" si="111"/>
        <v>1.0087463220524092E-2</v>
      </c>
      <c r="N480" s="16">
        <f t="shared" si="112"/>
        <v>0.93700837664635639</v>
      </c>
      <c r="O480" s="16">
        <f t="shared" si="113"/>
        <v>-9.4283036092690977E-3</v>
      </c>
      <c r="R480" s="5">
        <f t="shared" si="114"/>
        <v>-0.5</v>
      </c>
    </row>
    <row r="481" spans="2:18" x14ac:dyDescent="0.3">
      <c r="B481" s="16">
        <v>0.94022577231153837</v>
      </c>
      <c r="C481" s="16">
        <f t="shared" si="105"/>
        <v>9.3488233936280356E-3</v>
      </c>
      <c r="D481" s="16" t="str">
        <f t="shared" si="101"/>
        <v xml:space="preserve"> </v>
      </c>
      <c r="E481" s="16" t="str">
        <f t="shared" si="102"/>
        <v xml:space="preserve"> </v>
      </c>
      <c r="F481" s="16" t="str">
        <f t="shared" si="103"/>
        <v xml:space="preserve"> </v>
      </c>
      <c r="G481" s="16">
        <f t="shared" si="106"/>
        <v>3.0567020309559711E-4</v>
      </c>
      <c r="H481" s="16">
        <f t="shared" si="107"/>
        <v>-7.4884748046660258E-3</v>
      </c>
      <c r="I481" s="16">
        <f t="shared" si="108"/>
        <v>-7.4883348316720985E-3</v>
      </c>
      <c r="J481" s="16">
        <f t="shared" si="104"/>
        <v>3.0567020309559711E-4</v>
      </c>
      <c r="K481" s="16">
        <f t="shared" si="109"/>
        <v>-7.4883348316720985E-3</v>
      </c>
      <c r="L481" s="16">
        <f t="shared" si="110"/>
        <v>0.94029577877711712</v>
      </c>
      <c r="M481" s="16">
        <f t="shared" si="111"/>
        <v>9.6542314795714582E-3</v>
      </c>
      <c r="N481" s="16">
        <f t="shared" si="112"/>
        <v>0.94015576584595961</v>
      </c>
      <c r="O481" s="16">
        <f t="shared" si="113"/>
        <v>-9.0428910733802645E-3</v>
      </c>
      <c r="R481" s="5">
        <f t="shared" si="114"/>
        <v>-0.5</v>
      </c>
    </row>
    <row r="482" spans="2:18" x14ac:dyDescent="0.3">
      <c r="B482" s="16">
        <v>0.94336832304034501</v>
      </c>
      <c r="C482" s="16">
        <f t="shared" si="105"/>
        <v>8.937868839199772E-3</v>
      </c>
      <c r="D482" s="16" t="str">
        <f t="shared" si="101"/>
        <v xml:space="preserve"> </v>
      </c>
      <c r="E482" s="16" t="str">
        <f t="shared" si="102"/>
        <v xml:space="preserve"> </v>
      </c>
      <c r="F482" s="16" t="str">
        <f t="shared" si="103"/>
        <v xml:space="preserve"> </v>
      </c>
      <c r="G482" s="16">
        <f t="shared" si="106"/>
        <v>2.825196669166139E-4</v>
      </c>
      <c r="H482" s="16">
        <f t="shared" si="107"/>
        <v>-7.2449450581302593E-3</v>
      </c>
      <c r="I482" s="16">
        <f t="shared" si="108"/>
        <v>-7.2448183015957502E-3</v>
      </c>
      <c r="J482" s="16">
        <f t="shared" si="104"/>
        <v>2.825196669166139E-4</v>
      </c>
      <c r="K482" s="16">
        <f t="shared" si="109"/>
        <v>-7.2448183015957502E-3</v>
      </c>
      <c r="L482" s="16">
        <f t="shared" si="110"/>
        <v>0.9434330757096353</v>
      </c>
      <c r="M482" s="16">
        <f t="shared" si="111"/>
        <v>9.2201539444286482E-3</v>
      </c>
      <c r="N482" s="16">
        <f t="shared" si="112"/>
        <v>0.94330357037105472</v>
      </c>
      <c r="O482" s="16">
        <f t="shared" si="113"/>
        <v>-8.6551146105954199E-3</v>
      </c>
      <c r="R482" s="5">
        <f t="shared" si="114"/>
        <v>-0.5</v>
      </c>
    </row>
    <row r="483" spans="2:18" x14ac:dyDescent="0.3">
      <c r="B483" s="16">
        <v>0.94651143494339052</v>
      </c>
      <c r="C483" s="16">
        <f t="shared" si="105"/>
        <v>8.5253060278309614E-3</v>
      </c>
      <c r="D483" s="16" t="str">
        <f t="shared" si="101"/>
        <v xml:space="preserve"> </v>
      </c>
      <c r="E483" s="16" t="str">
        <f t="shared" si="102"/>
        <v xml:space="preserve"> </v>
      </c>
      <c r="F483" s="16" t="str">
        <f t="shared" si="103"/>
        <v xml:space="preserve"> </v>
      </c>
      <c r="G483" s="16">
        <f t="shared" si="106"/>
        <v>2.6013216600197117E-4</v>
      </c>
      <c r="H483" s="16">
        <f t="shared" si="107"/>
        <v>-7.0003156528406531E-3</v>
      </c>
      <c r="I483" s="16">
        <f t="shared" si="108"/>
        <v>-7.0002013074016737E-3</v>
      </c>
      <c r="J483" s="16">
        <f t="shared" si="104"/>
        <v>2.6013216600197117E-4</v>
      </c>
      <c r="K483" s="16">
        <f t="shared" si="109"/>
        <v>-7.0002013074016737E-3</v>
      </c>
      <c r="L483" s="16">
        <f t="shared" si="110"/>
        <v>0.94657111331438837</v>
      </c>
      <c r="M483" s="16">
        <f t="shared" si="111"/>
        <v>8.7852293126746105E-3</v>
      </c>
      <c r="N483" s="16">
        <f t="shared" si="112"/>
        <v>0.94645175657239267</v>
      </c>
      <c r="O483" s="16">
        <f t="shared" si="113"/>
        <v>-8.2649649806706693E-3</v>
      </c>
      <c r="R483" s="5">
        <f t="shared" si="114"/>
        <v>-0.5</v>
      </c>
    </row>
    <row r="484" spans="2:18" x14ac:dyDescent="0.3">
      <c r="B484" s="16">
        <v>0.9496550768749713</v>
      </c>
      <c r="C484" s="16">
        <f t="shared" si="105"/>
        <v>8.1111295306509588E-3</v>
      </c>
      <c r="D484" s="16" t="str">
        <f t="shared" si="101"/>
        <v xml:space="preserve"> </v>
      </c>
      <c r="E484" s="16" t="str">
        <f t="shared" si="102"/>
        <v xml:space="preserve"> </v>
      </c>
      <c r="F484" s="16" t="str">
        <f t="shared" si="103"/>
        <v xml:space="preserve"> </v>
      </c>
      <c r="G484" s="16">
        <f t="shared" si="106"/>
        <v>2.3851164252723073E-4</v>
      </c>
      <c r="H484" s="16">
        <f t="shared" si="107"/>
        <v>-6.7545884628193425E-3</v>
      </c>
      <c r="I484" s="16">
        <f t="shared" si="108"/>
        <v>-6.7544857408023259E-3</v>
      </c>
      <c r="J484" s="16">
        <f t="shared" si="104"/>
        <v>2.3851164252723073E-4</v>
      </c>
      <c r="K484" s="16">
        <f t="shared" si="109"/>
        <v>-6.7544857408023259E-3</v>
      </c>
      <c r="L484" s="16">
        <f t="shared" si="110"/>
        <v>0.94970986296714066</v>
      </c>
      <c r="M484" s="16">
        <f t="shared" si="111"/>
        <v>8.3494561465355562E-3</v>
      </c>
      <c r="N484" s="16">
        <f t="shared" si="112"/>
        <v>0.94960029078280195</v>
      </c>
      <c r="O484" s="16">
        <f t="shared" si="113"/>
        <v>-7.8724328614810934E-3</v>
      </c>
      <c r="R484" s="5">
        <f t="shared" si="114"/>
        <v>-0.5</v>
      </c>
    </row>
    <row r="485" spans="2:18" x14ac:dyDescent="0.3">
      <c r="B485" s="16">
        <v>0.95279921768413134</v>
      </c>
      <c r="C485" s="16">
        <f t="shared" si="105"/>
        <v>7.6953338091870268E-3</v>
      </c>
      <c r="D485" s="16" t="str">
        <f t="shared" si="101"/>
        <v xml:space="preserve"> </v>
      </c>
      <c r="E485" s="16" t="str">
        <f t="shared" si="102"/>
        <v xml:space="preserve"> </v>
      </c>
      <c r="F485" s="16" t="str">
        <f t="shared" si="103"/>
        <v xml:space="preserve"> </v>
      </c>
      <c r="G485" s="16">
        <f t="shared" si="106"/>
        <v>2.176620115825812E-4</v>
      </c>
      <c r="H485" s="16">
        <f t="shared" si="107"/>
        <v>-6.5077654042819556E-3</v>
      </c>
      <c r="I485" s="16">
        <f t="shared" si="108"/>
        <v>-6.5076735364692478E-3</v>
      </c>
      <c r="J485" s="16">
        <f t="shared" si="104"/>
        <v>2.176620115825812E-4</v>
      </c>
      <c r="K485" s="16">
        <f t="shared" si="109"/>
        <v>-6.5076735364692478E-3</v>
      </c>
      <c r="L485" s="16">
        <f t="shared" si="110"/>
        <v>0.95284929605084567</v>
      </c>
      <c r="M485" s="16">
        <f t="shared" si="111"/>
        <v>7.912832873363633E-3</v>
      </c>
      <c r="N485" s="16">
        <f t="shared" si="112"/>
        <v>0.952749139317417</v>
      </c>
      <c r="O485" s="16">
        <f t="shared" si="113"/>
        <v>-7.4775088501984714E-3</v>
      </c>
      <c r="R485" s="5">
        <f t="shared" si="114"/>
        <v>-0.5</v>
      </c>
    </row>
    <row r="486" spans="2:18" x14ac:dyDescent="0.3">
      <c r="B486" s="16">
        <v>0.9559438262149712</v>
      </c>
      <c r="C486" s="16">
        <f t="shared" si="105"/>
        <v>7.2779132161999464E-3</v>
      </c>
      <c r="D486" s="16" t="str">
        <f t="shared" si="101"/>
        <v xml:space="preserve"> </v>
      </c>
      <c r="E486" s="16" t="str">
        <f t="shared" si="102"/>
        <v xml:space="preserve"> </v>
      </c>
      <c r="F486" s="16" t="str">
        <f t="shared" si="103"/>
        <v xml:space="preserve"> </v>
      </c>
      <c r="G486" s="16">
        <f t="shared" si="106"/>
        <v>1.9758716082412153E-4</v>
      </c>
      <c r="H486" s="16">
        <f t="shared" si="107"/>
        <v>-6.2598484356391247E-3</v>
      </c>
      <c r="I486" s="16">
        <f t="shared" si="108"/>
        <v>-6.2597666720421276E-3</v>
      </c>
      <c r="J486" s="16">
        <f t="shared" si="104"/>
        <v>1.9758716082412153E-4</v>
      </c>
      <c r="K486" s="16">
        <f t="shared" si="109"/>
        <v>-6.2597666720421276E-3</v>
      </c>
      <c r="L486" s="16">
        <f t="shared" si="110"/>
        <v>0.95598938395603505</v>
      </c>
      <c r="M486" s="16">
        <f t="shared" si="111"/>
        <v>7.4753577861438698E-3</v>
      </c>
      <c r="N486" s="16">
        <f t="shared" si="112"/>
        <v>0.95589826847390735</v>
      </c>
      <c r="O486" s="16">
        <f t="shared" si="113"/>
        <v>-7.0801834644956272E-3</v>
      </c>
      <c r="R486" s="5">
        <f t="shared" si="114"/>
        <v>-0.5</v>
      </c>
    </row>
    <row r="487" spans="2:18" x14ac:dyDescent="0.3">
      <c r="B487" s="16">
        <v>0.95908887130695719</v>
      </c>
      <c r="C487" s="16">
        <f t="shared" si="105"/>
        <v>6.8588619965483039E-3</v>
      </c>
      <c r="D487" s="16" t="str">
        <f t="shared" si="101"/>
        <v xml:space="preserve"> </v>
      </c>
      <c r="E487" s="16" t="str">
        <f t="shared" si="102"/>
        <v xml:space="preserve"> </v>
      </c>
      <c r="F487" s="16" t="str">
        <f t="shared" si="103"/>
        <v xml:space="preserve"> </v>
      </c>
      <c r="G487" s="16">
        <f t="shared" si="106"/>
        <v>1.782909501259441E-4</v>
      </c>
      <c r="H487" s="16">
        <f t="shared" si="107"/>
        <v>-6.0108395574963855E-3</v>
      </c>
      <c r="I487" s="16">
        <f t="shared" si="108"/>
        <v>-6.0107671681361736E-3</v>
      </c>
      <c r="J487" s="16">
        <f t="shared" si="104"/>
        <v>1.782909501259441E-4</v>
      </c>
      <c r="K487" s="16">
        <f t="shared" si="109"/>
        <v>-6.0107671681361736E-3</v>
      </c>
      <c r="L487" s="16">
        <f t="shared" si="110"/>
        <v>0.95913009808120653</v>
      </c>
      <c r="M487" s="16">
        <f t="shared" si="111"/>
        <v>7.0370290440306517E-3</v>
      </c>
      <c r="N487" s="16">
        <f t="shared" si="112"/>
        <v>0.95904764453270785</v>
      </c>
      <c r="O487" s="16">
        <f t="shared" si="113"/>
        <v>-6.6804471437787631E-3</v>
      </c>
      <c r="R487" s="5">
        <f t="shared" si="114"/>
        <v>-0.5</v>
      </c>
    </row>
    <row r="488" spans="2:18" x14ac:dyDescent="0.3">
      <c r="B488" s="16">
        <v>0.96223432179522894</v>
      </c>
      <c r="C488" s="16">
        <f t="shared" si="105"/>
        <v>6.4381742880793543E-3</v>
      </c>
      <c r="D488" s="16" t="str">
        <f t="shared" si="101"/>
        <v xml:space="preserve"> </v>
      </c>
      <c r="E488" s="16" t="str">
        <f t="shared" si="102"/>
        <v xml:space="preserve"> </v>
      </c>
      <c r="F488" s="16" t="str">
        <f t="shared" si="103"/>
        <v xml:space="preserve"> </v>
      </c>
      <c r="G488" s="16">
        <f t="shared" si="106"/>
        <v>1.5977721123311238E-4</v>
      </c>
      <c r="H488" s="16">
        <f t="shared" si="107"/>
        <v>-5.7607408126525419E-3</v>
      </c>
      <c r="I488" s="16">
        <f t="shared" si="108"/>
        <v>-5.7606770883478478E-3</v>
      </c>
      <c r="J488" s="16">
        <f t="shared" si="104"/>
        <v>1.5977721123311238E-4</v>
      </c>
      <c r="K488" s="16">
        <f t="shared" si="109"/>
        <v>-5.7606770883478478E-3</v>
      </c>
      <c r="L488" s="16">
        <f t="shared" si="110"/>
        <v>0.96227140983321002</v>
      </c>
      <c r="M488" s="16">
        <f t="shared" si="111"/>
        <v>6.5978446729117188E-3</v>
      </c>
      <c r="N488" s="16">
        <f t="shared" si="112"/>
        <v>0.96219723375724786</v>
      </c>
      <c r="O488" s="16">
        <f t="shared" si="113"/>
        <v>-6.2782902504454939E-3</v>
      </c>
      <c r="R488" s="5">
        <f t="shared" si="114"/>
        <v>-0.5</v>
      </c>
    </row>
    <row r="489" spans="2:18" x14ac:dyDescent="0.3">
      <c r="B489" s="16">
        <v>0.96538014651090975</v>
      </c>
      <c r="C489" s="16">
        <f t="shared" si="105"/>
        <v>6.0158441225484803E-3</v>
      </c>
      <c r="D489" s="16" t="str">
        <f t="shared" si="101"/>
        <v xml:space="preserve"> </v>
      </c>
      <c r="E489" s="16" t="str">
        <f t="shared" si="102"/>
        <v xml:space="preserve"> </v>
      </c>
      <c r="F489" s="16" t="str">
        <f t="shared" si="103"/>
        <v xml:space="preserve"> </v>
      </c>
      <c r="G489" s="16">
        <f t="shared" si="106"/>
        <v>1.4204974741547898E-4</v>
      </c>
      <c r="H489" s="16">
        <f t="shared" si="107"/>
        <v>-5.5095542860960868E-3</v>
      </c>
      <c r="I489" s="16">
        <f t="shared" si="108"/>
        <v>-5.5094985392585638E-3</v>
      </c>
      <c r="J489" s="16">
        <f t="shared" si="104"/>
        <v>1.4204974741547898E-4</v>
      </c>
      <c r="K489" s="16">
        <f t="shared" si="109"/>
        <v>-5.5094985392585638E-3</v>
      </c>
      <c r="L489" s="16">
        <f t="shared" si="110"/>
        <v>0.96541329062763548</v>
      </c>
      <c r="M489" s="16">
        <f t="shared" si="111"/>
        <v>6.1578025660016592E-3</v>
      </c>
      <c r="N489" s="16">
        <f t="shared" si="112"/>
        <v>0.96534700239418403</v>
      </c>
      <c r="O489" s="16">
        <f t="shared" si="113"/>
        <v>-5.8737030711707005E-3</v>
      </c>
      <c r="R489" s="5">
        <f t="shared" si="114"/>
        <v>-0.5</v>
      </c>
    </row>
    <row r="490" spans="2:18" x14ac:dyDescent="0.3">
      <c r="B490" s="16">
        <v>0.96852631428141356</v>
      </c>
      <c r="C490" s="16">
        <f t="shared" si="105"/>
        <v>5.5918654265659003E-3</v>
      </c>
      <c r="D490" s="16" t="str">
        <f t="shared" si="101"/>
        <v xml:space="preserve"> </v>
      </c>
      <c r="E490" s="16" t="str">
        <f t="shared" si="102"/>
        <v xml:space="preserve"> </v>
      </c>
      <c r="F490" s="16" t="str">
        <f t="shared" si="103"/>
        <v xml:space="preserve"> </v>
      </c>
      <c r="G490" s="16">
        <f t="shared" si="106"/>
        <v>1.2511233312243966E-4</v>
      </c>
      <c r="H490" s="16">
        <f t="shared" si="107"/>
        <v>-5.2572821050003169E-3</v>
      </c>
      <c r="I490" s="16">
        <f t="shared" si="108"/>
        <v>-5.2572336704369742E-3</v>
      </c>
      <c r="J490" s="16">
        <f t="shared" si="104"/>
        <v>1.2511233312243966E-4</v>
      </c>
      <c r="K490" s="16">
        <f t="shared" si="109"/>
        <v>-5.2572336704369742E-3</v>
      </c>
      <c r="L490" s="16">
        <f t="shared" si="110"/>
        <v>0.96855571188919654</v>
      </c>
      <c r="M490" s="16">
        <f t="shared" si="111"/>
        <v>5.7169004844636251E-3</v>
      </c>
      <c r="N490" s="16">
        <f t="shared" si="112"/>
        <v>0.96849691667363058</v>
      </c>
      <c r="O490" s="16">
        <f t="shared" si="113"/>
        <v>-5.4666758182187461E-3</v>
      </c>
      <c r="R490" s="5">
        <f t="shared" si="114"/>
        <v>-0.5</v>
      </c>
    </row>
    <row r="491" spans="2:18" x14ac:dyDescent="0.3">
      <c r="B491" s="16">
        <v>0.9716727939307559</v>
      </c>
      <c r="C491" s="16">
        <f t="shared" si="105"/>
        <v>5.1662320225706933E-3</v>
      </c>
      <c r="D491" s="16" t="str">
        <f t="shared" si="101"/>
        <v xml:space="preserve"> </v>
      </c>
      <c r="E491" s="16" t="str">
        <f t="shared" si="102"/>
        <v xml:space="preserve"> </v>
      </c>
      <c r="F491" s="16" t="str">
        <f t="shared" si="103"/>
        <v xml:space="preserve"> </v>
      </c>
      <c r="G491" s="16">
        <f t="shared" si="106"/>
        <v>1.0896871363862805E-4</v>
      </c>
      <c r="H491" s="16">
        <f t="shared" si="107"/>
        <v>-5.0039264387164344E-3</v>
      </c>
      <c r="I491" s="16">
        <f t="shared" si="108"/>
        <v>-5.0038846744391418E-3</v>
      </c>
      <c r="J491" s="16">
        <f t="shared" si="104"/>
        <v>1.0896871363862805E-4</v>
      </c>
      <c r="K491" s="16">
        <f t="shared" si="109"/>
        <v>-5.0038846744391418E-3</v>
      </c>
      <c r="L491" s="16">
        <f t="shared" si="110"/>
        <v>0.97169864505211745</v>
      </c>
      <c r="M491" s="16">
        <f t="shared" si="111"/>
        <v>5.2751360580593669E-3</v>
      </c>
      <c r="N491" s="16">
        <f t="shared" si="112"/>
        <v>0.97164694280939434</v>
      </c>
      <c r="O491" s="16">
        <f t="shared" si="113"/>
        <v>-5.0571986307821103E-3</v>
      </c>
      <c r="R491" s="5">
        <f t="shared" si="114"/>
        <v>-0.5</v>
      </c>
    </row>
    <row r="492" spans="2:18" x14ac:dyDescent="0.3">
      <c r="B492" s="16">
        <v>0.97481955427986144</v>
      </c>
      <c r="C492" s="16">
        <f t="shared" si="105"/>
        <v>4.7389376298328399E-3</v>
      </c>
      <c r="D492" s="16" t="str">
        <f t="shared" si="101"/>
        <v xml:space="preserve"> </v>
      </c>
      <c r="E492" s="16" t="str">
        <f t="shared" si="102"/>
        <v xml:space="preserve"> </v>
      </c>
      <c r="F492" s="16" t="str">
        <f t="shared" si="103"/>
        <v xml:space="preserve"> </v>
      </c>
      <c r="G492" s="16">
        <f t="shared" si="106"/>
        <v>9.3622604740555327E-5</v>
      </c>
      <c r="H492" s="16">
        <f t="shared" si="107"/>
        <v>-4.7494894987652331E-3</v>
      </c>
      <c r="I492" s="16">
        <f t="shared" si="108"/>
        <v>-4.7494537868071913E-3</v>
      </c>
      <c r="J492" s="16">
        <f t="shared" si="104"/>
        <v>9.3622604740555327E-5</v>
      </c>
      <c r="K492" s="16">
        <f t="shared" si="109"/>
        <v>-4.7494537868071913E-3</v>
      </c>
      <c r="L492" s="16">
        <f t="shared" si="110"/>
        <v>0.97484206156051534</v>
      </c>
      <c r="M492" s="16">
        <f t="shared" si="111"/>
        <v>4.8325067858282569E-3</v>
      </c>
      <c r="N492" s="16">
        <f t="shared" si="112"/>
        <v>0.97479704699920755</v>
      </c>
      <c r="O492" s="16">
        <f t="shared" si="113"/>
        <v>-4.6452615763471466E-3</v>
      </c>
      <c r="R492" s="5">
        <f t="shared" si="114"/>
        <v>-0.5</v>
      </c>
    </row>
    <row r="493" spans="2:18" x14ac:dyDescent="0.3">
      <c r="B493" s="16">
        <v>0.977966564146873</v>
      </c>
      <c r="C493" s="16">
        <f t="shared" si="105"/>
        <v>4.3099758654820903E-3</v>
      </c>
      <c r="D493" s="16" t="str">
        <f t="shared" si="101"/>
        <v xml:space="preserve"> </v>
      </c>
      <c r="E493" s="16" t="str">
        <f t="shared" si="102"/>
        <v xml:space="preserve"> </v>
      </c>
      <c r="F493" s="16" t="str">
        <f t="shared" si="103"/>
        <v xml:space="preserve"> </v>
      </c>
      <c r="G493" s="16">
        <f t="shared" si="106"/>
        <v>7.9077692354304871E-5</v>
      </c>
      <c r="H493" s="16">
        <f t="shared" si="107"/>
        <v>-4.4939735388270594E-3</v>
      </c>
      <c r="I493" s="16">
        <f t="shared" si="108"/>
        <v>-4.493943286066125E-3</v>
      </c>
      <c r="J493" s="16">
        <f t="shared" si="104"/>
        <v>7.9077692354304871E-5</v>
      </c>
      <c r="K493" s="16">
        <f t="shared" si="109"/>
        <v>-4.493943286066125E-3</v>
      </c>
      <c r="L493" s="16">
        <f t="shared" si="110"/>
        <v>0.97798593286878299</v>
      </c>
      <c r="M493" s="16">
        <f t="shared" si="111"/>
        <v>4.3890100367942574E-3</v>
      </c>
      <c r="N493" s="16">
        <f t="shared" si="112"/>
        <v>0.977947195424963</v>
      </c>
      <c r="O493" s="16">
        <f t="shared" si="113"/>
        <v>-4.2308546520856468E-3</v>
      </c>
      <c r="R493" s="5">
        <f t="shared" si="114"/>
        <v>-0.5</v>
      </c>
    </row>
    <row r="494" spans="2:18" x14ac:dyDescent="0.3">
      <c r="B494" s="16">
        <v>0.98111379234746177</v>
      </c>
      <c r="C494" s="16">
        <f t="shared" si="105"/>
        <v>3.8793402455646136E-3</v>
      </c>
      <c r="D494" s="16" t="str">
        <f t="shared" si="101"/>
        <v xml:space="preserve"> </v>
      </c>
      <c r="E494" s="16" t="str">
        <f t="shared" si="102"/>
        <v xml:space="preserve"> </v>
      </c>
      <c r="F494" s="16" t="str">
        <f t="shared" si="103"/>
        <v xml:space="preserve"> </v>
      </c>
      <c r="G494" s="16">
        <f t="shared" si="106"/>
        <v>6.5337632214213138E-5</v>
      </c>
      <c r="H494" s="16">
        <f t="shared" si="107"/>
        <v>-4.237380854729988E-3</v>
      </c>
      <c r="I494" s="16">
        <f t="shared" si="108"/>
        <v>-4.2373554937187403E-3</v>
      </c>
      <c r="J494" s="16">
        <f t="shared" si="104"/>
        <v>6.5337632214213138E-5</v>
      </c>
      <c r="K494" s="16">
        <f t="shared" si="109"/>
        <v>-4.2373554937187403E-3</v>
      </c>
      <c r="L494" s="16">
        <f t="shared" si="110"/>
        <v>0.98113023044197167</v>
      </c>
      <c r="M494" s="16">
        <f t="shared" si="111"/>
        <v>3.9446430507016775E-3</v>
      </c>
      <c r="N494" s="16">
        <f t="shared" si="112"/>
        <v>0.98109735425295186</v>
      </c>
      <c r="O494" s="16">
        <f t="shared" si="113"/>
        <v>-3.8139677862732511E-3</v>
      </c>
      <c r="R494" s="5">
        <f t="shared" si="114"/>
        <v>-0.5</v>
      </c>
    </row>
    <row r="495" spans="2:18" x14ac:dyDescent="0.3">
      <c r="B495" s="16">
        <v>0.98426120769513414</v>
      </c>
      <c r="C495" s="16">
        <f t="shared" si="105"/>
        <v>3.4470241861267932E-3</v>
      </c>
      <c r="D495" s="16" t="str">
        <f t="shared" si="101"/>
        <v xml:space="preserve"> </v>
      </c>
      <c r="E495" s="16" t="str">
        <f t="shared" si="102"/>
        <v xml:space="preserve"> </v>
      </c>
      <c r="F495" s="16" t="str">
        <f t="shared" si="103"/>
        <v xml:space="preserve"> </v>
      </c>
      <c r="G495" s="16">
        <f t="shared" si="106"/>
        <v>5.2406049522646339E-5</v>
      </c>
      <c r="H495" s="16">
        <f t="shared" si="107"/>
        <v>-3.9797137844365628E-3</v>
      </c>
      <c r="I495" s="16">
        <f t="shared" si="108"/>
        <v>-3.9796927742389958E-3</v>
      </c>
      <c r="J495" s="16">
        <f t="shared" si="104"/>
        <v>5.2406049522646339E-5</v>
      </c>
      <c r="K495" s="16">
        <f t="shared" si="109"/>
        <v>-3.9796927742389958E-3</v>
      </c>
      <c r="L495" s="16">
        <f t="shared" si="110"/>
        <v>0.98427492575616926</v>
      </c>
      <c r="M495" s="16">
        <f t="shared" si="111"/>
        <v>3.4994029387792236E-3</v>
      </c>
      <c r="N495" s="16">
        <f t="shared" si="112"/>
        <v>0.98424748963409903</v>
      </c>
      <c r="O495" s="16">
        <f t="shared" si="113"/>
        <v>-3.3945908397339307E-3</v>
      </c>
      <c r="R495" s="5">
        <f t="shared" si="114"/>
        <v>-0.5</v>
      </c>
    </row>
    <row r="496" spans="2:18" x14ac:dyDescent="0.3">
      <c r="B496" s="16">
        <v>0.98740877900154345</v>
      </c>
      <c r="C496" s="16">
        <f t="shared" si="105"/>
        <v>3.013021004325708E-3</v>
      </c>
      <c r="D496" s="16" t="str">
        <f t="shared" si="101"/>
        <v xml:space="preserve"> </v>
      </c>
      <c r="E496" s="16" t="str">
        <f t="shared" si="102"/>
        <v xml:space="preserve"> </v>
      </c>
      <c r="F496" s="16" t="str">
        <f t="shared" si="103"/>
        <v xml:space="preserve"> </v>
      </c>
      <c r="G496" s="16">
        <f t="shared" si="106"/>
        <v>4.0286538610836507E-5</v>
      </c>
      <c r="H496" s="16">
        <f t="shared" si="107"/>
        <v>-3.7209747080285886E-3</v>
      </c>
      <c r="I496" s="16">
        <f t="shared" si="108"/>
        <v>-3.720957535063317E-3</v>
      </c>
      <c r="J496" s="16">
        <f t="shared" si="104"/>
        <v>4.0286538610836507E-5</v>
      </c>
      <c r="K496" s="16">
        <f t="shared" si="109"/>
        <v>-3.720957535063317E-3</v>
      </c>
      <c r="L496" s="16">
        <f t="shared" si="110"/>
        <v>0.98741999029888172</v>
      </c>
      <c r="M496" s="16">
        <f t="shared" si="111"/>
        <v>3.0532866845318241E-3</v>
      </c>
      <c r="N496" s="16">
        <f t="shared" si="112"/>
        <v>0.98739756770420517</v>
      </c>
      <c r="O496" s="16">
        <f t="shared" si="113"/>
        <v>-2.972713607310151E-3</v>
      </c>
      <c r="R496" s="5">
        <f t="shared" si="114"/>
        <v>-0.5</v>
      </c>
    </row>
    <row r="497" spans="2:18" x14ac:dyDescent="0.3">
      <c r="B497" s="16">
        <v>0.99055647507679634</v>
      </c>
      <c r="C497" s="16">
        <f t="shared" si="105"/>
        <v>2.5773239195677144E-3</v>
      </c>
      <c r="D497" s="16" t="str">
        <f t="shared" si="101"/>
        <v xml:space="preserve"> </v>
      </c>
      <c r="E497" s="16" t="str">
        <f t="shared" si="102"/>
        <v xml:space="preserve"> </v>
      </c>
      <c r="F497" s="16" t="str">
        <f t="shared" si="103"/>
        <v xml:space="preserve"> </v>
      </c>
      <c r="G497" s="16">
        <f t="shared" si="106"/>
        <v>2.8982662600872761E-5</v>
      </c>
      <c r="H497" s="16">
        <f t="shared" si="107"/>
        <v>-3.4611660476905831E-3</v>
      </c>
      <c r="I497" s="16">
        <f t="shared" si="108"/>
        <v>-3.4611522265804314E-3</v>
      </c>
      <c r="J497" s="16">
        <f t="shared" si="104"/>
        <v>2.8982662600872761E-5</v>
      </c>
      <c r="K497" s="16">
        <f t="shared" si="109"/>
        <v>-3.4611522265804314E-3</v>
      </c>
      <c r="L497" s="16">
        <f t="shared" si="110"/>
        <v>0.99056539556940848</v>
      </c>
      <c r="M497" s="16">
        <f t="shared" si="111"/>
        <v>2.6062911445617425E-3</v>
      </c>
      <c r="N497" s="16">
        <f t="shared" si="112"/>
        <v>0.9905475545841842</v>
      </c>
      <c r="O497" s="16">
        <f t="shared" si="113"/>
        <v>-2.5483258193599967E-3</v>
      </c>
      <c r="R497" s="5">
        <f t="shared" si="114"/>
        <v>-0.5</v>
      </c>
    </row>
    <row r="498" spans="2:18" x14ac:dyDescent="0.3">
      <c r="B498" s="16">
        <v>0.99370426472976414</v>
      </c>
      <c r="C498" s="16">
        <f t="shared" si="105"/>
        <v>2.1399260546728777E-3</v>
      </c>
      <c r="D498" s="16" t="str">
        <f t="shared" si="101"/>
        <v xml:space="preserve"> </v>
      </c>
      <c r="E498" s="16" t="str">
        <f t="shared" si="102"/>
        <v xml:space="preserve"> </v>
      </c>
      <c r="F498" s="16" t="str">
        <f t="shared" si="103"/>
        <v xml:space="preserve"> </v>
      </c>
      <c r="G498" s="16">
        <f t="shared" si="106"/>
        <v>1.8497953068843205E-5</v>
      </c>
      <c r="H498" s="16">
        <f t="shared" si="107"/>
        <v>-3.2002902676912144E-3</v>
      </c>
      <c r="I498" s="16">
        <f t="shared" si="108"/>
        <v>-3.2002793421190756E-3</v>
      </c>
      <c r="J498" s="16">
        <f t="shared" si="104"/>
        <v>1.8497953068843205E-5</v>
      </c>
      <c r="K498" s="16">
        <f t="shared" si="109"/>
        <v>-3.2002793421190756E-3</v>
      </c>
      <c r="L498" s="16">
        <f t="shared" si="110"/>
        <v>0.99371111307922066</v>
      </c>
      <c r="M498" s="16">
        <f t="shared" si="111"/>
        <v>2.1584130494167217E-3</v>
      </c>
      <c r="N498" s="16">
        <f t="shared" si="112"/>
        <v>0.99369741638030762</v>
      </c>
      <c r="O498" s="16">
        <f t="shared" si="113"/>
        <v>-2.1214171432790353E-3</v>
      </c>
      <c r="R498" s="5">
        <f t="shared" si="114"/>
        <v>-0.5</v>
      </c>
    </row>
    <row r="499" spans="2:18" x14ac:dyDescent="0.3">
      <c r="B499" s="16">
        <v>0.99685211676839014</v>
      </c>
      <c r="C499" s="16">
        <f t="shared" si="105"/>
        <v>1.70082043706693E-3</v>
      </c>
      <c r="D499" s="16" t="str">
        <f t="shared" si="101"/>
        <v xml:space="preserve"> </v>
      </c>
      <c r="E499" s="16" t="str">
        <f t="shared" si="102"/>
        <v xml:space="preserve"> </v>
      </c>
      <c r="F499" s="16" t="str">
        <f t="shared" si="103"/>
        <v xml:space="preserve"> </v>
      </c>
      <c r="G499" s="16">
        <f t="shared" si="106"/>
        <v>8.8359097091457895E-6</v>
      </c>
      <c r="H499" s="16">
        <f t="shared" si="107"/>
        <v>-2.9383498743634075E-3</v>
      </c>
      <c r="I499" s="16">
        <f t="shared" si="108"/>
        <v>-2.9383414179342368E-3</v>
      </c>
      <c r="J499" s="16">
        <f t="shared" si="104"/>
        <v>8.8359097091457895E-6</v>
      </c>
      <c r="K499" s="16">
        <f t="shared" si="109"/>
        <v>-2.9383414179342368E-3</v>
      </c>
      <c r="L499" s="16">
        <f t="shared" si="110"/>
        <v>0.99685711435233348</v>
      </c>
      <c r="M499" s="16">
        <f t="shared" si="111"/>
        <v>1.7096490044668478E-3</v>
      </c>
      <c r="N499" s="16">
        <f t="shared" si="112"/>
        <v>0.99684711918444679</v>
      </c>
      <c r="O499" s="16">
        <f t="shared" si="113"/>
        <v>-1.6919771850485564E-3</v>
      </c>
      <c r="R499" s="5">
        <f t="shared" si="114"/>
        <v>-0.5</v>
      </c>
    </row>
    <row r="500" spans="2:18" x14ac:dyDescent="0.3">
      <c r="B500" s="16">
        <v>0.99999999999999989</v>
      </c>
      <c r="C500" s="16">
        <f t="shared" si="105"/>
        <v>1.2599999999999862E-3</v>
      </c>
      <c r="D500" s="16" t="str">
        <f t="shared" si="101"/>
        <v xml:space="preserve"> </v>
      </c>
      <c r="E500" s="16" t="str">
        <f t="shared" si="102"/>
        <v xml:space="preserve"> </v>
      </c>
      <c r="F500" s="16" t="str">
        <f t="shared" si="103"/>
        <v xml:space="preserve"> </v>
      </c>
      <c r="G500" s="16">
        <f t="shared" si="106"/>
        <v>0</v>
      </c>
      <c r="H500" s="16">
        <f t="shared" si="107"/>
        <v>-2.6753474160825146E-3</v>
      </c>
      <c r="I500" s="16">
        <f t="shared" si="108"/>
        <v>-2.675341033191332E-3</v>
      </c>
      <c r="J500" s="16">
        <f t="shared" si="104"/>
        <v>0</v>
      </c>
      <c r="K500" s="16">
        <f t="shared" si="109"/>
        <v>-2.675341033191332E-3</v>
      </c>
      <c r="L500" s="16">
        <f t="shared" si="110"/>
        <v>1.0000033709256806</v>
      </c>
      <c r="M500" s="16">
        <f t="shared" si="111"/>
        <v>1.2599954908093999E-3</v>
      </c>
      <c r="N500" s="16">
        <f t="shared" si="112"/>
        <v>0.9999966290743193</v>
      </c>
      <c r="O500" s="16">
        <f t="shared" si="113"/>
        <v>-1.2599954908093999E-3</v>
      </c>
      <c r="R500" s="5">
        <f t="shared" si="114"/>
        <v>-0.5</v>
      </c>
    </row>
    <row r="501" spans="2:18" x14ac:dyDescent="0.3">
      <c r="C501" s="16"/>
      <c r="D501" s="16"/>
      <c r="J501" s="16"/>
      <c r="L501" s="16">
        <v>1</v>
      </c>
      <c r="M501" s="16">
        <v>0</v>
      </c>
      <c r="N501" s="16">
        <v>1</v>
      </c>
      <c r="O501" s="16">
        <v>0</v>
      </c>
    </row>
    <row r="502" spans="2:18" x14ac:dyDescent="0.3">
      <c r="C502" s="16"/>
      <c r="D502" s="16"/>
      <c r="J502" s="16"/>
      <c r="O502" s="16"/>
    </row>
    <row r="503" spans="2:18" x14ac:dyDescent="0.3">
      <c r="C503" s="16"/>
      <c r="D503" s="16"/>
      <c r="J503" s="16"/>
      <c r="O503" s="16"/>
    </row>
    <row r="504" spans="2:18" x14ac:dyDescent="0.3">
      <c r="C504" s="16"/>
      <c r="D504" s="16"/>
      <c r="J504" s="16"/>
      <c r="O504" s="16"/>
    </row>
    <row r="505" spans="2:18" x14ac:dyDescent="0.3">
      <c r="C505" s="16"/>
      <c r="D505" s="16"/>
      <c r="J505" s="16"/>
      <c r="O505" s="16"/>
    </row>
    <row r="506" spans="2:18" x14ac:dyDescent="0.3">
      <c r="C506" s="16"/>
      <c r="D506" s="16"/>
      <c r="J506" s="16"/>
      <c r="O506" s="16"/>
    </row>
    <row r="507" spans="2:18" x14ac:dyDescent="0.3">
      <c r="C507" s="16"/>
      <c r="D507" s="16"/>
      <c r="J507" s="16"/>
      <c r="O507" s="16"/>
    </row>
    <row r="508" spans="2:18" x14ac:dyDescent="0.3">
      <c r="C508" s="16"/>
      <c r="D508" s="16"/>
      <c r="J508" s="16"/>
      <c r="O508" s="16"/>
    </row>
    <row r="509" spans="2:18" x14ac:dyDescent="0.3">
      <c r="C509" s="16"/>
      <c r="D509" s="16"/>
      <c r="J509" s="16"/>
      <c r="O509" s="16"/>
    </row>
    <row r="510" spans="2:18" x14ac:dyDescent="0.3">
      <c r="C510" s="16"/>
      <c r="D510" s="16"/>
      <c r="J510" s="16"/>
      <c r="O510" s="16"/>
    </row>
    <row r="511" spans="2:18" x14ac:dyDescent="0.3">
      <c r="C511" s="16"/>
      <c r="D511" s="16"/>
      <c r="J511" s="16"/>
      <c r="O511" s="16"/>
    </row>
    <row r="512" spans="2:18" x14ac:dyDescent="0.3">
      <c r="C512" s="16"/>
      <c r="D512" s="16"/>
      <c r="J512" s="16"/>
      <c r="O512" s="16"/>
    </row>
    <row r="513" spans="3:15" x14ac:dyDescent="0.3">
      <c r="C513" s="16"/>
      <c r="D513" s="16"/>
      <c r="J513" s="16"/>
      <c r="O513" s="16"/>
    </row>
    <row r="514" spans="3:15" x14ac:dyDescent="0.3">
      <c r="C514" s="16"/>
      <c r="D514" s="16"/>
      <c r="J514" s="16"/>
      <c r="O514" s="16"/>
    </row>
    <row r="515" spans="3:15" x14ac:dyDescent="0.3">
      <c r="C515" s="16"/>
      <c r="D515" s="16"/>
      <c r="J515" s="16"/>
      <c r="O515" s="16"/>
    </row>
    <row r="516" spans="3:15" x14ac:dyDescent="0.3">
      <c r="C516" s="16"/>
      <c r="D516" s="16"/>
      <c r="J516" s="16"/>
      <c r="O516" s="16"/>
    </row>
    <row r="517" spans="3:15" x14ac:dyDescent="0.3">
      <c r="C517" s="16"/>
      <c r="D517" s="16"/>
      <c r="J517" s="16"/>
      <c r="O517" s="16"/>
    </row>
    <row r="518" spans="3:15" x14ac:dyDescent="0.3">
      <c r="C518" s="16"/>
      <c r="D518" s="16"/>
      <c r="J518" s="16"/>
      <c r="O518" s="16"/>
    </row>
    <row r="519" spans="3:15" x14ac:dyDescent="0.3">
      <c r="C519" s="16"/>
      <c r="D519" s="16"/>
      <c r="J519" s="16"/>
      <c r="O519" s="16"/>
    </row>
    <row r="520" spans="3:15" x14ac:dyDescent="0.3">
      <c r="C520" s="16"/>
      <c r="D520" s="16"/>
      <c r="J520" s="16"/>
      <c r="O520" s="16"/>
    </row>
    <row r="521" spans="3:15" x14ac:dyDescent="0.3">
      <c r="C521" s="16"/>
      <c r="D521" s="16"/>
      <c r="J521" s="16"/>
      <c r="O521" s="16"/>
    </row>
    <row r="522" spans="3:15" x14ac:dyDescent="0.3">
      <c r="C522" s="16"/>
      <c r="D522" s="16"/>
      <c r="J522" s="16"/>
      <c r="O522" s="16"/>
    </row>
    <row r="523" spans="3:15" x14ac:dyDescent="0.3">
      <c r="C523" s="16"/>
      <c r="D523" s="16"/>
      <c r="J523" s="16"/>
      <c r="O523" s="16"/>
    </row>
    <row r="524" spans="3:15" x14ac:dyDescent="0.3">
      <c r="C524" s="16"/>
      <c r="D524" s="16"/>
      <c r="J524" s="16"/>
      <c r="O524" s="16"/>
    </row>
    <row r="525" spans="3:15" x14ac:dyDescent="0.3">
      <c r="C525" s="16"/>
      <c r="D525" s="16"/>
      <c r="J525" s="16"/>
      <c r="O525" s="16"/>
    </row>
    <row r="526" spans="3:15" x14ac:dyDescent="0.3">
      <c r="C526" s="16"/>
      <c r="D526" s="16"/>
      <c r="J526" s="16"/>
      <c r="O526" s="16"/>
    </row>
    <row r="527" spans="3:15" x14ac:dyDescent="0.3">
      <c r="C527" s="16"/>
      <c r="D527" s="16"/>
      <c r="J527" s="16"/>
      <c r="O527" s="16"/>
    </row>
    <row r="528" spans="3:15" x14ac:dyDescent="0.3">
      <c r="C528" s="16"/>
      <c r="D528" s="16"/>
      <c r="J528" s="16"/>
      <c r="O528" s="16"/>
    </row>
    <row r="529" spans="3:15" x14ac:dyDescent="0.3">
      <c r="C529" s="16"/>
      <c r="D529" s="16"/>
      <c r="J529" s="16"/>
      <c r="O529" s="16"/>
    </row>
    <row r="530" spans="3:15" x14ac:dyDescent="0.3">
      <c r="C530" s="16"/>
      <c r="D530" s="16"/>
      <c r="J530" s="16"/>
      <c r="O530" s="16"/>
    </row>
    <row r="531" spans="3:15" x14ac:dyDescent="0.3">
      <c r="C531" s="16"/>
      <c r="D531" s="16"/>
      <c r="J531" s="16"/>
      <c r="O531" s="16"/>
    </row>
    <row r="532" spans="3:15" x14ac:dyDescent="0.3">
      <c r="C532" s="16"/>
      <c r="D532" s="16"/>
      <c r="J532" s="16"/>
      <c r="O532" s="16"/>
    </row>
    <row r="533" spans="3:15" x14ac:dyDescent="0.3">
      <c r="C533" s="16"/>
      <c r="D533" s="16"/>
      <c r="J533" s="16"/>
      <c r="O533" s="16"/>
    </row>
    <row r="534" spans="3:15" x14ac:dyDescent="0.3">
      <c r="C534" s="16"/>
      <c r="D534" s="16"/>
      <c r="J534" s="16"/>
      <c r="O534" s="16"/>
    </row>
    <row r="535" spans="3:15" x14ac:dyDescent="0.3">
      <c r="C535" s="16"/>
      <c r="D535" s="16"/>
      <c r="J535" s="16"/>
      <c r="O535" s="16"/>
    </row>
    <row r="536" spans="3:15" x14ac:dyDescent="0.3">
      <c r="C536" s="16"/>
      <c r="D536" s="16"/>
      <c r="J536" s="16"/>
      <c r="O536" s="16"/>
    </row>
    <row r="537" spans="3:15" x14ac:dyDescent="0.3">
      <c r="C537" s="16"/>
      <c r="D537" s="16"/>
      <c r="J537" s="16"/>
      <c r="O537" s="16"/>
    </row>
    <row r="538" spans="3:15" x14ac:dyDescent="0.3">
      <c r="C538" s="16"/>
      <c r="D538" s="16"/>
      <c r="J538" s="16"/>
      <c r="O538" s="16"/>
    </row>
    <row r="539" spans="3:15" x14ac:dyDescent="0.3">
      <c r="C539" s="16"/>
      <c r="D539" s="16"/>
      <c r="J539" s="16"/>
      <c r="O539" s="16"/>
    </row>
    <row r="540" spans="3:15" x14ac:dyDescent="0.3">
      <c r="C540" s="16"/>
      <c r="D540" s="16"/>
      <c r="J540" s="16"/>
      <c r="O540" s="16"/>
    </row>
    <row r="541" spans="3:15" x14ac:dyDescent="0.3">
      <c r="C541" s="16"/>
      <c r="D541" s="16"/>
      <c r="J541" s="16"/>
      <c r="O541" s="16"/>
    </row>
    <row r="542" spans="3:15" x14ac:dyDescent="0.3">
      <c r="C542" s="16"/>
      <c r="D542" s="16"/>
      <c r="J542" s="16"/>
      <c r="O542" s="16"/>
    </row>
    <row r="543" spans="3:15" x14ac:dyDescent="0.3">
      <c r="C543" s="16"/>
      <c r="D543" s="16"/>
      <c r="J543" s="16"/>
      <c r="O543" s="16"/>
    </row>
    <row r="544" spans="3:15" x14ac:dyDescent="0.3">
      <c r="C544" s="16"/>
      <c r="D544" s="16"/>
      <c r="J544" s="16"/>
      <c r="O544" s="16"/>
    </row>
    <row r="545" spans="3:15" x14ac:dyDescent="0.3">
      <c r="C545" s="16"/>
      <c r="D545" s="16"/>
      <c r="J545" s="16"/>
      <c r="O545" s="16"/>
    </row>
    <row r="546" spans="3:15" x14ac:dyDescent="0.3">
      <c r="C546" s="16"/>
      <c r="D546" s="16"/>
      <c r="J546" s="16"/>
      <c r="O546" s="16"/>
    </row>
    <row r="547" spans="3:15" x14ac:dyDescent="0.3">
      <c r="C547" s="16"/>
      <c r="D547" s="16"/>
      <c r="J547" s="16"/>
      <c r="O547" s="16"/>
    </row>
    <row r="548" spans="3:15" x14ac:dyDescent="0.3">
      <c r="C548" s="16"/>
      <c r="D548" s="16"/>
      <c r="J548" s="16"/>
      <c r="O548" s="16"/>
    </row>
    <row r="549" spans="3:15" x14ac:dyDescent="0.3">
      <c r="C549" s="16"/>
      <c r="D549" s="16"/>
      <c r="J549" s="16"/>
      <c r="O549" s="16"/>
    </row>
    <row r="550" spans="3:15" x14ac:dyDescent="0.3">
      <c r="C550" s="16"/>
      <c r="D550" s="16"/>
      <c r="J550" s="16"/>
      <c r="O550" s="16"/>
    </row>
    <row r="551" spans="3:15" x14ac:dyDescent="0.3">
      <c r="C551" s="16"/>
      <c r="D551" s="16"/>
      <c r="J551" s="16"/>
      <c r="O551" s="16"/>
    </row>
    <row r="552" spans="3:15" x14ac:dyDescent="0.3">
      <c r="C552" s="16"/>
      <c r="D552" s="16"/>
      <c r="J552" s="16"/>
      <c r="O552" s="16"/>
    </row>
    <row r="553" spans="3:15" x14ac:dyDescent="0.3">
      <c r="C553" s="16"/>
      <c r="D553" s="16"/>
      <c r="J553" s="16"/>
      <c r="O553" s="16"/>
    </row>
    <row r="554" spans="3:15" x14ac:dyDescent="0.3">
      <c r="C554" s="16"/>
      <c r="D554" s="16"/>
      <c r="J554" s="16"/>
      <c r="O554" s="16"/>
    </row>
    <row r="555" spans="3:15" x14ac:dyDescent="0.3">
      <c r="C555" s="16"/>
      <c r="D555" s="16"/>
      <c r="J555" s="16"/>
      <c r="O555" s="16"/>
    </row>
    <row r="556" spans="3:15" x14ac:dyDescent="0.3">
      <c r="C556" s="16"/>
      <c r="D556" s="16"/>
      <c r="J556" s="16"/>
      <c r="O556" s="16"/>
    </row>
    <row r="557" spans="3:15" x14ac:dyDescent="0.3">
      <c r="C557" s="16"/>
      <c r="D557" s="16"/>
      <c r="J557" s="16"/>
      <c r="O557" s="16"/>
    </row>
    <row r="558" spans="3:15" x14ac:dyDescent="0.3">
      <c r="C558" s="16"/>
      <c r="D558" s="16"/>
      <c r="J558" s="16"/>
      <c r="O558" s="16"/>
    </row>
    <row r="559" spans="3:15" x14ac:dyDescent="0.3">
      <c r="C559" s="16"/>
      <c r="D559" s="16"/>
      <c r="J559" s="16"/>
      <c r="O559" s="16"/>
    </row>
    <row r="560" spans="3:15" x14ac:dyDescent="0.3">
      <c r="C560" s="16"/>
      <c r="D560" s="16"/>
      <c r="J560" s="16"/>
      <c r="O560" s="16"/>
    </row>
    <row r="561" spans="3:15" x14ac:dyDescent="0.3">
      <c r="C561" s="16"/>
      <c r="D561" s="16"/>
      <c r="J561" s="16"/>
      <c r="O561" s="16"/>
    </row>
    <row r="562" spans="3:15" x14ac:dyDescent="0.3">
      <c r="C562" s="16"/>
      <c r="D562" s="16"/>
      <c r="J562" s="16"/>
      <c r="O562" s="16"/>
    </row>
    <row r="563" spans="3:15" x14ac:dyDescent="0.3">
      <c r="C563" s="16"/>
      <c r="D563" s="16"/>
      <c r="J563" s="16"/>
      <c r="O563" s="16"/>
    </row>
    <row r="564" spans="3:15" x14ac:dyDescent="0.3">
      <c r="C564" s="16"/>
      <c r="D564" s="16"/>
      <c r="J564" s="16"/>
      <c r="O564" s="16"/>
    </row>
    <row r="565" spans="3:15" x14ac:dyDescent="0.3">
      <c r="C565" s="16"/>
      <c r="D565" s="16"/>
      <c r="J565" s="16"/>
      <c r="O565" s="16"/>
    </row>
    <row r="566" spans="3:15" x14ac:dyDescent="0.3">
      <c r="C566" s="16"/>
      <c r="D566" s="16"/>
      <c r="J566" s="16"/>
      <c r="O566" s="16"/>
    </row>
    <row r="567" spans="3:15" x14ac:dyDescent="0.3">
      <c r="C567" s="16"/>
      <c r="D567" s="16"/>
      <c r="J567" s="16"/>
      <c r="O567" s="16"/>
    </row>
    <row r="568" spans="3:15" x14ac:dyDescent="0.3">
      <c r="C568" s="16"/>
      <c r="D568" s="16"/>
      <c r="J568" s="16"/>
      <c r="O568" s="16"/>
    </row>
    <row r="569" spans="3:15" x14ac:dyDescent="0.3">
      <c r="C569" s="16"/>
      <c r="D569" s="16"/>
      <c r="J569" s="16"/>
      <c r="O569" s="16"/>
    </row>
    <row r="570" spans="3:15" x14ac:dyDescent="0.3">
      <c r="C570" s="16"/>
      <c r="D570" s="16"/>
      <c r="J570" s="16"/>
      <c r="O570" s="16"/>
    </row>
    <row r="571" spans="3:15" x14ac:dyDescent="0.3">
      <c r="C571" s="16"/>
      <c r="D571" s="16"/>
      <c r="J571" s="16"/>
      <c r="O571" s="16"/>
    </row>
    <row r="572" spans="3:15" x14ac:dyDescent="0.3">
      <c r="C572" s="16"/>
      <c r="D572" s="16"/>
      <c r="J572" s="16"/>
      <c r="O572" s="16"/>
    </row>
    <row r="573" spans="3:15" x14ac:dyDescent="0.3">
      <c r="C573" s="16"/>
      <c r="D573" s="16"/>
      <c r="J573" s="16"/>
      <c r="O573" s="16"/>
    </row>
    <row r="574" spans="3:15" x14ac:dyDescent="0.3">
      <c r="C574" s="16"/>
      <c r="D574" s="16"/>
      <c r="J574" s="16"/>
      <c r="O574" s="16"/>
    </row>
    <row r="575" spans="3:15" x14ac:dyDescent="0.3">
      <c r="C575" s="16"/>
      <c r="D575" s="16"/>
      <c r="J575" s="16"/>
      <c r="O575" s="16"/>
    </row>
    <row r="576" spans="3:15" x14ac:dyDescent="0.3">
      <c r="C576" s="16"/>
      <c r="D576" s="16"/>
      <c r="J576" s="16"/>
      <c r="O576" s="16"/>
    </row>
    <row r="577" spans="3:15" x14ac:dyDescent="0.3">
      <c r="C577" s="16"/>
      <c r="D577" s="16"/>
      <c r="J577" s="16"/>
      <c r="O577" s="16"/>
    </row>
    <row r="578" spans="3:15" x14ac:dyDescent="0.3">
      <c r="C578" s="16"/>
      <c r="D578" s="16"/>
      <c r="J578" s="16"/>
      <c r="O578" s="16"/>
    </row>
    <row r="579" spans="3:15" x14ac:dyDescent="0.3">
      <c r="C579" s="16"/>
      <c r="D579" s="16"/>
      <c r="J579" s="16"/>
      <c r="O579" s="16"/>
    </row>
    <row r="580" spans="3:15" x14ac:dyDescent="0.3">
      <c r="C580" s="16"/>
      <c r="D580" s="16"/>
      <c r="J580" s="16"/>
      <c r="O580" s="16"/>
    </row>
    <row r="581" spans="3:15" x14ac:dyDescent="0.3">
      <c r="C581" s="16"/>
      <c r="D581" s="16"/>
      <c r="J581" s="16"/>
      <c r="O581" s="16"/>
    </row>
    <row r="582" spans="3:15" x14ac:dyDescent="0.3">
      <c r="C582" s="16"/>
      <c r="D582" s="16"/>
      <c r="J582" s="16"/>
      <c r="O582" s="16"/>
    </row>
    <row r="583" spans="3:15" x14ac:dyDescent="0.3">
      <c r="C583" s="16"/>
      <c r="D583" s="16"/>
      <c r="J583" s="16"/>
      <c r="O583" s="16"/>
    </row>
    <row r="584" spans="3:15" x14ac:dyDescent="0.3">
      <c r="C584" s="16"/>
      <c r="D584" s="16"/>
      <c r="J584" s="16"/>
      <c r="O584" s="16"/>
    </row>
    <row r="585" spans="3:15" x14ac:dyDescent="0.3">
      <c r="C585" s="16"/>
      <c r="D585" s="16"/>
      <c r="J585" s="16"/>
      <c r="O585" s="16"/>
    </row>
    <row r="586" spans="3:15" x14ac:dyDescent="0.3">
      <c r="C586" s="16"/>
      <c r="D586" s="16"/>
      <c r="J586" s="16"/>
      <c r="O586" s="16"/>
    </row>
    <row r="587" spans="3:15" x14ac:dyDescent="0.3">
      <c r="C587" s="16"/>
      <c r="D587" s="16"/>
      <c r="J587" s="16"/>
      <c r="O587" s="16"/>
    </row>
    <row r="588" spans="3:15" x14ac:dyDescent="0.3">
      <c r="C588" s="16"/>
      <c r="D588" s="16"/>
      <c r="J588" s="16"/>
      <c r="O588" s="16"/>
    </row>
    <row r="589" spans="3:15" x14ac:dyDescent="0.3">
      <c r="C589" s="16"/>
      <c r="D589" s="16"/>
      <c r="J589" s="16"/>
      <c r="O589" s="16"/>
    </row>
    <row r="590" spans="3:15" x14ac:dyDescent="0.3">
      <c r="C590" s="16"/>
      <c r="D590" s="16"/>
      <c r="J590" s="16"/>
      <c r="O590" s="16"/>
    </row>
    <row r="591" spans="3:15" x14ac:dyDescent="0.3">
      <c r="C591" s="16"/>
      <c r="D591" s="16"/>
      <c r="J591" s="16"/>
      <c r="O591" s="16"/>
    </row>
    <row r="592" spans="3:15" x14ac:dyDescent="0.3">
      <c r="C592" s="16"/>
      <c r="D592" s="16"/>
      <c r="J592" s="16"/>
      <c r="O592" s="16"/>
    </row>
    <row r="593" spans="3:15" x14ac:dyDescent="0.3">
      <c r="C593" s="16"/>
      <c r="D593" s="16"/>
      <c r="J593" s="16"/>
      <c r="O593" s="16"/>
    </row>
    <row r="594" spans="3:15" x14ac:dyDescent="0.3">
      <c r="C594" s="16"/>
      <c r="D594" s="16"/>
      <c r="J594" s="16"/>
      <c r="O594" s="16"/>
    </row>
    <row r="595" spans="3:15" x14ac:dyDescent="0.3">
      <c r="C595" s="16"/>
      <c r="D595" s="16"/>
      <c r="J595" s="16"/>
      <c r="O595" s="16"/>
    </row>
    <row r="596" spans="3:15" x14ac:dyDescent="0.3">
      <c r="C596" s="16"/>
      <c r="D596" s="16"/>
      <c r="J596" s="16"/>
      <c r="O596" s="16"/>
    </row>
    <row r="597" spans="3:15" x14ac:dyDescent="0.3">
      <c r="C597" s="16"/>
      <c r="D597" s="16"/>
      <c r="J597" s="16"/>
      <c r="O597" s="16"/>
    </row>
    <row r="598" spans="3:15" x14ac:dyDescent="0.3">
      <c r="C598" s="16"/>
      <c r="D598" s="16"/>
      <c r="J598" s="16"/>
      <c r="O598" s="16"/>
    </row>
    <row r="599" spans="3:15" x14ac:dyDescent="0.3">
      <c r="C599" s="16"/>
      <c r="D599" s="16"/>
      <c r="J599" s="16"/>
      <c r="O599" s="16"/>
    </row>
    <row r="600" spans="3:15" x14ac:dyDescent="0.3">
      <c r="C600" s="16"/>
      <c r="D600" s="16"/>
      <c r="J600" s="16"/>
      <c r="O600" s="16"/>
    </row>
    <row r="601" spans="3:15" x14ac:dyDescent="0.3">
      <c r="C601" s="16"/>
      <c r="D601" s="16"/>
      <c r="J601" s="16"/>
      <c r="O601" s="16"/>
    </row>
    <row r="602" spans="3:15" x14ac:dyDescent="0.3">
      <c r="C602" s="16"/>
      <c r="D602" s="16"/>
      <c r="J602" s="16"/>
      <c r="O602" s="16"/>
    </row>
    <row r="603" spans="3:15" x14ac:dyDescent="0.3">
      <c r="C603" s="16"/>
      <c r="D603" s="16"/>
      <c r="J603" s="16"/>
      <c r="O603" s="16"/>
    </row>
    <row r="604" spans="3:15" x14ac:dyDescent="0.3">
      <c r="C604" s="16"/>
      <c r="D604" s="16"/>
      <c r="J604" s="16"/>
      <c r="O604" s="16"/>
    </row>
    <row r="605" spans="3:15" x14ac:dyDescent="0.3">
      <c r="C605" s="16"/>
      <c r="D605" s="16"/>
      <c r="J605" s="16"/>
      <c r="O605" s="16"/>
    </row>
    <row r="606" spans="3:15" x14ac:dyDescent="0.3">
      <c r="C606" s="16"/>
      <c r="D606" s="16"/>
      <c r="J606" s="16"/>
      <c r="O606" s="16"/>
    </row>
    <row r="607" spans="3:15" x14ac:dyDescent="0.3">
      <c r="C607" s="16"/>
      <c r="D607" s="16"/>
      <c r="J607" s="16"/>
      <c r="O607" s="16"/>
    </row>
    <row r="608" spans="3:15" x14ac:dyDescent="0.3">
      <c r="C608" s="16"/>
      <c r="D608" s="16"/>
      <c r="J608" s="16"/>
      <c r="O608" s="16"/>
    </row>
    <row r="609" spans="3:15" x14ac:dyDescent="0.3">
      <c r="C609" s="16"/>
      <c r="D609" s="16"/>
      <c r="J609" s="16"/>
      <c r="O609" s="16"/>
    </row>
    <row r="610" spans="3:15" x14ac:dyDescent="0.3">
      <c r="C610" s="16"/>
      <c r="D610" s="16"/>
      <c r="J610" s="16"/>
      <c r="O610" s="16"/>
    </row>
    <row r="611" spans="3:15" x14ac:dyDescent="0.3">
      <c r="C611" s="16"/>
      <c r="D611" s="16"/>
      <c r="J611" s="16"/>
      <c r="O611" s="16"/>
    </row>
    <row r="612" spans="3:15" x14ac:dyDescent="0.3">
      <c r="C612" s="16"/>
      <c r="D612" s="16"/>
      <c r="J612" s="16"/>
      <c r="O612" s="16"/>
    </row>
    <row r="613" spans="3:15" x14ac:dyDescent="0.3">
      <c r="C613" s="16"/>
      <c r="D613" s="16"/>
      <c r="J613" s="16"/>
      <c r="O613" s="16"/>
    </row>
    <row r="614" spans="3:15" x14ac:dyDescent="0.3">
      <c r="C614" s="16"/>
      <c r="D614" s="16"/>
      <c r="J614" s="16"/>
      <c r="O614" s="16"/>
    </row>
    <row r="615" spans="3:15" x14ac:dyDescent="0.3">
      <c r="C615" s="16"/>
      <c r="D615" s="16"/>
      <c r="J615" s="16"/>
      <c r="O615" s="16"/>
    </row>
    <row r="616" spans="3:15" x14ac:dyDescent="0.3">
      <c r="C616" s="16"/>
      <c r="D616" s="16"/>
      <c r="J616" s="16"/>
      <c r="O616" s="16"/>
    </row>
    <row r="617" spans="3:15" x14ac:dyDescent="0.3">
      <c r="C617" s="16"/>
      <c r="D617" s="16"/>
      <c r="J617" s="16"/>
      <c r="O617" s="16"/>
    </row>
    <row r="618" spans="3:15" x14ac:dyDescent="0.3">
      <c r="C618" s="16"/>
      <c r="D618" s="16"/>
      <c r="J618" s="16"/>
      <c r="O618" s="16"/>
    </row>
    <row r="619" spans="3:15" x14ac:dyDescent="0.3">
      <c r="C619" s="16"/>
      <c r="D619" s="16"/>
      <c r="J619" s="16"/>
      <c r="O619" s="16"/>
    </row>
    <row r="620" spans="3:15" x14ac:dyDescent="0.3">
      <c r="C620" s="16"/>
      <c r="D620" s="16"/>
      <c r="J620" s="16"/>
      <c r="O620" s="16"/>
    </row>
    <row r="621" spans="3:15" x14ac:dyDescent="0.3">
      <c r="C621" s="16"/>
      <c r="D621" s="16"/>
      <c r="J621" s="16"/>
      <c r="O621" s="16"/>
    </row>
    <row r="622" spans="3:15" x14ac:dyDescent="0.3">
      <c r="C622" s="16"/>
      <c r="D622" s="16"/>
      <c r="J622" s="16"/>
      <c r="O622" s="16"/>
    </row>
    <row r="623" spans="3:15" x14ac:dyDescent="0.3">
      <c r="C623" s="16"/>
      <c r="D623" s="16"/>
      <c r="J623" s="16"/>
      <c r="O623" s="16"/>
    </row>
    <row r="624" spans="3:15" x14ac:dyDescent="0.3">
      <c r="C624" s="16"/>
      <c r="D624" s="16"/>
      <c r="J624" s="16"/>
      <c r="O624" s="16"/>
    </row>
    <row r="625" spans="3:15" x14ac:dyDescent="0.3">
      <c r="C625" s="16"/>
      <c r="D625" s="16"/>
      <c r="J625" s="16"/>
      <c r="O625" s="16"/>
    </row>
    <row r="626" spans="3:15" x14ac:dyDescent="0.3">
      <c r="C626" s="16"/>
      <c r="D626" s="16"/>
      <c r="J626" s="16"/>
      <c r="O626" s="16"/>
    </row>
    <row r="627" spans="3:15" x14ac:dyDescent="0.3">
      <c r="C627" s="16"/>
      <c r="D627" s="16"/>
      <c r="J627" s="16"/>
      <c r="O627" s="16"/>
    </row>
    <row r="628" spans="3:15" x14ac:dyDescent="0.3">
      <c r="C628" s="16"/>
      <c r="D628" s="16"/>
      <c r="J628" s="16"/>
      <c r="O628" s="16"/>
    </row>
    <row r="629" spans="3:15" x14ac:dyDescent="0.3">
      <c r="C629" s="16"/>
      <c r="D629" s="16"/>
      <c r="J629" s="16"/>
      <c r="O629" s="16"/>
    </row>
    <row r="630" spans="3:15" x14ac:dyDescent="0.3">
      <c r="C630" s="16"/>
      <c r="D630" s="16"/>
      <c r="J630" s="16"/>
      <c r="O630" s="16"/>
    </row>
    <row r="631" spans="3:15" x14ac:dyDescent="0.3">
      <c r="C631" s="16"/>
      <c r="D631" s="16"/>
      <c r="J631" s="16"/>
      <c r="O631" s="16"/>
    </row>
    <row r="632" spans="3:15" x14ac:dyDescent="0.3">
      <c r="C632" s="16"/>
      <c r="D632" s="16"/>
      <c r="J632" s="16"/>
      <c r="O632" s="16"/>
    </row>
    <row r="633" spans="3:15" x14ac:dyDescent="0.3">
      <c r="C633" s="16"/>
      <c r="D633" s="16"/>
      <c r="J633" s="16"/>
      <c r="O633" s="16"/>
    </row>
    <row r="634" spans="3:15" x14ac:dyDescent="0.3">
      <c r="C634" s="16"/>
      <c r="D634" s="16"/>
      <c r="J634" s="16"/>
      <c r="O634" s="16"/>
    </row>
    <row r="635" spans="3:15" x14ac:dyDescent="0.3">
      <c r="C635" s="16"/>
      <c r="D635" s="16"/>
      <c r="J635" s="16"/>
      <c r="O635" s="16"/>
    </row>
    <row r="636" spans="3:15" x14ac:dyDescent="0.3">
      <c r="C636" s="16"/>
      <c r="D636" s="16"/>
      <c r="J636" s="16"/>
      <c r="O636" s="16"/>
    </row>
    <row r="637" spans="3:15" x14ac:dyDescent="0.3">
      <c r="C637" s="16"/>
      <c r="D637" s="16"/>
      <c r="J637" s="16"/>
      <c r="O637" s="16"/>
    </row>
    <row r="638" spans="3:15" x14ac:dyDescent="0.3">
      <c r="C638" s="16"/>
      <c r="D638" s="16"/>
      <c r="J638" s="16"/>
      <c r="O638" s="16"/>
    </row>
    <row r="639" spans="3:15" x14ac:dyDescent="0.3">
      <c r="C639" s="16"/>
      <c r="D639" s="16"/>
      <c r="J639" s="16"/>
      <c r="O639" s="16"/>
    </row>
    <row r="640" spans="3:15" x14ac:dyDescent="0.3">
      <c r="C640" s="16"/>
      <c r="D640" s="16"/>
      <c r="J640" s="16"/>
      <c r="O640" s="16"/>
    </row>
    <row r="641" spans="3:15" x14ac:dyDescent="0.3">
      <c r="C641" s="16"/>
      <c r="D641" s="16"/>
      <c r="J641" s="16"/>
      <c r="O641" s="16"/>
    </row>
    <row r="642" spans="3:15" x14ac:dyDescent="0.3">
      <c r="C642" s="16"/>
      <c r="D642" s="16"/>
      <c r="J642" s="16"/>
      <c r="O642" s="16"/>
    </row>
    <row r="643" spans="3:15" x14ac:dyDescent="0.3">
      <c r="C643" s="16"/>
      <c r="D643" s="16"/>
      <c r="J643" s="16"/>
      <c r="O643" s="16"/>
    </row>
    <row r="644" spans="3:15" x14ac:dyDescent="0.3">
      <c r="C644" s="16"/>
      <c r="D644" s="16"/>
      <c r="J644" s="16"/>
      <c r="O644" s="16"/>
    </row>
    <row r="645" spans="3:15" x14ac:dyDescent="0.3">
      <c r="C645" s="16"/>
      <c r="D645" s="16"/>
      <c r="J645" s="16"/>
      <c r="O645" s="16"/>
    </row>
    <row r="646" spans="3:15" x14ac:dyDescent="0.3">
      <c r="C646" s="16"/>
      <c r="D646" s="16"/>
      <c r="J646" s="16"/>
      <c r="O646" s="16"/>
    </row>
    <row r="647" spans="3:15" x14ac:dyDescent="0.3">
      <c r="C647" s="16"/>
      <c r="D647" s="16"/>
      <c r="J647" s="16"/>
      <c r="O647" s="16"/>
    </row>
    <row r="648" spans="3:15" x14ac:dyDescent="0.3">
      <c r="C648" s="16"/>
      <c r="D648" s="16"/>
      <c r="J648" s="16"/>
      <c r="O648" s="16"/>
    </row>
    <row r="649" spans="3:15" x14ac:dyDescent="0.3">
      <c r="C649" s="16"/>
      <c r="D649" s="16"/>
      <c r="J649" s="16"/>
      <c r="O649" s="16"/>
    </row>
    <row r="650" spans="3:15" x14ac:dyDescent="0.3">
      <c r="C650" s="16"/>
      <c r="D650" s="16"/>
      <c r="J650" s="16"/>
      <c r="O650" s="16"/>
    </row>
    <row r="651" spans="3:15" x14ac:dyDescent="0.3">
      <c r="C651" s="16"/>
      <c r="D651" s="16"/>
      <c r="J651" s="16"/>
      <c r="O651" s="16"/>
    </row>
    <row r="652" spans="3:15" x14ac:dyDescent="0.3">
      <c r="C652" s="16"/>
      <c r="D652" s="16"/>
      <c r="J652" s="16"/>
      <c r="O652" s="16"/>
    </row>
    <row r="653" spans="3:15" x14ac:dyDescent="0.3">
      <c r="C653" s="16"/>
      <c r="D653" s="16"/>
      <c r="J653" s="16"/>
      <c r="O653" s="16"/>
    </row>
    <row r="654" spans="3:15" x14ac:dyDescent="0.3">
      <c r="C654" s="16"/>
      <c r="D654" s="16"/>
      <c r="J654" s="16"/>
      <c r="O654" s="16"/>
    </row>
    <row r="655" spans="3:15" x14ac:dyDescent="0.3">
      <c r="C655" s="16"/>
      <c r="D655" s="16"/>
      <c r="J655" s="16"/>
      <c r="O655" s="16"/>
    </row>
    <row r="656" spans="3:15" x14ac:dyDescent="0.3">
      <c r="C656" s="16"/>
      <c r="D656" s="16"/>
      <c r="J656" s="16"/>
      <c r="O656" s="16"/>
    </row>
    <row r="657" spans="3:15" x14ac:dyDescent="0.3">
      <c r="C657" s="16"/>
      <c r="D657" s="16"/>
      <c r="J657" s="16"/>
      <c r="O657" s="16"/>
    </row>
    <row r="658" spans="3:15" x14ac:dyDescent="0.3">
      <c r="C658" s="16"/>
      <c r="D658" s="16"/>
      <c r="J658" s="16"/>
      <c r="O658" s="16"/>
    </row>
    <row r="659" spans="3:15" x14ac:dyDescent="0.3">
      <c r="C659" s="16"/>
      <c r="D659" s="16"/>
      <c r="J659" s="16"/>
      <c r="O659" s="16"/>
    </row>
    <row r="660" spans="3:15" x14ac:dyDescent="0.3">
      <c r="C660" s="16"/>
      <c r="D660" s="16"/>
      <c r="J660" s="16"/>
      <c r="O660" s="16"/>
    </row>
    <row r="661" spans="3:15" x14ac:dyDescent="0.3">
      <c r="C661" s="16"/>
      <c r="D661" s="16"/>
      <c r="J661" s="16"/>
      <c r="O661" s="16"/>
    </row>
    <row r="662" spans="3:15" x14ac:dyDescent="0.3">
      <c r="C662" s="16"/>
      <c r="D662" s="16"/>
      <c r="J662" s="16"/>
      <c r="O662" s="16"/>
    </row>
    <row r="663" spans="3:15" x14ac:dyDescent="0.3">
      <c r="C663" s="16"/>
      <c r="D663" s="16"/>
      <c r="J663" s="16"/>
      <c r="O663" s="16"/>
    </row>
    <row r="664" spans="3:15" x14ac:dyDescent="0.3">
      <c r="C664" s="16"/>
      <c r="D664" s="16"/>
      <c r="J664" s="16"/>
      <c r="O664" s="16"/>
    </row>
    <row r="665" spans="3:15" x14ac:dyDescent="0.3">
      <c r="C665" s="16"/>
      <c r="D665" s="16"/>
      <c r="J665" s="16"/>
      <c r="O665" s="16"/>
    </row>
    <row r="666" spans="3:15" x14ac:dyDescent="0.3">
      <c r="C666" s="16"/>
      <c r="D666" s="16"/>
      <c r="J666" s="16"/>
      <c r="O666" s="16"/>
    </row>
    <row r="667" spans="3:15" x14ac:dyDescent="0.3">
      <c r="C667" s="16"/>
      <c r="D667" s="16"/>
      <c r="J667" s="16"/>
      <c r="O667" s="16"/>
    </row>
    <row r="668" spans="3:15" x14ac:dyDescent="0.3">
      <c r="C668" s="16"/>
      <c r="D668" s="16"/>
      <c r="J668" s="16"/>
      <c r="O668" s="16"/>
    </row>
    <row r="669" spans="3:15" x14ac:dyDescent="0.3">
      <c r="C669" s="16"/>
      <c r="D669" s="16"/>
      <c r="J669" s="16"/>
      <c r="O669" s="16"/>
    </row>
    <row r="670" spans="3:15" x14ac:dyDescent="0.3">
      <c r="C670" s="16"/>
      <c r="D670" s="16"/>
      <c r="J670" s="16"/>
      <c r="O670" s="16"/>
    </row>
    <row r="671" spans="3:15" x14ac:dyDescent="0.3">
      <c r="C671" s="16"/>
      <c r="D671" s="16"/>
      <c r="J671" s="16"/>
      <c r="O671" s="16"/>
    </row>
    <row r="672" spans="3:15" x14ac:dyDescent="0.3">
      <c r="C672" s="16"/>
      <c r="D672" s="16"/>
      <c r="J672" s="16"/>
      <c r="O672" s="16"/>
    </row>
    <row r="673" spans="3:15" x14ac:dyDescent="0.3">
      <c r="C673" s="16"/>
      <c r="D673" s="16"/>
      <c r="J673" s="16"/>
      <c r="O673" s="16"/>
    </row>
    <row r="674" spans="3:15" x14ac:dyDescent="0.3">
      <c r="C674" s="16"/>
      <c r="D674" s="16"/>
      <c r="J674" s="16"/>
      <c r="O674" s="16"/>
    </row>
    <row r="675" spans="3:15" x14ac:dyDescent="0.3">
      <c r="C675" s="16"/>
      <c r="D675" s="16"/>
      <c r="J675" s="16"/>
      <c r="O675" s="16"/>
    </row>
    <row r="676" spans="3:15" x14ac:dyDescent="0.3">
      <c r="C676" s="16"/>
      <c r="D676" s="16"/>
      <c r="J676" s="16"/>
      <c r="O676" s="16"/>
    </row>
    <row r="677" spans="3:15" x14ac:dyDescent="0.3">
      <c r="C677" s="16"/>
      <c r="D677" s="16"/>
      <c r="J677" s="16"/>
      <c r="O677" s="16"/>
    </row>
    <row r="678" spans="3:15" x14ac:dyDescent="0.3">
      <c r="C678" s="16"/>
      <c r="D678" s="16"/>
      <c r="J678" s="16"/>
      <c r="O678" s="16"/>
    </row>
    <row r="679" spans="3:15" x14ac:dyDescent="0.3">
      <c r="C679" s="16"/>
      <c r="D679" s="16"/>
      <c r="J679" s="16"/>
      <c r="O679" s="16"/>
    </row>
    <row r="680" spans="3:15" x14ac:dyDescent="0.3">
      <c r="C680" s="16"/>
      <c r="D680" s="16"/>
      <c r="J680" s="16"/>
      <c r="O680" s="16"/>
    </row>
    <row r="681" spans="3:15" x14ac:dyDescent="0.3">
      <c r="C681" s="16"/>
      <c r="D681" s="16"/>
      <c r="J681" s="16"/>
      <c r="O681" s="16"/>
    </row>
    <row r="682" spans="3:15" x14ac:dyDescent="0.3">
      <c r="C682" s="16"/>
      <c r="D682" s="16"/>
      <c r="J682" s="16"/>
      <c r="O682" s="16"/>
    </row>
    <row r="683" spans="3:15" x14ac:dyDescent="0.3">
      <c r="C683" s="16"/>
      <c r="D683" s="16"/>
      <c r="J683" s="16"/>
      <c r="O683" s="16"/>
    </row>
    <row r="684" spans="3:15" x14ac:dyDescent="0.3">
      <c r="C684" s="16"/>
      <c r="D684" s="16"/>
      <c r="J684" s="16"/>
      <c r="O684" s="16"/>
    </row>
    <row r="685" spans="3:15" x14ac:dyDescent="0.3">
      <c r="C685" s="16"/>
      <c r="D685" s="16"/>
      <c r="J685" s="16"/>
      <c r="O685" s="16"/>
    </row>
    <row r="686" spans="3:15" x14ac:dyDescent="0.3">
      <c r="C686" s="16"/>
      <c r="D686" s="16"/>
      <c r="J686" s="16"/>
      <c r="O686" s="16"/>
    </row>
    <row r="687" spans="3:15" x14ac:dyDescent="0.3">
      <c r="C687" s="16"/>
      <c r="D687" s="16"/>
      <c r="J687" s="16"/>
      <c r="O687" s="16"/>
    </row>
    <row r="688" spans="3:15" x14ac:dyDescent="0.3">
      <c r="C688" s="16"/>
      <c r="D688" s="16"/>
      <c r="J688" s="16"/>
      <c r="O688" s="16"/>
    </row>
    <row r="689" spans="3:15" x14ac:dyDescent="0.3">
      <c r="C689" s="16"/>
      <c r="D689" s="16"/>
      <c r="J689" s="16"/>
      <c r="O689" s="16"/>
    </row>
    <row r="690" spans="3:15" x14ac:dyDescent="0.3">
      <c r="C690" s="16"/>
      <c r="D690" s="16"/>
      <c r="J690" s="16"/>
      <c r="O690" s="16"/>
    </row>
    <row r="691" spans="3:15" x14ac:dyDescent="0.3">
      <c r="C691" s="16"/>
      <c r="D691" s="16"/>
      <c r="J691" s="16"/>
      <c r="O691" s="16"/>
    </row>
    <row r="692" spans="3:15" x14ac:dyDescent="0.3">
      <c r="C692" s="16"/>
      <c r="D692" s="16"/>
      <c r="J692" s="16"/>
      <c r="O692" s="16"/>
    </row>
    <row r="693" spans="3:15" x14ac:dyDescent="0.3">
      <c r="C693" s="16"/>
      <c r="D693" s="16"/>
      <c r="J693" s="16"/>
      <c r="O693" s="16"/>
    </row>
    <row r="694" spans="3:15" x14ac:dyDescent="0.3">
      <c r="C694" s="16"/>
      <c r="D694" s="16"/>
      <c r="J694" s="16"/>
      <c r="O694" s="16"/>
    </row>
    <row r="695" spans="3:15" x14ac:dyDescent="0.3">
      <c r="C695" s="16"/>
      <c r="D695" s="16"/>
      <c r="J695" s="16"/>
      <c r="O695" s="16"/>
    </row>
    <row r="696" spans="3:15" x14ac:dyDescent="0.3">
      <c r="C696" s="16"/>
      <c r="D696" s="16"/>
      <c r="J696" s="16"/>
      <c r="O696" s="16"/>
    </row>
    <row r="697" spans="3:15" x14ac:dyDescent="0.3">
      <c r="C697" s="16"/>
      <c r="D697" s="16"/>
      <c r="J697" s="16"/>
      <c r="O697" s="16"/>
    </row>
    <row r="698" spans="3:15" x14ac:dyDescent="0.3">
      <c r="C698" s="16"/>
      <c r="D698" s="16"/>
      <c r="J698" s="16"/>
      <c r="O698" s="16"/>
    </row>
    <row r="699" spans="3:15" x14ac:dyDescent="0.3">
      <c r="C699" s="16"/>
      <c r="D699" s="16"/>
      <c r="J699" s="16"/>
      <c r="O699" s="16"/>
    </row>
    <row r="700" spans="3:15" x14ac:dyDescent="0.3">
      <c r="C700" s="16"/>
      <c r="D700" s="16"/>
      <c r="J700" s="16"/>
      <c r="O700" s="16"/>
    </row>
    <row r="701" spans="3:15" x14ac:dyDescent="0.3">
      <c r="C701" s="16"/>
      <c r="D701" s="16"/>
      <c r="J701" s="16"/>
      <c r="O701" s="16"/>
    </row>
    <row r="702" spans="3:15" x14ac:dyDescent="0.3">
      <c r="C702" s="16"/>
      <c r="D702" s="16"/>
      <c r="J702" s="16"/>
      <c r="O702" s="16"/>
    </row>
    <row r="703" spans="3:15" x14ac:dyDescent="0.3">
      <c r="C703" s="16"/>
      <c r="D703" s="16"/>
      <c r="J703" s="16"/>
      <c r="O703" s="16"/>
    </row>
    <row r="704" spans="3:15" x14ac:dyDescent="0.3">
      <c r="C704" s="16"/>
      <c r="D704" s="16"/>
      <c r="J704" s="16"/>
      <c r="O704" s="16"/>
    </row>
    <row r="705" spans="3:15" x14ac:dyDescent="0.3">
      <c r="C705" s="16"/>
      <c r="D705" s="16"/>
      <c r="J705" s="16"/>
      <c r="O705" s="16"/>
    </row>
    <row r="706" spans="3:15" x14ac:dyDescent="0.3">
      <c r="C706" s="16"/>
      <c r="D706" s="16"/>
      <c r="J706" s="16"/>
      <c r="O706" s="16"/>
    </row>
    <row r="707" spans="3:15" x14ac:dyDescent="0.3">
      <c r="C707" s="16"/>
      <c r="D707" s="16"/>
      <c r="J707" s="16"/>
      <c r="O707" s="16"/>
    </row>
    <row r="708" spans="3:15" x14ac:dyDescent="0.3">
      <c r="C708" s="16"/>
      <c r="D708" s="16"/>
      <c r="J708" s="16"/>
      <c r="O708" s="16"/>
    </row>
    <row r="709" spans="3:15" x14ac:dyDescent="0.3">
      <c r="C709" s="16"/>
      <c r="D709" s="16"/>
      <c r="J709" s="16"/>
      <c r="O709" s="16"/>
    </row>
    <row r="710" spans="3:15" x14ac:dyDescent="0.3">
      <c r="C710" s="16"/>
      <c r="D710" s="16"/>
      <c r="J710" s="16"/>
      <c r="O710" s="16"/>
    </row>
    <row r="711" spans="3:15" x14ac:dyDescent="0.3">
      <c r="C711" s="16"/>
      <c r="D711" s="16"/>
      <c r="J711" s="16"/>
      <c r="O711" s="16"/>
    </row>
    <row r="712" spans="3:15" x14ac:dyDescent="0.3">
      <c r="C712" s="16"/>
      <c r="D712" s="16"/>
      <c r="J712" s="16"/>
      <c r="O712" s="16"/>
    </row>
    <row r="713" spans="3:15" x14ac:dyDescent="0.3">
      <c r="C713" s="16"/>
      <c r="D713" s="16"/>
      <c r="J713" s="16"/>
      <c r="O713" s="16"/>
    </row>
    <row r="714" spans="3:15" x14ac:dyDescent="0.3">
      <c r="C714" s="16"/>
      <c r="D714" s="16"/>
      <c r="J714" s="16"/>
      <c r="O714" s="16"/>
    </row>
    <row r="715" spans="3:15" x14ac:dyDescent="0.3">
      <c r="C715" s="16"/>
      <c r="D715" s="16"/>
      <c r="J715" s="16"/>
      <c r="O715" s="16"/>
    </row>
    <row r="716" spans="3:15" x14ac:dyDescent="0.3">
      <c r="C716" s="16"/>
      <c r="D716" s="16"/>
      <c r="J716" s="16"/>
      <c r="O716" s="16"/>
    </row>
    <row r="717" spans="3:15" x14ac:dyDescent="0.3">
      <c r="C717" s="16"/>
      <c r="D717" s="16"/>
      <c r="J717" s="16"/>
      <c r="O717" s="16"/>
    </row>
    <row r="718" spans="3:15" x14ac:dyDescent="0.3">
      <c r="C718" s="16"/>
      <c r="D718" s="16"/>
      <c r="J718" s="16"/>
      <c r="O718" s="16"/>
    </row>
    <row r="719" spans="3:15" x14ac:dyDescent="0.3">
      <c r="C719" s="16"/>
      <c r="D719" s="16"/>
      <c r="J719" s="16"/>
      <c r="O719" s="16"/>
    </row>
    <row r="720" spans="3:15" x14ac:dyDescent="0.3">
      <c r="C720" s="16"/>
      <c r="D720" s="16"/>
      <c r="J720" s="16"/>
      <c r="O720" s="16"/>
    </row>
    <row r="721" spans="3:15" x14ac:dyDescent="0.3">
      <c r="C721" s="16"/>
      <c r="D721" s="16"/>
      <c r="J721" s="16"/>
      <c r="O721" s="16"/>
    </row>
    <row r="722" spans="3:15" x14ac:dyDescent="0.3">
      <c r="C722" s="16"/>
      <c r="D722" s="16"/>
      <c r="J722" s="16"/>
      <c r="O722" s="16"/>
    </row>
    <row r="723" spans="3:15" x14ac:dyDescent="0.3">
      <c r="C723" s="16"/>
      <c r="D723" s="16"/>
      <c r="J723" s="16"/>
      <c r="O723" s="16"/>
    </row>
    <row r="724" spans="3:15" x14ac:dyDescent="0.3">
      <c r="C724" s="16"/>
      <c r="D724" s="16"/>
      <c r="J724" s="16"/>
      <c r="O724" s="16"/>
    </row>
    <row r="725" spans="3:15" x14ac:dyDescent="0.3">
      <c r="C725" s="16"/>
      <c r="D725" s="16"/>
      <c r="J725" s="16"/>
      <c r="O725" s="16"/>
    </row>
    <row r="726" spans="3:15" x14ac:dyDescent="0.3">
      <c r="C726" s="16"/>
      <c r="D726" s="16"/>
      <c r="J726" s="16"/>
      <c r="O726" s="16"/>
    </row>
    <row r="727" spans="3:15" x14ac:dyDescent="0.3">
      <c r="C727" s="16"/>
      <c r="D727" s="16"/>
      <c r="J727" s="16"/>
      <c r="O727" s="16"/>
    </row>
    <row r="728" spans="3:15" x14ac:dyDescent="0.3">
      <c r="C728" s="16"/>
      <c r="D728" s="16"/>
      <c r="J728" s="16"/>
      <c r="O728" s="16"/>
    </row>
    <row r="729" spans="3:15" x14ac:dyDescent="0.3">
      <c r="C729" s="16"/>
      <c r="D729" s="16"/>
      <c r="J729" s="16"/>
      <c r="O729" s="16"/>
    </row>
    <row r="730" spans="3:15" x14ac:dyDescent="0.3">
      <c r="C730" s="16"/>
      <c r="D730" s="16"/>
      <c r="J730" s="16"/>
      <c r="O730" s="16"/>
    </row>
    <row r="731" spans="3:15" x14ac:dyDescent="0.3">
      <c r="C731" s="16"/>
      <c r="D731" s="16"/>
      <c r="J731" s="16"/>
      <c r="O731" s="16"/>
    </row>
    <row r="732" spans="3:15" x14ac:dyDescent="0.3">
      <c r="C732" s="16"/>
      <c r="D732" s="16"/>
      <c r="J732" s="16"/>
      <c r="O732" s="16"/>
    </row>
    <row r="733" spans="3:15" x14ac:dyDescent="0.3">
      <c r="C733" s="16"/>
      <c r="D733" s="16"/>
      <c r="J733" s="16"/>
      <c r="O733" s="16"/>
    </row>
    <row r="734" spans="3:15" x14ac:dyDescent="0.3">
      <c r="C734" s="16"/>
      <c r="D734" s="16"/>
      <c r="J734" s="16"/>
      <c r="O734" s="16"/>
    </row>
    <row r="735" spans="3:15" x14ac:dyDescent="0.3">
      <c r="C735" s="16"/>
      <c r="D735" s="16"/>
      <c r="J735" s="16"/>
      <c r="O735" s="16"/>
    </row>
    <row r="736" spans="3:15" x14ac:dyDescent="0.3">
      <c r="C736" s="16"/>
      <c r="D736" s="16"/>
      <c r="J736" s="16"/>
      <c r="O736" s="16"/>
    </row>
    <row r="737" spans="3:15" x14ac:dyDescent="0.3">
      <c r="C737" s="16"/>
      <c r="D737" s="16"/>
      <c r="J737" s="16"/>
      <c r="O737" s="16"/>
    </row>
    <row r="738" spans="3:15" x14ac:dyDescent="0.3">
      <c r="C738" s="16"/>
      <c r="D738" s="16"/>
      <c r="J738" s="16"/>
      <c r="O738" s="16"/>
    </row>
    <row r="739" spans="3:15" x14ac:dyDescent="0.3">
      <c r="C739" s="16"/>
      <c r="D739" s="16"/>
      <c r="J739" s="16"/>
      <c r="O739" s="16"/>
    </row>
    <row r="740" spans="3:15" x14ac:dyDescent="0.3">
      <c r="C740" s="16"/>
      <c r="D740" s="16"/>
      <c r="J740" s="16"/>
      <c r="O740" s="16"/>
    </row>
    <row r="741" spans="3:15" x14ac:dyDescent="0.3">
      <c r="C741" s="16"/>
      <c r="D741" s="16"/>
      <c r="J741" s="16"/>
      <c r="O741" s="16"/>
    </row>
    <row r="742" spans="3:15" x14ac:dyDescent="0.3">
      <c r="C742" s="16"/>
      <c r="D742" s="16"/>
      <c r="J742" s="16"/>
      <c r="O742" s="16"/>
    </row>
    <row r="743" spans="3:15" x14ac:dyDescent="0.3">
      <c r="C743" s="16"/>
      <c r="D743" s="16"/>
      <c r="J743" s="16"/>
      <c r="O743" s="16"/>
    </row>
    <row r="744" spans="3:15" x14ac:dyDescent="0.3">
      <c r="C744" s="16"/>
      <c r="D744" s="16"/>
      <c r="J744" s="16"/>
      <c r="O744" s="16"/>
    </row>
    <row r="745" spans="3:15" x14ac:dyDescent="0.3">
      <c r="C745" s="16"/>
      <c r="D745" s="16"/>
      <c r="J745" s="16"/>
      <c r="O745" s="16"/>
    </row>
    <row r="746" spans="3:15" x14ac:dyDescent="0.3">
      <c r="C746" s="16"/>
      <c r="D746" s="16"/>
      <c r="J746" s="16"/>
      <c r="O746" s="16"/>
    </row>
    <row r="747" spans="3:15" x14ac:dyDescent="0.3">
      <c r="C747" s="16"/>
      <c r="D747" s="16"/>
      <c r="J747" s="16"/>
      <c r="O747" s="16"/>
    </row>
    <row r="748" spans="3:15" x14ac:dyDescent="0.3">
      <c r="C748" s="16"/>
      <c r="D748" s="16"/>
      <c r="J748" s="16"/>
      <c r="O748" s="16"/>
    </row>
    <row r="749" spans="3:15" x14ac:dyDescent="0.3">
      <c r="C749" s="16"/>
      <c r="D749" s="16"/>
      <c r="J749" s="16"/>
      <c r="O749" s="16"/>
    </row>
    <row r="750" spans="3:15" x14ac:dyDescent="0.3">
      <c r="C750" s="16"/>
      <c r="D750" s="16"/>
      <c r="J750" s="16"/>
      <c r="O750" s="16"/>
    </row>
    <row r="751" spans="3:15" x14ac:dyDescent="0.3">
      <c r="C751" s="16"/>
      <c r="D751" s="16"/>
      <c r="J751" s="16"/>
      <c r="O751" s="16"/>
    </row>
    <row r="752" spans="3:15" x14ac:dyDescent="0.3">
      <c r="C752" s="16"/>
      <c r="D752" s="16"/>
      <c r="J752" s="16"/>
      <c r="O752" s="16"/>
    </row>
    <row r="753" spans="3:15" x14ac:dyDescent="0.3">
      <c r="C753" s="16"/>
      <c r="D753" s="16"/>
      <c r="J753" s="16"/>
      <c r="O753" s="16"/>
    </row>
    <row r="754" spans="3:15" x14ac:dyDescent="0.3">
      <c r="C754" s="16"/>
      <c r="D754" s="16"/>
      <c r="J754" s="16"/>
      <c r="O754" s="16"/>
    </row>
    <row r="755" spans="3:15" x14ac:dyDescent="0.3">
      <c r="C755" s="16"/>
      <c r="D755" s="16"/>
      <c r="J755" s="16"/>
      <c r="O755" s="16"/>
    </row>
    <row r="756" spans="3:15" x14ac:dyDescent="0.3">
      <c r="C756" s="16"/>
      <c r="D756" s="16"/>
      <c r="J756" s="16"/>
      <c r="O756" s="16"/>
    </row>
    <row r="757" spans="3:15" x14ac:dyDescent="0.3">
      <c r="C757" s="16"/>
      <c r="D757" s="16"/>
      <c r="J757" s="16"/>
      <c r="O757" s="16"/>
    </row>
    <row r="758" spans="3:15" x14ac:dyDescent="0.3">
      <c r="C758" s="16"/>
      <c r="D758" s="16"/>
      <c r="J758" s="16"/>
      <c r="O758" s="16"/>
    </row>
    <row r="759" spans="3:15" x14ac:dyDescent="0.3">
      <c r="C759" s="16"/>
      <c r="D759" s="16"/>
      <c r="J759" s="16"/>
      <c r="O759" s="16"/>
    </row>
    <row r="760" spans="3:15" x14ac:dyDescent="0.3">
      <c r="C760" s="16"/>
      <c r="D760" s="16"/>
      <c r="J760" s="16"/>
      <c r="O760" s="16"/>
    </row>
    <row r="761" spans="3:15" x14ac:dyDescent="0.3">
      <c r="C761" s="16"/>
      <c r="D761" s="16"/>
      <c r="J761" s="16"/>
      <c r="O761" s="16"/>
    </row>
    <row r="762" spans="3:15" x14ac:dyDescent="0.3">
      <c r="C762" s="16"/>
      <c r="D762" s="16"/>
      <c r="J762" s="16"/>
      <c r="O762" s="16"/>
    </row>
    <row r="763" spans="3:15" x14ac:dyDescent="0.3">
      <c r="C763" s="16"/>
      <c r="D763" s="16"/>
      <c r="J763" s="16"/>
      <c r="O763" s="16"/>
    </row>
    <row r="764" spans="3:15" x14ac:dyDescent="0.3">
      <c r="C764" s="16"/>
      <c r="D764" s="16"/>
      <c r="J764" s="16"/>
      <c r="O764" s="16"/>
    </row>
    <row r="765" spans="3:15" x14ac:dyDescent="0.3">
      <c r="C765" s="16"/>
      <c r="D765" s="16"/>
      <c r="J765" s="16"/>
      <c r="O765" s="16"/>
    </row>
    <row r="766" spans="3:15" x14ac:dyDescent="0.3">
      <c r="C766" s="16"/>
      <c r="D766" s="16"/>
      <c r="J766" s="16"/>
      <c r="O766" s="16"/>
    </row>
    <row r="767" spans="3:15" x14ac:dyDescent="0.3">
      <c r="C767" s="16"/>
      <c r="D767" s="16"/>
      <c r="J767" s="16"/>
      <c r="O767" s="16"/>
    </row>
    <row r="768" spans="3:15" x14ac:dyDescent="0.3">
      <c r="C768" s="16"/>
      <c r="D768" s="16"/>
      <c r="J768" s="16"/>
      <c r="O768" s="16"/>
    </row>
    <row r="769" spans="3:15" x14ac:dyDescent="0.3">
      <c r="C769" s="16"/>
      <c r="D769" s="16"/>
      <c r="J769" s="16"/>
      <c r="O769" s="16"/>
    </row>
    <row r="770" spans="3:15" x14ac:dyDescent="0.3">
      <c r="C770" s="16"/>
      <c r="D770" s="16"/>
      <c r="J770" s="16"/>
      <c r="O770" s="16"/>
    </row>
    <row r="771" spans="3:15" x14ac:dyDescent="0.3">
      <c r="C771" s="16"/>
      <c r="D771" s="16"/>
      <c r="J771" s="16"/>
      <c r="O771" s="16"/>
    </row>
    <row r="772" spans="3:15" x14ac:dyDescent="0.3">
      <c r="C772" s="16"/>
      <c r="D772" s="16"/>
      <c r="J772" s="16"/>
      <c r="O772" s="16"/>
    </row>
    <row r="773" spans="3:15" x14ac:dyDescent="0.3">
      <c r="C773" s="16"/>
      <c r="D773" s="16"/>
      <c r="J773" s="16"/>
      <c r="O773" s="16"/>
    </row>
    <row r="774" spans="3:15" x14ac:dyDescent="0.3">
      <c r="C774" s="16"/>
      <c r="D774" s="16"/>
      <c r="J774" s="16"/>
      <c r="O774" s="16"/>
    </row>
    <row r="775" spans="3:15" x14ac:dyDescent="0.3">
      <c r="C775" s="16"/>
      <c r="D775" s="16"/>
      <c r="J775" s="16"/>
      <c r="O775" s="16"/>
    </row>
    <row r="776" spans="3:15" x14ac:dyDescent="0.3">
      <c r="C776" s="16"/>
      <c r="D776" s="16"/>
      <c r="J776" s="16"/>
      <c r="O776" s="16"/>
    </row>
    <row r="777" spans="3:15" x14ac:dyDescent="0.3">
      <c r="C777" s="16"/>
      <c r="D777" s="16"/>
      <c r="J777" s="16"/>
      <c r="O777" s="16"/>
    </row>
    <row r="778" spans="3:15" x14ac:dyDescent="0.3">
      <c r="C778" s="16"/>
      <c r="D778" s="16"/>
      <c r="J778" s="16"/>
      <c r="O778" s="16"/>
    </row>
    <row r="779" spans="3:15" x14ac:dyDescent="0.3">
      <c r="C779" s="16"/>
      <c r="D779" s="16"/>
      <c r="J779" s="16"/>
      <c r="O779" s="16"/>
    </row>
    <row r="780" spans="3:15" x14ac:dyDescent="0.3">
      <c r="C780" s="16"/>
      <c r="D780" s="16"/>
      <c r="J780" s="16"/>
      <c r="O780" s="16"/>
    </row>
    <row r="781" spans="3:15" x14ac:dyDescent="0.3">
      <c r="C781" s="16"/>
      <c r="D781" s="16"/>
      <c r="J781" s="16"/>
      <c r="O781" s="16"/>
    </row>
    <row r="782" spans="3:15" x14ac:dyDescent="0.3">
      <c r="C782" s="16"/>
      <c r="D782" s="16"/>
      <c r="J782" s="16"/>
      <c r="O782" s="16"/>
    </row>
    <row r="783" spans="3:15" x14ac:dyDescent="0.3">
      <c r="C783" s="16"/>
      <c r="D783" s="16"/>
      <c r="J783" s="16"/>
      <c r="O783" s="16"/>
    </row>
    <row r="784" spans="3:15" x14ac:dyDescent="0.3">
      <c r="C784" s="16"/>
      <c r="D784" s="16"/>
      <c r="J784" s="16"/>
      <c r="O784" s="16"/>
    </row>
    <row r="785" spans="3:15" x14ac:dyDescent="0.3">
      <c r="C785" s="16"/>
      <c r="D785" s="16"/>
      <c r="J785" s="16"/>
      <c r="O785" s="16"/>
    </row>
    <row r="786" spans="3:15" x14ac:dyDescent="0.3">
      <c r="C786" s="16"/>
      <c r="D786" s="16"/>
      <c r="J786" s="16"/>
      <c r="O786" s="16"/>
    </row>
    <row r="787" spans="3:15" x14ac:dyDescent="0.3">
      <c r="C787" s="16"/>
      <c r="D787" s="16"/>
      <c r="J787" s="16"/>
      <c r="O787" s="16"/>
    </row>
    <row r="788" spans="3:15" x14ac:dyDescent="0.3">
      <c r="C788" s="16"/>
      <c r="D788" s="16"/>
      <c r="J788" s="16"/>
      <c r="O788" s="16"/>
    </row>
    <row r="789" spans="3:15" x14ac:dyDescent="0.3">
      <c r="C789" s="16"/>
      <c r="D789" s="16"/>
      <c r="J789" s="16"/>
      <c r="O789" s="16"/>
    </row>
    <row r="790" spans="3:15" x14ac:dyDescent="0.3">
      <c r="C790" s="16"/>
      <c r="D790" s="16"/>
      <c r="J790" s="16"/>
      <c r="O790" s="16"/>
    </row>
    <row r="791" spans="3:15" x14ac:dyDescent="0.3">
      <c r="C791" s="16"/>
      <c r="D791" s="16"/>
      <c r="J791" s="16"/>
      <c r="O791" s="16"/>
    </row>
    <row r="792" spans="3:15" x14ac:dyDescent="0.3">
      <c r="C792" s="16"/>
      <c r="D792" s="16"/>
      <c r="J792" s="16"/>
      <c r="O792" s="16"/>
    </row>
    <row r="793" spans="3:15" x14ac:dyDescent="0.3">
      <c r="C793" s="16"/>
      <c r="D793" s="16"/>
      <c r="J793" s="16"/>
      <c r="O793" s="16"/>
    </row>
    <row r="794" spans="3:15" x14ac:dyDescent="0.3">
      <c r="C794" s="16"/>
      <c r="D794" s="16"/>
      <c r="J794" s="16"/>
      <c r="O794" s="16"/>
    </row>
    <row r="795" spans="3:15" x14ac:dyDescent="0.3">
      <c r="C795" s="16"/>
      <c r="D795" s="16"/>
      <c r="J795" s="16"/>
      <c r="O795" s="16"/>
    </row>
    <row r="796" spans="3:15" x14ac:dyDescent="0.3">
      <c r="C796" s="16"/>
      <c r="D796" s="16"/>
      <c r="J796" s="16"/>
      <c r="O796" s="16"/>
    </row>
    <row r="797" spans="3:15" x14ac:dyDescent="0.3">
      <c r="C797" s="16"/>
      <c r="D797" s="16"/>
      <c r="J797" s="16"/>
      <c r="O797" s="16"/>
    </row>
    <row r="798" spans="3:15" x14ac:dyDescent="0.3">
      <c r="C798" s="16"/>
      <c r="D798" s="16"/>
      <c r="J798" s="16"/>
      <c r="O798" s="16"/>
    </row>
    <row r="799" spans="3:15" x14ac:dyDescent="0.3">
      <c r="C799" s="16"/>
      <c r="D799" s="16"/>
      <c r="J799" s="16"/>
      <c r="O799" s="16"/>
    </row>
    <row r="800" spans="3:15" x14ac:dyDescent="0.3">
      <c r="C800" s="16"/>
      <c r="D800" s="16"/>
      <c r="J800" s="16"/>
      <c r="O800" s="16"/>
    </row>
    <row r="801" spans="3:15" x14ac:dyDescent="0.3">
      <c r="C801" s="16"/>
      <c r="D801" s="16"/>
      <c r="J801" s="16"/>
      <c r="O801" s="16"/>
    </row>
    <row r="802" spans="3:15" x14ac:dyDescent="0.3">
      <c r="C802" s="16"/>
      <c r="D802" s="16"/>
      <c r="J802" s="16"/>
      <c r="O802" s="16"/>
    </row>
    <row r="803" spans="3:15" x14ac:dyDescent="0.3">
      <c r="C803" s="16"/>
      <c r="D803" s="16"/>
      <c r="J803" s="16"/>
      <c r="O803" s="16"/>
    </row>
    <row r="804" spans="3:15" x14ac:dyDescent="0.3">
      <c r="C804" s="16"/>
      <c r="D804" s="16"/>
      <c r="J804" s="16"/>
      <c r="O804" s="16"/>
    </row>
    <row r="805" spans="3:15" x14ac:dyDescent="0.3">
      <c r="C805" s="16"/>
      <c r="D805" s="16"/>
      <c r="J805" s="16"/>
      <c r="O805" s="16"/>
    </row>
    <row r="806" spans="3:15" x14ac:dyDescent="0.3">
      <c r="C806" s="16"/>
      <c r="D806" s="16"/>
      <c r="J806" s="16"/>
      <c r="O806" s="16"/>
    </row>
    <row r="807" spans="3:15" x14ac:dyDescent="0.3">
      <c r="C807" s="16"/>
      <c r="D807" s="16"/>
      <c r="J807" s="16"/>
      <c r="O807" s="16"/>
    </row>
    <row r="808" spans="3:15" x14ac:dyDescent="0.3">
      <c r="C808" s="16"/>
      <c r="D808" s="16"/>
      <c r="J808" s="16"/>
      <c r="O808" s="16"/>
    </row>
    <row r="809" spans="3:15" x14ac:dyDescent="0.3">
      <c r="C809" s="16"/>
      <c r="D809" s="16"/>
      <c r="J809" s="16"/>
      <c r="O809" s="16"/>
    </row>
    <row r="810" spans="3:15" x14ac:dyDescent="0.3">
      <c r="C810" s="16"/>
      <c r="D810" s="16"/>
      <c r="J810" s="16"/>
      <c r="O810" s="16"/>
    </row>
    <row r="811" spans="3:15" x14ac:dyDescent="0.3">
      <c r="C811" s="16"/>
      <c r="D811" s="16"/>
      <c r="J811" s="16"/>
      <c r="O811" s="16"/>
    </row>
    <row r="812" spans="3:15" x14ac:dyDescent="0.3">
      <c r="C812" s="16"/>
      <c r="D812" s="16"/>
      <c r="J812" s="16"/>
      <c r="O812" s="16"/>
    </row>
    <row r="813" spans="3:15" x14ac:dyDescent="0.3">
      <c r="C813" s="16"/>
      <c r="D813" s="16"/>
      <c r="J813" s="16"/>
      <c r="O813" s="16"/>
    </row>
    <row r="814" spans="3:15" x14ac:dyDescent="0.3">
      <c r="C814" s="16"/>
      <c r="D814" s="16"/>
      <c r="J814" s="16"/>
      <c r="O814" s="16"/>
    </row>
    <row r="815" spans="3:15" x14ac:dyDescent="0.3">
      <c r="C815" s="16"/>
      <c r="D815" s="16"/>
      <c r="J815" s="16"/>
      <c r="O815" s="16"/>
    </row>
    <row r="816" spans="3:15" x14ac:dyDescent="0.3">
      <c r="C816" s="16"/>
      <c r="D816" s="16"/>
      <c r="J816" s="16"/>
      <c r="O816" s="16"/>
    </row>
    <row r="817" spans="3:15" x14ac:dyDescent="0.3">
      <c r="C817" s="16"/>
      <c r="D817" s="16"/>
      <c r="J817" s="16"/>
      <c r="O817" s="16"/>
    </row>
    <row r="818" spans="3:15" x14ac:dyDescent="0.3">
      <c r="C818" s="16"/>
      <c r="D818" s="16"/>
      <c r="J818" s="16"/>
      <c r="O818" s="16"/>
    </row>
    <row r="819" spans="3:15" x14ac:dyDescent="0.3">
      <c r="C819" s="16"/>
      <c r="D819" s="16"/>
      <c r="J819" s="16"/>
      <c r="O819" s="16"/>
    </row>
    <row r="820" spans="3:15" x14ac:dyDescent="0.3">
      <c r="C820" s="16"/>
      <c r="D820" s="16"/>
      <c r="J820" s="16"/>
      <c r="O820" s="16"/>
    </row>
    <row r="821" spans="3:15" x14ac:dyDescent="0.3">
      <c r="C821" s="16"/>
      <c r="D821" s="16"/>
      <c r="J821" s="16"/>
      <c r="O821" s="16"/>
    </row>
    <row r="822" spans="3:15" x14ac:dyDescent="0.3">
      <c r="C822" s="16"/>
      <c r="D822" s="16"/>
      <c r="J822" s="16"/>
      <c r="O822" s="16"/>
    </row>
    <row r="823" spans="3:15" x14ac:dyDescent="0.3">
      <c r="C823" s="16"/>
      <c r="D823" s="16"/>
      <c r="J823" s="16"/>
      <c r="O823" s="16"/>
    </row>
    <row r="824" spans="3:15" x14ac:dyDescent="0.3">
      <c r="C824" s="16"/>
      <c r="D824" s="16"/>
      <c r="J824" s="16"/>
      <c r="O824" s="16"/>
    </row>
    <row r="825" spans="3:15" x14ac:dyDescent="0.3">
      <c r="C825" s="16"/>
      <c r="D825" s="16"/>
      <c r="J825" s="16"/>
      <c r="O825" s="16"/>
    </row>
    <row r="826" spans="3:15" x14ac:dyDescent="0.3">
      <c r="C826" s="16"/>
      <c r="D826" s="16"/>
      <c r="J826" s="16"/>
      <c r="O826" s="16"/>
    </row>
    <row r="827" spans="3:15" x14ac:dyDescent="0.3">
      <c r="C827" s="16"/>
      <c r="D827" s="16"/>
      <c r="J827" s="16"/>
      <c r="O827" s="16"/>
    </row>
    <row r="828" spans="3:15" x14ac:dyDescent="0.3">
      <c r="C828" s="16"/>
      <c r="D828" s="16"/>
      <c r="J828" s="16"/>
      <c r="O828" s="16"/>
    </row>
    <row r="829" spans="3:15" x14ac:dyDescent="0.3">
      <c r="C829" s="16"/>
      <c r="D829" s="16"/>
      <c r="J829" s="16"/>
      <c r="O829" s="16"/>
    </row>
    <row r="830" spans="3:15" x14ac:dyDescent="0.3">
      <c r="C830" s="16"/>
      <c r="D830" s="16"/>
      <c r="J830" s="16"/>
      <c r="O830" s="16"/>
    </row>
    <row r="831" spans="3:15" x14ac:dyDescent="0.3">
      <c r="C831" s="16"/>
      <c r="D831" s="16"/>
      <c r="J831" s="16"/>
      <c r="O831" s="16"/>
    </row>
    <row r="832" spans="3:15" x14ac:dyDescent="0.3">
      <c r="C832" s="16"/>
      <c r="D832" s="16"/>
      <c r="J832" s="16"/>
      <c r="O832" s="16"/>
    </row>
    <row r="833" spans="3:15" x14ac:dyDescent="0.3">
      <c r="C833" s="16"/>
      <c r="D833" s="16"/>
      <c r="J833" s="16"/>
      <c r="O833" s="16"/>
    </row>
    <row r="834" spans="3:15" x14ac:dyDescent="0.3">
      <c r="C834" s="16"/>
      <c r="D834" s="16"/>
      <c r="J834" s="16"/>
      <c r="O834" s="16"/>
    </row>
    <row r="835" spans="3:15" x14ac:dyDescent="0.3">
      <c r="C835" s="16"/>
      <c r="D835" s="16"/>
      <c r="J835" s="16"/>
      <c r="O835" s="16"/>
    </row>
    <row r="836" spans="3:15" x14ac:dyDescent="0.3">
      <c r="C836" s="16"/>
      <c r="D836" s="16"/>
      <c r="J836" s="16"/>
      <c r="O836" s="16"/>
    </row>
    <row r="837" spans="3:15" x14ac:dyDescent="0.3">
      <c r="C837" s="16"/>
      <c r="D837" s="16"/>
      <c r="J837" s="16"/>
      <c r="O837" s="16"/>
    </row>
    <row r="838" spans="3:15" x14ac:dyDescent="0.3">
      <c r="C838" s="16"/>
      <c r="D838" s="16"/>
      <c r="J838" s="16"/>
      <c r="O838" s="16"/>
    </row>
    <row r="839" spans="3:15" x14ac:dyDescent="0.3">
      <c r="C839" s="16"/>
      <c r="D839" s="16"/>
      <c r="J839" s="16"/>
      <c r="O839" s="16"/>
    </row>
    <row r="840" spans="3:15" x14ac:dyDescent="0.3">
      <c r="C840" s="16"/>
      <c r="D840" s="16"/>
      <c r="J840" s="16"/>
      <c r="O840" s="16"/>
    </row>
    <row r="841" spans="3:15" x14ac:dyDescent="0.3">
      <c r="C841" s="16"/>
      <c r="D841" s="16"/>
      <c r="J841" s="16"/>
      <c r="O841" s="16"/>
    </row>
    <row r="842" spans="3:15" x14ac:dyDescent="0.3">
      <c r="C842" s="16"/>
      <c r="D842" s="16"/>
      <c r="J842" s="16"/>
      <c r="O842" s="16"/>
    </row>
    <row r="843" spans="3:15" x14ac:dyDescent="0.3">
      <c r="C843" s="16"/>
      <c r="D843" s="16"/>
      <c r="J843" s="16"/>
      <c r="O843" s="16"/>
    </row>
    <row r="844" spans="3:15" x14ac:dyDescent="0.3">
      <c r="C844" s="16"/>
      <c r="D844" s="16"/>
      <c r="J844" s="16"/>
      <c r="O844" s="16"/>
    </row>
    <row r="845" spans="3:15" x14ac:dyDescent="0.3">
      <c r="C845" s="16"/>
      <c r="D845" s="16"/>
      <c r="J845" s="16"/>
      <c r="O845" s="16"/>
    </row>
    <row r="846" spans="3:15" x14ac:dyDescent="0.3">
      <c r="C846" s="16"/>
      <c r="D846" s="16"/>
      <c r="J846" s="16"/>
      <c r="O846" s="16"/>
    </row>
    <row r="847" spans="3:15" x14ac:dyDescent="0.3">
      <c r="C847" s="16"/>
      <c r="D847" s="16"/>
      <c r="J847" s="16"/>
      <c r="O847" s="16"/>
    </row>
    <row r="848" spans="3:15" x14ac:dyDescent="0.3">
      <c r="C848" s="16"/>
      <c r="D848" s="16"/>
      <c r="J848" s="16"/>
      <c r="O848" s="16"/>
    </row>
    <row r="849" spans="3:15" x14ac:dyDescent="0.3">
      <c r="C849" s="16"/>
      <c r="D849" s="16"/>
      <c r="J849" s="16"/>
      <c r="O849" s="16"/>
    </row>
    <row r="850" spans="3:15" x14ac:dyDescent="0.3">
      <c r="C850" s="16"/>
      <c r="D850" s="16"/>
      <c r="J850" s="16"/>
      <c r="O850" s="16"/>
    </row>
    <row r="851" spans="3:15" x14ac:dyDescent="0.3">
      <c r="C851" s="16"/>
      <c r="D851" s="16"/>
      <c r="J851" s="16"/>
      <c r="O851" s="16"/>
    </row>
    <row r="852" spans="3:15" x14ac:dyDescent="0.3">
      <c r="C852" s="16"/>
      <c r="D852" s="16"/>
      <c r="J852" s="16"/>
      <c r="O852" s="16"/>
    </row>
    <row r="853" spans="3:15" x14ac:dyDescent="0.3">
      <c r="C853" s="16"/>
      <c r="D853" s="16"/>
      <c r="J853" s="16"/>
      <c r="O853" s="16"/>
    </row>
    <row r="854" spans="3:15" x14ac:dyDescent="0.3">
      <c r="C854" s="16"/>
      <c r="D854" s="16"/>
      <c r="J854" s="16"/>
      <c r="O854" s="16"/>
    </row>
    <row r="855" spans="3:15" x14ac:dyDescent="0.3">
      <c r="C855" s="16"/>
      <c r="D855" s="16"/>
      <c r="J855" s="16"/>
      <c r="O855" s="16"/>
    </row>
    <row r="856" spans="3:15" x14ac:dyDescent="0.3">
      <c r="C856" s="16"/>
      <c r="D856" s="16"/>
      <c r="J856" s="16"/>
      <c r="O856" s="16"/>
    </row>
    <row r="857" spans="3:15" x14ac:dyDescent="0.3">
      <c r="C857" s="16"/>
      <c r="D857" s="16"/>
      <c r="J857" s="16"/>
      <c r="O857" s="16"/>
    </row>
    <row r="858" spans="3:15" x14ac:dyDescent="0.3">
      <c r="C858" s="16"/>
      <c r="D858" s="16"/>
      <c r="J858" s="16"/>
      <c r="O858" s="16"/>
    </row>
    <row r="859" spans="3:15" x14ac:dyDescent="0.3">
      <c r="C859" s="16"/>
      <c r="D859" s="16"/>
      <c r="J859" s="16"/>
      <c r="O859" s="16"/>
    </row>
    <row r="860" spans="3:15" x14ac:dyDescent="0.3">
      <c r="C860" s="16"/>
      <c r="D860" s="16"/>
      <c r="J860" s="16"/>
      <c r="O860" s="16"/>
    </row>
    <row r="861" spans="3:15" x14ac:dyDescent="0.3">
      <c r="C861" s="16"/>
      <c r="D861" s="16"/>
      <c r="J861" s="16"/>
      <c r="O861" s="16"/>
    </row>
    <row r="862" spans="3:15" x14ac:dyDescent="0.3">
      <c r="C862" s="16"/>
      <c r="D862" s="16"/>
      <c r="J862" s="16"/>
      <c r="O862" s="16"/>
    </row>
    <row r="863" spans="3:15" x14ac:dyDescent="0.3">
      <c r="C863" s="16"/>
      <c r="D863" s="16"/>
      <c r="J863" s="16"/>
      <c r="O863" s="16"/>
    </row>
    <row r="864" spans="3:15" x14ac:dyDescent="0.3">
      <c r="C864" s="16"/>
      <c r="D864" s="16"/>
      <c r="J864" s="16"/>
      <c r="O864" s="16"/>
    </row>
    <row r="865" spans="3:15" x14ac:dyDescent="0.3">
      <c r="C865" s="16"/>
      <c r="D865" s="16"/>
      <c r="J865" s="16"/>
      <c r="O865" s="16"/>
    </row>
    <row r="866" spans="3:15" x14ac:dyDescent="0.3">
      <c r="C866" s="16"/>
      <c r="D866" s="16"/>
      <c r="J866" s="16"/>
      <c r="O866" s="16"/>
    </row>
    <row r="867" spans="3:15" x14ac:dyDescent="0.3">
      <c r="C867" s="16"/>
      <c r="D867" s="16"/>
      <c r="J867" s="16"/>
      <c r="O867" s="16"/>
    </row>
    <row r="868" spans="3:15" x14ac:dyDescent="0.3">
      <c r="C868" s="16"/>
      <c r="D868" s="16"/>
      <c r="J868" s="16"/>
      <c r="O868" s="16"/>
    </row>
    <row r="869" spans="3:15" x14ac:dyDescent="0.3">
      <c r="C869" s="16"/>
      <c r="D869" s="16"/>
      <c r="J869" s="16"/>
      <c r="O869" s="16"/>
    </row>
    <row r="870" spans="3:15" x14ac:dyDescent="0.3">
      <c r="C870" s="16"/>
      <c r="D870" s="16"/>
      <c r="J870" s="16"/>
      <c r="O870" s="16"/>
    </row>
    <row r="871" spans="3:15" x14ac:dyDescent="0.3">
      <c r="C871" s="16"/>
      <c r="D871" s="16"/>
      <c r="J871" s="16"/>
      <c r="O871" s="16"/>
    </row>
    <row r="872" spans="3:15" x14ac:dyDescent="0.3">
      <c r="C872" s="16"/>
      <c r="D872" s="16"/>
      <c r="J872" s="16"/>
      <c r="O872" s="16"/>
    </row>
    <row r="873" spans="3:15" x14ac:dyDescent="0.3">
      <c r="C873" s="16"/>
      <c r="D873" s="16"/>
      <c r="J873" s="16"/>
      <c r="O873" s="16"/>
    </row>
    <row r="874" spans="3:15" x14ac:dyDescent="0.3">
      <c r="C874" s="16"/>
      <c r="D874" s="16"/>
      <c r="J874" s="16"/>
      <c r="O874" s="16"/>
    </row>
    <row r="875" spans="3:15" x14ac:dyDescent="0.3">
      <c r="C875" s="16"/>
      <c r="D875" s="16"/>
      <c r="J875" s="16"/>
      <c r="O875" s="16"/>
    </row>
    <row r="876" spans="3:15" x14ac:dyDescent="0.3">
      <c r="C876" s="16"/>
      <c r="D876" s="16"/>
      <c r="J876" s="16"/>
      <c r="O876" s="16"/>
    </row>
    <row r="877" spans="3:15" x14ac:dyDescent="0.3">
      <c r="C877" s="16"/>
      <c r="D877" s="16"/>
      <c r="J877" s="16"/>
      <c r="O877" s="16"/>
    </row>
    <row r="878" spans="3:15" x14ac:dyDescent="0.3">
      <c r="C878" s="16"/>
      <c r="D878" s="16"/>
      <c r="J878" s="16"/>
      <c r="O878" s="16"/>
    </row>
    <row r="879" spans="3:15" x14ac:dyDescent="0.3">
      <c r="C879" s="16"/>
      <c r="D879" s="16"/>
      <c r="J879" s="16"/>
      <c r="O879" s="16"/>
    </row>
    <row r="880" spans="3:15" x14ac:dyDescent="0.3">
      <c r="C880" s="16"/>
      <c r="D880" s="16"/>
      <c r="J880" s="16"/>
      <c r="O880" s="16"/>
    </row>
    <row r="881" spans="3:15" x14ac:dyDescent="0.3">
      <c r="C881" s="16"/>
      <c r="D881" s="16"/>
      <c r="J881" s="16"/>
      <c r="O881" s="16"/>
    </row>
    <row r="882" spans="3:15" x14ac:dyDescent="0.3">
      <c r="C882" s="16"/>
      <c r="D882" s="16"/>
      <c r="J882" s="16"/>
      <c r="O882" s="16"/>
    </row>
    <row r="883" spans="3:15" x14ac:dyDescent="0.3">
      <c r="C883" s="16"/>
      <c r="D883" s="16"/>
      <c r="J883" s="16"/>
      <c r="O883" s="16"/>
    </row>
    <row r="884" spans="3:15" x14ac:dyDescent="0.3">
      <c r="C884" s="16"/>
      <c r="D884" s="16"/>
      <c r="J884" s="16"/>
      <c r="O884" s="16"/>
    </row>
    <row r="885" spans="3:15" x14ac:dyDescent="0.3">
      <c r="C885" s="16"/>
      <c r="D885" s="16"/>
      <c r="J885" s="16"/>
      <c r="O885" s="16"/>
    </row>
    <row r="886" spans="3:15" x14ac:dyDescent="0.3">
      <c r="C886" s="16"/>
      <c r="D886" s="16"/>
      <c r="J886" s="16"/>
      <c r="O886" s="16"/>
    </row>
    <row r="887" spans="3:15" x14ac:dyDescent="0.3">
      <c r="C887" s="16"/>
      <c r="D887" s="16"/>
      <c r="J887" s="16"/>
      <c r="O887" s="16"/>
    </row>
    <row r="888" spans="3:15" x14ac:dyDescent="0.3">
      <c r="C888" s="16"/>
      <c r="D888" s="16"/>
      <c r="J888" s="16"/>
      <c r="O888" s="16"/>
    </row>
    <row r="889" spans="3:15" x14ac:dyDescent="0.3">
      <c r="C889" s="16"/>
      <c r="D889" s="16"/>
      <c r="J889" s="16"/>
      <c r="O889" s="16"/>
    </row>
    <row r="890" spans="3:15" x14ac:dyDescent="0.3">
      <c r="C890" s="16"/>
      <c r="D890" s="16"/>
      <c r="J890" s="16"/>
      <c r="O890" s="16"/>
    </row>
    <row r="891" spans="3:15" x14ac:dyDescent="0.3">
      <c r="C891" s="16"/>
      <c r="D891" s="16"/>
      <c r="J891" s="16"/>
      <c r="O891" s="16"/>
    </row>
    <row r="892" spans="3:15" x14ac:dyDescent="0.3">
      <c r="C892" s="16"/>
      <c r="D892" s="16"/>
      <c r="J892" s="16"/>
      <c r="O892" s="16"/>
    </row>
    <row r="893" spans="3:15" x14ac:dyDescent="0.3">
      <c r="C893" s="16"/>
      <c r="D893" s="16"/>
      <c r="J893" s="16"/>
      <c r="O893" s="16"/>
    </row>
    <row r="894" spans="3:15" x14ac:dyDescent="0.3">
      <c r="C894" s="16"/>
      <c r="D894" s="16"/>
      <c r="J894" s="16"/>
      <c r="O894" s="16"/>
    </row>
    <row r="895" spans="3:15" x14ac:dyDescent="0.3">
      <c r="C895" s="16"/>
      <c r="D895" s="16"/>
      <c r="J895" s="16"/>
      <c r="O895" s="16"/>
    </row>
    <row r="896" spans="3:15" x14ac:dyDescent="0.3">
      <c r="C896" s="16"/>
      <c r="D896" s="16"/>
      <c r="J896" s="16"/>
      <c r="O896" s="16"/>
    </row>
    <row r="897" spans="3:15" x14ac:dyDescent="0.3">
      <c r="C897" s="16"/>
      <c r="D897" s="16"/>
      <c r="J897" s="16"/>
      <c r="O897" s="16"/>
    </row>
    <row r="898" spans="3:15" x14ac:dyDescent="0.3">
      <c r="C898" s="16"/>
      <c r="D898" s="16"/>
      <c r="J898" s="16"/>
      <c r="O898" s="16"/>
    </row>
    <row r="899" spans="3:15" x14ac:dyDescent="0.3">
      <c r="C899" s="16"/>
      <c r="D899" s="16"/>
      <c r="J899" s="16"/>
      <c r="O899" s="16"/>
    </row>
    <row r="900" spans="3:15" x14ac:dyDescent="0.3">
      <c r="C900" s="16"/>
      <c r="D900" s="16"/>
      <c r="J900" s="16"/>
      <c r="O900" s="16"/>
    </row>
    <row r="901" spans="3:15" x14ac:dyDescent="0.3">
      <c r="C901" s="16"/>
      <c r="D901" s="16"/>
      <c r="J901" s="16"/>
      <c r="O901" s="16"/>
    </row>
    <row r="902" spans="3:15" x14ac:dyDescent="0.3">
      <c r="C902" s="16"/>
      <c r="D902" s="16"/>
      <c r="J902" s="16"/>
      <c r="O902" s="16"/>
    </row>
    <row r="903" spans="3:15" x14ac:dyDescent="0.3">
      <c r="C903" s="16"/>
      <c r="D903" s="16"/>
      <c r="J903" s="16"/>
      <c r="O903" s="16"/>
    </row>
    <row r="904" spans="3:15" x14ac:dyDescent="0.3">
      <c r="C904" s="16"/>
      <c r="D904" s="16"/>
      <c r="J904" s="16"/>
      <c r="O904" s="16"/>
    </row>
    <row r="905" spans="3:15" x14ac:dyDescent="0.3">
      <c r="C905" s="16"/>
      <c r="D905" s="16"/>
      <c r="J905" s="16"/>
      <c r="O905" s="16"/>
    </row>
    <row r="906" spans="3:15" x14ac:dyDescent="0.3">
      <c r="C906" s="16"/>
      <c r="D906" s="16"/>
      <c r="J906" s="16"/>
      <c r="O906" s="16"/>
    </row>
    <row r="907" spans="3:15" x14ac:dyDescent="0.3">
      <c r="C907" s="16"/>
      <c r="D907" s="16"/>
      <c r="J907" s="16"/>
      <c r="O907" s="16"/>
    </row>
    <row r="908" spans="3:15" x14ac:dyDescent="0.3">
      <c r="C908" s="16"/>
      <c r="D908" s="16"/>
      <c r="J908" s="16"/>
      <c r="O908" s="16"/>
    </row>
    <row r="909" spans="3:15" x14ac:dyDescent="0.3">
      <c r="C909" s="16"/>
      <c r="D909" s="16"/>
      <c r="J909" s="16"/>
      <c r="O909" s="16"/>
    </row>
    <row r="910" spans="3:15" x14ac:dyDescent="0.3">
      <c r="C910" s="16"/>
      <c r="D910" s="16"/>
      <c r="J910" s="16"/>
      <c r="O910" s="16"/>
    </row>
    <row r="911" spans="3:15" x14ac:dyDescent="0.3">
      <c r="C911" s="16"/>
      <c r="D911" s="16"/>
      <c r="J911" s="16"/>
      <c r="O911" s="16"/>
    </row>
    <row r="912" spans="3:15" x14ac:dyDescent="0.3">
      <c r="C912" s="16"/>
      <c r="D912" s="16"/>
      <c r="J912" s="16"/>
      <c r="O912" s="16"/>
    </row>
    <row r="913" spans="3:15" x14ac:dyDescent="0.3">
      <c r="C913" s="16"/>
      <c r="D913" s="16"/>
      <c r="J913" s="16"/>
      <c r="O913" s="16"/>
    </row>
    <row r="914" spans="3:15" x14ac:dyDescent="0.3">
      <c r="C914" s="16"/>
      <c r="D914" s="16"/>
      <c r="J914" s="16"/>
      <c r="O914" s="16"/>
    </row>
    <row r="915" spans="3:15" x14ac:dyDescent="0.3">
      <c r="C915" s="16"/>
      <c r="D915" s="16"/>
      <c r="J915" s="16"/>
      <c r="O915" s="16"/>
    </row>
    <row r="916" spans="3:15" x14ac:dyDescent="0.3">
      <c r="C916" s="16"/>
      <c r="D916" s="16"/>
      <c r="J916" s="16"/>
      <c r="O916" s="16"/>
    </row>
    <row r="917" spans="3:15" x14ac:dyDescent="0.3">
      <c r="C917" s="16"/>
      <c r="D917" s="16"/>
      <c r="J917" s="16"/>
      <c r="O917" s="16"/>
    </row>
    <row r="918" spans="3:15" x14ac:dyDescent="0.3">
      <c r="C918" s="16"/>
      <c r="D918" s="16"/>
      <c r="J918" s="16"/>
      <c r="O918" s="16"/>
    </row>
    <row r="919" spans="3:15" x14ac:dyDescent="0.3">
      <c r="C919" s="16"/>
      <c r="D919" s="16"/>
      <c r="J919" s="16"/>
      <c r="O919" s="16"/>
    </row>
    <row r="920" spans="3:15" x14ac:dyDescent="0.3">
      <c r="C920" s="16"/>
      <c r="D920" s="16"/>
      <c r="J920" s="16"/>
      <c r="O920" s="16"/>
    </row>
    <row r="921" spans="3:15" x14ac:dyDescent="0.3">
      <c r="C921" s="16"/>
      <c r="D921" s="16"/>
      <c r="J921" s="16"/>
      <c r="O921" s="16"/>
    </row>
    <row r="922" spans="3:15" x14ac:dyDescent="0.3">
      <c r="C922" s="16"/>
      <c r="D922" s="16"/>
      <c r="J922" s="16"/>
      <c r="O922" s="16"/>
    </row>
    <row r="923" spans="3:15" x14ac:dyDescent="0.3">
      <c r="C923" s="16"/>
      <c r="D923" s="16"/>
      <c r="J923" s="16"/>
      <c r="O923" s="16"/>
    </row>
    <row r="924" spans="3:15" x14ac:dyDescent="0.3">
      <c r="C924" s="16"/>
      <c r="D924" s="16"/>
      <c r="J924" s="16"/>
      <c r="O924" s="16"/>
    </row>
    <row r="925" spans="3:15" x14ac:dyDescent="0.3">
      <c r="C925" s="16"/>
      <c r="D925" s="16"/>
      <c r="J925" s="16"/>
      <c r="O925" s="16"/>
    </row>
    <row r="926" spans="3:15" x14ac:dyDescent="0.3">
      <c r="C926" s="16"/>
      <c r="D926" s="16"/>
      <c r="J926" s="16"/>
      <c r="O926" s="16"/>
    </row>
    <row r="927" spans="3:15" x14ac:dyDescent="0.3">
      <c r="C927" s="16"/>
      <c r="D927" s="16"/>
      <c r="J927" s="16"/>
      <c r="O927" s="16"/>
    </row>
    <row r="928" spans="3:15" x14ac:dyDescent="0.3">
      <c r="C928" s="16"/>
      <c r="D928" s="16"/>
      <c r="J928" s="16"/>
      <c r="O928" s="16"/>
    </row>
    <row r="929" spans="3:15" x14ac:dyDescent="0.3">
      <c r="C929" s="16"/>
      <c r="D929" s="16"/>
      <c r="J929" s="16"/>
      <c r="O929" s="16"/>
    </row>
    <row r="930" spans="3:15" x14ac:dyDescent="0.3">
      <c r="C930" s="16"/>
      <c r="D930" s="16"/>
      <c r="J930" s="16"/>
      <c r="O930" s="16"/>
    </row>
    <row r="931" spans="3:15" x14ac:dyDescent="0.3">
      <c r="C931" s="16"/>
      <c r="D931" s="16"/>
      <c r="J931" s="16"/>
      <c r="O931" s="16"/>
    </row>
    <row r="932" spans="3:15" x14ac:dyDescent="0.3">
      <c r="C932" s="16"/>
      <c r="D932" s="16"/>
      <c r="J932" s="16"/>
      <c r="O932" s="16"/>
    </row>
    <row r="933" spans="3:15" x14ac:dyDescent="0.3">
      <c r="C933" s="16"/>
      <c r="D933" s="16"/>
      <c r="J933" s="16"/>
      <c r="O933" s="16"/>
    </row>
    <row r="934" spans="3:15" x14ac:dyDescent="0.3">
      <c r="C934" s="16"/>
      <c r="D934" s="16"/>
      <c r="J934" s="16"/>
      <c r="O934" s="16"/>
    </row>
    <row r="935" spans="3:15" x14ac:dyDescent="0.3">
      <c r="C935" s="16"/>
      <c r="D935" s="16"/>
      <c r="J935" s="16"/>
      <c r="O935" s="16"/>
    </row>
    <row r="936" spans="3:15" x14ac:dyDescent="0.3">
      <c r="C936" s="16"/>
      <c r="D936" s="16"/>
      <c r="J936" s="16"/>
      <c r="O936" s="16"/>
    </row>
    <row r="937" spans="3:15" x14ac:dyDescent="0.3">
      <c r="C937" s="16"/>
      <c r="D937" s="16"/>
      <c r="J937" s="16"/>
      <c r="O937" s="16"/>
    </row>
    <row r="938" spans="3:15" x14ac:dyDescent="0.3">
      <c r="C938" s="16"/>
      <c r="D938" s="16"/>
      <c r="J938" s="16"/>
      <c r="O938" s="16"/>
    </row>
    <row r="939" spans="3:15" x14ac:dyDescent="0.3">
      <c r="C939" s="16"/>
      <c r="D939" s="16"/>
      <c r="J939" s="16"/>
      <c r="O939" s="16"/>
    </row>
    <row r="940" spans="3:15" x14ac:dyDescent="0.3">
      <c r="C940" s="16"/>
      <c r="D940" s="16"/>
      <c r="J940" s="16"/>
      <c r="O940" s="16"/>
    </row>
    <row r="941" spans="3:15" x14ac:dyDescent="0.3">
      <c r="C941" s="16"/>
      <c r="D941" s="16"/>
      <c r="J941" s="16"/>
      <c r="O941" s="16"/>
    </row>
    <row r="942" spans="3:15" x14ac:dyDescent="0.3">
      <c r="C942" s="16"/>
      <c r="D942" s="16"/>
      <c r="J942" s="16"/>
      <c r="O942" s="16"/>
    </row>
    <row r="943" spans="3:15" x14ac:dyDescent="0.3">
      <c r="C943" s="16"/>
      <c r="D943" s="16"/>
      <c r="J943" s="16"/>
      <c r="O943" s="16"/>
    </row>
    <row r="944" spans="3:15" x14ac:dyDescent="0.3">
      <c r="C944" s="16"/>
      <c r="D944" s="16"/>
      <c r="J944" s="16"/>
      <c r="O944" s="16"/>
    </row>
    <row r="945" spans="3:15" x14ac:dyDescent="0.3">
      <c r="C945" s="16"/>
      <c r="D945" s="16"/>
      <c r="J945" s="16"/>
      <c r="O945" s="16"/>
    </row>
    <row r="946" spans="3:15" x14ac:dyDescent="0.3">
      <c r="C946" s="16"/>
      <c r="D946" s="16"/>
      <c r="J946" s="16"/>
      <c r="O946" s="16"/>
    </row>
    <row r="947" spans="3:15" x14ac:dyDescent="0.3">
      <c r="C947" s="16"/>
      <c r="D947" s="16"/>
      <c r="J947" s="16"/>
      <c r="O947" s="16"/>
    </row>
    <row r="948" spans="3:15" x14ac:dyDescent="0.3">
      <c r="C948" s="16"/>
      <c r="D948" s="16"/>
      <c r="J948" s="16"/>
      <c r="O948" s="16"/>
    </row>
    <row r="949" spans="3:15" x14ac:dyDescent="0.3">
      <c r="C949" s="16"/>
      <c r="D949" s="16"/>
      <c r="J949" s="16"/>
      <c r="O949" s="16"/>
    </row>
    <row r="950" spans="3:15" x14ac:dyDescent="0.3">
      <c r="C950" s="16"/>
      <c r="D950" s="16"/>
      <c r="J950" s="16"/>
      <c r="O950" s="16"/>
    </row>
    <row r="951" spans="3:15" x14ac:dyDescent="0.3">
      <c r="C951" s="16"/>
      <c r="D951" s="16"/>
      <c r="J951" s="16"/>
      <c r="O951" s="16"/>
    </row>
    <row r="952" spans="3:15" x14ac:dyDescent="0.3">
      <c r="C952" s="16"/>
      <c r="D952" s="16"/>
      <c r="J952" s="16"/>
      <c r="O952" s="16"/>
    </row>
    <row r="953" spans="3:15" x14ac:dyDescent="0.3">
      <c r="C953" s="16"/>
      <c r="D953" s="16"/>
      <c r="J953" s="16"/>
      <c r="O953" s="16"/>
    </row>
    <row r="954" spans="3:15" x14ac:dyDescent="0.3">
      <c r="C954" s="16"/>
      <c r="D954" s="16"/>
      <c r="J954" s="16"/>
      <c r="O954" s="16"/>
    </row>
    <row r="955" spans="3:15" x14ac:dyDescent="0.3">
      <c r="C955" s="16"/>
      <c r="D955" s="16"/>
      <c r="J955" s="16"/>
      <c r="O955" s="16"/>
    </row>
    <row r="956" spans="3:15" x14ac:dyDescent="0.3">
      <c r="C956" s="16"/>
      <c r="D956" s="16"/>
      <c r="J956" s="16"/>
      <c r="O956" s="16"/>
    </row>
    <row r="957" spans="3:15" x14ac:dyDescent="0.3">
      <c r="C957" s="16"/>
      <c r="D957" s="16"/>
      <c r="J957" s="16"/>
      <c r="O957" s="16"/>
    </row>
    <row r="958" spans="3:15" x14ac:dyDescent="0.3">
      <c r="C958" s="16"/>
      <c r="D958" s="16"/>
      <c r="J958" s="16"/>
      <c r="O958" s="16"/>
    </row>
    <row r="959" spans="3:15" x14ac:dyDescent="0.3">
      <c r="C959" s="16"/>
      <c r="D959" s="16"/>
      <c r="J959" s="16"/>
      <c r="O959" s="16"/>
    </row>
    <row r="960" spans="3:15" x14ac:dyDescent="0.3">
      <c r="C960" s="16"/>
      <c r="D960" s="16"/>
      <c r="J960" s="16"/>
      <c r="O960" s="16"/>
    </row>
    <row r="961" spans="3:15" x14ac:dyDescent="0.3">
      <c r="C961" s="16"/>
      <c r="D961" s="16"/>
      <c r="J961" s="16"/>
      <c r="O961" s="16"/>
    </row>
    <row r="962" spans="3:15" x14ac:dyDescent="0.3">
      <c r="C962" s="16"/>
      <c r="D962" s="16"/>
      <c r="J962" s="16"/>
      <c r="O962" s="16"/>
    </row>
    <row r="963" spans="3:15" x14ac:dyDescent="0.3">
      <c r="C963" s="16"/>
      <c r="D963" s="16"/>
      <c r="J963" s="16"/>
      <c r="O963" s="16"/>
    </row>
    <row r="964" spans="3:15" x14ac:dyDescent="0.3">
      <c r="C964" s="16"/>
      <c r="D964" s="16"/>
      <c r="J964" s="16"/>
      <c r="O964" s="16"/>
    </row>
    <row r="965" spans="3:15" x14ac:dyDescent="0.3">
      <c r="C965" s="16"/>
      <c r="D965" s="16"/>
      <c r="J965" s="16"/>
      <c r="O965" s="16"/>
    </row>
    <row r="966" spans="3:15" x14ac:dyDescent="0.3">
      <c r="C966" s="16"/>
      <c r="D966" s="16"/>
      <c r="J966" s="16"/>
      <c r="O966" s="16"/>
    </row>
    <row r="967" spans="3:15" x14ac:dyDescent="0.3">
      <c r="C967" s="16"/>
      <c r="D967" s="16"/>
      <c r="J967" s="16"/>
      <c r="O967" s="16"/>
    </row>
    <row r="968" spans="3:15" x14ac:dyDescent="0.3">
      <c r="C968" s="16"/>
      <c r="D968" s="16"/>
      <c r="J968" s="16"/>
      <c r="O968" s="16"/>
    </row>
    <row r="969" spans="3:15" x14ac:dyDescent="0.3">
      <c r="C969" s="16"/>
      <c r="D969" s="16"/>
      <c r="J969" s="16"/>
      <c r="O969" s="16"/>
    </row>
    <row r="970" spans="3:15" x14ac:dyDescent="0.3">
      <c r="C970" s="16"/>
      <c r="D970" s="16"/>
      <c r="J970" s="16"/>
      <c r="O970" s="16"/>
    </row>
    <row r="971" spans="3:15" x14ac:dyDescent="0.3">
      <c r="C971" s="16"/>
      <c r="D971" s="16"/>
      <c r="J971" s="16"/>
      <c r="O971" s="16"/>
    </row>
    <row r="972" spans="3:15" x14ac:dyDescent="0.3">
      <c r="C972" s="16"/>
      <c r="D972" s="16"/>
      <c r="J972" s="16"/>
      <c r="O972" s="16"/>
    </row>
    <row r="973" spans="3:15" x14ac:dyDescent="0.3">
      <c r="C973" s="16"/>
      <c r="D973" s="16"/>
      <c r="J973" s="16"/>
      <c r="O973" s="16"/>
    </row>
    <row r="974" spans="3:15" x14ac:dyDescent="0.3">
      <c r="C974" s="16"/>
      <c r="D974" s="16"/>
      <c r="J974" s="16"/>
      <c r="O974" s="16"/>
    </row>
    <row r="975" spans="3:15" x14ac:dyDescent="0.3">
      <c r="C975" s="16"/>
      <c r="D975" s="16"/>
      <c r="J975" s="16"/>
      <c r="O975" s="16"/>
    </row>
    <row r="976" spans="3:15" x14ac:dyDescent="0.3">
      <c r="C976" s="16"/>
      <c r="D976" s="16"/>
      <c r="J976" s="16"/>
      <c r="O976" s="16"/>
    </row>
    <row r="977" spans="3:15" x14ac:dyDescent="0.3">
      <c r="C977" s="16"/>
      <c r="D977" s="16"/>
      <c r="J977" s="16"/>
      <c r="O977" s="16"/>
    </row>
    <row r="978" spans="3:15" x14ac:dyDescent="0.3">
      <c r="C978" s="16"/>
      <c r="D978" s="16"/>
      <c r="J978" s="16"/>
      <c r="O978" s="16"/>
    </row>
    <row r="979" spans="3:15" x14ac:dyDescent="0.3">
      <c r="C979" s="16"/>
      <c r="D979" s="16"/>
      <c r="J979" s="16"/>
      <c r="O979" s="16"/>
    </row>
    <row r="980" spans="3:15" x14ac:dyDescent="0.3">
      <c r="C980" s="16"/>
      <c r="D980" s="16"/>
      <c r="J980" s="16"/>
      <c r="O980" s="16"/>
    </row>
    <row r="981" spans="3:15" x14ac:dyDescent="0.3">
      <c r="C981" s="16"/>
      <c r="D981" s="16"/>
      <c r="J981" s="16"/>
      <c r="O981" s="16"/>
    </row>
    <row r="982" spans="3:15" x14ac:dyDescent="0.3">
      <c r="C982" s="16"/>
      <c r="D982" s="16"/>
      <c r="J982" s="16"/>
      <c r="O982" s="16"/>
    </row>
    <row r="983" spans="3:15" x14ac:dyDescent="0.3">
      <c r="C983" s="16"/>
      <c r="D983" s="16"/>
      <c r="J983" s="16"/>
      <c r="O983" s="16"/>
    </row>
    <row r="984" spans="3:15" x14ac:dyDescent="0.3">
      <c r="C984" s="16"/>
      <c r="D984" s="16"/>
      <c r="J984" s="16"/>
      <c r="O984" s="16"/>
    </row>
    <row r="985" spans="3:15" x14ac:dyDescent="0.3">
      <c r="C985" s="16"/>
      <c r="D985" s="16"/>
      <c r="J985" s="16"/>
      <c r="O985" s="16"/>
    </row>
    <row r="986" spans="3:15" x14ac:dyDescent="0.3">
      <c r="C986" s="16"/>
      <c r="D986" s="16"/>
      <c r="J986" s="16"/>
      <c r="O986" s="16"/>
    </row>
    <row r="987" spans="3:15" x14ac:dyDescent="0.3">
      <c r="C987" s="16"/>
      <c r="D987" s="16"/>
      <c r="J987" s="16"/>
      <c r="O987" s="16"/>
    </row>
    <row r="988" spans="3:15" x14ac:dyDescent="0.3">
      <c r="C988" s="16"/>
      <c r="D988" s="16"/>
      <c r="J988" s="16"/>
      <c r="O988" s="16"/>
    </row>
    <row r="989" spans="3:15" x14ac:dyDescent="0.3">
      <c r="C989" s="16"/>
      <c r="D989" s="16"/>
      <c r="J989" s="16"/>
      <c r="O989" s="16"/>
    </row>
    <row r="990" spans="3:15" x14ac:dyDescent="0.3">
      <c r="C990" s="16"/>
      <c r="D990" s="16"/>
      <c r="J990" s="16"/>
      <c r="O990" s="16"/>
    </row>
    <row r="991" spans="3:15" x14ac:dyDescent="0.3">
      <c r="C991" s="16"/>
      <c r="D991" s="16"/>
      <c r="J991" s="16"/>
      <c r="O991" s="16"/>
    </row>
    <row r="992" spans="3:15" x14ac:dyDescent="0.3">
      <c r="C992" s="16"/>
      <c r="D992" s="16"/>
      <c r="J992" s="16"/>
      <c r="O992" s="16"/>
    </row>
    <row r="993" spans="3:15" x14ac:dyDescent="0.3">
      <c r="C993" s="16"/>
      <c r="D993" s="16"/>
      <c r="J993" s="16"/>
      <c r="O993" s="16"/>
    </row>
    <row r="994" spans="3:15" x14ac:dyDescent="0.3">
      <c r="C994" s="16"/>
      <c r="D994" s="16"/>
      <c r="J994" s="16"/>
      <c r="O994" s="16"/>
    </row>
    <row r="995" spans="3:15" x14ac:dyDescent="0.3">
      <c r="C995" s="16"/>
      <c r="D995" s="16"/>
      <c r="J995" s="16"/>
      <c r="O995" s="16"/>
    </row>
    <row r="996" spans="3:15" x14ac:dyDescent="0.3">
      <c r="C996" s="16"/>
      <c r="D996" s="16"/>
      <c r="J996" s="16"/>
      <c r="O996" s="16"/>
    </row>
    <row r="997" spans="3:15" x14ac:dyDescent="0.3">
      <c r="C997" s="16"/>
      <c r="D997" s="16"/>
      <c r="J997" s="16"/>
      <c r="O997" s="16"/>
    </row>
    <row r="998" spans="3:15" x14ac:dyDescent="0.3">
      <c r="C998" s="16"/>
      <c r="D998" s="16"/>
      <c r="J998" s="16"/>
      <c r="O998" s="16"/>
    </row>
    <row r="999" spans="3:15" x14ac:dyDescent="0.3">
      <c r="C999" s="16"/>
      <c r="D999" s="16"/>
      <c r="J999" s="16"/>
      <c r="O999" s="16"/>
    </row>
    <row r="1000" spans="3:15" x14ac:dyDescent="0.3">
      <c r="C1000" s="16"/>
      <c r="D1000" s="16"/>
      <c r="J1000" s="16"/>
      <c r="O1000" s="16"/>
    </row>
    <row r="1001" spans="3:15" x14ac:dyDescent="0.3">
      <c r="C1001" s="16"/>
      <c r="D1001" s="16"/>
      <c r="J1001" s="16"/>
      <c r="O1001" s="16"/>
    </row>
    <row r="1002" spans="3:15" x14ac:dyDescent="0.3">
      <c r="C1002" s="16"/>
      <c r="D1002" s="16"/>
      <c r="J1002" s="16"/>
      <c r="O1002" s="16"/>
    </row>
    <row r="1003" spans="3:15" x14ac:dyDescent="0.3">
      <c r="C1003" s="16"/>
      <c r="D1003" s="16"/>
      <c r="J1003" s="16"/>
      <c r="O1003" s="16"/>
    </row>
    <row r="1004" spans="3:15" x14ac:dyDescent="0.3">
      <c r="C1004" s="16"/>
      <c r="D1004" s="16"/>
      <c r="J1004" s="16"/>
      <c r="O1004" s="16"/>
    </row>
    <row r="1005" spans="3:15" x14ac:dyDescent="0.3">
      <c r="C1005" s="16"/>
      <c r="D1005" s="16"/>
      <c r="J1005" s="16"/>
      <c r="O1005" s="16"/>
    </row>
    <row r="1006" spans="3:15" x14ac:dyDescent="0.3">
      <c r="C1006" s="16"/>
      <c r="D1006" s="16"/>
      <c r="J1006" s="16"/>
      <c r="O1006" s="16"/>
    </row>
    <row r="1007" spans="3:15" x14ac:dyDescent="0.3">
      <c r="C1007" s="16"/>
      <c r="D1007" s="16"/>
      <c r="J1007" s="16"/>
      <c r="O1007" s="16"/>
    </row>
    <row r="1008" spans="3:15" x14ac:dyDescent="0.3">
      <c r="C1008" s="16"/>
      <c r="D1008" s="16"/>
      <c r="J1008" s="16"/>
      <c r="O1008" s="16"/>
    </row>
    <row r="1009" spans="3:15" x14ac:dyDescent="0.3">
      <c r="C1009" s="16"/>
      <c r="D1009" s="16"/>
      <c r="J1009" s="16"/>
      <c r="O1009" s="16"/>
    </row>
    <row r="1010" spans="3:15" x14ac:dyDescent="0.3">
      <c r="C1010" s="16"/>
      <c r="D1010" s="16"/>
      <c r="J1010" s="16"/>
      <c r="O1010" s="16"/>
    </row>
    <row r="1011" spans="3:15" x14ac:dyDescent="0.3">
      <c r="C1011" s="16"/>
      <c r="D1011" s="16"/>
      <c r="J1011" s="16"/>
      <c r="O1011" s="16"/>
    </row>
    <row r="1012" spans="3:15" x14ac:dyDescent="0.3">
      <c r="C1012" s="16"/>
      <c r="D1012" s="16"/>
      <c r="J1012" s="16"/>
      <c r="O1012" s="16"/>
    </row>
    <row r="1013" spans="3:15" x14ac:dyDescent="0.3">
      <c r="C1013" s="16"/>
      <c r="D1013" s="16"/>
      <c r="J1013" s="16"/>
      <c r="O1013" s="16"/>
    </row>
    <row r="1014" spans="3:15" x14ac:dyDescent="0.3">
      <c r="C1014" s="16"/>
      <c r="D1014" s="16"/>
      <c r="J1014" s="16"/>
      <c r="O1014" s="16"/>
    </row>
    <row r="1015" spans="3:15" x14ac:dyDescent="0.3">
      <c r="C1015" s="16"/>
      <c r="D1015" s="16"/>
      <c r="J1015" s="16"/>
      <c r="O1015" s="16"/>
    </row>
    <row r="1016" spans="3:15" x14ac:dyDescent="0.3">
      <c r="C1016" s="16"/>
      <c r="D1016" s="16"/>
      <c r="J1016" s="16"/>
      <c r="O1016" s="16"/>
    </row>
    <row r="1017" spans="3:15" x14ac:dyDescent="0.3">
      <c r="C1017" s="16"/>
      <c r="D1017" s="16"/>
      <c r="J1017" s="16"/>
      <c r="O1017" s="16"/>
    </row>
    <row r="1018" spans="3:15" x14ac:dyDescent="0.3">
      <c r="C1018" s="16"/>
      <c r="D1018" s="16"/>
      <c r="J1018" s="16"/>
      <c r="O1018" s="16"/>
    </row>
    <row r="1019" spans="3:15" x14ac:dyDescent="0.3">
      <c r="C1019" s="16"/>
      <c r="D1019" s="16"/>
      <c r="J1019" s="16"/>
      <c r="O1019" s="16"/>
    </row>
    <row r="1020" spans="3:15" x14ac:dyDescent="0.3">
      <c r="C1020" s="16"/>
      <c r="D1020" s="16"/>
      <c r="J1020" s="16"/>
      <c r="O1020" s="16"/>
    </row>
    <row r="1021" spans="3:15" x14ac:dyDescent="0.3">
      <c r="C1021" s="16"/>
      <c r="D1021" s="16"/>
      <c r="J1021" s="16"/>
      <c r="O1021" s="16"/>
    </row>
    <row r="1022" spans="3:15" x14ac:dyDescent="0.3">
      <c r="C1022" s="16"/>
      <c r="D1022" s="16"/>
      <c r="J1022" s="16"/>
      <c r="O1022" s="16"/>
    </row>
    <row r="1023" spans="3:15" x14ac:dyDescent="0.3">
      <c r="C1023" s="16"/>
      <c r="D1023" s="16"/>
      <c r="J1023" s="16"/>
      <c r="O1023" s="16"/>
    </row>
    <row r="1024" spans="3:15" x14ac:dyDescent="0.3">
      <c r="C1024" s="16"/>
      <c r="D1024" s="16"/>
      <c r="J1024" s="16"/>
      <c r="O1024" s="16"/>
    </row>
    <row r="1025" spans="3:15" x14ac:dyDescent="0.3">
      <c r="C1025" s="16"/>
      <c r="D1025" s="16"/>
      <c r="J1025" s="16"/>
      <c r="O1025" s="16"/>
    </row>
    <row r="1026" spans="3:15" x14ac:dyDescent="0.3">
      <c r="C1026" s="16"/>
      <c r="D1026" s="16"/>
      <c r="J1026" s="16"/>
      <c r="O1026" s="16"/>
    </row>
    <row r="1027" spans="3:15" x14ac:dyDescent="0.3">
      <c r="C1027" s="16"/>
      <c r="D1027" s="16"/>
      <c r="J1027" s="16"/>
      <c r="O1027" s="16"/>
    </row>
    <row r="1028" spans="3:15" x14ac:dyDescent="0.3">
      <c r="C1028" s="16"/>
      <c r="D1028" s="16"/>
      <c r="J1028" s="16"/>
      <c r="O1028" s="16"/>
    </row>
    <row r="1029" spans="3:15" x14ac:dyDescent="0.3">
      <c r="C1029" s="16"/>
      <c r="D1029" s="16"/>
      <c r="J1029" s="16"/>
      <c r="O1029" s="16"/>
    </row>
    <row r="1030" spans="3:15" x14ac:dyDescent="0.3">
      <c r="C1030" s="16"/>
      <c r="D1030" s="16"/>
      <c r="J1030" s="16"/>
      <c r="O1030" s="16"/>
    </row>
    <row r="1031" spans="3:15" x14ac:dyDescent="0.3">
      <c r="C1031" s="16"/>
      <c r="D1031" s="16"/>
      <c r="J1031" s="16"/>
      <c r="O1031" s="16"/>
    </row>
    <row r="1032" spans="3:15" x14ac:dyDescent="0.3">
      <c r="C1032" s="16"/>
      <c r="D1032" s="16"/>
      <c r="J1032" s="16"/>
      <c r="O1032" s="16"/>
    </row>
    <row r="1033" spans="3:15" x14ac:dyDescent="0.3">
      <c r="C1033" s="16"/>
      <c r="D1033" s="16"/>
      <c r="J1033" s="16"/>
      <c r="O1033" s="16"/>
    </row>
    <row r="1034" spans="3:15" x14ac:dyDescent="0.3">
      <c r="C1034" s="16"/>
      <c r="D1034" s="16"/>
      <c r="J1034" s="16"/>
      <c r="O1034" s="16"/>
    </row>
    <row r="1035" spans="3:15" x14ac:dyDescent="0.3">
      <c r="C1035" s="16"/>
      <c r="D1035" s="16"/>
      <c r="J1035" s="16"/>
      <c r="O1035" s="16"/>
    </row>
    <row r="1036" spans="3:15" x14ac:dyDescent="0.3">
      <c r="C1036" s="16"/>
      <c r="D1036" s="16"/>
      <c r="J1036" s="16"/>
      <c r="O1036" s="16"/>
    </row>
    <row r="1037" spans="3:15" x14ac:dyDescent="0.3">
      <c r="C1037" s="16"/>
      <c r="D1037" s="16"/>
      <c r="J1037" s="16"/>
      <c r="O1037" s="16"/>
    </row>
    <row r="1038" spans="3:15" x14ac:dyDescent="0.3">
      <c r="C1038" s="16"/>
      <c r="D1038" s="16"/>
      <c r="J1038" s="16"/>
      <c r="O1038" s="16"/>
    </row>
    <row r="1039" spans="3:15" x14ac:dyDescent="0.3">
      <c r="C1039" s="16"/>
      <c r="D1039" s="16"/>
      <c r="J1039" s="16"/>
      <c r="O1039" s="16"/>
    </row>
    <row r="1040" spans="3:15" x14ac:dyDescent="0.3">
      <c r="C1040" s="16"/>
      <c r="D1040" s="16"/>
      <c r="J1040" s="16"/>
      <c r="O1040" s="16"/>
    </row>
    <row r="1041" spans="3:15" x14ac:dyDescent="0.3">
      <c r="C1041" s="16"/>
      <c r="D1041" s="16"/>
      <c r="J1041" s="16"/>
      <c r="O1041" s="16"/>
    </row>
    <row r="1042" spans="3:15" x14ac:dyDescent="0.3">
      <c r="C1042" s="16"/>
      <c r="D1042" s="16"/>
      <c r="J1042" s="16"/>
      <c r="O1042" s="16"/>
    </row>
    <row r="1043" spans="3:15" x14ac:dyDescent="0.3">
      <c r="C1043" s="16"/>
      <c r="D1043" s="16"/>
      <c r="J1043" s="16"/>
      <c r="O1043" s="16"/>
    </row>
    <row r="1044" spans="3:15" x14ac:dyDescent="0.3">
      <c r="C1044" s="16"/>
      <c r="D1044" s="16"/>
      <c r="J1044" s="16"/>
      <c r="O1044" s="16"/>
    </row>
    <row r="1045" spans="3:15" x14ac:dyDescent="0.3">
      <c r="C1045" s="16"/>
      <c r="D1045" s="16"/>
      <c r="J1045" s="16"/>
      <c r="O1045" s="16"/>
    </row>
    <row r="1046" spans="3:15" x14ac:dyDescent="0.3">
      <c r="C1046" s="16"/>
      <c r="D1046" s="16"/>
      <c r="J1046" s="16"/>
      <c r="O1046" s="16"/>
    </row>
    <row r="1047" spans="3:15" x14ac:dyDescent="0.3">
      <c r="C1047" s="16"/>
      <c r="D1047" s="16"/>
      <c r="J1047" s="16"/>
      <c r="O1047" s="16"/>
    </row>
    <row r="1048" spans="3:15" x14ac:dyDescent="0.3">
      <c r="C1048" s="16"/>
      <c r="D1048" s="16"/>
      <c r="J1048" s="16"/>
      <c r="O1048" s="16"/>
    </row>
    <row r="1049" spans="3:15" x14ac:dyDescent="0.3">
      <c r="C1049" s="16"/>
      <c r="D1049" s="16"/>
      <c r="J1049" s="16"/>
      <c r="O1049" s="16"/>
    </row>
    <row r="1050" spans="3:15" x14ac:dyDescent="0.3">
      <c r="C1050" s="16"/>
      <c r="D1050" s="16"/>
      <c r="J1050" s="16"/>
      <c r="O1050" s="16"/>
    </row>
    <row r="1051" spans="3:15" x14ac:dyDescent="0.3">
      <c r="C1051" s="16"/>
      <c r="D1051" s="16"/>
      <c r="J1051" s="16"/>
      <c r="O1051" s="16"/>
    </row>
    <row r="1052" spans="3:15" x14ac:dyDescent="0.3">
      <c r="C1052" s="16"/>
      <c r="D1052" s="16"/>
      <c r="J1052" s="16"/>
      <c r="O1052" s="16"/>
    </row>
    <row r="1053" spans="3:15" x14ac:dyDescent="0.3">
      <c r="C1053" s="16"/>
      <c r="D1053" s="16"/>
      <c r="J1053" s="16"/>
      <c r="O1053" s="16"/>
    </row>
    <row r="1054" spans="3:15" x14ac:dyDescent="0.3">
      <c r="C1054" s="16"/>
      <c r="D1054" s="16"/>
      <c r="J1054" s="16"/>
      <c r="O1054" s="16"/>
    </row>
    <row r="1055" spans="3:15" x14ac:dyDescent="0.3">
      <c r="C1055" s="16"/>
      <c r="D1055" s="16"/>
      <c r="J1055" s="16"/>
      <c r="O1055" s="16"/>
    </row>
    <row r="1056" spans="3:15" x14ac:dyDescent="0.3">
      <c r="C1056" s="16"/>
      <c r="D1056" s="16"/>
      <c r="J1056" s="16"/>
      <c r="O1056" s="16"/>
    </row>
    <row r="1057" spans="3:15" x14ac:dyDescent="0.3">
      <c r="C1057" s="16"/>
      <c r="D1057" s="16"/>
      <c r="J1057" s="16"/>
      <c r="O1057" s="16"/>
    </row>
    <row r="1058" spans="3:15" x14ac:dyDescent="0.3">
      <c r="C1058" s="16"/>
      <c r="D1058" s="16"/>
      <c r="J1058" s="16"/>
      <c r="O1058" s="16"/>
    </row>
    <row r="1059" spans="3:15" x14ac:dyDescent="0.3">
      <c r="C1059" s="16"/>
      <c r="D1059" s="16"/>
      <c r="J1059" s="16"/>
      <c r="O1059" s="16"/>
    </row>
    <row r="1060" spans="3:15" x14ac:dyDescent="0.3">
      <c r="C1060" s="16"/>
      <c r="D1060" s="16"/>
      <c r="J1060" s="16"/>
      <c r="O1060" s="16"/>
    </row>
    <row r="1061" spans="3:15" x14ac:dyDescent="0.3">
      <c r="C1061" s="16"/>
      <c r="D1061" s="16"/>
      <c r="J1061" s="16"/>
      <c r="O1061" s="16"/>
    </row>
    <row r="1062" spans="3:15" x14ac:dyDescent="0.3">
      <c r="C1062" s="16"/>
      <c r="D1062" s="16"/>
      <c r="J1062" s="16"/>
      <c r="O1062" s="16"/>
    </row>
    <row r="1063" spans="3:15" x14ac:dyDescent="0.3">
      <c r="C1063" s="16"/>
      <c r="D1063" s="16"/>
      <c r="J1063" s="16"/>
      <c r="O1063" s="16"/>
    </row>
    <row r="1064" spans="3:15" x14ac:dyDescent="0.3">
      <c r="C1064" s="16"/>
      <c r="D1064" s="16"/>
      <c r="J1064" s="16"/>
      <c r="O1064" s="16"/>
    </row>
    <row r="1065" spans="3:15" x14ac:dyDescent="0.3">
      <c r="C1065" s="16"/>
      <c r="D1065" s="16"/>
      <c r="J1065" s="16"/>
      <c r="O1065" s="16"/>
    </row>
    <row r="1066" spans="3:15" x14ac:dyDescent="0.3">
      <c r="C1066" s="16"/>
      <c r="D1066" s="16"/>
      <c r="J1066" s="16"/>
      <c r="O1066" s="16"/>
    </row>
    <row r="1067" spans="3:15" x14ac:dyDescent="0.3">
      <c r="C1067" s="16"/>
      <c r="D1067" s="16"/>
      <c r="J1067" s="16"/>
      <c r="O1067" s="16"/>
    </row>
    <row r="1068" spans="3:15" x14ac:dyDescent="0.3">
      <c r="C1068" s="16"/>
      <c r="D1068" s="16"/>
      <c r="J1068" s="16"/>
      <c r="O1068" s="16"/>
    </row>
    <row r="1069" spans="3:15" x14ac:dyDescent="0.3">
      <c r="C1069" s="16"/>
      <c r="D1069" s="16"/>
      <c r="J1069" s="16"/>
      <c r="O1069" s="16"/>
    </row>
    <row r="1070" spans="3:15" x14ac:dyDescent="0.3">
      <c r="C1070" s="16"/>
      <c r="D1070" s="16"/>
      <c r="J1070" s="16"/>
      <c r="O1070" s="16"/>
    </row>
    <row r="1071" spans="3:15" x14ac:dyDescent="0.3">
      <c r="C1071" s="16"/>
      <c r="D1071" s="16"/>
      <c r="J1071" s="16"/>
      <c r="O1071" s="16"/>
    </row>
    <row r="1072" spans="3:15" x14ac:dyDescent="0.3">
      <c r="C1072" s="16"/>
      <c r="D1072" s="16"/>
      <c r="J1072" s="16"/>
      <c r="O1072" s="16"/>
    </row>
    <row r="1073" spans="3:15" x14ac:dyDescent="0.3">
      <c r="C1073" s="16"/>
      <c r="D1073" s="16"/>
      <c r="J1073" s="16"/>
      <c r="O1073" s="16"/>
    </row>
    <row r="1074" spans="3:15" x14ac:dyDescent="0.3">
      <c r="C1074" s="16"/>
      <c r="D1074" s="16"/>
      <c r="J1074" s="16"/>
      <c r="O1074" s="16"/>
    </row>
    <row r="1075" spans="3:15" x14ac:dyDescent="0.3">
      <c r="C1075" s="16"/>
      <c r="D1075" s="16"/>
      <c r="J1075" s="16"/>
      <c r="O1075" s="16"/>
    </row>
    <row r="1076" spans="3:15" x14ac:dyDescent="0.3">
      <c r="C1076" s="16"/>
      <c r="D1076" s="16"/>
      <c r="J1076" s="16"/>
      <c r="O1076" s="16"/>
    </row>
    <row r="1077" spans="3:15" x14ac:dyDescent="0.3">
      <c r="C1077" s="16"/>
      <c r="D1077" s="16"/>
      <c r="J1077" s="16"/>
      <c r="O1077" s="16"/>
    </row>
    <row r="1078" spans="3:15" x14ac:dyDescent="0.3">
      <c r="C1078" s="16"/>
      <c r="D1078" s="16"/>
      <c r="J1078" s="16"/>
      <c r="O1078" s="16"/>
    </row>
    <row r="1079" spans="3:15" x14ac:dyDescent="0.3">
      <c r="C1079" s="16"/>
      <c r="D1079" s="16"/>
      <c r="J1079" s="16"/>
      <c r="O1079" s="16"/>
    </row>
    <row r="1080" spans="3:15" x14ac:dyDescent="0.3">
      <c r="C1080" s="16"/>
      <c r="D1080" s="16"/>
      <c r="J1080" s="16"/>
      <c r="O1080" s="16"/>
    </row>
    <row r="1081" spans="3:15" x14ac:dyDescent="0.3">
      <c r="C1081" s="16"/>
      <c r="D1081" s="16"/>
      <c r="J1081" s="16"/>
      <c r="O1081" s="16"/>
    </row>
    <row r="1082" spans="3:15" x14ac:dyDescent="0.3">
      <c r="C1082" s="16"/>
      <c r="D1082" s="16"/>
      <c r="J1082" s="16"/>
      <c r="O1082" s="16"/>
    </row>
    <row r="1083" spans="3:15" x14ac:dyDescent="0.3">
      <c r="C1083" s="16"/>
      <c r="D1083" s="16"/>
      <c r="J1083" s="16"/>
      <c r="O1083" s="16"/>
    </row>
    <row r="1084" spans="3:15" x14ac:dyDescent="0.3">
      <c r="C1084" s="16"/>
      <c r="D1084" s="16"/>
      <c r="J1084" s="16"/>
      <c r="O1084" s="16"/>
    </row>
    <row r="1085" spans="3:15" x14ac:dyDescent="0.3">
      <c r="C1085" s="16"/>
      <c r="D1085" s="16"/>
      <c r="J1085" s="16"/>
      <c r="O1085" s="16"/>
    </row>
    <row r="1086" spans="3:15" x14ac:dyDescent="0.3">
      <c r="C1086" s="16"/>
      <c r="D1086" s="16"/>
      <c r="J1086" s="16"/>
      <c r="O1086" s="16"/>
    </row>
    <row r="1087" spans="3:15" x14ac:dyDescent="0.3">
      <c r="C1087" s="16"/>
      <c r="D1087" s="16"/>
      <c r="J1087" s="16"/>
      <c r="O1087" s="16"/>
    </row>
    <row r="1088" spans="3:15" x14ac:dyDescent="0.3">
      <c r="C1088" s="16"/>
      <c r="D1088" s="16"/>
      <c r="J1088" s="16"/>
      <c r="O1088" s="16"/>
    </row>
    <row r="1089" spans="3:15" x14ac:dyDescent="0.3">
      <c r="C1089" s="16"/>
      <c r="D1089" s="16"/>
      <c r="J1089" s="16"/>
      <c r="O1089" s="16"/>
    </row>
    <row r="1090" spans="3:15" x14ac:dyDescent="0.3">
      <c r="C1090" s="16"/>
      <c r="D1090" s="16"/>
      <c r="J1090" s="16"/>
      <c r="O1090" s="16"/>
    </row>
    <row r="1091" spans="3:15" x14ac:dyDescent="0.3">
      <c r="C1091" s="16"/>
      <c r="D1091" s="16"/>
      <c r="J1091" s="16"/>
      <c r="O1091" s="16"/>
    </row>
    <row r="1092" spans="3:15" x14ac:dyDescent="0.3">
      <c r="C1092" s="16"/>
      <c r="D1092" s="16"/>
      <c r="J1092" s="16"/>
      <c r="O1092" s="16"/>
    </row>
    <row r="1093" spans="3:15" x14ac:dyDescent="0.3">
      <c r="C1093" s="16"/>
      <c r="D1093" s="16"/>
      <c r="J1093" s="16"/>
      <c r="O1093" s="16"/>
    </row>
    <row r="1094" spans="3:15" x14ac:dyDescent="0.3">
      <c r="C1094" s="16"/>
      <c r="D1094" s="16"/>
      <c r="J1094" s="16"/>
      <c r="O1094" s="16"/>
    </row>
    <row r="1095" spans="3:15" x14ac:dyDescent="0.3">
      <c r="C1095" s="16"/>
      <c r="D1095" s="16"/>
      <c r="J1095" s="16"/>
      <c r="O1095" s="16"/>
    </row>
    <row r="1096" spans="3:15" x14ac:dyDescent="0.3">
      <c r="C1096" s="16"/>
      <c r="D1096" s="16"/>
      <c r="J1096" s="16"/>
      <c r="O1096" s="16"/>
    </row>
    <row r="1097" spans="3:15" x14ac:dyDescent="0.3">
      <c r="C1097" s="16"/>
      <c r="D1097" s="16"/>
      <c r="J1097" s="16"/>
      <c r="O1097" s="16"/>
    </row>
    <row r="1098" spans="3:15" x14ac:dyDescent="0.3">
      <c r="C1098" s="16"/>
      <c r="D1098" s="16"/>
      <c r="J1098" s="16"/>
      <c r="O1098" s="16"/>
    </row>
    <row r="1099" spans="3:15" x14ac:dyDescent="0.3">
      <c r="C1099" s="16"/>
      <c r="D1099" s="16"/>
      <c r="J1099" s="16"/>
      <c r="O1099" s="16"/>
    </row>
    <row r="1100" spans="3:15" x14ac:dyDescent="0.3">
      <c r="C1100" s="16"/>
      <c r="D1100" s="16"/>
      <c r="J1100" s="16"/>
      <c r="O1100" s="16"/>
    </row>
    <row r="1101" spans="3:15" x14ac:dyDescent="0.3">
      <c r="C1101" s="16"/>
      <c r="D1101" s="16"/>
      <c r="J1101" s="16"/>
      <c r="O1101" s="16"/>
    </row>
    <row r="1102" spans="3:15" x14ac:dyDescent="0.3">
      <c r="C1102" s="16"/>
      <c r="D1102" s="16"/>
      <c r="J1102" s="16"/>
      <c r="O1102" s="16"/>
    </row>
    <row r="1103" spans="3:15" x14ac:dyDescent="0.3">
      <c r="C1103" s="16"/>
      <c r="D1103" s="16"/>
      <c r="J1103" s="16"/>
      <c r="O1103" s="16"/>
    </row>
    <row r="1104" spans="3:15" x14ac:dyDescent="0.3">
      <c r="C1104" s="16"/>
      <c r="D1104" s="16"/>
      <c r="J1104" s="16"/>
      <c r="O1104" s="16"/>
    </row>
    <row r="1105" spans="3:15" x14ac:dyDescent="0.3">
      <c r="C1105" s="16"/>
      <c r="D1105" s="16"/>
      <c r="J1105" s="16"/>
      <c r="O1105" s="16"/>
    </row>
    <row r="1106" spans="3:15" x14ac:dyDescent="0.3">
      <c r="C1106" s="16"/>
      <c r="D1106" s="16"/>
      <c r="J1106" s="16"/>
      <c r="O1106" s="16"/>
    </row>
    <row r="1107" spans="3:15" x14ac:dyDescent="0.3">
      <c r="C1107" s="16"/>
      <c r="D1107" s="16"/>
      <c r="J1107" s="16"/>
      <c r="O1107" s="16"/>
    </row>
    <row r="1108" spans="3:15" x14ac:dyDescent="0.3">
      <c r="C1108" s="16"/>
      <c r="D1108" s="16"/>
      <c r="J1108" s="16"/>
      <c r="O1108" s="16"/>
    </row>
    <row r="1109" spans="3:15" x14ac:dyDescent="0.3">
      <c r="C1109" s="16"/>
      <c r="D1109" s="16"/>
      <c r="J1109" s="16"/>
      <c r="O1109" s="16"/>
    </row>
    <row r="1110" spans="3:15" x14ac:dyDescent="0.3">
      <c r="C1110" s="16"/>
      <c r="D1110" s="16"/>
      <c r="J1110" s="16"/>
      <c r="O1110" s="16"/>
    </row>
    <row r="1111" spans="3:15" x14ac:dyDescent="0.3">
      <c r="C1111" s="16"/>
      <c r="D1111" s="16"/>
      <c r="J1111" s="16"/>
      <c r="O1111" s="16"/>
    </row>
    <row r="1112" spans="3:15" x14ac:dyDescent="0.3">
      <c r="C1112" s="16"/>
      <c r="D1112" s="16"/>
      <c r="J1112" s="16"/>
      <c r="O1112" s="16"/>
    </row>
    <row r="1113" spans="3:15" x14ac:dyDescent="0.3">
      <c r="C1113" s="16"/>
      <c r="D1113" s="16"/>
      <c r="J1113" s="16"/>
      <c r="O1113" s="16"/>
    </row>
    <row r="1114" spans="3:15" x14ac:dyDescent="0.3">
      <c r="C1114" s="16"/>
      <c r="D1114" s="16"/>
      <c r="J1114" s="16"/>
      <c r="O1114" s="16"/>
    </row>
    <row r="1115" spans="3:15" x14ac:dyDescent="0.3">
      <c r="C1115" s="16"/>
      <c r="D1115" s="16"/>
      <c r="J1115" s="16"/>
      <c r="O1115" s="16"/>
    </row>
    <row r="1116" spans="3:15" x14ac:dyDescent="0.3">
      <c r="C1116" s="16"/>
      <c r="D1116" s="16"/>
      <c r="J1116" s="16"/>
      <c r="O1116" s="16"/>
    </row>
    <row r="1117" spans="3:15" x14ac:dyDescent="0.3">
      <c r="C1117" s="16"/>
      <c r="D1117" s="16"/>
      <c r="J1117" s="16"/>
      <c r="O1117" s="16"/>
    </row>
    <row r="1118" spans="3:15" x14ac:dyDescent="0.3">
      <c r="C1118" s="16"/>
      <c r="D1118" s="16"/>
      <c r="J1118" s="16"/>
      <c r="O1118" s="16"/>
    </row>
    <row r="1119" spans="3:15" x14ac:dyDescent="0.3">
      <c r="C1119" s="16"/>
      <c r="D1119" s="16"/>
      <c r="J1119" s="16"/>
      <c r="O1119" s="16"/>
    </row>
    <row r="1120" spans="3:15" x14ac:dyDescent="0.3">
      <c r="C1120" s="16"/>
      <c r="D1120" s="16"/>
      <c r="J1120" s="16"/>
      <c r="O1120" s="16"/>
    </row>
    <row r="1121" spans="3:15" x14ac:dyDescent="0.3">
      <c r="C1121" s="16"/>
      <c r="D1121" s="16"/>
      <c r="J1121" s="16"/>
      <c r="O1121" s="16"/>
    </row>
    <row r="1122" spans="3:15" x14ac:dyDescent="0.3">
      <c r="C1122" s="16"/>
      <c r="D1122" s="16"/>
      <c r="J1122" s="16"/>
      <c r="O1122" s="16"/>
    </row>
    <row r="1123" spans="3:15" x14ac:dyDescent="0.3">
      <c r="C1123" s="16"/>
      <c r="D1123" s="16"/>
      <c r="J1123" s="16"/>
      <c r="O1123" s="16"/>
    </row>
    <row r="1124" spans="3:15" x14ac:dyDescent="0.3">
      <c r="C1124" s="16"/>
      <c r="D1124" s="16"/>
      <c r="J1124" s="16"/>
      <c r="O1124" s="16"/>
    </row>
    <row r="1125" spans="3:15" x14ac:dyDescent="0.3">
      <c r="C1125" s="16"/>
      <c r="D1125" s="16"/>
      <c r="J1125" s="16"/>
      <c r="O1125" s="16"/>
    </row>
    <row r="1126" spans="3:15" x14ac:dyDescent="0.3">
      <c r="C1126" s="16"/>
      <c r="D1126" s="16"/>
      <c r="J1126" s="16"/>
      <c r="O1126" s="16"/>
    </row>
    <row r="1127" spans="3:15" x14ac:dyDescent="0.3">
      <c r="C1127" s="16"/>
      <c r="D1127" s="16"/>
      <c r="J1127" s="16"/>
      <c r="O1127" s="16"/>
    </row>
    <row r="1128" spans="3:15" x14ac:dyDescent="0.3">
      <c r="C1128" s="16"/>
      <c r="D1128" s="16"/>
      <c r="J1128" s="16"/>
      <c r="O1128" s="16"/>
    </row>
    <row r="1129" spans="3:15" x14ac:dyDescent="0.3">
      <c r="C1129" s="16"/>
      <c r="D1129" s="16"/>
      <c r="J1129" s="16"/>
      <c r="O1129" s="16"/>
    </row>
    <row r="1130" spans="3:15" x14ac:dyDescent="0.3">
      <c r="C1130" s="16"/>
      <c r="D1130" s="16"/>
      <c r="J1130" s="16"/>
      <c r="O1130" s="16"/>
    </row>
    <row r="1131" spans="3:15" x14ac:dyDescent="0.3">
      <c r="C1131" s="16"/>
      <c r="D1131" s="16"/>
      <c r="J1131" s="16"/>
      <c r="O1131" s="16"/>
    </row>
    <row r="1132" spans="3:15" x14ac:dyDescent="0.3">
      <c r="C1132" s="16"/>
      <c r="D1132" s="16"/>
      <c r="J1132" s="16"/>
      <c r="O1132" s="16"/>
    </row>
    <row r="1133" spans="3:15" x14ac:dyDescent="0.3">
      <c r="C1133" s="16"/>
      <c r="D1133" s="16"/>
      <c r="J1133" s="16"/>
      <c r="O1133" s="16"/>
    </row>
    <row r="1134" spans="3:15" x14ac:dyDescent="0.3">
      <c r="C1134" s="16"/>
      <c r="D1134" s="16"/>
      <c r="J1134" s="16"/>
      <c r="O1134" s="16"/>
    </row>
    <row r="1135" spans="3:15" x14ac:dyDescent="0.3">
      <c r="C1135" s="16"/>
      <c r="D1135" s="16"/>
      <c r="J1135" s="16"/>
      <c r="O1135" s="16"/>
    </row>
    <row r="1136" spans="3:15" x14ac:dyDescent="0.3">
      <c r="C1136" s="16"/>
      <c r="D1136" s="16"/>
      <c r="J1136" s="16"/>
      <c r="O1136" s="16"/>
    </row>
    <row r="1137" spans="3:15" x14ac:dyDescent="0.3">
      <c r="C1137" s="16"/>
      <c r="D1137" s="16"/>
      <c r="J1137" s="16"/>
      <c r="O1137" s="16"/>
    </row>
    <row r="1138" spans="3:15" x14ac:dyDescent="0.3">
      <c r="C1138" s="16"/>
      <c r="D1138" s="16"/>
      <c r="J1138" s="16"/>
      <c r="O1138" s="16"/>
    </row>
    <row r="1139" spans="3:15" x14ac:dyDescent="0.3">
      <c r="C1139" s="16"/>
      <c r="D1139" s="16"/>
      <c r="J1139" s="16"/>
      <c r="O1139" s="16"/>
    </row>
    <row r="1140" spans="3:15" x14ac:dyDescent="0.3">
      <c r="C1140" s="16"/>
      <c r="D1140" s="16"/>
      <c r="J1140" s="16"/>
      <c r="O1140" s="16"/>
    </row>
    <row r="1141" spans="3:15" x14ac:dyDescent="0.3">
      <c r="C1141" s="16"/>
      <c r="D1141" s="16"/>
      <c r="J1141" s="16"/>
      <c r="O1141" s="16"/>
    </row>
    <row r="1142" spans="3:15" x14ac:dyDescent="0.3">
      <c r="C1142" s="16"/>
      <c r="D1142" s="16"/>
      <c r="J1142" s="16"/>
      <c r="O1142" s="16"/>
    </row>
    <row r="1143" spans="3:15" x14ac:dyDescent="0.3">
      <c r="C1143" s="16"/>
      <c r="D1143" s="16"/>
      <c r="J1143" s="16"/>
      <c r="O1143" s="16"/>
    </row>
    <row r="1144" spans="3:15" x14ac:dyDescent="0.3">
      <c r="C1144" s="16"/>
      <c r="D1144" s="16"/>
      <c r="J1144" s="16"/>
      <c r="O1144" s="16"/>
    </row>
    <row r="1145" spans="3:15" x14ac:dyDescent="0.3">
      <c r="C1145" s="16"/>
      <c r="D1145" s="16"/>
      <c r="J1145" s="16"/>
      <c r="O1145" s="16"/>
    </row>
    <row r="1146" spans="3:15" x14ac:dyDescent="0.3">
      <c r="C1146" s="16"/>
      <c r="D1146" s="16"/>
      <c r="J1146" s="16"/>
      <c r="O1146" s="16"/>
    </row>
    <row r="1147" spans="3:15" x14ac:dyDescent="0.3">
      <c r="C1147" s="16"/>
      <c r="D1147" s="16"/>
      <c r="J1147" s="16"/>
      <c r="O1147" s="16"/>
    </row>
    <row r="1148" spans="3:15" x14ac:dyDescent="0.3">
      <c r="C1148" s="16"/>
      <c r="D1148" s="16"/>
      <c r="J1148" s="16"/>
      <c r="O1148" s="16"/>
    </row>
    <row r="1149" spans="3:15" x14ac:dyDescent="0.3">
      <c r="C1149" s="16"/>
      <c r="D1149" s="16"/>
      <c r="J1149" s="16"/>
      <c r="O1149" s="16"/>
    </row>
    <row r="1150" spans="3:15" x14ac:dyDescent="0.3">
      <c r="C1150" s="16"/>
      <c r="D1150" s="16"/>
      <c r="J1150" s="16"/>
      <c r="O1150" s="16"/>
    </row>
    <row r="1151" spans="3:15" x14ac:dyDescent="0.3">
      <c r="C1151" s="16"/>
      <c r="D1151" s="16"/>
      <c r="J1151" s="16"/>
      <c r="O1151" s="16"/>
    </row>
    <row r="1152" spans="3:15" x14ac:dyDescent="0.3">
      <c r="C1152" s="16"/>
      <c r="D1152" s="16"/>
      <c r="J1152" s="16"/>
      <c r="O1152" s="16"/>
    </row>
    <row r="1153" spans="3:15" x14ac:dyDescent="0.3">
      <c r="C1153" s="16"/>
      <c r="D1153" s="16"/>
      <c r="J1153" s="16"/>
      <c r="O1153" s="16"/>
    </row>
    <row r="1154" spans="3:15" x14ac:dyDescent="0.3">
      <c r="C1154" s="16"/>
      <c r="D1154" s="16"/>
      <c r="J1154" s="16"/>
      <c r="O1154" s="16"/>
    </row>
    <row r="1155" spans="3:15" x14ac:dyDescent="0.3">
      <c r="C1155" s="16"/>
      <c r="D1155" s="16"/>
      <c r="J1155" s="16"/>
      <c r="O1155" s="16"/>
    </row>
    <row r="1156" spans="3:15" x14ac:dyDescent="0.3">
      <c r="C1156" s="16"/>
      <c r="D1156" s="16"/>
      <c r="J1156" s="16"/>
      <c r="O1156" s="16"/>
    </row>
    <row r="1157" spans="3:15" x14ac:dyDescent="0.3">
      <c r="C1157" s="16"/>
      <c r="D1157" s="16"/>
      <c r="J1157" s="16"/>
      <c r="O1157" s="16"/>
    </row>
    <row r="1158" spans="3:15" x14ac:dyDescent="0.3">
      <c r="C1158" s="16"/>
      <c r="D1158" s="16"/>
      <c r="J1158" s="16"/>
      <c r="O1158" s="16"/>
    </row>
    <row r="1159" spans="3:15" x14ac:dyDescent="0.3">
      <c r="C1159" s="16"/>
      <c r="D1159" s="16"/>
      <c r="J1159" s="16"/>
      <c r="O1159" s="16"/>
    </row>
    <row r="1160" spans="3:15" x14ac:dyDescent="0.3">
      <c r="C1160" s="16"/>
      <c r="D1160" s="16"/>
      <c r="J1160" s="16"/>
      <c r="O1160" s="16"/>
    </row>
    <row r="1161" spans="3:15" x14ac:dyDescent="0.3">
      <c r="C1161" s="16"/>
      <c r="D1161" s="16"/>
      <c r="J1161" s="16"/>
      <c r="O1161" s="16"/>
    </row>
    <row r="1162" spans="3:15" x14ac:dyDescent="0.3">
      <c r="C1162" s="16"/>
      <c r="D1162" s="16"/>
      <c r="J1162" s="16"/>
      <c r="O1162" s="16"/>
    </row>
    <row r="1163" spans="3:15" x14ac:dyDescent="0.3">
      <c r="C1163" s="16"/>
      <c r="D1163" s="16"/>
      <c r="J1163" s="16"/>
      <c r="O1163" s="16"/>
    </row>
    <row r="1164" spans="3:15" x14ac:dyDescent="0.3">
      <c r="C1164" s="16"/>
      <c r="D1164" s="16"/>
      <c r="J1164" s="16"/>
      <c r="O1164" s="16"/>
    </row>
    <row r="1165" spans="3:15" x14ac:dyDescent="0.3">
      <c r="C1165" s="16"/>
      <c r="D1165" s="16"/>
      <c r="J1165" s="16"/>
      <c r="O1165" s="16"/>
    </row>
    <row r="1166" spans="3:15" x14ac:dyDescent="0.3">
      <c r="C1166" s="16"/>
      <c r="D1166" s="16"/>
      <c r="J1166" s="16"/>
      <c r="O1166" s="16"/>
    </row>
    <row r="1167" spans="3:15" x14ac:dyDescent="0.3">
      <c r="C1167" s="16"/>
      <c r="D1167" s="16"/>
      <c r="J1167" s="16"/>
      <c r="O1167" s="16"/>
    </row>
    <row r="1168" spans="3:15" x14ac:dyDescent="0.3">
      <c r="C1168" s="16"/>
      <c r="D1168" s="16"/>
      <c r="J1168" s="16"/>
      <c r="O1168" s="16"/>
    </row>
    <row r="1169" spans="3:15" x14ac:dyDescent="0.3">
      <c r="C1169" s="16"/>
      <c r="D1169" s="16"/>
      <c r="J1169" s="16"/>
      <c r="O1169" s="16"/>
    </row>
    <row r="1170" spans="3:15" x14ac:dyDescent="0.3">
      <c r="C1170" s="16"/>
      <c r="D1170" s="16"/>
      <c r="J1170" s="16"/>
      <c r="O1170" s="16"/>
    </row>
    <row r="1171" spans="3:15" x14ac:dyDescent="0.3">
      <c r="C1171" s="16"/>
      <c r="D1171" s="16"/>
      <c r="J1171" s="16"/>
      <c r="O1171" s="16"/>
    </row>
    <row r="1172" spans="3:15" x14ac:dyDescent="0.3">
      <c r="C1172" s="16"/>
      <c r="D1172" s="16"/>
      <c r="J1172" s="16"/>
      <c r="O1172" s="16"/>
    </row>
    <row r="1173" spans="3:15" x14ac:dyDescent="0.3">
      <c r="C1173" s="16"/>
      <c r="D1173" s="16"/>
      <c r="J1173" s="16"/>
      <c r="O1173" s="16"/>
    </row>
    <row r="1174" spans="3:15" x14ac:dyDescent="0.3">
      <c r="C1174" s="16"/>
      <c r="D1174" s="16"/>
      <c r="J1174" s="16"/>
      <c r="O1174" s="16"/>
    </row>
    <row r="1175" spans="3:15" x14ac:dyDescent="0.3">
      <c r="C1175" s="16"/>
      <c r="D1175" s="16"/>
      <c r="J1175" s="16"/>
      <c r="O1175" s="16"/>
    </row>
    <row r="1176" spans="3:15" x14ac:dyDescent="0.3">
      <c r="C1176" s="16"/>
      <c r="D1176" s="16"/>
      <c r="J1176" s="16"/>
      <c r="O1176" s="16"/>
    </row>
    <row r="1177" spans="3:15" x14ac:dyDescent="0.3">
      <c r="C1177" s="16"/>
      <c r="D1177" s="16"/>
      <c r="J1177" s="16"/>
      <c r="O1177" s="16"/>
    </row>
    <row r="1178" spans="3:15" x14ac:dyDescent="0.3">
      <c r="C1178" s="16"/>
      <c r="D1178" s="16"/>
      <c r="J1178" s="16"/>
      <c r="O1178" s="16"/>
    </row>
    <row r="1179" spans="3:15" x14ac:dyDescent="0.3">
      <c r="C1179" s="16"/>
      <c r="D1179" s="16"/>
      <c r="J1179" s="16"/>
      <c r="O1179" s="16"/>
    </row>
    <row r="1180" spans="3:15" x14ac:dyDescent="0.3">
      <c r="C1180" s="16"/>
      <c r="D1180" s="16"/>
      <c r="J1180" s="16"/>
      <c r="O1180" s="16"/>
    </row>
    <row r="1181" spans="3:15" x14ac:dyDescent="0.3">
      <c r="C1181" s="16"/>
      <c r="D1181" s="16"/>
      <c r="J1181" s="16"/>
      <c r="O1181" s="16"/>
    </row>
    <row r="1182" spans="3:15" x14ac:dyDescent="0.3">
      <c r="C1182" s="16"/>
      <c r="D1182" s="16"/>
      <c r="J1182" s="16"/>
      <c r="O1182" s="16"/>
    </row>
    <row r="1183" spans="3:15" x14ac:dyDescent="0.3">
      <c r="C1183" s="16"/>
      <c r="D1183" s="16"/>
      <c r="J1183" s="16"/>
      <c r="O1183" s="16"/>
    </row>
    <row r="1184" spans="3:15" x14ac:dyDescent="0.3">
      <c r="C1184" s="16"/>
      <c r="D1184" s="16"/>
      <c r="J1184" s="16"/>
      <c r="O1184" s="16"/>
    </row>
    <row r="1185" spans="3:15" x14ac:dyDescent="0.3">
      <c r="C1185" s="16"/>
      <c r="D1185" s="16"/>
      <c r="J1185" s="16"/>
      <c r="O1185" s="16"/>
    </row>
    <row r="1186" spans="3:15" x14ac:dyDescent="0.3">
      <c r="C1186" s="16"/>
      <c r="D1186" s="16"/>
      <c r="J1186" s="16"/>
      <c r="O1186" s="16"/>
    </row>
    <row r="1187" spans="3:15" x14ac:dyDescent="0.3">
      <c r="C1187" s="16"/>
      <c r="D1187" s="16"/>
      <c r="J1187" s="16"/>
      <c r="O1187" s="16"/>
    </row>
    <row r="1188" spans="3:15" x14ac:dyDescent="0.3">
      <c r="C1188" s="16"/>
      <c r="D1188" s="16"/>
      <c r="J1188" s="16"/>
      <c r="O1188" s="16"/>
    </row>
    <row r="1189" spans="3:15" x14ac:dyDescent="0.3">
      <c r="C1189" s="16"/>
      <c r="D1189" s="16"/>
      <c r="J1189" s="16"/>
      <c r="O1189" s="16"/>
    </row>
    <row r="1190" spans="3:15" x14ac:dyDescent="0.3">
      <c r="C1190" s="16"/>
      <c r="D1190" s="16"/>
      <c r="J1190" s="16"/>
      <c r="O1190" s="16"/>
    </row>
    <row r="1191" spans="3:15" x14ac:dyDescent="0.3">
      <c r="C1191" s="16"/>
      <c r="D1191" s="16"/>
      <c r="J1191" s="16"/>
      <c r="O1191" s="16"/>
    </row>
    <row r="1192" spans="3:15" x14ac:dyDescent="0.3">
      <c r="C1192" s="16"/>
      <c r="D1192" s="16"/>
      <c r="J1192" s="16"/>
      <c r="O1192" s="16"/>
    </row>
    <row r="1193" spans="3:15" x14ac:dyDescent="0.3">
      <c r="C1193" s="16"/>
      <c r="D1193" s="16"/>
      <c r="J1193" s="16"/>
      <c r="O1193" s="16"/>
    </row>
    <row r="1194" spans="3:15" x14ac:dyDescent="0.3">
      <c r="C1194" s="16"/>
      <c r="D1194" s="16"/>
      <c r="J1194" s="16"/>
      <c r="O1194" s="16"/>
    </row>
    <row r="1195" spans="3:15" x14ac:dyDescent="0.3">
      <c r="C1195" s="16"/>
      <c r="D1195" s="16"/>
      <c r="J1195" s="16"/>
      <c r="O1195" s="16"/>
    </row>
    <row r="1196" spans="3:15" x14ac:dyDescent="0.3">
      <c r="C1196" s="16"/>
      <c r="D1196" s="16"/>
      <c r="J1196" s="16"/>
      <c r="O1196" s="16"/>
    </row>
    <row r="1197" spans="3:15" x14ac:dyDescent="0.3">
      <c r="C1197" s="16"/>
      <c r="D1197" s="16"/>
      <c r="J1197" s="16"/>
      <c r="O1197" s="16"/>
    </row>
    <row r="1198" spans="3:15" x14ac:dyDescent="0.3">
      <c r="C1198" s="16"/>
      <c r="D1198" s="16"/>
      <c r="J1198" s="16"/>
      <c r="O1198" s="16"/>
    </row>
    <row r="1199" spans="3:15" x14ac:dyDescent="0.3">
      <c r="C1199" s="16"/>
      <c r="D1199" s="16"/>
      <c r="J1199" s="16"/>
      <c r="O1199" s="16"/>
    </row>
    <row r="1200" spans="3:15" x14ac:dyDescent="0.3">
      <c r="C1200" s="16"/>
      <c r="D1200" s="16"/>
      <c r="J1200" s="16"/>
      <c r="O1200" s="16"/>
    </row>
    <row r="1201" spans="3:15" x14ac:dyDescent="0.3">
      <c r="C1201" s="16"/>
      <c r="D1201" s="16"/>
      <c r="J1201" s="16"/>
      <c r="O1201" s="16"/>
    </row>
    <row r="1202" spans="3:15" x14ac:dyDescent="0.3">
      <c r="C1202" s="16"/>
      <c r="D1202" s="16"/>
      <c r="J1202" s="16"/>
      <c r="O1202" s="16"/>
    </row>
    <row r="1203" spans="3:15" x14ac:dyDescent="0.3">
      <c r="C1203" s="16"/>
      <c r="D1203" s="16"/>
      <c r="J1203" s="16"/>
      <c r="O1203" s="16"/>
    </row>
    <row r="1204" spans="3:15" x14ac:dyDescent="0.3">
      <c r="C1204" s="16"/>
      <c r="D1204" s="16"/>
      <c r="J1204" s="16"/>
      <c r="O1204" s="16"/>
    </row>
    <row r="1205" spans="3:15" x14ac:dyDescent="0.3">
      <c r="C1205" s="16"/>
      <c r="D1205" s="16"/>
      <c r="J1205" s="16"/>
      <c r="O1205" s="16"/>
    </row>
    <row r="1206" spans="3:15" x14ac:dyDescent="0.3">
      <c r="C1206" s="16"/>
      <c r="D1206" s="16"/>
      <c r="J1206" s="16"/>
      <c r="O1206" s="16"/>
    </row>
    <row r="1207" spans="3:15" x14ac:dyDescent="0.3">
      <c r="C1207" s="16"/>
      <c r="D1207" s="16"/>
      <c r="J1207" s="16"/>
      <c r="O1207" s="16"/>
    </row>
    <row r="1208" spans="3:15" x14ac:dyDescent="0.3">
      <c r="C1208" s="16"/>
      <c r="D1208" s="16"/>
      <c r="J1208" s="16"/>
      <c r="O1208" s="16"/>
    </row>
    <row r="1209" spans="3:15" x14ac:dyDescent="0.3">
      <c r="C1209" s="16"/>
      <c r="D1209" s="16"/>
      <c r="J1209" s="16"/>
      <c r="O1209" s="16"/>
    </row>
    <row r="1210" spans="3:15" x14ac:dyDescent="0.3">
      <c r="C1210" s="16"/>
      <c r="D1210" s="16"/>
      <c r="J1210" s="16"/>
      <c r="O1210" s="16"/>
    </row>
    <row r="1211" spans="3:15" x14ac:dyDescent="0.3">
      <c r="C1211" s="16"/>
      <c r="D1211" s="16"/>
      <c r="J1211" s="16"/>
      <c r="O1211" s="16"/>
    </row>
    <row r="1212" spans="3:15" x14ac:dyDescent="0.3">
      <c r="C1212" s="16"/>
      <c r="D1212" s="16"/>
      <c r="J1212" s="16"/>
      <c r="O1212" s="16"/>
    </row>
    <row r="1213" spans="3:15" x14ac:dyDescent="0.3">
      <c r="C1213" s="16"/>
      <c r="D1213" s="16"/>
      <c r="J1213" s="16"/>
      <c r="O1213" s="16"/>
    </row>
    <row r="1214" spans="3:15" x14ac:dyDescent="0.3">
      <c r="C1214" s="16"/>
      <c r="D1214" s="16"/>
      <c r="J1214" s="16"/>
      <c r="O1214" s="16"/>
    </row>
    <row r="1215" spans="3:15" x14ac:dyDescent="0.3">
      <c r="C1215" s="16"/>
      <c r="D1215" s="16"/>
      <c r="J1215" s="16"/>
      <c r="O1215" s="16"/>
    </row>
    <row r="1216" spans="3:15" x14ac:dyDescent="0.3">
      <c r="C1216" s="16"/>
      <c r="D1216" s="16"/>
      <c r="J1216" s="16"/>
      <c r="O1216" s="16"/>
    </row>
    <row r="1217" spans="3:15" x14ac:dyDescent="0.3">
      <c r="C1217" s="16"/>
      <c r="D1217" s="16"/>
      <c r="J1217" s="16"/>
      <c r="O1217" s="16"/>
    </row>
    <row r="1218" spans="3:15" x14ac:dyDescent="0.3">
      <c r="C1218" s="16"/>
      <c r="D1218" s="16"/>
      <c r="J1218" s="16"/>
      <c r="O1218" s="16"/>
    </row>
    <row r="1219" spans="3:15" x14ac:dyDescent="0.3">
      <c r="C1219" s="16"/>
      <c r="D1219" s="16"/>
      <c r="J1219" s="16"/>
      <c r="O1219" s="16"/>
    </row>
    <row r="1220" spans="3:15" x14ac:dyDescent="0.3">
      <c r="C1220" s="16"/>
      <c r="D1220" s="16"/>
      <c r="J1220" s="16"/>
      <c r="O1220" s="16"/>
    </row>
    <row r="1221" spans="3:15" x14ac:dyDescent="0.3">
      <c r="C1221" s="16"/>
      <c r="D1221" s="16"/>
      <c r="J1221" s="16"/>
      <c r="O1221" s="16"/>
    </row>
    <row r="1222" spans="3:15" x14ac:dyDescent="0.3">
      <c r="C1222" s="16"/>
      <c r="D1222" s="16"/>
      <c r="J1222" s="16"/>
      <c r="O1222" s="16"/>
    </row>
    <row r="1223" spans="3:15" x14ac:dyDescent="0.3">
      <c r="C1223" s="16"/>
      <c r="D1223" s="16"/>
      <c r="J1223" s="16"/>
      <c r="O1223" s="16"/>
    </row>
    <row r="1224" spans="3:15" x14ac:dyDescent="0.3">
      <c r="C1224" s="16"/>
      <c r="D1224" s="16"/>
      <c r="J1224" s="16"/>
      <c r="O1224" s="16"/>
    </row>
    <row r="1225" spans="3:15" x14ac:dyDescent="0.3">
      <c r="C1225" s="16"/>
      <c r="D1225" s="16"/>
      <c r="J1225" s="16"/>
      <c r="O1225" s="16"/>
    </row>
    <row r="1226" spans="3:15" x14ac:dyDescent="0.3">
      <c r="C1226" s="16"/>
      <c r="D1226" s="16"/>
      <c r="J1226" s="16"/>
      <c r="O1226" s="16"/>
    </row>
    <row r="1227" spans="3:15" x14ac:dyDescent="0.3">
      <c r="C1227" s="16"/>
      <c r="D1227" s="16"/>
      <c r="J1227" s="16"/>
      <c r="O1227" s="16"/>
    </row>
    <row r="1228" spans="3:15" x14ac:dyDescent="0.3">
      <c r="C1228" s="16"/>
      <c r="D1228" s="16"/>
      <c r="J1228" s="16"/>
      <c r="O1228" s="16"/>
    </row>
    <row r="1229" spans="3:15" x14ac:dyDescent="0.3">
      <c r="C1229" s="16"/>
      <c r="D1229" s="16"/>
      <c r="J1229" s="16"/>
      <c r="O1229" s="16"/>
    </row>
    <row r="1230" spans="3:15" x14ac:dyDescent="0.3">
      <c r="C1230" s="16"/>
      <c r="D1230" s="16"/>
      <c r="J1230" s="16"/>
      <c r="O1230" s="16"/>
    </row>
    <row r="1231" spans="3:15" x14ac:dyDescent="0.3">
      <c r="C1231" s="16"/>
      <c r="D1231" s="16"/>
      <c r="J1231" s="16"/>
      <c r="O1231" s="16"/>
    </row>
    <row r="1232" spans="3:15" x14ac:dyDescent="0.3">
      <c r="C1232" s="16"/>
      <c r="D1232" s="16"/>
      <c r="J1232" s="16"/>
      <c r="O1232" s="16"/>
    </row>
    <row r="1233" spans="3:15" x14ac:dyDescent="0.3">
      <c r="C1233" s="16"/>
      <c r="D1233" s="16"/>
      <c r="J1233" s="16"/>
      <c r="O1233" s="16"/>
    </row>
    <row r="1234" spans="3:15" x14ac:dyDescent="0.3">
      <c r="C1234" s="16"/>
      <c r="D1234" s="16"/>
      <c r="J1234" s="16"/>
      <c r="O1234" s="16"/>
    </row>
    <row r="1235" spans="3:15" x14ac:dyDescent="0.3">
      <c r="C1235" s="16"/>
      <c r="D1235" s="16"/>
      <c r="J1235" s="16"/>
      <c r="O1235" s="16"/>
    </row>
    <row r="1236" spans="3:15" x14ac:dyDescent="0.3">
      <c r="C1236" s="16"/>
      <c r="D1236" s="16"/>
      <c r="J1236" s="16"/>
      <c r="O1236" s="16"/>
    </row>
    <row r="1237" spans="3:15" x14ac:dyDescent="0.3">
      <c r="C1237" s="16"/>
      <c r="D1237" s="16"/>
      <c r="J1237" s="16"/>
      <c r="O1237" s="16"/>
    </row>
    <row r="1238" spans="3:15" x14ac:dyDescent="0.3">
      <c r="C1238" s="16"/>
      <c r="D1238" s="16"/>
      <c r="J1238" s="16"/>
      <c r="O1238" s="16"/>
    </row>
    <row r="1239" spans="3:15" x14ac:dyDescent="0.3">
      <c r="C1239" s="16"/>
      <c r="D1239" s="16"/>
      <c r="J1239" s="16"/>
      <c r="O1239" s="16"/>
    </row>
    <row r="1240" spans="3:15" x14ac:dyDescent="0.3">
      <c r="C1240" s="16"/>
      <c r="D1240" s="16"/>
      <c r="J1240" s="16"/>
      <c r="O1240" s="16"/>
    </row>
    <row r="1241" spans="3:15" x14ac:dyDescent="0.3">
      <c r="C1241" s="16"/>
      <c r="D1241" s="16"/>
      <c r="J1241" s="16"/>
      <c r="O1241" s="16"/>
    </row>
    <row r="1242" spans="3:15" x14ac:dyDescent="0.3">
      <c r="C1242" s="16"/>
      <c r="D1242" s="16"/>
      <c r="J1242" s="16"/>
      <c r="O1242" s="16"/>
    </row>
    <row r="1243" spans="3:15" x14ac:dyDescent="0.3">
      <c r="C1243" s="16"/>
      <c r="D1243" s="16"/>
      <c r="J1243" s="16"/>
      <c r="O1243" s="16"/>
    </row>
    <row r="1244" spans="3:15" x14ac:dyDescent="0.3">
      <c r="C1244" s="16"/>
      <c r="D1244" s="16"/>
      <c r="J1244" s="16"/>
      <c r="O1244" s="16"/>
    </row>
    <row r="1245" spans="3:15" x14ac:dyDescent="0.3">
      <c r="C1245" s="16"/>
      <c r="D1245" s="16"/>
      <c r="J1245" s="16"/>
      <c r="O1245" s="16"/>
    </row>
    <row r="1246" spans="3:15" x14ac:dyDescent="0.3">
      <c r="C1246" s="16"/>
      <c r="D1246" s="16"/>
      <c r="J1246" s="16"/>
      <c r="O1246" s="16"/>
    </row>
    <row r="1247" spans="3:15" x14ac:dyDescent="0.3">
      <c r="C1247" s="16"/>
      <c r="D1247" s="16"/>
      <c r="J1247" s="16"/>
      <c r="O1247" s="16"/>
    </row>
    <row r="1248" spans="3:15" x14ac:dyDescent="0.3">
      <c r="C1248" s="16"/>
      <c r="D1248" s="16"/>
      <c r="J1248" s="16"/>
      <c r="O1248" s="16"/>
    </row>
    <row r="1249" spans="3:15" x14ac:dyDescent="0.3">
      <c r="C1249" s="16"/>
      <c r="D1249" s="16"/>
      <c r="J1249" s="16"/>
      <c r="O1249" s="16"/>
    </row>
    <row r="1250" spans="3:15" x14ac:dyDescent="0.3">
      <c r="C1250" s="16"/>
      <c r="D1250" s="16"/>
      <c r="J1250" s="16"/>
      <c r="O1250" s="16"/>
    </row>
    <row r="1251" spans="3:15" x14ac:dyDescent="0.3">
      <c r="C1251" s="16"/>
      <c r="D1251" s="16"/>
      <c r="J1251" s="16"/>
      <c r="O1251" s="16"/>
    </row>
    <row r="1252" spans="3:15" x14ac:dyDescent="0.3">
      <c r="C1252" s="16"/>
      <c r="D1252" s="16"/>
      <c r="J1252" s="16"/>
      <c r="O1252" s="16"/>
    </row>
    <row r="1253" spans="3:15" x14ac:dyDescent="0.3">
      <c r="C1253" s="16"/>
      <c r="D1253" s="16"/>
      <c r="J1253" s="16"/>
      <c r="O1253" s="16"/>
    </row>
    <row r="1254" spans="3:15" x14ac:dyDescent="0.3">
      <c r="C1254" s="16"/>
      <c r="D1254" s="16"/>
      <c r="J1254" s="16"/>
      <c r="O1254" s="16"/>
    </row>
    <row r="1255" spans="3:15" x14ac:dyDescent="0.3">
      <c r="C1255" s="16"/>
      <c r="D1255" s="16"/>
      <c r="J1255" s="16"/>
      <c r="O1255" s="16"/>
    </row>
    <row r="1256" spans="3:15" x14ac:dyDescent="0.3">
      <c r="C1256" s="16"/>
      <c r="D1256" s="16"/>
      <c r="J1256" s="16"/>
      <c r="O1256" s="16"/>
    </row>
    <row r="1257" spans="3:15" x14ac:dyDescent="0.3">
      <c r="C1257" s="16"/>
      <c r="D1257" s="16"/>
      <c r="J1257" s="16"/>
      <c r="O1257" s="16"/>
    </row>
    <row r="1258" spans="3:15" x14ac:dyDescent="0.3">
      <c r="C1258" s="16"/>
      <c r="D1258" s="16"/>
      <c r="J1258" s="16"/>
      <c r="O1258" s="16"/>
    </row>
    <row r="1259" spans="3:15" x14ac:dyDescent="0.3">
      <c r="C1259" s="16"/>
      <c r="D1259" s="16"/>
      <c r="J1259" s="16"/>
      <c r="O1259" s="16"/>
    </row>
    <row r="1260" spans="3:15" x14ac:dyDescent="0.3">
      <c r="C1260" s="16"/>
      <c r="D1260" s="16"/>
      <c r="J1260" s="16"/>
      <c r="O1260" s="16"/>
    </row>
    <row r="1261" spans="3:15" x14ac:dyDescent="0.3">
      <c r="C1261" s="16"/>
      <c r="D1261" s="16"/>
      <c r="J1261" s="16"/>
      <c r="O1261" s="16"/>
    </row>
    <row r="1262" spans="3:15" x14ac:dyDescent="0.3">
      <c r="C1262" s="16"/>
      <c r="D1262" s="16"/>
      <c r="J1262" s="16"/>
      <c r="O1262" s="16"/>
    </row>
    <row r="1263" spans="3:15" x14ac:dyDescent="0.3">
      <c r="C1263" s="16"/>
      <c r="D1263" s="16"/>
      <c r="J1263" s="16"/>
      <c r="O1263" s="16"/>
    </row>
    <row r="1264" spans="3:15" x14ac:dyDescent="0.3">
      <c r="C1264" s="16"/>
      <c r="D1264" s="16"/>
      <c r="J1264" s="16"/>
      <c r="O1264" s="16"/>
    </row>
    <row r="1265" spans="3:15" x14ac:dyDescent="0.3">
      <c r="C1265" s="16"/>
      <c r="D1265" s="16"/>
      <c r="J1265" s="16"/>
      <c r="O1265" s="16"/>
    </row>
    <row r="1266" spans="3:15" x14ac:dyDescent="0.3">
      <c r="C1266" s="16"/>
      <c r="D1266" s="16"/>
      <c r="J1266" s="16"/>
      <c r="O1266" s="16"/>
    </row>
    <row r="1267" spans="3:15" x14ac:dyDescent="0.3">
      <c r="C1267" s="16"/>
      <c r="D1267" s="16"/>
      <c r="J1267" s="16"/>
      <c r="O1267" s="16"/>
    </row>
    <row r="1268" spans="3:15" x14ac:dyDescent="0.3">
      <c r="C1268" s="16"/>
      <c r="D1268" s="16"/>
      <c r="J1268" s="16"/>
      <c r="O1268" s="16"/>
    </row>
    <row r="1269" spans="3:15" x14ac:dyDescent="0.3">
      <c r="C1269" s="16"/>
      <c r="D1269" s="16"/>
      <c r="J1269" s="16"/>
      <c r="O1269" s="16"/>
    </row>
    <row r="1270" spans="3:15" x14ac:dyDescent="0.3">
      <c r="C1270" s="16"/>
      <c r="D1270" s="16"/>
      <c r="J1270" s="16"/>
      <c r="O1270" s="16"/>
    </row>
    <row r="1271" spans="3:15" x14ac:dyDescent="0.3">
      <c r="C1271" s="16"/>
      <c r="D1271" s="16"/>
      <c r="J1271" s="16"/>
      <c r="O1271" s="16"/>
    </row>
    <row r="1272" spans="3:15" x14ac:dyDescent="0.3">
      <c r="C1272" s="16"/>
      <c r="D1272" s="16"/>
      <c r="J1272" s="16"/>
      <c r="O1272" s="16"/>
    </row>
    <row r="1273" spans="3:15" x14ac:dyDescent="0.3">
      <c r="C1273" s="16"/>
      <c r="D1273" s="16"/>
      <c r="J1273" s="16"/>
      <c r="O1273" s="16"/>
    </row>
    <row r="1274" spans="3:15" x14ac:dyDescent="0.3">
      <c r="C1274" s="16"/>
      <c r="D1274" s="16"/>
      <c r="J1274" s="16"/>
      <c r="O1274" s="16"/>
    </row>
    <row r="1275" spans="3:15" x14ac:dyDescent="0.3">
      <c r="C1275" s="16"/>
      <c r="D1275" s="16"/>
      <c r="J1275" s="16"/>
      <c r="O1275" s="16"/>
    </row>
    <row r="1276" spans="3:15" x14ac:dyDescent="0.3">
      <c r="C1276" s="16"/>
      <c r="D1276" s="16"/>
      <c r="J1276" s="16"/>
      <c r="O1276" s="16"/>
    </row>
    <row r="1277" spans="3:15" x14ac:dyDescent="0.3">
      <c r="C1277" s="16"/>
      <c r="D1277" s="16"/>
      <c r="J1277" s="16"/>
      <c r="O1277" s="16"/>
    </row>
    <row r="1278" spans="3:15" x14ac:dyDescent="0.3">
      <c r="C1278" s="16"/>
      <c r="D1278" s="16"/>
      <c r="J1278" s="16"/>
      <c r="O1278" s="16"/>
    </row>
    <row r="1279" spans="3:15" x14ac:dyDescent="0.3">
      <c r="C1279" s="16"/>
      <c r="D1279" s="16"/>
      <c r="J1279" s="16"/>
      <c r="O1279" s="16"/>
    </row>
    <row r="1280" spans="3:15" x14ac:dyDescent="0.3">
      <c r="C1280" s="16"/>
      <c r="D1280" s="16"/>
      <c r="J1280" s="16"/>
      <c r="O1280" s="16"/>
    </row>
    <row r="1281" spans="3:15" x14ac:dyDescent="0.3">
      <c r="C1281" s="16"/>
      <c r="D1281" s="16"/>
      <c r="J1281" s="16"/>
      <c r="O1281" s="16"/>
    </row>
    <row r="1282" spans="3:15" x14ac:dyDescent="0.3">
      <c r="C1282" s="16"/>
      <c r="D1282" s="16"/>
      <c r="J1282" s="16"/>
      <c r="O1282" s="16"/>
    </row>
    <row r="1283" spans="3:15" x14ac:dyDescent="0.3">
      <c r="C1283" s="16"/>
      <c r="D1283" s="16"/>
      <c r="J1283" s="16"/>
      <c r="O1283" s="16"/>
    </row>
    <row r="1284" spans="3:15" x14ac:dyDescent="0.3">
      <c r="C1284" s="16"/>
      <c r="D1284" s="16"/>
      <c r="J1284" s="16"/>
      <c r="O1284" s="16"/>
    </row>
    <row r="1285" spans="3:15" x14ac:dyDescent="0.3">
      <c r="C1285" s="16"/>
      <c r="D1285" s="16"/>
      <c r="J1285" s="16"/>
      <c r="O1285" s="16"/>
    </row>
    <row r="1286" spans="3:15" x14ac:dyDescent="0.3">
      <c r="C1286" s="16"/>
      <c r="D1286" s="16"/>
      <c r="J1286" s="16"/>
      <c r="O1286" s="16"/>
    </row>
    <row r="1287" spans="3:15" x14ac:dyDescent="0.3">
      <c r="C1287" s="16"/>
      <c r="D1287" s="16"/>
      <c r="J1287" s="16"/>
      <c r="O1287" s="16"/>
    </row>
    <row r="1288" spans="3:15" x14ac:dyDescent="0.3">
      <c r="C1288" s="16"/>
      <c r="D1288" s="16"/>
      <c r="J1288" s="16"/>
      <c r="O1288" s="16"/>
    </row>
    <row r="1289" spans="3:15" x14ac:dyDescent="0.3">
      <c r="C1289" s="16"/>
      <c r="D1289" s="16"/>
      <c r="J1289" s="16"/>
      <c r="O1289" s="16"/>
    </row>
    <row r="1290" spans="3:15" x14ac:dyDescent="0.3">
      <c r="C1290" s="16"/>
      <c r="D1290" s="16"/>
      <c r="J1290" s="16"/>
      <c r="O1290" s="16"/>
    </row>
    <row r="1291" spans="3:15" x14ac:dyDescent="0.3">
      <c r="C1291" s="16"/>
      <c r="D1291" s="16"/>
      <c r="J1291" s="16"/>
      <c r="O1291" s="16"/>
    </row>
    <row r="1292" spans="3:15" x14ac:dyDescent="0.3">
      <c r="C1292" s="16"/>
      <c r="D1292" s="16"/>
      <c r="J1292" s="16"/>
      <c r="O1292" s="16"/>
    </row>
    <row r="1293" spans="3:15" x14ac:dyDescent="0.3">
      <c r="C1293" s="16"/>
      <c r="D1293" s="16"/>
      <c r="J1293" s="16"/>
      <c r="O1293" s="16"/>
    </row>
    <row r="1294" spans="3:15" x14ac:dyDescent="0.3">
      <c r="C1294" s="16"/>
      <c r="D1294" s="16"/>
      <c r="J1294" s="16"/>
      <c r="O1294" s="16"/>
    </row>
    <row r="1295" spans="3:15" x14ac:dyDescent="0.3">
      <c r="C1295" s="16"/>
      <c r="D1295" s="16"/>
      <c r="J1295" s="16"/>
      <c r="O1295" s="16"/>
    </row>
    <row r="1296" spans="3:15" x14ac:dyDescent="0.3">
      <c r="C1296" s="16"/>
      <c r="D1296" s="16"/>
      <c r="J1296" s="16"/>
      <c r="O1296" s="16"/>
    </row>
    <row r="1297" spans="3:15" x14ac:dyDescent="0.3">
      <c r="C1297" s="16"/>
      <c r="D1297" s="16"/>
      <c r="J1297" s="16"/>
      <c r="O1297" s="16"/>
    </row>
    <row r="1298" spans="3:15" x14ac:dyDescent="0.3">
      <c r="C1298" s="16"/>
      <c r="D1298" s="16"/>
      <c r="J1298" s="16"/>
      <c r="O1298" s="16"/>
    </row>
    <row r="1299" spans="3:15" x14ac:dyDescent="0.3">
      <c r="C1299" s="16"/>
      <c r="D1299" s="16"/>
      <c r="J1299" s="16"/>
      <c r="O1299" s="16"/>
    </row>
    <row r="1300" spans="3:15" x14ac:dyDescent="0.3">
      <c r="C1300" s="16"/>
      <c r="D1300" s="16"/>
      <c r="J1300" s="16"/>
      <c r="O1300" s="16"/>
    </row>
    <row r="1301" spans="3:15" x14ac:dyDescent="0.3">
      <c r="C1301" s="16"/>
      <c r="D1301" s="16"/>
      <c r="J1301" s="16"/>
      <c r="O1301" s="16"/>
    </row>
    <row r="1302" spans="3:15" x14ac:dyDescent="0.3">
      <c r="C1302" s="16"/>
      <c r="D1302" s="16"/>
      <c r="J1302" s="16"/>
      <c r="O1302" s="16"/>
    </row>
    <row r="1303" spans="3:15" x14ac:dyDescent="0.3">
      <c r="C1303" s="16"/>
      <c r="D1303" s="16"/>
      <c r="J1303" s="16"/>
      <c r="O1303" s="16"/>
    </row>
    <row r="1304" spans="3:15" x14ac:dyDescent="0.3">
      <c r="C1304" s="16"/>
      <c r="D1304" s="16"/>
      <c r="J1304" s="16"/>
      <c r="O1304" s="16"/>
    </row>
    <row r="1305" spans="3:15" x14ac:dyDescent="0.3">
      <c r="C1305" s="16"/>
      <c r="D1305" s="16"/>
      <c r="J1305" s="16"/>
      <c r="O1305" s="16"/>
    </row>
    <row r="1306" spans="3:15" x14ac:dyDescent="0.3">
      <c r="C1306" s="16"/>
      <c r="D1306" s="16"/>
      <c r="J1306" s="16"/>
      <c r="O1306" s="16"/>
    </row>
    <row r="1307" spans="3:15" x14ac:dyDescent="0.3">
      <c r="C1307" s="16"/>
      <c r="D1307" s="16"/>
      <c r="J1307" s="16"/>
      <c r="O1307" s="16"/>
    </row>
    <row r="1308" spans="3:15" x14ac:dyDescent="0.3">
      <c r="C1308" s="16"/>
      <c r="D1308" s="16"/>
      <c r="J1308" s="16"/>
      <c r="O1308" s="16"/>
    </row>
    <row r="1309" spans="3:15" x14ac:dyDescent="0.3">
      <c r="C1309" s="16"/>
      <c r="D1309" s="16"/>
      <c r="J1309" s="16"/>
      <c r="O1309" s="16"/>
    </row>
    <row r="1310" spans="3:15" x14ac:dyDescent="0.3">
      <c r="C1310" s="16"/>
      <c r="D1310" s="16"/>
      <c r="J1310" s="16"/>
      <c r="O1310" s="16"/>
    </row>
    <row r="1311" spans="3:15" x14ac:dyDescent="0.3">
      <c r="C1311" s="16"/>
      <c r="D1311" s="16"/>
      <c r="J1311" s="16"/>
      <c r="O1311" s="16"/>
    </row>
    <row r="1312" spans="3:15" x14ac:dyDescent="0.3">
      <c r="C1312" s="16"/>
      <c r="D1312" s="16"/>
      <c r="J1312" s="16"/>
      <c r="O1312" s="16"/>
    </row>
    <row r="1313" spans="3:15" x14ac:dyDescent="0.3">
      <c r="C1313" s="16"/>
      <c r="D1313" s="16"/>
      <c r="J1313" s="16"/>
      <c r="O1313" s="16"/>
    </row>
    <row r="1314" spans="3:15" x14ac:dyDescent="0.3">
      <c r="C1314" s="16"/>
      <c r="D1314" s="16"/>
      <c r="J1314" s="16"/>
      <c r="O1314" s="16"/>
    </row>
    <row r="1315" spans="3:15" x14ac:dyDescent="0.3">
      <c r="C1315" s="16"/>
      <c r="D1315" s="16"/>
      <c r="J1315" s="16"/>
      <c r="O1315" s="16"/>
    </row>
    <row r="1316" spans="3:15" x14ac:dyDescent="0.3">
      <c r="C1316" s="16"/>
      <c r="D1316" s="16"/>
      <c r="J1316" s="16"/>
      <c r="O1316" s="16"/>
    </row>
    <row r="1317" spans="3:15" x14ac:dyDescent="0.3">
      <c r="C1317" s="16"/>
      <c r="D1317" s="16"/>
      <c r="J1317" s="16"/>
      <c r="O1317" s="16"/>
    </row>
    <row r="1318" spans="3:15" x14ac:dyDescent="0.3">
      <c r="C1318" s="16"/>
      <c r="D1318" s="16"/>
      <c r="J1318" s="16"/>
      <c r="O1318" s="16"/>
    </row>
    <row r="1319" spans="3:15" x14ac:dyDescent="0.3">
      <c r="C1319" s="16"/>
      <c r="D1319" s="16"/>
      <c r="J1319" s="16"/>
      <c r="O1319" s="16"/>
    </row>
    <row r="1320" spans="3:15" x14ac:dyDescent="0.3">
      <c r="C1320" s="16"/>
      <c r="D1320" s="16"/>
      <c r="J1320" s="16"/>
      <c r="O1320" s="16"/>
    </row>
    <row r="1321" spans="3:15" x14ac:dyDescent="0.3">
      <c r="C1321" s="16"/>
      <c r="D1321" s="16"/>
      <c r="J1321" s="16"/>
      <c r="O1321" s="16"/>
    </row>
    <row r="1322" spans="3:15" x14ac:dyDescent="0.3">
      <c r="C1322" s="16"/>
      <c r="D1322" s="16"/>
      <c r="J1322" s="16"/>
      <c r="O1322" s="16"/>
    </row>
    <row r="1323" spans="3:15" x14ac:dyDescent="0.3">
      <c r="C1323" s="16"/>
      <c r="D1323" s="16"/>
      <c r="J1323" s="16"/>
      <c r="O1323" s="16"/>
    </row>
    <row r="1324" spans="3:15" x14ac:dyDescent="0.3">
      <c r="C1324" s="16"/>
      <c r="D1324" s="16"/>
      <c r="J1324" s="16"/>
      <c r="O1324" s="16"/>
    </row>
    <row r="1325" spans="3:15" x14ac:dyDescent="0.3">
      <c r="C1325" s="16"/>
      <c r="D1325" s="16"/>
      <c r="J1325" s="16"/>
      <c r="O1325" s="16"/>
    </row>
    <row r="1326" spans="3:15" x14ac:dyDescent="0.3">
      <c r="C1326" s="16"/>
      <c r="D1326" s="16"/>
      <c r="J1326" s="16"/>
      <c r="O1326" s="16"/>
    </row>
    <row r="1327" spans="3:15" x14ac:dyDescent="0.3">
      <c r="C1327" s="16"/>
      <c r="D1327" s="16"/>
      <c r="J1327" s="16"/>
      <c r="O1327" s="16"/>
    </row>
    <row r="1328" spans="3:15" x14ac:dyDescent="0.3">
      <c r="C1328" s="16"/>
      <c r="D1328" s="16"/>
      <c r="J1328" s="16"/>
      <c r="O1328" s="16"/>
    </row>
    <row r="1329" spans="3:15" x14ac:dyDescent="0.3">
      <c r="C1329" s="16"/>
      <c r="D1329" s="16"/>
      <c r="J1329" s="16"/>
      <c r="O1329" s="16"/>
    </row>
    <row r="1330" spans="3:15" x14ac:dyDescent="0.3">
      <c r="C1330" s="16"/>
      <c r="D1330" s="16"/>
      <c r="J1330" s="16"/>
      <c r="O1330" s="16"/>
    </row>
    <row r="1331" spans="3:15" x14ac:dyDescent="0.3">
      <c r="C1331" s="16"/>
      <c r="D1331" s="16"/>
      <c r="J1331" s="16"/>
      <c r="O1331" s="16"/>
    </row>
    <row r="1332" spans="3:15" x14ac:dyDescent="0.3">
      <c r="C1332" s="16"/>
      <c r="D1332" s="16"/>
      <c r="J1332" s="16"/>
      <c r="O1332" s="16"/>
    </row>
    <row r="1333" spans="3:15" x14ac:dyDescent="0.3">
      <c r="C1333" s="16"/>
      <c r="D1333" s="16"/>
      <c r="J1333" s="16"/>
      <c r="O1333" s="16"/>
    </row>
    <row r="1334" spans="3:15" x14ac:dyDescent="0.3">
      <c r="C1334" s="16"/>
      <c r="D1334" s="16"/>
      <c r="J1334" s="16"/>
      <c r="O1334" s="16"/>
    </row>
    <row r="1335" spans="3:15" x14ac:dyDescent="0.3">
      <c r="C1335" s="16"/>
      <c r="D1335" s="16"/>
      <c r="J1335" s="16"/>
      <c r="O1335" s="16"/>
    </row>
    <row r="1336" spans="3:15" x14ac:dyDescent="0.3">
      <c r="C1336" s="16"/>
      <c r="D1336" s="16"/>
      <c r="J1336" s="16"/>
      <c r="O1336" s="16"/>
    </row>
    <row r="1337" spans="3:15" x14ac:dyDescent="0.3">
      <c r="C1337" s="16"/>
      <c r="D1337" s="16"/>
      <c r="J1337" s="16"/>
      <c r="O1337" s="16"/>
    </row>
    <row r="1338" spans="3:15" x14ac:dyDescent="0.3">
      <c r="C1338" s="16"/>
      <c r="D1338" s="16"/>
      <c r="J1338" s="16"/>
      <c r="O1338" s="16"/>
    </row>
    <row r="1339" spans="3:15" x14ac:dyDescent="0.3">
      <c r="C1339" s="16"/>
      <c r="D1339" s="16"/>
      <c r="J1339" s="16"/>
      <c r="O1339" s="16"/>
    </row>
    <row r="1340" spans="3:15" x14ac:dyDescent="0.3">
      <c r="C1340" s="16"/>
      <c r="D1340" s="16"/>
      <c r="J1340" s="16"/>
      <c r="O1340" s="16"/>
    </row>
    <row r="1341" spans="3:15" x14ac:dyDescent="0.3">
      <c r="C1341" s="16"/>
      <c r="D1341" s="16"/>
      <c r="J1341" s="16"/>
      <c r="O1341" s="16"/>
    </row>
    <row r="1342" spans="3:15" x14ac:dyDescent="0.3">
      <c r="C1342" s="16"/>
      <c r="D1342" s="16"/>
      <c r="J1342" s="16"/>
      <c r="O1342" s="16"/>
    </row>
    <row r="1343" spans="3:15" x14ac:dyDescent="0.3">
      <c r="C1343" s="16"/>
      <c r="D1343" s="16"/>
      <c r="J1343" s="16"/>
      <c r="O1343" s="16"/>
    </row>
    <row r="1344" spans="3:15" x14ac:dyDescent="0.3">
      <c r="C1344" s="16"/>
      <c r="D1344" s="16"/>
      <c r="J1344" s="16"/>
      <c r="O1344" s="16"/>
    </row>
    <row r="1345" spans="3:15" x14ac:dyDescent="0.3">
      <c r="C1345" s="16"/>
      <c r="D1345" s="16"/>
      <c r="J1345" s="16"/>
      <c r="O1345" s="16"/>
    </row>
    <row r="1346" spans="3:15" x14ac:dyDescent="0.3">
      <c r="C1346" s="16"/>
      <c r="D1346" s="16"/>
      <c r="J1346" s="16"/>
      <c r="O1346" s="16"/>
    </row>
    <row r="1347" spans="3:15" x14ac:dyDescent="0.3">
      <c r="C1347" s="16"/>
      <c r="D1347" s="16"/>
      <c r="J1347" s="16"/>
      <c r="O1347" s="16"/>
    </row>
    <row r="1348" spans="3:15" x14ac:dyDescent="0.3">
      <c r="C1348" s="16"/>
      <c r="D1348" s="16"/>
      <c r="J1348" s="16"/>
      <c r="O1348" s="16"/>
    </row>
    <row r="1349" spans="3:15" x14ac:dyDescent="0.3">
      <c r="C1349" s="16"/>
      <c r="D1349" s="16"/>
      <c r="J1349" s="16"/>
      <c r="O1349" s="16"/>
    </row>
    <row r="1350" spans="3:15" x14ac:dyDescent="0.3">
      <c r="C1350" s="16"/>
      <c r="D1350" s="16"/>
      <c r="J1350" s="16"/>
      <c r="O1350" s="16"/>
    </row>
    <row r="1351" spans="3:15" x14ac:dyDescent="0.3">
      <c r="C1351" s="16"/>
      <c r="D1351" s="16"/>
      <c r="J1351" s="16"/>
      <c r="O1351" s="16"/>
    </row>
    <row r="1352" spans="3:15" x14ac:dyDescent="0.3">
      <c r="C1352" s="16"/>
      <c r="D1352" s="16"/>
      <c r="J1352" s="16"/>
      <c r="O1352" s="16"/>
    </row>
    <row r="1353" spans="3:15" x14ac:dyDescent="0.3">
      <c r="C1353" s="16"/>
      <c r="D1353" s="16"/>
      <c r="J1353" s="16"/>
      <c r="O1353" s="16"/>
    </row>
    <row r="1354" spans="3:15" x14ac:dyDescent="0.3">
      <c r="C1354" s="16"/>
      <c r="D1354" s="16"/>
      <c r="J1354" s="16"/>
      <c r="O1354" s="16"/>
    </row>
    <row r="1355" spans="3:15" x14ac:dyDescent="0.3">
      <c r="C1355" s="16"/>
      <c r="D1355" s="16"/>
      <c r="J1355" s="16"/>
      <c r="O1355" s="16"/>
    </row>
    <row r="1356" spans="3:15" x14ac:dyDescent="0.3">
      <c r="C1356" s="16"/>
      <c r="D1356" s="16"/>
      <c r="J1356" s="16"/>
      <c r="O1356" s="16"/>
    </row>
    <row r="1357" spans="3:15" x14ac:dyDescent="0.3">
      <c r="C1357" s="16"/>
      <c r="D1357" s="16"/>
      <c r="J1357" s="16"/>
      <c r="O1357" s="16"/>
    </row>
    <row r="1358" spans="3:15" x14ac:dyDescent="0.3">
      <c r="C1358" s="16"/>
      <c r="D1358" s="16"/>
      <c r="J1358" s="16"/>
      <c r="O1358" s="16"/>
    </row>
    <row r="1359" spans="3:15" x14ac:dyDescent="0.3">
      <c r="C1359" s="16"/>
      <c r="D1359" s="16"/>
      <c r="J1359" s="16"/>
      <c r="O1359" s="16"/>
    </row>
    <row r="1360" spans="3:15" x14ac:dyDescent="0.3">
      <c r="C1360" s="16"/>
      <c r="D1360" s="16"/>
      <c r="J1360" s="16"/>
      <c r="O1360" s="16"/>
    </row>
    <row r="1361" spans="3:15" x14ac:dyDescent="0.3">
      <c r="C1361" s="16"/>
      <c r="D1361" s="16"/>
      <c r="J1361" s="16"/>
      <c r="O1361" s="16"/>
    </row>
    <row r="1362" spans="3:15" x14ac:dyDescent="0.3">
      <c r="C1362" s="16"/>
      <c r="D1362" s="16"/>
      <c r="J1362" s="16"/>
      <c r="O1362" s="16"/>
    </row>
    <row r="1363" spans="3:15" x14ac:dyDescent="0.3">
      <c r="C1363" s="16"/>
      <c r="D1363" s="16"/>
      <c r="J1363" s="16"/>
      <c r="O1363" s="16"/>
    </row>
    <row r="1364" spans="3:15" x14ac:dyDescent="0.3">
      <c r="C1364" s="16"/>
      <c r="D1364" s="16"/>
      <c r="J1364" s="16"/>
      <c r="O1364" s="16"/>
    </row>
    <row r="1365" spans="3:15" x14ac:dyDescent="0.3">
      <c r="C1365" s="16"/>
      <c r="D1365" s="16"/>
      <c r="J1365" s="16"/>
      <c r="O1365" s="16"/>
    </row>
    <row r="1366" spans="3:15" x14ac:dyDescent="0.3">
      <c r="C1366" s="16"/>
      <c r="D1366" s="16"/>
      <c r="J1366" s="16"/>
      <c r="O1366" s="16"/>
    </row>
    <row r="1367" spans="3:15" x14ac:dyDescent="0.3">
      <c r="C1367" s="16"/>
      <c r="D1367" s="16"/>
      <c r="J1367" s="16"/>
      <c r="O1367" s="16"/>
    </row>
    <row r="1368" spans="3:15" x14ac:dyDescent="0.3">
      <c r="C1368" s="16"/>
      <c r="D1368" s="16"/>
      <c r="J1368" s="16"/>
      <c r="O1368" s="16"/>
    </row>
    <row r="1369" spans="3:15" x14ac:dyDescent="0.3">
      <c r="C1369" s="16"/>
      <c r="D1369" s="16"/>
      <c r="J1369" s="16"/>
      <c r="O1369" s="16"/>
    </row>
    <row r="1370" spans="3:15" x14ac:dyDescent="0.3">
      <c r="C1370" s="16"/>
      <c r="D1370" s="16"/>
      <c r="J1370" s="16"/>
      <c r="O1370" s="16"/>
    </row>
    <row r="1371" spans="3:15" x14ac:dyDescent="0.3">
      <c r="C1371" s="16"/>
      <c r="D1371" s="16"/>
      <c r="J1371" s="16"/>
      <c r="O1371" s="16"/>
    </row>
    <row r="1372" spans="3:15" x14ac:dyDescent="0.3">
      <c r="C1372" s="16"/>
      <c r="D1372" s="16"/>
      <c r="J1372" s="16"/>
      <c r="O1372" s="16"/>
    </row>
    <row r="1373" spans="3:15" x14ac:dyDescent="0.3">
      <c r="C1373" s="16"/>
      <c r="D1373" s="16"/>
      <c r="J1373" s="16"/>
      <c r="O1373" s="16"/>
    </row>
    <row r="1374" spans="3:15" x14ac:dyDescent="0.3">
      <c r="C1374" s="16"/>
      <c r="D1374" s="16"/>
      <c r="J1374" s="16"/>
      <c r="O1374" s="16"/>
    </row>
    <row r="1375" spans="3:15" x14ac:dyDescent="0.3">
      <c r="C1375" s="16"/>
      <c r="D1375" s="16"/>
      <c r="J1375" s="16"/>
      <c r="O1375" s="16"/>
    </row>
    <row r="1376" spans="3:15" x14ac:dyDescent="0.3">
      <c r="C1376" s="16"/>
      <c r="D1376" s="16"/>
      <c r="J1376" s="16"/>
      <c r="O1376" s="16"/>
    </row>
    <row r="1377" spans="3:15" x14ac:dyDescent="0.3">
      <c r="C1377" s="16"/>
      <c r="D1377" s="16"/>
      <c r="J1377" s="16"/>
      <c r="O1377" s="16"/>
    </row>
    <row r="1378" spans="3:15" x14ac:dyDescent="0.3">
      <c r="C1378" s="16"/>
      <c r="D1378" s="16"/>
      <c r="J1378" s="16"/>
      <c r="O1378" s="16"/>
    </row>
    <row r="1379" spans="3:15" x14ac:dyDescent="0.3">
      <c r="C1379" s="16"/>
      <c r="D1379" s="16"/>
      <c r="J1379" s="16"/>
      <c r="O1379" s="16"/>
    </row>
    <row r="1380" spans="3:15" x14ac:dyDescent="0.3">
      <c r="C1380" s="16"/>
      <c r="D1380" s="16"/>
      <c r="J1380" s="16"/>
      <c r="O1380" s="16"/>
    </row>
    <row r="1381" spans="3:15" x14ac:dyDescent="0.3">
      <c r="C1381" s="16"/>
      <c r="D1381" s="16"/>
      <c r="J1381" s="16"/>
      <c r="O1381" s="16"/>
    </row>
    <row r="1382" spans="3:15" x14ac:dyDescent="0.3">
      <c r="C1382" s="16"/>
      <c r="D1382" s="16"/>
      <c r="J1382" s="16"/>
      <c r="O1382" s="16"/>
    </row>
    <row r="1383" spans="3:15" x14ac:dyDescent="0.3">
      <c r="C1383" s="16"/>
      <c r="D1383" s="16"/>
      <c r="J1383" s="16"/>
      <c r="O1383" s="16"/>
    </row>
    <row r="1384" spans="3:15" x14ac:dyDescent="0.3">
      <c r="C1384" s="16"/>
      <c r="D1384" s="16"/>
      <c r="J1384" s="16"/>
      <c r="O1384" s="16"/>
    </row>
    <row r="1385" spans="3:15" x14ac:dyDescent="0.3">
      <c r="C1385" s="16"/>
      <c r="D1385" s="16"/>
      <c r="J1385" s="16"/>
      <c r="O1385" s="16"/>
    </row>
    <row r="1386" spans="3:15" x14ac:dyDescent="0.3">
      <c r="C1386" s="16"/>
      <c r="D1386" s="16"/>
      <c r="J1386" s="16"/>
      <c r="O1386" s="16"/>
    </row>
    <row r="1387" spans="3:15" x14ac:dyDescent="0.3">
      <c r="C1387" s="16"/>
      <c r="D1387" s="16"/>
      <c r="J1387" s="16"/>
      <c r="O1387" s="16"/>
    </row>
    <row r="1388" spans="3:15" x14ac:dyDescent="0.3">
      <c r="C1388" s="16"/>
      <c r="D1388" s="16"/>
      <c r="J1388" s="16"/>
      <c r="O1388" s="16"/>
    </row>
    <row r="1389" spans="3:15" x14ac:dyDescent="0.3">
      <c r="C1389" s="16"/>
      <c r="D1389" s="16"/>
      <c r="J1389" s="16"/>
      <c r="O1389" s="16"/>
    </row>
    <row r="1390" spans="3:15" x14ac:dyDescent="0.3">
      <c r="C1390" s="16"/>
      <c r="D1390" s="16"/>
      <c r="J1390" s="16"/>
      <c r="O1390" s="16"/>
    </row>
    <row r="1391" spans="3:15" x14ac:dyDescent="0.3">
      <c r="C1391" s="16"/>
      <c r="D1391" s="16"/>
      <c r="J1391" s="16"/>
      <c r="O1391" s="16"/>
    </row>
    <row r="1392" spans="3:15" x14ac:dyDescent="0.3">
      <c r="C1392" s="16"/>
      <c r="D1392" s="16"/>
      <c r="J1392" s="16"/>
      <c r="O1392" s="16"/>
    </row>
    <row r="1393" spans="3:15" x14ac:dyDescent="0.3">
      <c r="C1393" s="16"/>
      <c r="D1393" s="16"/>
      <c r="J1393" s="16"/>
      <c r="O1393" s="16"/>
    </row>
    <row r="1394" spans="3:15" x14ac:dyDescent="0.3">
      <c r="C1394" s="16"/>
      <c r="D1394" s="16"/>
      <c r="J1394" s="16"/>
      <c r="O1394" s="16"/>
    </row>
    <row r="1395" spans="3:15" x14ac:dyDescent="0.3">
      <c r="C1395" s="16"/>
      <c r="D1395" s="16"/>
      <c r="J1395" s="16"/>
      <c r="O1395" s="16"/>
    </row>
    <row r="1396" spans="3:15" x14ac:dyDescent="0.3">
      <c r="C1396" s="16"/>
      <c r="D1396" s="16"/>
      <c r="J1396" s="16"/>
      <c r="O1396" s="16"/>
    </row>
    <row r="1397" spans="3:15" x14ac:dyDescent="0.3">
      <c r="C1397" s="16"/>
      <c r="D1397" s="16"/>
      <c r="J1397" s="16"/>
      <c r="O1397" s="16"/>
    </row>
    <row r="1398" spans="3:15" x14ac:dyDescent="0.3">
      <c r="C1398" s="16"/>
      <c r="D1398" s="16"/>
      <c r="J1398" s="16"/>
      <c r="O1398" s="16"/>
    </row>
    <row r="1399" spans="3:15" x14ac:dyDescent="0.3">
      <c r="C1399" s="16"/>
      <c r="D1399" s="16"/>
      <c r="J1399" s="16"/>
      <c r="O1399" s="16"/>
    </row>
    <row r="1400" spans="3:15" x14ac:dyDescent="0.3">
      <c r="C1400" s="16"/>
      <c r="D1400" s="16"/>
      <c r="J1400" s="16"/>
      <c r="O1400" s="16"/>
    </row>
    <row r="1401" spans="3:15" x14ac:dyDescent="0.3">
      <c r="C1401" s="16"/>
      <c r="D1401" s="16"/>
      <c r="J1401" s="16"/>
      <c r="O1401" s="16"/>
    </row>
    <row r="1402" spans="3:15" x14ac:dyDescent="0.3">
      <c r="C1402" s="16"/>
      <c r="D1402" s="16"/>
      <c r="J1402" s="16"/>
      <c r="O1402" s="16"/>
    </row>
    <row r="1403" spans="3:15" x14ac:dyDescent="0.3">
      <c r="C1403" s="16"/>
      <c r="D1403" s="16"/>
      <c r="J1403" s="16"/>
      <c r="O1403" s="16"/>
    </row>
    <row r="1404" spans="3:15" x14ac:dyDescent="0.3">
      <c r="C1404" s="16"/>
      <c r="D1404" s="16"/>
      <c r="J1404" s="16"/>
      <c r="O1404" s="16"/>
    </row>
    <row r="1405" spans="3:15" x14ac:dyDescent="0.3">
      <c r="C1405" s="16"/>
      <c r="D1405" s="16"/>
      <c r="J1405" s="16"/>
      <c r="O1405" s="16"/>
    </row>
    <row r="1406" spans="3:15" x14ac:dyDescent="0.3">
      <c r="C1406" s="16"/>
      <c r="D1406" s="16"/>
      <c r="J1406" s="16"/>
      <c r="O1406" s="16"/>
    </row>
    <row r="1407" spans="3:15" x14ac:dyDescent="0.3">
      <c r="C1407" s="16"/>
      <c r="D1407" s="16"/>
      <c r="J1407" s="16"/>
      <c r="O1407" s="16"/>
    </row>
    <row r="1408" spans="3:15" x14ac:dyDescent="0.3">
      <c r="C1408" s="16"/>
      <c r="D1408" s="16"/>
      <c r="J1408" s="16"/>
      <c r="O1408" s="16"/>
    </row>
    <row r="1409" spans="3:15" x14ac:dyDescent="0.3">
      <c r="C1409" s="16"/>
      <c r="D1409" s="16"/>
      <c r="J1409" s="16"/>
      <c r="O1409" s="16"/>
    </row>
    <row r="1410" spans="3:15" x14ac:dyDescent="0.3">
      <c r="C1410" s="16"/>
      <c r="D1410" s="16"/>
      <c r="J1410" s="16"/>
      <c r="O1410" s="16"/>
    </row>
    <row r="1411" spans="3:15" x14ac:dyDescent="0.3">
      <c r="C1411" s="16"/>
      <c r="D1411" s="16"/>
      <c r="J1411" s="16"/>
      <c r="O1411" s="16"/>
    </row>
    <row r="1412" spans="3:15" x14ac:dyDescent="0.3">
      <c r="C1412" s="16"/>
      <c r="D1412" s="16"/>
      <c r="J1412" s="16"/>
      <c r="O1412" s="16"/>
    </row>
    <row r="1413" spans="3:15" x14ac:dyDescent="0.3">
      <c r="C1413" s="16"/>
      <c r="D1413" s="16"/>
      <c r="J1413" s="16"/>
      <c r="O1413" s="16"/>
    </row>
    <row r="1414" spans="3:15" x14ac:dyDescent="0.3">
      <c r="C1414" s="16"/>
      <c r="D1414" s="16"/>
      <c r="J1414" s="16"/>
      <c r="O1414" s="16"/>
    </row>
    <row r="1415" spans="3:15" x14ac:dyDescent="0.3">
      <c r="C1415" s="16"/>
      <c r="D1415" s="16"/>
      <c r="J1415" s="16"/>
      <c r="O1415" s="16"/>
    </row>
    <row r="1416" spans="3:15" x14ac:dyDescent="0.3">
      <c r="C1416" s="16"/>
      <c r="D1416" s="16"/>
      <c r="J1416" s="16"/>
      <c r="O1416" s="16"/>
    </row>
    <row r="1417" spans="3:15" x14ac:dyDescent="0.3">
      <c r="C1417" s="16"/>
      <c r="D1417" s="16"/>
      <c r="J1417" s="16"/>
      <c r="O1417" s="16"/>
    </row>
    <row r="1418" spans="3:15" x14ac:dyDescent="0.3">
      <c r="C1418" s="16"/>
      <c r="D1418" s="16"/>
      <c r="J1418" s="16"/>
      <c r="O1418" s="16"/>
    </row>
    <row r="1419" spans="3:15" x14ac:dyDescent="0.3">
      <c r="C1419" s="16"/>
      <c r="D1419" s="16"/>
      <c r="J1419" s="16"/>
      <c r="O1419" s="16"/>
    </row>
    <row r="1420" spans="3:15" x14ac:dyDescent="0.3">
      <c r="C1420" s="16"/>
      <c r="D1420" s="16"/>
      <c r="J1420" s="16"/>
      <c r="O1420" s="16"/>
    </row>
    <row r="1421" spans="3:15" x14ac:dyDescent="0.3">
      <c r="C1421" s="16"/>
      <c r="D1421" s="16"/>
      <c r="J1421" s="16"/>
      <c r="O1421" s="16"/>
    </row>
    <row r="1422" spans="3:15" x14ac:dyDescent="0.3">
      <c r="C1422" s="16"/>
      <c r="D1422" s="16"/>
      <c r="J1422" s="16"/>
      <c r="O1422" s="16"/>
    </row>
    <row r="1423" spans="3:15" x14ac:dyDescent="0.3">
      <c r="C1423" s="16"/>
      <c r="D1423" s="16"/>
      <c r="J1423" s="16"/>
      <c r="O1423" s="16"/>
    </row>
    <row r="1424" spans="3:15" x14ac:dyDescent="0.3">
      <c r="C1424" s="16"/>
      <c r="D1424" s="16"/>
      <c r="J1424" s="16"/>
      <c r="O1424" s="16"/>
    </row>
    <row r="1425" spans="3:15" x14ac:dyDescent="0.3">
      <c r="C1425" s="16"/>
      <c r="D1425" s="16"/>
      <c r="J1425" s="16"/>
      <c r="O1425" s="16"/>
    </row>
    <row r="1426" spans="3:15" x14ac:dyDescent="0.3">
      <c r="C1426" s="16"/>
      <c r="D1426" s="16"/>
      <c r="J1426" s="16"/>
      <c r="O1426" s="16"/>
    </row>
    <row r="1427" spans="3:15" x14ac:dyDescent="0.3">
      <c r="C1427" s="16"/>
      <c r="D1427" s="16"/>
      <c r="J1427" s="16"/>
      <c r="O1427" s="16"/>
    </row>
    <row r="1428" spans="3:15" x14ac:dyDescent="0.3">
      <c r="C1428" s="16"/>
      <c r="D1428" s="16"/>
      <c r="J1428" s="16"/>
      <c r="O1428" s="16"/>
    </row>
    <row r="1429" spans="3:15" x14ac:dyDescent="0.3">
      <c r="C1429" s="16"/>
      <c r="D1429" s="16"/>
      <c r="J1429" s="16"/>
      <c r="O1429" s="16"/>
    </row>
    <row r="1430" spans="3:15" x14ac:dyDescent="0.3">
      <c r="C1430" s="16"/>
      <c r="D1430" s="16"/>
      <c r="J1430" s="16"/>
      <c r="O1430" s="16"/>
    </row>
    <row r="1431" spans="3:15" x14ac:dyDescent="0.3">
      <c r="C1431" s="16"/>
      <c r="D1431" s="16"/>
      <c r="J1431" s="16"/>
      <c r="O1431" s="16"/>
    </row>
    <row r="1432" spans="3:15" x14ac:dyDescent="0.3">
      <c r="C1432" s="16"/>
      <c r="D1432" s="16"/>
      <c r="J1432" s="16"/>
      <c r="O1432" s="16"/>
    </row>
    <row r="1433" spans="3:15" x14ac:dyDescent="0.3">
      <c r="C1433" s="16"/>
      <c r="D1433" s="16"/>
      <c r="J1433" s="16"/>
      <c r="O1433" s="16"/>
    </row>
    <row r="1434" spans="3:15" x14ac:dyDescent="0.3">
      <c r="C1434" s="16"/>
      <c r="D1434" s="16"/>
      <c r="J1434" s="16"/>
      <c r="O1434" s="16"/>
    </row>
    <row r="1435" spans="3:15" x14ac:dyDescent="0.3">
      <c r="C1435" s="16"/>
      <c r="D1435" s="16"/>
      <c r="J1435" s="16"/>
      <c r="O1435" s="16"/>
    </row>
    <row r="1436" spans="3:15" x14ac:dyDescent="0.3">
      <c r="C1436" s="16"/>
      <c r="D1436" s="16"/>
      <c r="J1436" s="16"/>
      <c r="O1436" s="16"/>
    </row>
    <row r="1437" spans="3:15" x14ac:dyDescent="0.3">
      <c r="C1437" s="16"/>
      <c r="D1437" s="16"/>
      <c r="J1437" s="16"/>
      <c r="O1437" s="16"/>
    </row>
    <row r="1438" spans="3:15" x14ac:dyDescent="0.3">
      <c r="C1438" s="16"/>
      <c r="D1438" s="16"/>
      <c r="J1438" s="16"/>
      <c r="O1438" s="16"/>
    </row>
    <row r="1439" spans="3:15" x14ac:dyDescent="0.3">
      <c r="C1439" s="16"/>
      <c r="D1439" s="16"/>
      <c r="J1439" s="16"/>
      <c r="O1439" s="16"/>
    </row>
    <row r="1440" spans="3:15" x14ac:dyDescent="0.3">
      <c r="C1440" s="16"/>
      <c r="D1440" s="16"/>
      <c r="J1440" s="16"/>
      <c r="O1440" s="16"/>
    </row>
    <row r="1441" spans="3:15" x14ac:dyDescent="0.3">
      <c r="C1441" s="16"/>
      <c r="D1441" s="16"/>
      <c r="J1441" s="16"/>
      <c r="O1441" s="16"/>
    </row>
    <row r="1442" spans="3:15" x14ac:dyDescent="0.3">
      <c r="C1442" s="16"/>
      <c r="D1442" s="16"/>
      <c r="J1442" s="16"/>
      <c r="O1442" s="16"/>
    </row>
    <row r="1443" spans="3:15" x14ac:dyDescent="0.3">
      <c r="C1443" s="16"/>
      <c r="D1443" s="16"/>
      <c r="J1443" s="16"/>
      <c r="O1443" s="16"/>
    </row>
    <row r="1444" spans="3:15" x14ac:dyDescent="0.3">
      <c r="C1444" s="16"/>
      <c r="D1444" s="16"/>
      <c r="J1444" s="16"/>
      <c r="O1444" s="16"/>
    </row>
    <row r="1445" spans="3:15" x14ac:dyDescent="0.3">
      <c r="C1445" s="16"/>
      <c r="D1445" s="16"/>
      <c r="J1445" s="16"/>
      <c r="O1445" s="16"/>
    </row>
    <row r="1446" spans="3:15" x14ac:dyDescent="0.3">
      <c r="C1446" s="16"/>
      <c r="D1446" s="16"/>
      <c r="J1446" s="16"/>
      <c r="O1446" s="16"/>
    </row>
    <row r="1447" spans="3:15" x14ac:dyDescent="0.3">
      <c r="C1447" s="16"/>
      <c r="D1447" s="16"/>
      <c r="J1447" s="16"/>
      <c r="O1447" s="16"/>
    </row>
    <row r="1448" spans="3:15" x14ac:dyDescent="0.3">
      <c r="C1448" s="16"/>
      <c r="D1448" s="16"/>
      <c r="J1448" s="16"/>
      <c r="O1448" s="16"/>
    </row>
    <row r="1449" spans="3:15" x14ac:dyDescent="0.3">
      <c r="C1449" s="16"/>
      <c r="D1449" s="16"/>
      <c r="J1449" s="16"/>
      <c r="O1449" s="16"/>
    </row>
    <row r="1450" spans="3:15" x14ac:dyDescent="0.3">
      <c r="C1450" s="16"/>
      <c r="D1450" s="16"/>
      <c r="J1450" s="16"/>
      <c r="O1450" s="16"/>
    </row>
    <row r="1451" spans="3:15" x14ac:dyDescent="0.3">
      <c r="C1451" s="16"/>
      <c r="D1451" s="16"/>
      <c r="J1451" s="16"/>
      <c r="O1451" s="16"/>
    </row>
    <row r="1452" spans="3:15" x14ac:dyDescent="0.3">
      <c r="C1452" s="16"/>
      <c r="D1452" s="16"/>
      <c r="J1452" s="16"/>
      <c r="O1452" s="16"/>
    </row>
    <row r="1453" spans="3:15" x14ac:dyDescent="0.3">
      <c r="C1453" s="16"/>
      <c r="D1453" s="16"/>
      <c r="J1453" s="16"/>
      <c r="O1453" s="16"/>
    </row>
    <row r="1454" spans="3:15" x14ac:dyDescent="0.3">
      <c r="C1454" s="16"/>
      <c r="D1454" s="16"/>
      <c r="J1454" s="16"/>
      <c r="O1454" s="16"/>
    </row>
    <row r="1455" spans="3:15" x14ac:dyDescent="0.3">
      <c r="C1455" s="16"/>
      <c r="D1455" s="16"/>
      <c r="J1455" s="16"/>
      <c r="O1455" s="16"/>
    </row>
    <row r="1456" spans="3:15" x14ac:dyDescent="0.3">
      <c r="C1456" s="16"/>
      <c r="D1456" s="16"/>
      <c r="J1456" s="16"/>
      <c r="O1456" s="16"/>
    </row>
    <row r="1457" spans="3:15" x14ac:dyDescent="0.3">
      <c r="C1457" s="16"/>
      <c r="D1457" s="16"/>
      <c r="J1457" s="16"/>
      <c r="O1457" s="16"/>
    </row>
    <row r="1458" spans="3:15" x14ac:dyDescent="0.3">
      <c r="C1458" s="16"/>
      <c r="D1458" s="16"/>
      <c r="J1458" s="16"/>
      <c r="O1458" s="16"/>
    </row>
    <row r="1459" spans="3:15" x14ac:dyDescent="0.3">
      <c r="C1459" s="16"/>
      <c r="D1459" s="16"/>
      <c r="J1459" s="16"/>
      <c r="O1459" s="16"/>
    </row>
    <row r="1460" spans="3:15" x14ac:dyDescent="0.3">
      <c r="C1460" s="16"/>
      <c r="D1460" s="16"/>
      <c r="J1460" s="16"/>
      <c r="O1460" s="16"/>
    </row>
    <row r="1461" spans="3:15" x14ac:dyDescent="0.3">
      <c r="C1461" s="16"/>
      <c r="D1461" s="16"/>
      <c r="J1461" s="16"/>
      <c r="O1461" s="16"/>
    </row>
    <row r="1462" spans="3:15" x14ac:dyDescent="0.3">
      <c r="C1462" s="16"/>
      <c r="D1462" s="16"/>
      <c r="J1462" s="16"/>
      <c r="O1462" s="16"/>
    </row>
    <row r="1463" spans="3:15" x14ac:dyDescent="0.3">
      <c r="C1463" s="16"/>
      <c r="D1463" s="16"/>
      <c r="J1463" s="16"/>
      <c r="O1463" s="16"/>
    </row>
    <row r="1464" spans="3:15" x14ac:dyDescent="0.3">
      <c r="C1464" s="16"/>
      <c r="D1464" s="16"/>
      <c r="J1464" s="16"/>
      <c r="O1464" s="16"/>
    </row>
    <row r="1465" spans="3:15" x14ac:dyDescent="0.3">
      <c r="C1465" s="16"/>
      <c r="D1465" s="16"/>
      <c r="J1465" s="16"/>
      <c r="O1465" s="16"/>
    </row>
    <row r="1466" spans="3:15" x14ac:dyDescent="0.3">
      <c r="C1466" s="16"/>
      <c r="D1466" s="16"/>
      <c r="J1466" s="16"/>
      <c r="O1466" s="16"/>
    </row>
    <row r="1467" spans="3:15" x14ac:dyDescent="0.3">
      <c r="C1467" s="16"/>
      <c r="D1467" s="16"/>
      <c r="J1467" s="16"/>
      <c r="O1467" s="16"/>
    </row>
    <row r="1468" spans="3:15" x14ac:dyDescent="0.3">
      <c r="C1468" s="16"/>
      <c r="D1468" s="16"/>
      <c r="J1468" s="16"/>
      <c r="O1468" s="16"/>
    </row>
    <row r="1469" spans="3:15" x14ac:dyDescent="0.3">
      <c r="C1469" s="16"/>
      <c r="D1469" s="16"/>
      <c r="J1469" s="16"/>
      <c r="O1469" s="16"/>
    </row>
    <row r="1470" spans="3:15" x14ac:dyDescent="0.3">
      <c r="C1470" s="16"/>
      <c r="D1470" s="16"/>
      <c r="J1470" s="16"/>
      <c r="O1470" s="16"/>
    </row>
    <row r="1471" spans="3:15" x14ac:dyDescent="0.3">
      <c r="C1471" s="16"/>
      <c r="D1471" s="16"/>
      <c r="J1471" s="16"/>
      <c r="O1471" s="16"/>
    </row>
    <row r="1472" spans="3:15" x14ac:dyDescent="0.3">
      <c r="C1472" s="16"/>
      <c r="D1472" s="16"/>
      <c r="J1472" s="16"/>
      <c r="O1472" s="16"/>
    </row>
    <row r="1473" spans="3:15" x14ac:dyDescent="0.3">
      <c r="C1473" s="16"/>
      <c r="D1473" s="16"/>
      <c r="J1473" s="16"/>
      <c r="O1473" s="16"/>
    </row>
    <row r="1474" spans="3:15" x14ac:dyDescent="0.3">
      <c r="C1474" s="16"/>
      <c r="D1474" s="16"/>
      <c r="J1474" s="16"/>
      <c r="O1474" s="16"/>
    </row>
    <row r="1475" spans="3:15" x14ac:dyDescent="0.3">
      <c r="C1475" s="16"/>
      <c r="D1475" s="16"/>
      <c r="J1475" s="16"/>
      <c r="O1475" s="16"/>
    </row>
    <row r="1476" spans="3:15" x14ac:dyDescent="0.3">
      <c r="C1476" s="16"/>
      <c r="D1476" s="16"/>
      <c r="J1476" s="16"/>
      <c r="O1476" s="16"/>
    </row>
    <row r="1477" spans="3:15" x14ac:dyDescent="0.3">
      <c r="C1477" s="16"/>
      <c r="D1477" s="16"/>
      <c r="J1477" s="16"/>
      <c r="O1477" s="16"/>
    </row>
    <row r="1478" spans="3:15" x14ac:dyDescent="0.3">
      <c r="C1478" s="16"/>
      <c r="D1478" s="16"/>
      <c r="J1478" s="16"/>
      <c r="O1478" s="16"/>
    </row>
    <row r="1479" spans="3:15" x14ac:dyDescent="0.3">
      <c r="C1479" s="16"/>
      <c r="D1479" s="16"/>
      <c r="J1479" s="16"/>
      <c r="O1479" s="16"/>
    </row>
    <row r="1480" spans="3:15" x14ac:dyDescent="0.3">
      <c r="C1480" s="16"/>
      <c r="D1480" s="16"/>
      <c r="J1480" s="16"/>
      <c r="O1480" s="16"/>
    </row>
    <row r="1481" spans="3:15" x14ac:dyDescent="0.3">
      <c r="C1481" s="16"/>
      <c r="D1481" s="16"/>
      <c r="J1481" s="16"/>
      <c r="O1481" s="16"/>
    </row>
    <row r="1482" spans="3:15" x14ac:dyDescent="0.3">
      <c r="C1482" s="16"/>
      <c r="D1482" s="16"/>
      <c r="J1482" s="16"/>
      <c r="O1482" s="16"/>
    </row>
    <row r="1483" spans="3:15" x14ac:dyDescent="0.3">
      <c r="C1483" s="16"/>
      <c r="D1483" s="16"/>
      <c r="J1483" s="16"/>
      <c r="O1483" s="16"/>
    </row>
    <row r="1484" spans="3:15" x14ac:dyDescent="0.3">
      <c r="C1484" s="16"/>
      <c r="D1484" s="16"/>
      <c r="J1484" s="16"/>
      <c r="O1484" s="16"/>
    </row>
    <row r="1485" spans="3:15" x14ac:dyDescent="0.3">
      <c r="C1485" s="16"/>
      <c r="D1485" s="16"/>
      <c r="J1485" s="16"/>
      <c r="O1485" s="16"/>
    </row>
    <row r="1486" spans="3:15" x14ac:dyDescent="0.3">
      <c r="C1486" s="16"/>
      <c r="D1486" s="16"/>
      <c r="J1486" s="16"/>
      <c r="O1486" s="16"/>
    </row>
    <row r="1487" spans="3:15" x14ac:dyDescent="0.3">
      <c r="C1487" s="16"/>
      <c r="D1487" s="16"/>
      <c r="J1487" s="16"/>
      <c r="O1487" s="16"/>
    </row>
    <row r="1488" spans="3:15" x14ac:dyDescent="0.3">
      <c r="C1488" s="16"/>
      <c r="D1488" s="16"/>
      <c r="J1488" s="16"/>
      <c r="O1488" s="16"/>
    </row>
    <row r="1489" spans="3:15" x14ac:dyDescent="0.3">
      <c r="C1489" s="16"/>
      <c r="D1489" s="16"/>
      <c r="J1489" s="16"/>
      <c r="O1489" s="16"/>
    </row>
    <row r="1490" spans="3:15" x14ac:dyDescent="0.3">
      <c r="C1490" s="16"/>
      <c r="D1490" s="16"/>
      <c r="J1490" s="16"/>
      <c r="O1490" s="16"/>
    </row>
    <row r="1491" spans="3:15" x14ac:dyDescent="0.3">
      <c r="C1491" s="16"/>
      <c r="D1491" s="16"/>
      <c r="J1491" s="16"/>
      <c r="O1491" s="16"/>
    </row>
    <row r="1492" spans="3:15" x14ac:dyDescent="0.3">
      <c r="C1492" s="16"/>
      <c r="D1492" s="16"/>
      <c r="J1492" s="16"/>
      <c r="O1492" s="16"/>
    </row>
    <row r="1493" spans="3:15" x14ac:dyDescent="0.3">
      <c r="C1493" s="16"/>
      <c r="D1493" s="16"/>
      <c r="J1493" s="16"/>
      <c r="O1493" s="16"/>
    </row>
    <row r="1494" spans="3:15" x14ac:dyDescent="0.3">
      <c r="C1494" s="16"/>
      <c r="D1494" s="16"/>
      <c r="J1494" s="16"/>
      <c r="O1494" s="16"/>
    </row>
    <row r="1495" spans="3:15" x14ac:dyDescent="0.3">
      <c r="C1495" s="16"/>
      <c r="D1495" s="16"/>
      <c r="J1495" s="16"/>
      <c r="O1495" s="16"/>
    </row>
    <row r="1496" spans="3:15" x14ac:dyDescent="0.3">
      <c r="C1496" s="16"/>
      <c r="D1496" s="16"/>
      <c r="J1496" s="16"/>
      <c r="O1496" s="16"/>
    </row>
    <row r="1497" spans="3:15" x14ac:dyDescent="0.3">
      <c r="C1497" s="16"/>
      <c r="D1497" s="16"/>
      <c r="J1497" s="16"/>
      <c r="O1497" s="16"/>
    </row>
    <row r="1498" spans="3:15" x14ac:dyDescent="0.3">
      <c r="C1498" s="16"/>
      <c r="D1498" s="16"/>
      <c r="J1498" s="16"/>
      <c r="O1498" s="16"/>
    </row>
    <row r="1499" spans="3:15" x14ac:dyDescent="0.3">
      <c r="C1499" s="16"/>
      <c r="D1499" s="16"/>
      <c r="J1499" s="16"/>
      <c r="O1499" s="16"/>
    </row>
    <row r="1500" spans="3:15" x14ac:dyDescent="0.3">
      <c r="C1500" s="16"/>
      <c r="D1500" s="16"/>
      <c r="J1500" s="16"/>
      <c r="O1500" s="16"/>
    </row>
    <row r="1501" spans="3:15" x14ac:dyDescent="0.3">
      <c r="C1501" s="16"/>
      <c r="D1501" s="16"/>
      <c r="J1501" s="16"/>
      <c r="O1501" s="16"/>
    </row>
    <row r="1502" spans="3:15" x14ac:dyDescent="0.3">
      <c r="C1502" s="16"/>
      <c r="D1502" s="16"/>
      <c r="J1502" s="16"/>
      <c r="O1502" s="16"/>
    </row>
    <row r="1503" spans="3:15" x14ac:dyDescent="0.3">
      <c r="C1503" s="16"/>
      <c r="D1503" s="16"/>
      <c r="J1503" s="16"/>
      <c r="O1503" s="16"/>
    </row>
    <row r="1504" spans="3:15" x14ac:dyDescent="0.3">
      <c r="C1504" s="16"/>
      <c r="D1504" s="16"/>
      <c r="J1504" s="16"/>
      <c r="O1504" s="16"/>
    </row>
    <row r="1505" spans="3:15" x14ac:dyDescent="0.3">
      <c r="C1505" s="16"/>
      <c r="D1505" s="16"/>
      <c r="J1505" s="16"/>
      <c r="O1505" s="16"/>
    </row>
    <row r="1506" spans="3:15" x14ac:dyDescent="0.3">
      <c r="C1506" s="16"/>
      <c r="D1506" s="16"/>
      <c r="J1506" s="16"/>
      <c r="O1506" s="16"/>
    </row>
    <row r="1507" spans="3:15" x14ac:dyDescent="0.3">
      <c r="C1507" s="16"/>
      <c r="D1507" s="16"/>
      <c r="J1507" s="16"/>
      <c r="O1507" s="16"/>
    </row>
    <row r="1508" spans="3:15" x14ac:dyDescent="0.3">
      <c r="C1508" s="16"/>
      <c r="D1508" s="16"/>
      <c r="J1508" s="16"/>
      <c r="O1508" s="16"/>
    </row>
    <row r="1509" spans="3:15" x14ac:dyDescent="0.3">
      <c r="C1509" s="16"/>
      <c r="D1509" s="16"/>
      <c r="J1509" s="16"/>
      <c r="O1509" s="16"/>
    </row>
    <row r="1510" spans="3:15" x14ac:dyDescent="0.3">
      <c r="C1510" s="16"/>
      <c r="D1510" s="16"/>
      <c r="J1510" s="16"/>
      <c r="O1510" s="16"/>
    </row>
    <row r="1511" spans="3:15" x14ac:dyDescent="0.3">
      <c r="C1511" s="16"/>
      <c r="D1511" s="16"/>
      <c r="J1511" s="16"/>
      <c r="O1511" s="16"/>
    </row>
    <row r="1512" spans="3:15" x14ac:dyDescent="0.3">
      <c r="C1512" s="16"/>
      <c r="D1512" s="16"/>
      <c r="J1512" s="16"/>
      <c r="O1512" s="16"/>
    </row>
    <row r="1513" spans="3:15" x14ac:dyDescent="0.3">
      <c r="C1513" s="16"/>
      <c r="D1513" s="16"/>
      <c r="J1513" s="16"/>
      <c r="O1513" s="16"/>
    </row>
    <row r="1514" spans="3:15" x14ac:dyDescent="0.3">
      <c r="C1514" s="16"/>
      <c r="D1514" s="16"/>
      <c r="J1514" s="16"/>
      <c r="O1514" s="16"/>
    </row>
    <row r="1515" spans="3:15" x14ac:dyDescent="0.3">
      <c r="C1515" s="16"/>
      <c r="D1515" s="16"/>
      <c r="J1515" s="16"/>
      <c r="O1515" s="16"/>
    </row>
    <row r="1516" spans="3:15" x14ac:dyDescent="0.3">
      <c r="C1516" s="16"/>
      <c r="D1516" s="16"/>
      <c r="J1516" s="16"/>
      <c r="O1516" s="16"/>
    </row>
    <row r="1517" spans="3:15" x14ac:dyDescent="0.3">
      <c r="C1517" s="16"/>
      <c r="D1517" s="16"/>
      <c r="J1517" s="16"/>
      <c r="O1517" s="16"/>
    </row>
    <row r="1518" spans="3:15" x14ac:dyDescent="0.3">
      <c r="C1518" s="16"/>
      <c r="D1518" s="16"/>
      <c r="J1518" s="16"/>
      <c r="O1518" s="16"/>
    </row>
    <row r="1519" spans="3:15" x14ac:dyDescent="0.3">
      <c r="C1519" s="16"/>
      <c r="D1519" s="16"/>
      <c r="J1519" s="16"/>
      <c r="O1519" s="16"/>
    </row>
    <row r="1520" spans="3:15" x14ac:dyDescent="0.3">
      <c r="C1520" s="16"/>
      <c r="D1520" s="16"/>
      <c r="J1520" s="16"/>
      <c r="O1520" s="16"/>
    </row>
    <row r="1521" spans="3:15" x14ac:dyDescent="0.3">
      <c r="C1521" s="16"/>
      <c r="D1521" s="16"/>
      <c r="J1521" s="16"/>
      <c r="O1521" s="16"/>
    </row>
    <row r="1522" spans="3:15" x14ac:dyDescent="0.3">
      <c r="C1522" s="16"/>
      <c r="D1522" s="16"/>
      <c r="J1522" s="16"/>
      <c r="O1522" s="16"/>
    </row>
    <row r="1523" spans="3:15" x14ac:dyDescent="0.3">
      <c r="C1523" s="16"/>
      <c r="D1523" s="16"/>
      <c r="J1523" s="16"/>
      <c r="O1523" s="16"/>
    </row>
    <row r="1524" spans="3:15" x14ac:dyDescent="0.3">
      <c r="C1524" s="16"/>
      <c r="D1524" s="16"/>
      <c r="J1524" s="16"/>
      <c r="O1524" s="16"/>
    </row>
    <row r="1525" spans="3:15" x14ac:dyDescent="0.3">
      <c r="C1525" s="16"/>
      <c r="D1525" s="16"/>
      <c r="J1525" s="16"/>
      <c r="O1525" s="16"/>
    </row>
    <row r="1526" spans="3:15" x14ac:dyDescent="0.3">
      <c r="C1526" s="16"/>
      <c r="D1526" s="16"/>
      <c r="J1526" s="16"/>
      <c r="O1526" s="16"/>
    </row>
    <row r="1527" spans="3:15" x14ac:dyDescent="0.3">
      <c r="C1527" s="16"/>
      <c r="D1527" s="16"/>
      <c r="J1527" s="16"/>
      <c r="O1527" s="16"/>
    </row>
    <row r="1528" spans="3:15" x14ac:dyDescent="0.3">
      <c r="C1528" s="16"/>
      <c r="D1528" s="16"/>
      <c r="J1528" s="16"/>
      <c r="O1528" s="16"/>
    </row>
    <row r="1529" spans="3:15" x14ac:dyDescent="0.3">
      <c r="C1529" s="16"/>
      <c r="D1529" s="16"/>
      <c r="J1529" s="16"/>
      <c r="O1529" s="16"/>
    </row>
    <row r="1530" spans="3:15" x14ac:dyDescent="0.3">
      <c r="C1530" s="16"/>
      <c r="D1530" s="16"/>
      <c r="J1530" s="16"/>
      <c r="O1530" s="16"/>
    </row>
    <row r="1531" spans="3:15" x14ac:dyDescent="0.3">
      <c r="C1531" s="16"/>
      <c r="D1531" s="16"/>
      <c r="J1531" s="16"/>
      <c r="O1531" s="16"/>
    </row>
    <row r="1532" spans="3:15" x14ac:dyDescent="0.3">
      <c r="C1532" s="16"/>
      <c r="D1532" s="16"/>
      <c r="J1532" s="16"/>
      <c r="O1532" s="16"/>
    </row>
    <row r="1533" spans="3:15" x14ac:dyDescent="0.3">
      <c r="C1533" s="16"/>
      <c r="D1533" s="16"/>
      <c r="J1533" s="16"/>
      <c r="O1533" s="16"/>
    </row>
    <row r="1534" spans="3:15" x14ac:dyDescent="0.3">
      <c r="C1534" s="16"/>
      <c r="D1534" s="16"/>
      <c r="J1534" s="16"/>
      <c r="O1534" s="16"/>
    </row>
    <row r="1535" spans="3:15" x14ac:dyDescent="0.3">
      <c r="C1535" s="16"/>
      <c r="D1535" s="16"/>
      <c r="J1535" s="16"/>
      <c r="O1535" s="16"/>
    </row>
    <row r="1536" spans="3:15" x14ac:dyDescent="0.3">
      <c r="C1536" s="16"/>
      <c r="D1536" s="16"/>
      <c r="J1536" s="16"/>
      <c r="O1536" s="16"/>
    </row>
    <row r="1537" spans="3:15" x14ac:dyDescent="0.3">
      <c r="C1537" s="16"/>
      <c r="D1537" s="16"/>
      <c r="J1537" s="16"/>
      <c r="O1537" s="16"/>
    </row>
    <row r="1538" spans="3:15" x14ac:dyDescent="0.3">
      <c r="C1538" s="16"/>
      <c r="D1538" s="16"/>
      <c r="J1538" s="16"/>
      <c r="O1538" s="16"/>
    </row>
    <row r="1539" spans="3:15" x14ac:dyDescent="0.3">
      <c r="C1539" s="16"/>
      <c r="D1539" s="16"/>
      <c r="J1539" s="16"/>
      <c r="O1539" s="16"/>
    </row>
    <row r="1540" spans="3:15" x14ac:dyDescent="0.3">
      <c r="C1540" s="16"/>
      <c r="D1540" s="16"/>
      <c r="J1540" s="16"/>
      <c r="O1540" s="16"/>
    </row>
    <row r="1541" spans="3:15" x14ac:dyDescent="0.3">
      <c r="C1541" s="16"/>
      <c r="D1541" s="16"/>
      <c r="J1541" s="16"/>
      <c r="O1541" s="16"/>
    </row>
    <row r="1542" spans="3:15" x14ac:dyDescent="0.3">
      <c r="C1542" s="16"/>
      <c r="D1542" s="16"/>
      <c r="J1542" s="16"/>
      <c r="O1542" s="16"/>
    </row>
    <row r="1543" spans="3:15" x14ac:dyDescent="0.3">
      <c r="C1543" s="16"/>
      <c r="D1543" s="16"/>
      <c r="J1543" s="16"/>
      <c r="O1543" s="16"/>
    </row>
    <row r="1544" spans="3:15" x14ac:dyDescent="0.3">
      <c r="C1544" s="16"/>
      <c r="D1544" s="16"/>
      <c r="J1544" s="16"/>
      <c r="O1544" s="16"/>
    </row>
    <row r="1545" spans="3:15" x14ac:dyDescent="0.3">
      <c r="C1545" s="16"/>
      <c r="D1545" s="16"/>
      <c r="J1545" s="16"/>
      <c r="O1545" s="16"/>
    </row>
    <row r="1546" spans="3:15" x14ac:dyDescent="0.3">
      <c r="C1546" s="16"/>
      <c r="D1546" s="16"/>
      <c r="J1546" s="16"/>
      <c r="O1546" s="16"/>
    </row>
    <row r="1547" spans="3:15" x14ac:dyDescent="0.3">
      <c r="C1547" s="16"/>
      <c r="D1547" s="16"/>
      <c r="J1547" s="16"/>
      <c r="O1547" s="16"/>
    </row>
    <row r="1548" spans="3:15" x14ac:dyDescent="0.3">
      <c r="C1548" s="16"/>
      <c r="D1548" s="16"/>
      <c r="J1548" s="16"/>
      <c r="O1548" s="16"/>
    </row>
    <row r="1549" spans="3:15" x14ac:dyDescent="0.3">
      <c r="C1549" s="16"/>
      <c r="D1549" s="16"/>
      <c r="J1549" s="16"/>
      <c r="O1549" s="16"/>
    </row>
    <row r="1550" spans="3:15" x14ac:dyDescent="0.3">
      <c r="C1550" s="16"/>
      <c r="D1550" s="16"/>
      <c r="J1550" s="16"/>
      <c r="O1550" s="16"/>
    </row>
    <row r="1551" spans="3:15" x14ac:dyDescent="0.3">
      <c r="C1551" s="16"/>
      <c r="D1551" s="16"/>
      <c r="J1551" s="16"/>
      <c r="O1551" s="16"/>
    </row>
    <row r="1552" spans="3:15" x14ac:dyDescent="0.3">
      <c r="C1552" s="16"/>
      <c r="D1552" s="16"/>
      <c r="J1552" s="16"/>
      <c r="O1552" s="16"/>
    </row>
    <row r="1553" spans="3:15" x14ac:dyDescent="0.3">
      <c r="C1553" s="16"/>
      <c r="D1553" s="16"/>
      <c r="J1553" s="16"/>
      <c r="O1553" s="16"/>
    </row>
    <row r="1554" spans="3:15" x14ac:dyDescent="0.3">
      <c r="C1554" s="16"/>
      <c r="D1554" s="16"/>
      <c r="J1554" s="16"/>
      <c r="O1554" s="16"/>
    </row>
    <row r="1555" spans="3:15" x14ac:dyDescent="0.3">
      <c r="C1555" s="16"/>
      <c r="D1555" s="16"/>
      <c r="J1555" s="16"/>
      <c r="O1555" s="16"/>
    </row>
    <row r="1556" spans="3:15" x14ac:dyDescent="0.3">
      <c r="C1556" s="16"/>
      <c r="D1556" s="16"/>
      <c r="J1556" s="16"/>
      <c r="O1556" s="16"/>
    </row>
    <row r="1557" spans="3:15" x14ac:dyDescent="0.3">
      <c r="C1557" s="16"/>
      <c r="D1557" s="16"/>
      <c r="J1557" s="16"/>
      <c r="O1557" s="16"/>
    </row>
    <row r="1558" spans="3:15" x14ac:dyDescent="0.3">
      <c r="C1558" s="16"/>
      <c r="D1558" s="16"/>
      <c r="J1558" s="16"/>
      <c r="O1558" s="16"/>
    </row>
    <row r="1559" spans="3:15" x14ac:dyDescent="0.3">
      <c r="C1559" s="16"/>
      <c r="D1559" s="16"/>
      <c r="J1559" s="16"/>
      <c r="O1559" s="16"/>
    </row>
    <row r="1560" spans="3:15" x14ac:dyDescent="0.3">
      <c r="C1560" s="16"/>
      <c r="D1560" s="16"/>
      <c r="J1560" s="16"/>
      <c r="O1560" s="16"/>
    </row>
    <row r="1561" spans="3:15" x14ac:dyDescent="0.3">
      <c r="C1561" s="16"/>
      <c r="D1561" s="16"/>
      <c r="J1561" s="16"/>
      <c r="O1561" s="16"/>
    </row>
    <row r="1562" spans="3:15" x14ac:dyDescent="0.3">
      <c r="C1562" s="16"/>
      <c r="D1562" s="16"/>
      <c r="J1562" s="16"/>
      <c r="O1562" s="16"/>
    </row>
    <row r="1563" spans="3:15" x14ac:dyDescent="0.3">
      <c r="C1563" s="16"/>
      <c r="D1563" s="16"/>
      <c r="J1563" s="16"/>
      <c r="O1563" s="16"/>
    </row>
    <row r="1564" spans="3:15" x14ac:dyDescent="0.3">
      <c r="C1564" s="16"/>
      <c r="D1564" s="16"/>
      <c r="J1564" s="16"/>
      <c r="O1564" s="16"/>
    </row>
    <row r="1565" spans="3:15" x14ac:dyDescent="0.3">
      <c r="C1565" s="16"/>
      <c r="D1565" s="16"/>
      <c r="J1565" s="16"/>
      <c r="O1565" s="16"/>
    </row>
    <row r="1566" spans="3:15" x14ac:dyDescent="0.3">
      <c r="C1566" s="16"/>
      <c r="D1566" s="16"/>
      <c r="J1566" s="16"/>
      <c r="O1566" s="16"/>
    </row>
    <row r="1567" spans="3:15" x14ac:dyDescent="0.3">
      <c r="C1567" s="16"/>
      <c r="D1567" s="16"/>
      <c r="J1567" s="16"/>
      <c r="O1567" s="16"/>
    </row>
    <row r="1568" spans="3:15" x14ac:dyDescent="0.3">
      <c r="C1568" s="16"/>
      <c r="D1568" s="16"/>
      <c r="J1568" s="16"/>
      <c r="O1568" s="16"/>
    </row>
    <row r="1569" spans="3:15" x14ac:dyDescent="0.3">
      <c r="C1569" s="16"/>
      <c r="D1569" s="16"/>
      <c r="J1569" s="16"/>
      <c r="O1569" s="16"/>
    </row>
    <row r="1570" spans="3:15" x14ac:dyDescent="0.3">
      <c r="C1570" s="16"/>
      <c r="D1570" s="16"/>
      <c r="J1570" s="16"/>
      <c r="O1570" s="16"/>
    </row>
    <row r="1571" spans="3:15" x14ac:dyDescent="0.3">
      <c r="C1571" s="16"/>
      <c r="D1571" s="16"/>
      <c r="J1571" s="16"/>
      <c r="O1571" s="16"/>
    </row>
    <row r="1572" spans="3:15" x14ac:dyDescent="0.3">
      <c r="C1572" s="16"/>
      <c r="D1572" s="16"/>
      <c r="J1572" s="16"/>
      <c r="O1572" s="16"/>
    </row>
    <row r="1573" spans="3:15" x14ac:dyDescent="0.3">
      <c r="C1573" s="16"/>
      <c r="D1573" s="16"/>
      <c r="J1573" s="16"/>
      <c r="O1573" s="16"/>
    </row>
    <row r="1574" spans="3:15" x14ac:dyDescent="0.3">
      <c r="C1574" s="16"/>
      <c r="D1574" s="16"/>
      <c r="J1574" s="16"/>
      <c r="O1574" s="16"/>
    </row>
    <row r="1575" spans="3:15" x14ac:dyDescent="0.3">
      <c r="C1575" s="16"/>
      <c r="D1575" s="16"/>
      <c r="J1575" s="16"/>
      <c r="O1575" s="16"/>
    </row>
    <row r="1576" spans="3:15" x14ac:dyDescent="0.3">
      <c r="C1576" s="16"/>
      <c r="D1576" s="16"/>
      <c r="J1576" s="16"/>
      <c r="O1576" s="16"/>
    </row>
    <row r="1577" spans="3:15" x14ac:dyDescent="0.3">
      <c r="C1577" s="16"/>
      <c r="D1577" s="16"/>
      <c r="J1577" s="16"/>
      <c r="O1577" s="16"/>
    </row>
    <row r="1578" spans="3:15" x14ac:dyDescent="0.3">
      <c r="C1578" s="16"/>
      <c r="D1578" s="16"/>
      <c r="J1578" s="16"/>
      <c r="O1578" s="16"/>
    </row>
    <row r="1579" spans="3:15" x14ac:dyDescent="0.3">
      <c r="C1579" s="16"/>
      <c r="D1579" s="16"/>
      <c r="J1579" s="16"/>
      <c r="O1579" s="16"/>
    </row>
    <row r="1580" spans="3:15" x14ac:dyDescent="0.3">
      <c r="C1580" s="16"/>
      <c r="D1580" s="16"/>
      <c r="J1580" s="16"/>
      <c r="O1580" s="16"/>
    </row>
    <row r="1581" spans="3:15" x14ac:dyDescent="0.3">
      <c r="C1581" s="16"/>
      <c r="D1581" s="16"/>
      <c r="J1581" s="16"/>
      <c r="O1581" s="16"/>
    </row>
    <row r="1582" spans="3:15" x14ac:dyDescent="0.3">
      <c r="C1582" s="16"/>
      <c r="D1582" s="16"/>
      <c r="J1582" s="16"/>
      <c r="O1582" s="16"/>
    </row>
    <row r="1583" spans="3:15" x14ac:dyDescent="0.3">
      <c r="C1583" s="16"/>
      <c r="D1583" s="16"/>
      <c r="J1583" s="16"/>
      <c r="O1583" s="16"/>
    </row>
    <row r="1584" spans="3:15" x14ac:dyDescent="0.3">
      <c r="C1584" s="16"/>
      <c r="D1584" s="16"/>
      <c r="J1584" s="16"/>
      <c r="O1584" s="16"/>
    </row>
    <row r="1585" spans="3:15" x14ac:dyDescent="0.3">
      <c r="C1585" s="16"/>
      <c r="D1585" s="16"/>
      <c r="J1585" s="16"/>
      <c r="O1585" s="16"/>
    </row>
    <row r="1586" spans="3:15" x14ac:dyDescent="0.3">
      <c r="C1586" s="16"/>
      <c r="D1586" s="16"/>
      <c r="J1586" s="16"/>
      <c r="O1586" s="16"/>
    </row>
    <row r="1587" spans="3:15" x14ac:dyDescent="0.3">
      <c r="C1587" s="16"/>
      <c r="D1587" s="16"/>
      <c r="J1587" s="16"/>
      <c r="O1587" s="16"/>
    </row>
    <row r="1588" spans="3:15" x14ac:dyDescent="0.3">
      <c r="C1588" s="16"/>
      <c r="D1588" s="16"/>
      <c r="J1588" s="16"/>
      <c r="O1588" s="16"/>
    </row>
    <row r="1589" spans="3:15" x14ac:dyDescent="0.3">
      <c r="C1589" s="16"/>
      <c r="D1589" s="16"/>
      <c r="J1589" s="16"/>
      <c r="O1589" s="16"/>
    </row>
    <row r="1590" spans="3:15" x14ac:dyDescent="0.3">
      <c r="C1590" s="16"/>
      <c r="D1590" s="16"/>
      <c r="J1590" s="16"/>
      <c r="O1590" s="16"/>
    </row>
    <row r="1591" spans="3:15" x14ac:dyDescent="0.3">
      <c r="C1591" s="16"/>
      <c r="D1591" s="16"/>
      <c r="J1591" s="16"/>
      <c r="O1591" s="16"/>
    </row>
    <row r="1592" spans="3:15" x14ac:dyDescent="0.3">
      <c r="C1592" s="16"/>
      <c r="D1592" s="16"/>
      <c r="J1592" s="16"/>
      <c r="O1592" s="16"/>
    </row>
    <row r="1593" spans="3:15" x14ac:dyDescent="0.3">
      <c r="C1593" s="16"/>
      <c r="D1593" s="16"/>
      <c r="J1593" s="16"/>
      <c r="O1593" s="16"/>
    </row>
    <row r="1594" spans="3:15" x14ac:dyDescent="0.3">
      <c r="C1594" s="16"/>
      <c r="D1594" s="16"/>
      <c r="J1594" s="16"/>
      <c r="O1594" s="16"/>
    </row>
    <row r="1595" spans="3:15" x14ac:dyDescent="0.3">
      <c r="C1595" s="16"/>
      <c r="D1595" s="16"/>
      <c r="J1595" s="16"/>
      <c r="O1595" s="16"/>
    </row>
    <row r="1596" spans="3:15" x14ac:dyDescent="0.3">
      <c r="C1596" s="16"/>
      <c r="D1596" s="16"/>
      <c r="J1596" s="16"/>
      <c r="O1596" s="16"/>
    </row>
    <row r="1597" spans="3:15" x14ac:dyDescent="0.3">
      <c r="C1597" s="16"/>
      <c r="D1597" s="16"/>
      <c r="J1597" s="16"/>
      <c r="O1597" s="16"/>
    </row>
    <row r="1598" spans="3:15" x14ac:dyDescent="0.3">
      <c r="C1598" s="16"/>
      <c r="D1598" s="16"/>
      <c r="J1598" s="16"/>
      <c r="O1598" s="16"/>
    </row>
    <row r="1599" spans="3:15" x14ac:dyDescent="0.3">
      <c r="C1599" s="16"/>
      <c r="D1599" s="16"/>
      <c r="J1599" s="16"/>
      <c r="O1599" s="16"/>
    </row>
    <row r="1600" spans="3:15" x14ac:dyDescent="0.3">
      <c r="C1600" s="16"/>
      <c r="D1600" s="16"/>
      <c r="J1600" s="16"/>
      <c r="O1600" s="16"/>
    </row>
    <row r="1601" spans="3:15" x14ac:dyDescent="0.3">
      <c r="C1601" s="16"/>
      <c r="D1601" s="16"/>
      <c r="J1601" s="16"/>
      <c r="O1601" s="16"/>
    </row>
    <row r="1602" spans="3:15" x14ac:dyDescent="0.3">
      <c r="C1602" s="16"/>
      <c r="D1602" s="16"/>
      <c r="J1602" s="16"/>
      <c r="O1602" s="16"/>
    </row>
    <row r="1603" spans="3:15" x14ac:dyDescent="0.3">
      <c r="C1603" s="16"/>
      <c r="D1603" s="16"/>
      <c r="J1603" s="16"/>
      <c r="O1603" s="16"/>
    </row>
    <row r="1604" spans="3:15" x14ac:dyDescent="0.3">
      <c r="C1604" s="16"/>
      <c r="D1604" s="16"/>
      <c r="J1604" s="16"/>
      <c r="O1604" s="16"/>
    </row>
    <row r="1605" spans="3:15" x14ac:dyDescent="0.3">
      <c r="C1605" s="16"/>
      <c r="D1605" s="16"/>
      <c r="J1605" s="16"/>
      <c r="O1605" s="16"/>
    </row>
    <row r="1606" spans="3:15" x14ac:dyDescent="0.3">
      <c r="C1606" s="16"/>
      <c r="D1606" s="16"/>
      <c r="J1606" s="16"/>
      <c r="O1606" s="16"/>
    </row>
    <row r="1607" spans="3:15" x14ac:dyDescent="0.3">
      <c r="C1607" s="16"/>
      <c r="D1607" s="16"/>
      <c r="J1607" s="16"/>
      <c r="O1607" s="16"/>
    </row>
    <row r="1608" spans="3:15" x14ac:dyDescent="0.3">
      <c r="C1608" s="16"/>
      <c r="D1608" s="16"/>
      <c r="J1608" s="16"/>
      <c r="O1608" s="16"/>
    </row>
    <row r="1609" spans="3:15" x14ac:dyDescent="0.3">
      <c r="C1609" s="16"/>
      <c r="D1609" s="16"/>
      <c r="J1609" s="16"/>
      <c r="O1609" s="16"/>
    </row>
    <row r="1610" spans="3:15" x14ac:dyDescent="0.3">
      <c r="C1610" s="16"/>
      <c r="D1610" s="16"/>
      <c r="J1610" s="16"/>
      <c r="O1610" s="16"/>
    </row>
    <row r="1611" spans="3:15" x14ac:dyDescent="0.3">
      <c r="C1611" s="16"/>
      <c r="D1611" s="16"/>
      <c r="J1611" s="16"/>
      <c r="O1611" s="16"/>
    </row>
    <row r="1612" spans="3:15" x14ac:dyDescent="0.3">
      <c r="C1612" s="16"/>
      <c r="D1612" s="16"/>
      <c r="J1612" s="16"/>
      <c r="O1612" s="16"/>
    </row>
    <row r="1613" spans="3:15" x14ac:dyDescent="0.3">
      <c r="C1613" s="16"/>
      <c r="D1613" s="16"/>
      <c r="J1613" s="16"/>
      <c r="O1613" s="16"/>
    </row>
    <row r="1614" spans="3:15" x14ac:dyDescent="0.3">
      <c r="C1614" s="16"/>
      <c r="D1614" s="16"/>
      <c r="J1614" s="16"/>
      <c r="O1614" s="16"/>
    </row>
    <row r="1615" spans="3:15" x14ac:dyDescent="0.3">
      <c r="C1615" s="16"/>
      <c r="D1615" s="16"/>
      <c r="J1615" s="16"/>
      <c r="O1615" s="16"/>
    </row>
    <row r="1616" spans="3:15" x14ac:dyDescent="0.3">
      <c r="C1616" s="16"/>
      <c r="D1616" s="16"/>
      <c r="J1616" s="16"/>
      <c r="O1616" s="16"/>
    </row>
    <row r="1617" spans="3:15" x14ac:dyDescent="0.3">
      <c r="C1617" s="16"/>
      <c r="D1617" s="16"/>
      <c r="J1617" s="16"/>
      <c r="O1617" s="16"/>
    </row>
    <row r="1618" spans="3:15" x14ac:dyDescent="0.3">
      <c r="C1618" s="16"/>
      <c r="D1618" s="16"/>
      <c r="J1618" s="16"/>
      <c r="O1618" s="16"/>
    </row>
    <row r="1619" spans="3:15" x14ac:dyDescent="0.3">
      <c r="C1619" s="16"/>
      <c r="D1619" s="16"/>
      <c r="J1619" s="16"/>
      <c r="O1619" s="16"/>
    </row>
    <row r="1620" spans="3:15" x14ac:dyDescent="0.3">
      <c r="C1620" s="16"/>
      <c r="D1620" s="16"/>
      <c r="J1620" s="16"/>
      <c r="O1620" s="16"/>
    </row>
    <row r="1621" spans="3:15" x14ac:dyDescent="0.3">
      <c r="C1621" s="16"/>
      <c r="D1621" s="16"/>
      <c r="J1621" s="16"/>
      <c r="O1621" s="16"/>
    </row>
    <row r="1622" spans="3:15" x14ac:dyDescent="0.3">
      <c r="C1622" s="16"/>
      <c r="D1622" s="16"/>
      <c r="J1622" s="16"/>
      <c r="O1622" s="16"/>
    </row>
    <row r="1623" spans="3:15" x14ac:dyDescent="0.3">
      <c r="C1623" s="16"/>
      <c r="D1623" s="16"/>
      <c r="J1623" s="16"/>
      <c r="O1623" s="16"/>
    </row>
    <row r="1624" spans="3:15" x14ac:dyDescent="0.3">
      <c r="C1624" s="16"/>
      <c r="D1624" s="16"/>
      <c r="J1624" s="16"/>
      <c r="O1624" s="16"/>
    </row>
    <row r="1625" spans="3:15" x14ac:dyDescent="0.3">
      <c r="C1625" s="16"/>
      <c r="D1625" s="16"/>
      <c r="J1625" s="16"/>
      <c r="O1625" s="16"/>
    </row>
    <row r="1626" spans="3:15" x14ac:dyDescent="0.3">
      <c r="C1626" s="16"/>
      <c r="D1626" s="16"/>
      <c r="J1626" s="16"/>
      <c r="O1626" s="16"/>
    </row>
    <row r="1627" spans="3:15" x14ac:dyDescent="0.3">
      <c r="C1627" s="16"/>
      <c r="D1627" s="16"/>
      <c r="J1627" s="16"/>
      <c r="O1627" s="16"/>
    </row>
    <row r="1628" spans="3:15" x14ac:dyDescent="0.3">
      <c r="C1628" s="16"/>
      <c r="D1628" s="16"/>
      <c r="J1628" s="16"/>
      <c r="O1628" s="16"/>
    </row>
    <row r="1629" spans="3:15" x14ac:dyDescent="0.3">
      <c r="C1629" s="16"/>
      <c r="D1629" s="16"/>
      <c r="J1629" s="16"/>
      <c r="O1629" s="16"/>
    </row>
    <row r="1630" spans="3:15" x14ac:dyDescent="0.3">
      <c r="C1630" s="16"/>
      <c r="D1630" s="16"/>
      <c r="J1630" s="16"/>
      <c r="O1630" s="16"/>
    </row>
    <row r="1631" spans="3:15" x14ac:dyDescent="0.3">
      <c r="C1631" s="16"/>
      <c r="D1631" s="16"/>
      <c r="J1631" s="16"/>
      <c r="O1631" s="16"/>
    </row>
    <row r="1632" spans="3:15" x14ac:dyDescent="0.3">
      <c r="C1632" s="16"/>
      <c r="D1632" s="16"/>
      <c r="J1632" s="16"/>
      <c r="O1632" s="16"/>
    </row>
    <row r="1633" spans="3:15" x14ac:dyDescent="0.3">
      <c r="C1633" s="16"/>
      <c r="D1633" s="16"/>
      <c r="J1633" s="16"/>
      <c r="O1633" s="16"/>
    </row>
    <row r="1634" spans="3:15" x14ac:dyDescent="0.3">
      <c r="C1634" s="16"/>
      <c r="D1634" s="16"/>
      <c r="J1634" s="16"/>
      <c r="O1634" s="16"/>
    </row>
    <row r="1635" spans="3:15" x14ac:dyDescent="0.3">
      <c r="C1635" s="16"/>
      <c r="D1635" s="16"/>
      <c r="J1635" s="16"/>
      <c r="O1635" s="16"/>
    </row>
    <row r="1636" spans="3:15" x14ac:dyDescent="0.3">
      <c r="C1636" s="16"/>
      <c r="D1636" s="16"/>
      <c r="J1636" s="16"/>
      <c r="O1636" s="16"/>
    </row>
    <row r="1637" spans="3:15" x14ac:dyDescent="0.3">
      <c r="C1637" s="16"/>
      <c r="D1637" s="16"/>
      <c r="J1637" s="16"/>
      <c r="O1637" s="16"/>
    </row>
    <row r="1638" spans="3:15" x14ac:dyDescent="0.3">
      <c r="C1638" s="16"/>
      <c r="D1638" s="16"/>
      <c r="J1638" s="16"/>
      <c r="O1638" s="16"/>
    </row>
    <row r="1639" spans="3:15" x14ac:dyDescent="0.3">
      <c r="C1639" s="16"/>
      <c r="D1639" s="16"/>
      <c r="J1639" s="16"/>
      <c r="O1639" s="16"/>
    </row>
    <row r="1640" spans="3:15" x14ac:dyDescent="0.3">
      <c r="C1640" s="16"/>
      <c r="D1640" s="16"/>
      <c r="J1640" s="16"/>
      <c r="O1640" s="16"/>
    </row>
    <row r="1641" spans="3:15" x14ac:dyDescent="0.3">
      <c r="C1641" s="16"/>
      <c r="D1641" s="16"/>
      <c r="J1641" s="16"/>
      <c r="O1641" s="16"/>
    </row>
    <row r="1642" spans="3:15" x14ac:dyDescent="0.3">
      <c r="C1642" s="16"/>
      <c r="D1642" s="16"/>
      <c r="J1642" s="16"/>
      <c r="O1642" s="16"/>
    </row>
    <row r="1643" spans="3:15" x14ac:dyDescent="0.3">
      <c r="C1643" s="16"/>
      <c r="D1643" s="16"/>
      <c r="J1643" s="16"/>
      <c r="O1643" s="16"/>
    </row>
    <row r="1644" spans="3:15" x14ac:dyDescent="0.3">
      <c r="C1644" s="16"/>
      <c r="D1644" s="16"/>
      <c r="J1644" s="16"/>
      <c r="O1644" s="16"/>
    </row>
    <row r="1645" spans="3:15" x14ac:dyDescent="0.3">
      <c r="C1645" s="16"/>
      <c r="D1645" s="16"/>
      <c r="J1645" s="16"/>
      <c r="O1645" s="16"/>
    </row>
    <row r="1646" spans="3:15" x14ac:dyDescent="0.3">
      <c r="C1646" s="16"/>
      <c r="D1646" s="16"/>
      <c r="J1646" s="16"/>
      <c r="O1646" s="16"/>
    </row>
    <row r="1647" spans="3:15" x14ac:dyDescent="0.3">
      <c r="C1647" s="16"/>
      <c r="D1647" s="16"/>
      <c r="J1647" s="16"/>
      <c r="O1647" s="16"/>
    </row>
    <row r="1648" spans="3:15" x14ac:dyDescent="0.3">
      <c r="C1648" s="16"/>
      <c r="D1648" s="16"/>
      <c r="J1648" s="16"/>
      <c r="O1648" s="16"/>
    </row>
    <row r="1649" spans="3:15" x14ac:dyDescent="0.3">
      <c r="C1649" s="16"/>
      <c r="D1649" s="16"/>
      <c r="J1649" s="16"/>
      <c r="O1649" s="16"/>
    </row>
    <row r="1650" spans="3:15" x14ac:dyDescent="0.3">
      <c r="C1650" s="16"/>
      <c r="D1650" s="16"/>
      <c r="J1650" s="16"/>
      <c r="O1650" s="16"/>
    </row>
    <row r="1651" spans="3:15" x14ac:dyDescent="0.3">
      <c r="C1651" s="16"/>
      <c r="D1651" s="16"/>
      <c r="J1651" s="16"/>
      <c r="O1651" s="16"/>
    </row>
    <row r="1652" spans="3:15" x14ac:dyDescent="0.3">
      <c r="C1652" s="16"/>
      <c r="D1652" s="16"/>
      <c r="J1652" s="16"/>
      <c r="O1652" s="16"/>
    </row>
    <row r="1653" spans="3:15" x14ac:dyDescent="0.3">
      <c r="C1653" s="16"/>
      <c r="D1653" s="16"/>
      <c r="J1653" s="16"/>
      <c r="O1653" s="16"/>
    </row>
    <row r="1654" spans="3:15" x14ac:dyDescent="0.3">
      <c r="C1654" s="16"/>
      <c r="D1654" s="16"/>
      <c r="J1654" s="16"/>
      <c r="O1654" s="16"/>
    </row>
    <row r="1655" spans="3:15" x14ac:dyDescent="0.3">
      <c r="C1655" s="16"/>
      <c r="D1655" s="16"/>
      <c r="J1655" s="16"/>
      <c r="O1655" s="16"/>
    </row>
    <row r="1656" spans="3:15" x14ac:dyDescent="0.3">
      <c r="C1656" s="16"/>
      <c r="D1656" s="16"/>
      <c r="J1656" s="16"/>
      <c r="O1656" s="16"/>
    </row>
    <row r="1657" spans="3:15" x14ac:dyDescent="0.3">
      <c r="C1657" s="16"/>
      <c r="D1657" s="16"/>
      <c r="J1657" s="16"/>
      <c r="O1657" s="16"/>
    </row>
    <row r="1658" spans="3:15" x14ac:dyDescent="0.3">
      <c r="C1658" s="16"/>
      <c r="D1658" s="16"/>
      <c r="J1658" s="16"/>
      <c r="O1658" s="16"/>
    </row>
    <row r="1659" spans="3:15" x14ac:dyDescent="0.3">
      <c r="C1659" s="16"/>
      <c r="D1659" s="16"/>
      <c r="J1659" s="16"/>
      <c r="O1659" s="16"/>
    </row>
    <row r="1660" spans="3:15" x14ac:dyDescent="0.3">
      <c r="C1660" s="16"/>
      <c r="D1660" s="16"/>
      <c r="J1660" s="16"/>
      <c r="O1660" s="16"/>
    </row>
    <row r="1661" spans="3:15" x14ac:dyDescent="0.3">
      <c r="C1661" s="16"/>
      <c r="D1661" s="16"/>
      <c r="J1661" s="16"/>
      <c r="O1661" s="16"/>
    </row>
    <row r="1662" spans="3:15" x14ac:dyDescent="0.3">
      <c r="C1662" s="16"/>
      <c r="D1662" s="16"/>
      <c r="J1662" s="16"/>
      <c r="O1662" s="16"/>
    </row>
    <row r="1663" spans="3:15" x14ac:dyDescent="0.3">
      <c r="C1663" s="16"/>
      <c r="D1663" s="16"/>
      <c r="J1663" s="16"/>
      <c r="O1663" s="16"/>
    </row>
    <row r="1664" spans="3:15" x14ac:dyDescent="0.3">
      <c r="C1664" s="16"/>
      <c r="D1664" s="16"/>
      <c r="J1664" s="16"/>
      <c r="O1664" s="16"/>
    </row>
    <row r="1665" spans="3:15" x14ac:dyDescent="0.3">
      <c r="C1665" s="16"/>
      <c r="D1665" s="16"/>
      <c r="J1665" s="16"/>
      <c r="O1665" s="16"/>
    </row>
    <row r="1666" spans="3:15" x14ac:dyDescent="0.3">
      <c r="C1666" s="16"/>
      <c r="D1666" s="16"/>
      <c r="J1666" s="16"/>
      <c r="O1666" s="16"/>
    </row>
    <row r="1667" spans="3:15" x14ac:dyDescent="0.3">
      <c r="C1667" s="16"/>
      <c r="D1667" s="16"/>
      <c r="J1667" s="16"/>
      <c r="O1667" s="16"/>
    </row>
    <row r="1668" spans="3:15" x14ac:dyDescent="0.3">
      <c r="C1668" s="16"/>
      <c r="D1668" s="16"/>
      <c r="J1668" s="16"/>
      <c r="O1668" s="16"/>
    </row>
    <row r="1669" spans="3:15" x14ac:dyDescent="0.3">
      <c r="C1669" s="16"/>
      <c r="D1669" s="16"/>
      <c r="J1669" s="16"/>
      <c r="O1669" s="16"/>
    </row>
    <row r="1670" spans="3:15" x14ac:dyDescent="0.3">
      <c r="C1670" s="16"/>
      <c r="D1670" s="16"/>
      <c r="J1670" s="16"/>
      <c r="O1670" s="16"/>
    </row>
    <row r="1671" spans="3:15" x14ac:dyDescent="0.3">
      <c r="C1671" s="16"/>
      <c r="D1671" s="16"/>
      <c r="J1671" s="16"/>
      <c r="O1671" s="16"/>
    </row>
    <row r="1672" spans="3:15" x14ac:dyDescent="0.3">
      <c r="C1672" s="16"/>
      <c r="D1672" s="16"/>
      <c r="J1672" s="16"/>
      <c r="O1672" s="16"/>
    </row>
    <row r="1673" spans="3:15" x14ac:dyDescent="0.3">
      <c r="C1673" s="16"/>
      <c r="D1673" s="16"/>
      <c r="J1673" s="16"/>
      <c r="O1673" s="16"/>
    </row>
    <row r="1674" spans="3:15" x14ac:dyDescent="0.3">
      <c r="C1674" s="16"/>
      <c r="D1674" s="16"/>
      <c r="J1674" s="16"/>
      <c r="O1674" s="16"/>
    </row>
    <row r="1675" spans="3:15" x14ac:dyDescent="0.3">
      <c r="C1675" s="16"/>
      <c r="D1675" s="16"/>
      <c r="J1675" s="16"/>
      <c r="O1675" s="16"/>
    </row>
    <row r="1676" spans="3:15" x14ac:dyDescent="0.3">
      <c r="C1676" s="16"/>
      <c r="D1676" s="16"/>
      <c r="J1676" s="16"/>
      <c r="O1676" s="16"/>
    </row>
    <row r="1677" spans="3:15" x14ac:dyDescent="0.3">
      <c r="C1677" s="16"/>
      <c r="D1677" s="16"/>
      <c r="J1677" s="16"/>
      <c r="O1677" s="16"/>
    </row>
    <row r="1678" spans="3:15" x14ac:dyDescent="0.3">
      <c r="C1678" s="16"/>
      <c r="D1678" s="16"/>
      <c r="J1678" s="16"/>
      <c r="O1678" s="16"/>
    </row>
    <row r="1679" spans="3:15" x14ac:dyDescent="0.3">
      <c r="C1679" s="16"/>
      <c r="D1679" s="16"/>
      <c r="J1679" s="16"/>
      <c r="O1679" s="16"/>
    </row>
    <row r="1680" spans="3:15" x14ac:dyDescent="0.3">
      <c r="C1680" s="16"/>
      <c r="D1680" s="16"/>
      <c r="J1680" s="16"/>
      <c r="O1680" s="16"/>
    </row>
    <row r="1681" spans="3:15" x14ac:dyDescent="0.3">
      <c r="C1681" s="16"/>
      <c r="D1681" s="16"/>
      <c r="J1681" s="16"/>
      <c r="O1681" s="16"/>
    </row>
    <row r="1682" spans="3:15" x14ac:dyDescent="0.3">
      <c r="C1682" s="16"/>
      <c r="D1682" s="16"/>
      <c r="J1682" s="16"/>
      <c r="O1682" s="16"/>
    </row>
    <row r="1683" spans="3:15" x14ac:dyDescent="0.3">
      <c r="C1683" s="16"/>
      <c r="D1683" s="16"/>
      <c r="J1683" s="16"/>
      <c r="O1683" s="16"/>
    </row>
    <row r="1684" spans="3:15" x14ac:dyDescent="0.3">
      <c r="C1684" s="16"/>
      <c r="D1684" s="16"/>
      <c r="J1684" s="16"/>
      <c r="O1684" s="16"/>
    </row>
    <row r="1685" spans="3:15" x14ac:dyDescent="0.3">
      <c r="C1685" s="16"/>
      <c r="D1685" s="16"/>
      <c r="J1685" s="16"/>
      <c r="O1685" s="16"/>
    </row>
    <row r="1686" spans="3:15" x14ac:dyDescent="0.3">
      <c r="C1686" s="16"/>
      <c r="D1686" s="16"/>
      <c r="J1686" s="16"/>
      <c r="O1686" s="16"/>
    </row>
    <row r="1687" spans="3:15" x14ac:dyDescent="0.3">
      <c r="C1687" s="16"/>
      <c r="D1687" s="16"/>
      <c r="J1687" s="16"/>
      <c r="O1687" s="16"/>
    </row>
    <row r="1688" spans="3:15" x14ac:dyDescent="0.3">
      <c r="C1688" s="16"/>
      <c r="D1688" s="16"/>
      <c r="J1688" s="16"/>
      <c r="O1688" s="16"/>
    </row>
    <row r="1689" spans="3:15" x14ac:dyDescent="0.3">
      <c r="C1689" s="16"/>
      <c r="D1689" s="16"/>
      <c r="J1689" s="16"/>
      <c r="O1689" s="16"/>
    </row>
    <row r="1690" spans="3:15" x14ac:dyDescent="0.3">
      <c r="C1690" s="16"/>
      <c r="D1690" s="16"/>
      <c r="J1690" s="16"/>
      <c r="O1690" s="16"/>
    </row>
    <row r="1691" spans="3:15" x14ac:dyDescent="0.3">
      <c r="C1691" s="16"/>
      <c r="D1691" s="16"/>
      <c r="J1691" s="16"/>
      <c r="O1691" s="16"/>
    </row>
    <row r="1692" spans="3:15" x14ac:dyDescent="0.3">
      <c r="C1692" s="16"/>
      <c r="D1692" s="16"/>
      <c r="J1692" s="16"/>
      <c r="O1692" s="16"/>
    </row>
    <row r="1693" spans="3:15" x14ac:dyDescent="0.3">
      <c r="C1693" s="16"/>
      <c r="D1693" s="16"/>
      <c r="J1693" s="16"/>
      <c r="O1693" s="16"/>
    </row>
    <row r="1694" spans="3:15" x14ac:dyDescent="0.3">
      <c r="C1694" s="16"/>
      <c r="D1694" s="16"/>
      <c r="J1694" s="16"/>
      <c r="O1694" s="16"/>
    </row>
    <row r="1695" spans="3:15" x14ac:dyDescent="0.3">
      <c r="C1695" s="16"/>
      <c r="D1695" s="16"/>
      <c r="J1695" s="16"/>
      <c r="O1695" s="16"/>
    </row>
    <row r="1696" spans="3:15" x14ac:dyDescent="0.3">
      <c r="C1696" s="16"/>
      <c r="D1696" s="16"/>
      <c r="J1696" s="16"/>
      <c r="O1696" s="16"/>
    </row>
    <row r="1697" spans="3:15" x14ac:dyDescent="0.3">
      <c r="C1697" s="16"/>
      <c r="D1697" s="16"/>
      <c r="J1697" s="16"/>
      <c r="O1697" s="16"/>
    </row>
    <row r="1698" spans="3:15" x14ac:dyDescent="0.3">
      <c r="C1698" s="16"/>
      <c r="D1698" s="16"/>
      <c r="J1698" s="16"/>
      <c r="O1698" s="16"/>
    </row>
    <row r="1699" spans="3:15" x14ac:dyDescent="0.3">
      <c r="C1699" s="16"/>
      <c r="D1699" s="16"/>
      <c r="J1699" s="16"/>
      <c r="O1699" s="16"/>
    </row>
    <row r="1700" spans="3:15" x14ac:dyDescent="0.3">
      <c r="C1700" s="16"/>
      <c r="D1700" s="16"/>
      <c r="J1700" s="16"/>
      <c r="O1700" s="16"/>
    </row>
    <row r="1701" spans="3:15" x14ac:dyDescent="0.3">
      <c r="C1701" s="16"/>
      <c r="D1701" s="16"/>
      <c r="J1701" s="16"/>
      <c r="O1701" s="16"/>
    </row>
    <row r="1702" spans="3:15" x14ac:dyDescent="0.3">
      <c r="C1702" s="16"/>
      <c r="D1702" s="16"/>
      <c r="J1702" s="16"/>
      <c r="O1702" s="16"/>
    </row>
    <row r="1703" spans="3:15" x14ac:dyDescent="0.3">
      <c r="C1703" s="16"/>
      <c r="D1703" s="16"/>
      <c r="J1703" s="16"/>
      <c r="O1703" s="16"/>
    </row>
    <row r="1704" spans="3:15" x14ac:dyDescent="0.3">
      <c r="C1704" s="16"/>
      <c r="D1704" s="16"/>
      <c r="J1704" s="16"/>
      <c r="O1704" s="16"/>
    </row>
    <row r="1705" spans="3:15" x14ac:dyDescent="0.3">
      <c r="C1705" s="16"/>
      <c r="D1705" s="16"/>
      <c r="J1705" s="16"/>
      <c r="O1705" s="16"/>
    </row>
    <row r="1706" spans="3:15" x14ac:dyDescent="0.3">
      <c r="C1706" s="16"/>
      <c r="D1706" s="16"/>
      <c r="J1706" s="16"/>
      <c r="O1706" s="16"/>
    </row>
    <row r="1707" spans="3:15" x14ac:dyDescent="0.3">
      <c r="C1707" s="16"/>
      <c r="D1707" s="16"/>
      <c r="J1707" s="16"/>
      <c r="O1707" s="16"/>
    </row>
    <row r="1708" spans="3:15" x14ac:dyDescent="0.3">
      <c r="C1708" s="16"/>
      <c r="D1708" s="16"/>
      <c r="J1708" s="16"/>
      <c r="O1708" s="16"/>
    </row>
    <row r="1709" spans="3:15" x14ac:dyDescent="0.3">
      <c r="C1709" s="16"/>
      <c r="D1709" s="16"/>
      <c r="J1709" s="16"/>
      <c r="O1709" s="16"/>
    </row>
    <row r="1710" spans="3:15" x14ac:dyDescent="0.3">
      <c r="C1710" s="16"/>
      <c r="D1710" s="16"/>
      <c r="J1710" s="16"/>
      <c r="O1710" s="16"/>
    </row>
    <row r="1711" spans="3:15" x14ac:dyDescent="0.3">
      <c r="C1711" s="16"/>
      <c r="D1711" s="16"/>
      <c r="J1711" s="16"/>
      <c r="O1711" s="16"/>
    </row>
    <row r="1712" spans="3:15" x14ac:dyDescent="0.3">
      <c r="C1712" s="16"/>
      <c r="D1712" s="16"/>
      <c r="J1712" s="16"/>
      <c r="O1712" s="16"/>
    </row>
    <row r="1713" spans="3:15" x14ac:dyDescent="0.3">
      <c r="C1713" s="16"/>
      <c r="D1713" s="16"/>
      <c r="J1713" s="16"/>
      <c r="O1713" s="16"/>
    </row>
    <row r="1714" spans="3:15" x14ac:dyDescent="0.3">
      <c r="C1714" s="16"/>
      <c r="D1714" s="16"/>
      <c r="J1714" s="16"/>
      <c r="O1714" s="16"/>
    </row>
    <row r="1715" spans="3:15" x14ac:dyDescent="0.3">
      <c r="C1715" s="16"/>
      <c r="D1715" s="16"/>
      <c r="J1715" s="16"/>
      <c r="O1715" s="16"/>
    </row>
    <row r="1716" spans="3:15" x14ac:dyDescent="0.3">
      <c r="C1716" s="16"/>
      <c r="D1716" s="16"/>
      <c r="J1716" s="16"/>
      <c r="O1716" s="16"/>
    </row>
    <row r="1717" spans="3:15" x14ac:dyDescent="0.3">
      <c r="C1717" s="16"/>
      <c r="D1717" s="16"/>
      <c r="J1717" s="16"/>
      <c r="O1717" s="16"/>
    </row>
    <row r="1718" spans="3:15" x14ac:dyDescent="0.3">
      <c r="C1718" s="16"/>
      <c r="D1718" s="16"/>
      <c r="J1718" s="16"/>
      <c r="O1718" s="16"/>
    </row>
    <row r="1719" spans="3:15" x14ac:dyDescent="0.3">
      <c r="C1719" s="16"/>
      <c r="D1719" s="16"/>
      <c r="J1719" s="16"/>
      <c r="O1719" s="16"/>
    </row>
    <row r="1720" spans="3:15" x14ac:dyDescent="0.3">
      <c r="C1720" s="16"/>
      <c r="D1720" s="16"/>
      <c r="J1720" s="16"/>
      <c r="O1720" s="16"/>
    </row>
    <row r="1721" spans="3:15" x14ac:dyDescent="0.3">
      <c r="C1721" s="16"/>
      <c r="D1721" s="16"/>
      <c r="J1721" s="16"/>
      <c r="O1721" s="16"/>
    </row>
    <row r="1722" spans="3:15" x14ac:dyDescent="0.3">
      <c r="C1722" s="16"/>
      <c r="D1722" s="16"/>
      <c r="J1722" s="16"/>
      <c r="O1722" s="16"/>
    </row>
    <row r="1723" spans="3:15" x14ac:dyDescent="0.3">
      <c r="C1723" s="16"/>
      <c r="D1723" s="16"/>
      <c r="J1723" s="16"/>
      <c r="O1723" s="16"/>
    </row>
    <row r="1724" spans="3:15" x14ac:dyDescent="0.3">
      <c r="C1724" s="16"/>
      <c r="D1724" s="16"/>
      <c r="J1724" s="16"/>
      <c r="O1724" s="16"/>
    </row>
    <row r="1725" spans="3:15" x14ac:dyDescent="0.3">
      <c r="C1725" s="16"/>
      <c r="D1725" s="16"/>
      <c r="J1725" s="16"/>
      <c r="O1725" s="16"/>
    </row>
    <row r="1726" spans="3:15" x14ac:dyDescent="0.3">
      <c r="C1726" s="16"/>
      <c r="D1726" s="16"/>
      <c r="J1726" s="16"/>
      <c r="O1726" s="16"/>
    </row>
    <row r="1727" spans="3:15" x14ac:dyDescent="0.3">
      <c r="C1727" s="16"/>
      <c r="D1727" s="16"/>
      <c r="J1727" s="16"/>
      <c r="O1727" s="16"/>
    </row>
    <row r="1728" spans="3:15" x14ac:dyDescent="0.3">
      <c r="C1728" s="16"/>
      <c r="D1728" s="16"/>
      <c r="J1728" s="16"/>
      <c r="O1728" s="16"/>
    </row>
    <row r="1729" spans="3:15" x14ac:dyDescent="0.3">
      <c r="C1729" s="16"/>
      <c r="D1729" s="16"/>
      <c r="J1729" s="16"/>
      <c r="O1729" s="16"/>
    </row>
    <row r="1730" spans="3:15" x14ac:dyDescent="0.3">
      <c r="C1730" s="16"/>
      <c r="D1730" s="16"/>
      <c r="J1730" s="16"/>
      <c r="O1730" s="16"/>
    </row>
    <row r="1731" spans="3:15" x14ac:dyDescent="0.3">
      <c r="C1731" s="16"/>
      <c r="D1731" s="16"/>
      <c r="J1731" s="16"/>
      <c r="O1731" s="16"/>
    </row>
    <row r="1732" spans="3:15" x14ac:dyDescent="0.3">
      <c r="C1732" s="16"/>
      <c r="D1732" s="16"/>
      <c r="J1732" s="16"/>
      <c r="O1732" s="16"/>
    </row>
    <row r="1733" spans="3:15" x14ac:dyDescent="0.3">
      <c r="C1733" s="16"/>
      <c r="D1733" s="16"/>
      <c r="J1733" s="16"/>
      <c r="O1733" s="16"/>
    </row>
    <row r="1734" spans="3:15" x14ac:dyDescent="0.3">
      <c r="C1734" s="16"/>
      <c r="D1734" s="16"/>
      <c r="J1734" s="16"/>
      <c r="O1734" s="16"/>
    </row>
    <row r="1735" spans="3:15" x14ac:dyDescent="0.3">
      <c r="C1735" s="16"/>
      <c r="D1735" s="16"/>
      <c r="J1735" s="16"/>
      <c r="O1735" s="16"/>
    </row>
    <row r="1736" spans="3:15" x14ac:dyDescent="0.3">
      <c r="C1736" s="16"/>
      <c r="D1736" s="16"/>
      <c r="J1736" s="16"/>
      <c r="O1736" s="16"/>
    </row>
    <row r="1737" spans="3:15" x14ac:dyDescent="0.3">
      <c r="C1737" s="16"/>
      <c r="D1737" s="16"/>
      <c r="J1737" s="16"/>
      <c r="O1737" s="16"/>
    </row>
    <row r="1738" spans="3:15" x14ac:dyDescent="0.3">
      <c r="C1738" s="16"/>
      <c r="D1738" s="16"/>
      <c r="J1738" s="16"/>
      <c r="O1738" s="16"/>
    </row>
    <row r="1739" spans="3:15" x14ac:dyDescent="0.3">
      <c r="C1739" s="16"/>
      <c r="D1739" s="16"/>
      <c r="J1739" s="16"/>
      <c r="O1739" s="16"/>
    </row>
    <row r="1740" spans="3:15" x14ac:dyDescent="0.3">
      <c r="C1740" s="16"/>
      <c r="D1740" s="16"/>
      <c r="J1740" s="16"/>
      <c r="O1740" s="16"/>
    </row>
    <row r="1741" spans="3:15" x14ac:dyDescent="0.3">
      <c r="C1741" s="16"/>
      <c r="D1741" s="16"/>
      <c r="J1741" s="16"/>
      <c r="O1741" s="16"/>
    </row>
    <row r="1742" spans="3:15" x14ac:dyDescent="0.3">
      <c r="C1742" s="16"/>
      <c r="D1742" s="16"/>
      <c r="J1742" s="16"/>
      <c r="O1742" s="16"/>
    </row>
    <row r="1743" spans="3:15" x14ac:dyDescent="0.3">
      <c r="C1743" s="16"/>
      <c r="D1743" s="16"/>
      <c r="J1743" s="16"/>
      <c r="O1743" s="16"/>
    </row>
    <row r="1744" spans="3:15" x14ac:dyDescent="0.3">
      <c r="C1744" s="16"/>
      <c r="D1744" s="16"/>
      <c r="J1744" s="16"/>
      <c r="O1744" s="16"/>
    </row>
    <row r="1745" spans="3:15" x14ac:dyDescent="0.3">
      <c r="C1745" s="16"/>
      <c r="D1745" s="16"/>
      <c r="J1745" s="16"/>
      <c r="O1745" s="16"/>
    </row>
    <row r="1746" spans="3:15" x14ac:dyDescent="0.3">
      <c r="C1746" s="16"/>
      <c r="D1746" s="16"/>
      <c r="J1746" s="16"/>
      <c r="O1746" s="16"/>
    </row>
    <row r="1747" spans="3:15" x14ac:dyDescent="0.3">
      <c r="C1747" s="16"/>
      <c r="D1747" s="16"/>
      <c r="J1747" s="16"/>
      <c r="O1747" s="16"/>
    </row>
    <row r="1748" spans="3:15" x14ac:dyDescent="0.3">
      <c r="C1748" s="16"/>
      <c r="D1748" s="16"/>
      <c r="J1748" s="16"/>
      <c r="O1748" s="16"/>
    </row>
    <row r="1749" spans="3:15" x14ac:dyDescent="0.3">
      <c r="C1749" s="16"/>
      <c r="D1749" s="16"/>
      <c r="J1749" s="16"/>
      <c r="O1749" s="16"/>
    </row>
    <row r="1750" spans="3:15" x14ac:dyDescent="0.3">
      <c r="C1750" s="16"/>
      <c r="D1750" s="16"/>
      <c r="J1750" s="16"/>
      <c r="O1750" s="16"/>
    </row>
    <row r="1751" spans="3:15" x14ac:dyDescent="0.3">
      <c r="C1751" s="16"/>
      <c r="D1751" s="16"/>
      <c r="J1751" s="16"/>
      <c r="O1751" s="16"/>
    </row>
    <row r="1752" spans="3:15" x14ac:dyDescent="0.3">
      <c r="C1752" s="16"/>
      <c r="D1752" s="16"/>
      <c r="J1752" s="16"/>
      <c r="O1752" s="16"/>
    </row>
    <row r="1753" spans="3:15" x14ac:dyDescent="0.3">
      <c r="C1753" s="16"/>
      <c r="D1753" s="16"/>
      <c r="J1753" s="16"/>
      <c r="O1753" s="16"/>
    </row>
    <row r="1754" spans="3:15" x14ac:dyDescent="0.3">
      <c r="C1754" s="16"/>
      <c r="D1754" s="16"/>
      <c r="J1754" s="16"/>
      <c r="O1754" s="16"/>
    </row>
    <row r="1755" spans="3:15" x14ac:dyDescent="0.3">
      <c r="C1755" s="16"/>
      <c r="D1755" s="16"/>
      <c r="J1755" s="16"/>
      <c r="O1755" s="16"/>
    </row>
    <row r="1756" spans="3:15" x14ac:dyDescent="0.3">
      <c r="C1756" s="16"/>
      <c r="D1756" s="16"/>
      <c r="J1756" s="16"/>
      <c r="O1756" s="16"/>
    </row>
    <row r="1757" spans="3:15" x14ac:dyDescent="0.3">
      <c r="C1757" s="16"/>
      <c r="D1757" s="16"/>
      <c r="J1757" s="16"/>
      <c r="O1757" s="16"/>
    </row>
    <row r="1758" spans="3:15" x14ac:dyDescent="0.3">
      <c r="C1758" s="16"/>
      <c r="D1758" s="16"/>
      <c r="J1758" s="16"/>
      <c r="O1758" s="16"/>
    </row>
    <row r="1759" spans="3:15" x14ac:dyDescent="0.3">
      <c r="C1759" s="16"/>
      <c r="D1759" s="16"/>
      <c r="J1759" s="16"/>
      <c r="O1759" s="16"/>
    </row>
    <row r="1760" spans="3:15" x14ac:dyDescent="0.3">
      <c r="C1760" s="16"/>
      <c r="D1760" s="16"/>
      <c r="J1760" s="16"/>
      <c r="O1760" s="16"/>
    </row>
    <row r="1761" spans="3:15" x14ac:dyDescent="0.3">
      <c r="C1761" s="16"/>
      <c r="D1761" s="16"/>
      <c r="J1761" s="16"/>
      <c r="O1761" s="16"/>
    </row>
    <row r="1762" spans="3:15" x14ac:dyDescent="0.3">
      <c r="C1762" s="16"/>
      <c r="D1762" s="16"/>
      <c r="J1762" s="16"/>
      <c r="O1762" s="16"/>
    </row>
    <row r="1763" spans="3:15" x14ac:dyDescent="0.3">
      <c r="C1763" s="16"/>
      <c r="D1763" s="16"/>
      <c r="J1763" s="16"/>
      <c r="O1763" s="16"/>
    </row>
    <row r="1764" spans="3:15" x14ac:dyDescent="0.3">
      <c r="C1764" s="16"/>
      <c r="D1764" s="16"/>
      <c r="J1764" s="16"/>
      <c r="O1764" s="16"/>
    </row>
    <row r="1765" spans="3:15" x14ac:dyDescent="0.3">
      <c r="C1765" s="16"/>
      <c r="D1765" s="16"/>
      <c r="J1765" s="16"/>
      <c r="O1765" s="16"/>
    </row>
    <row r="1766" spans="3:15" x14ac:dyDescent="0.3">
      <c r="C1766" s="16"/>
      <c r="D1766" s="16"/>
      <c r="J1766" s="16"/>
      <c r="O1766" s="16"/>
    </row>
    <row r="1767" spans="3:15" x14ac:dyDescent="0.3">
      <c r="C1767" s="16"/>
      <c r="D1767" s="16"/>
      <c r="J1767" s="16"/>
      <c r="O1767" s="16"/>
    </row>
    <row r="1768" spans="3:15" x14ac:dyDescent="0.3">
      <c r="C1768" s="16"/>
      <c r="D1768" s="16"/>
      <c r="J1768" s="16"/>
      <c r="O1768" s="16"/>
    </row>
    <row r="1769" spans="3:15" x14ac:dyDescent="0.3">
      <c r="C1769" s="16"/>
      <c r="D1769" s="16"/>
      <c r="J1769" s="16"/>
      <c r="O1769" s="16"/>
    </row>
    <row r="1770" spans="3:15" x14ac:dyDescent="0.3">
      <c r="C1770" s="16"/>
      <c r="D1770" s="16"/>
      <c r="J1770" s="16"/>
      <c r="O1770" s="16"/>
    </row>
    <row r="1771" spans="3:15" x14ac:dyDescent="0.3">
      <c r="C1771" s="16"/>
      <c r="D1771" s="16"/>
      <c r="J1771" s="16"/>
      <c r="O1771" s="16"/>
    </row>
    <row r="1772" spans="3:15" x14ac:dyDescent="0.3">
      <c r="C1772" s="16"/>
      <c r="D1772" s="16"/>
      <c r="J1772" s="16"/>
      <c r="O1772" s="16"/>
    </row>
    <row r="1773" spans="3:15" x14ac:dyDescent="0.3">
      <c r="C1773" s="16"/>
      <c r="D1773" s="16"/>
      <c r="J1773" s="16"/>
      <c r="O1773" s="16"/>
    </row>
    <row r="1774" spans="3:15" x14ac:dyDescent="0.3">
      <c r="C1774" s="16"/>
      <c r="D1774" s="16"/>
      <c r="J1774" s="16"/>
      <c r="O1774" s="16"/>
    </row>
    <row r="1775" spans="3:15" x14ac:dyDescent="0.3">
      <c r="C1775" s="16"/>
      <c r="D1775" s="16"/>
      <c r="J1775" s="16"/>
      <c r="O1775" s="16"/>
    </row>
    <row r="1776" spans="3:15" x14ac:dyDescent="0.3">
      <c r="C1776" s="16"/>
      <c r="D1776" s="16"/>
      <c r="J1776" s="16"/>
      <c r="O1776" s="16"/>
    </row>
    <row r="1777" spans="3:15" x14ac:dyDescent="0.3">
      <c r="C1777" s="16"/>
      <c r="D1777" s="16"/>
      <c r="J1777" s="16"/>
      <c r="O1777" s="16"/>
    </row>
    <row r="1778" spans="3:15" x14ac:dyDescent="0.3">
      <c r="C1778" s="16"/>
      <c r="D1778" s="16"/>
      <c r="J1778" s="16"/>
      <c r="O1778" s="16"/>
    </row>
    <row r="1779" spans="3:15" x14ac:dyDescent="0.3">
      <c r="C1779" s="16"/>
      <c r="D1779" s="16"/>
      <c r="J1779" s="16"/>
      <c r="O1779" s="16"/>
    </row>
    <row r="1780" spans="3:15" x14ac:dyDescent="0.3">
      <c r="C1780" s="16"/>
      <c r="D1780" s="16"/>
      <c r="J1780" s="16"/>
      <c r="O1780" s="16"/>
    </row>
    <row r="1781" spans="3:15" x14ac:dyDescent="0.3">
      <c r="C1781" s="16"/>
      <c r="D1781" s="16"/>
      <c r="J1781" s="16"/>
      <c r="O1781" s="16"/>
    </row>
    <row r="1782" spans="3:15" x14ac:dyDescent="0.3">
      <c r="C1782" s="16"/>
      <c r="D1782" s="16"/>
      <c r="J1782" s="16"/>
      <c r="O1782" s="16"/>
    </row>
    <row r="1783" spans="3:15" x14ac:dyDescent="0.3">
      <c r="C1783" s="16"/>
      <c r="D1783" s="16"/>
      <c r="J1783" s="16"/>
      <c r="O1783" s="16"/>
    </row>
    <row r="1784" spans="3:15" x14ac:dyDescent="0.3">
      <c r="C1784" s="16"/>
      <c r="D1784" s="16"/>
      <c r="J1784" s="16"/>
      <c r="O1784" s="16"/>
    </row>
    <row r="1785" spans="3:15" x14ac:dyDescent="0.3">
      <c r="C1785" s="16"/>
      <c r="D1785" s="16"/>
      <c r="J1785" s="16"/>
      <c r="O1785" s="16"/>
    </row>
    <row r="1786" spans="3:15" x14ac:dyDescent="0.3">
      <c r="C1786" s="16"/>
      <c r="D1786" s="16"/>
      <c r="J1786" s="16"/>
      <c r="O1786" s="16"/>
    </row>
    <row r="1787" spans="3:15" x14ac:dyDescent="0.3">
      <c r="C1787" s="16"/>
      <c r="D1787" s="16"/>
      <c r="J1787" s="16"/>
      <c r="O1787" s="16"/>
    </row>
    <row r="1788" spans="3:15" x14ac:dyDescent="0.3">
      <c r="C1788" s="16"/>
      <c r="D1788" s="16"/>
      <c r="J1788" s="16"/>
      <c r="O1788" s="16"/>
    </row>
    <row r="1789" spans="3:15" x14ac:dyDescent="0.3">
      <c r="C1789" s="16"/>
      <c r="D1789" s="16"/>
      <c r="J1789" s="16"/>
      <c r="O1789" s="16"/>
    </row>
    <row r="1790" spans="3:15" x14ac:dyDescent="0.3">
      <c r="C1790" s="16"/>
      <c r="D1790" s="16"/>
      <c r="J1790" s="16"/>
      <c r="O1790" s="16"/>
    </row>
    <row r="1791" spans="3:15" x14ac:dyDescent="0.3">
      <c r="C1791" s="16"/>
      <c r="D1791" s="16"/>
      <c r="J1791" s="16"/>
      <c r="O1791" s="16"/>
    </row>
    <row r="1792" spans="3:15" x14ac:dyDescent="0.3">
      <c r="C1792" s="16"/>
      <c r="D1792" s="16"/>
      <c r="J1792" s="16"/>
      <c r="O1792" s="16"/>
    </row>
    <row r="1793" spans="3:15" x14ac:dyDescent="0.3">
      <c r="C1793" s="16"/>
      <c r="D1793" s="16"/>
      <c r="J1793" s="16"/>
      <c r="O1793" s="16"/>
    </row>
    <row r="1794" spans="3:15" x14ac:dyDescent="0.3">
      <c r="C1794" s="16"/>
      <c r="D1794" s="16"/>
      <c r="J1794" s="16"/>
      <c r="O1794" s="16"/>
    </row>
    <row r="1795" spans="3:15" x14ac:dyDescent="0.3">
      <c r="C1795" s="16"/>
      <c r="D1795" s="16"/>
      <c r="J1795" s="16"/>
      <c r="O1795" s="16"/>
    </row>
    <row r="1796" spans="3:15" x14ac:dyDescent="0.3">
      <c r="C1796" s="16"/>
      <c r="D1796" s="16"/>
      <c r="J1796" s="16"/>
      <c r="O1796" s="16"/>
    </row>
    <row r="1797" spans="3:15" x14ac:dyDescent="0.3">
      <c r="C1797" s="16"/>
      <c r="D1797" s="16"/>
      <c r="J1797" s="16"/>
      <c r="O1797" s="16"/>
    </row>
    <row r="1798" spans="3:15" x14ac:dyDescent="0.3">
      <c r="C1798" s="16"/>
      <c r="D1798" s="16"/>
      <c r="J1798" s="16"/>
      <c r="O1798" s="16"/>
    </row>
    <row r="1799" spans="3:15" x14ac:dyDescent="0.3">
      <c r="C1799" s="16"/>
      <c r="D1799" s="16"/>
      <c r="J1799" s="16"/>
      <c r="O1799" s="16"/>
    </row>
    <row r="1800" spans="3:15" x14ac:dyDescent="0.3">
      <c r="C1800" s="16"/>
      <c r="D1800" s="16"/>
      <c r="J1800" s="16"/>
      <c r="O1800" s="16"/>
    </row>
    <row r="1801" spans="3:15" x14ac:dyDescent="0.3">
      <c r="C1801" s="16"/>
      <c r="D1801" s="16"/>
      <c r="J1801" s="16"/>
      <c r="O1801" s="16"/>
    </row>
    <row r="1802" spans="3:15" x14ac:dyDescent="0.3">
      <c r="C1802" s="16"/>
      <c r="D1802" s="16"/>
      <c r="J1802" s="16"/>
      <c r="O1802" s="16"/>
    </row>
    <row r="1803" spans="3:15" x14ac:dyDescent="0.3">
      <c r="C1803" s="16"/>
      <c r="D1803" s="16"/>
      <c r="J1803" s="16"/>
      <c r="O1803" s="16"/>
    </row>
    <row r="1804" spans="3:15" x14ac:dyDescent="0.3">
      <c r="C1804" s="16"/>
      <c r="D1804" s="16"/>
      <c r="J1804" s="16"/>
      <c r="O1804" s="16"/>
    </row>
    <row r="1805" spans="3:15" x14ac:dyDescent="0.3">
      <c r="C1805" s="16"/>
      <c r="D1805" s="16"/>
      <c r="J1805" s="16"/>
      <c r="O1805" s="16"/>
    </row>
    <row r="1806" spans="3:15" x14ac:dyDescent="0.3">
      <c r="C1806" s="16"/>
      <c r="D1806" s="16"/>
      <c r="J1806" s="16"/>
      <c r="O1806" s="16"/>
    </row>
    <row r="1807" spans="3:15" x14ac:dyDescent="0.3">
      <c r="C1807" s="16"/>
      <c r="D1807" s="16"/>
      <c r="J1807" s="16"/>
      <c r="O1807" s="16"/>
    </row>
    <row r="1808" spans="3:15" x14ac:dyDescent="0.3">
      <c r="C1808" s="16"/>
      <c r="D1808" s="16"/>
      <c r="J1808" s="16"/>
      <c r="O1808" s="16"/>
    </row>
    <row r="1809" spans="3:15" x14ac:dyDescent="0.3">
      <c r="C1809" s="16"/>
      <c r="D1809" s="16"/>
      <c r="J1809" s="16"/>
      <c r="O1809" s="16"/>
    </row>
    <row r="1810" spans="3:15" x14ac:dyDescent="0.3">
      <c r="C1810" s="16"/>
      <c r="D1810" s="16"/>
      <c r="J1810" s="16"/>
      <c r="O1810" s="16"/>
    </row>
    <row r="1811" spans="3:15" x14ac:dyDescent="0.3">
      <c r="C1811" s="16"/>
      <c r="D1811" s="16"/>
      <c r="J1811" s="16"/>
      <c r="O1811" s="16"/>
    </row>
    <row r="1812" spans="3:15" x14ac:dyDescent="0.3">
      <c r="C1812" s="16"/>
      <c r="D1812" s="16"/>
      <c r="J1812" s="16"/>
      <c r="O1812" s="16"/>
    </row>
    <row r="1813" spans="3:15" x14ac:dyDescent="0.3">
      <c r="C1813" s="16"/>
      <c r="D1813" s="16"/>
      <c r="J1813" s="16"/>
      <c r="O1813" s="16"/>
    </row>
    <row r="1814" spans="3:15" x14ac:dyDescent="0.3">
      <c r="C1814" s="16"/>
      <c r="D1814" s="16"/>
      <c r="J1814" s="16"/>
      <c r="O1814" s="16"/>
    </row>
    <row r="1815" spans="3:15" x14ac:dyDescent="0.3">
      <c r="C1815" s="16"/>
      <c r="D1815" s="16"/>
      <c r="J1815" s="16"/>
      <c r="O1815" s="16"/>
    </row>
    <row r="1816" spans="3:15" x14ac:dyDescent="0.3">
      <c r="C1816" s="16"/>
      <c r="D1816" s="16"/>
      <c r="J1816" s="16"/>
      <c r="O1816" s="16"/>
    </row>
    <row r="1817" spans="3:15" x14ac:dyDescent="0.3">
      <c r="C1817" s="16"/>
      <c r="D1817" s="16"/>
      <c r="J1817" s="16"/>
      <c r="O1817" s="16"/>
    </row>
    <row r="1818" spans="3:15" x14ac:dyDescent="0.3">
      <c r="C1818" s="16"/>
      <c r="D1818" s="16"/>
      <c r="J1818" s="16"/>
      <c r="O1818" s="16"/>
    </row>
    <row r="1819" spans="3:15" x14ac:dyDescent="0.3">
      <c r="C1819" s="16"/>
      <c r="D1819" s="16"/>
      <c r="J1819" s="16"/>
      <c r="O1819" s="16"/>
    </row>
    <row r="1820" spans="3:15" x14ac:dyDescent="0.3">
      <c r="C1820" s="16"/>
      <c r="D1820" s="16"/>
      <c r="J1820" s="16"/>
      <c r="O1820" s="16"/>
    </row>
    <row r="1821" spans="3:15" x14ac:dyDescent="0.3">
      <c r="C1821" s="16"/>
      <c r="D1821" s="16"/>
      <c r="J1821" s="16"/>
      <c r="O1821" s="16"/>
    </row>
    <row r="1822" spans="3:15" x14ac:dyDescent="0.3">
      <c r="C1822" s="16"/>
      <c r="D1822" s="16"/>
      <c r="J1822" s="16"/>
      <c r="O1822" s="16"/>
    </row>
    <row r="1823" spans="3:15" x14ac:dyDescent="0.3">
      <c r="C1823" s="16"/>
      <c r="D1823" s="16"/>
      <c r="J1823" s="16"/>
      <c r="O1823" s="16"/>
    </row>
    <row r="1824" spans="3:15" x14ac:dyDescent="0.3">
      <c r="C1824" s="16"/>
      <c r="D1824" s="16"/>
      <c r="J1824" s="16"/>
      <c r="O1824" s="16"/>
    </row>
    <row r="1825" spans="3:15" x14ac:dyDescent="0.3">
      <c r="C1825" s="16"/>
      <c r="D1825" s="16"/>
      <c r="J1825" s="16"/>
      <c r="O1825" s="16"/>
    </row>
    <row r="1826" spans="3:15" x14ac:dyDescent="0.3">
      <c r="C1826" s="16"/>
      <c r="D1826" s="16"/>
      <c r="J1826" s="16"/>
      <c r="O1826" s="16"/>
    </row>
    <row r="1827" spans="3:15" x14ac:dyDescent="0.3">
      <c r="C1827" s="16"/>
      <c r="D1827" s="16"/>
      <c r="J1827" s="16"/>
      <c r="O1827" s="16"/>
    </row>
    <row r="1828" spans="3:15" x14ac:dyDescent="0.3">
      <c r="C1828" s="16"/>
      <c r="D1828" s="16"/>
      <c r="J1828" s="16"/>
      <c r="O1828" s="16"/>
    </row>
    <row r="1829" spans="3:15" x14ac:dyDescent="0.3">
      <c r="C1829" s="16"/>
      <c r="D1829" s="16"/>
      <c r="J1829" s="16"/>
      <c r="O1829" s="16"/>
    </row>
    <row r="1830" spans="3:15" x14ac:dyDescent="0.3">
      <c r="C1830" s="16"/>
      <c r="D1830" s="16"/>
      <c r="J1830" s="16"/>
      <c r="O1830" s="16"/>
    </row>
    <row r="1831" spans="3:15" x14ac:dyDescent="0.3">
      <c r="C1831" s="16"/>
      <c r="D1831" s="16"/>
      <c r="J1831" s="16"/>
      <c r="O1831" s="16"/>
    </row>
    <row r="1832" spans="3:15" x14ac:dyDescent="0.3">
      <c r="C1832" s="16"/>
      <c r="D1832" s="16"/>
      <c r="J1832" s="16"/>
      <c r="O1832" s="16"/>
    </row>
    <row r="1833" spans="3:15" x14ac:dyDescent="0.3">
      <c r="C1833" s="16"/>
      <c r="D1833" s="16"/>
      <c r="J1833" s="16"/>
      <c r="O1833" s="16"/>
    </row>
    <row r="1834" spans="3:15" x14ac:dyDescent="0.3">
      <c r="C1834" s="16"/>
      <c r="D1834" s="16"/>
      <c r="J1834" s="16"/>
      <c r="O1834" s="16"/>
    </row>
    <row r="1835" spans="3:15" x14ac:dyDescent="0.3">
      <c r="C1835" s="16"/>
      <c r="D1835" s="16"/>
      <c r="J1835" s="16"/>
      <c r="O1835" s="16"/>
    </row>
    <row r="1836" spans="3:15" x14ac:dyDescent="0.3">
      <c r="C1836" s="16"/>
      <c r="D1836" s="16"/>
      <c r="J1836" s="16"/>
      <c r="O1836" s="16"/>
    </row>
    <row r="1837" spans="3:15" x14ac:dyDescent="0.3">
      <c r="C1837" s="16"/>
      <c r="D1837" s="16"/>
      <c r="J1837" s="16"/>
      <c r="O1837" s="16"/>
    </row>
    <row r="1838" spans="3:15" x14ac:dyDescent="0.3">
      <c r="C1838" s="16"/>
      <c r="D1838" s="16"/>
      <c r="J1838" s="16"/>
      <c r="O1838" s="16"/>
    </row>
    <row r="1839" spans="3:15" x14ac:dyDescent="0.3">
      <c r="C1839" s="16"/>
      <c r="D1839" s="16"/>
      <c r="J1839" s="16"/>
      <c r="O1839" s="16"/>
    </row>
    <row r="1840" spans="3:15" x14ac:dyDescent="0.3">
      <c r="C1840" s="16"/>
      <c r="D1840" s="16"/>
      <c r="J1840" s="16"/>
      <c r="O1840" s="16"/>
    </row>
    <row r="1841" spans="3:15" x14ac:dyDescent="0.3">
      <c r="C1841" s="16"/>
      <c r="D1841" s="16"/>
      <c r="J1841" s="16"/>
      <c r="O1841" s="16"/>
    </row>
    <row r="1842" spans="3:15" x14ac:dyDescent="0.3">
      <c r="C1842" s="16"/>
      <c r="D1842" s="16"/>
      <c r="J1842" s="16"/>
      <c r="O1842" s="16"/>
    </row>
    <row r="1843" spans="3:15" x14ac:dyDescent="0.3">
      <c r="C1843" s="16"/>
      <c r="D1843" s="16"/>
      <c r="J1843" s="16"/>
      <c r="O1843" s="16"/>
    </row>
    <row r="1844" spans="3:15" x14ac:dyDescent="0.3">
      <c r="C1844" s="16"/>
      <c r="D1844" s="16"/>
      <c r="J1844" s="16"/>
      <c r="O1844" s="16"/>
    </row>
    <row r="1845" spans="3:15" x14ac:dyDescent="0.3">
      <c r="C1845" s="16"/>
      <c r="D1845" s="16"/>
      <c r="J1845" s="16"/>
      <c r="O1845" s="16"/>
    </row>
    <row r="1846" spans="3:15" x14ac:dyDescent="0.3">
      <c r="C1846" s="16"/>
      <c r="D1846" s="16"/>
      <c r="J1846" s="16"/>
      <c r="O1846" s="16"/>
    </row>
    <row r="1847" spans="3:15" x14ac:dyDescent="0.3">
      <c r="C1847" s="16"/>
      <c r="D1847" s="16"/>
      <c r="J1847" s="16"/>
      <c r="O1847" s="16"/>
    </row>
    <row r="1848" spans="3:15" x14ac:dyDescent="0.3">
      <c r="C1848" s="16"/>
      <c r="D1848" s="16"/>
      <c r="J1848" s="16"/>
      <c r="O1848" s="16"/>
    </row>
    <row r="1849" spans="3:15" x14ac:dyDescent="0.3">
      <c r="C1849" s="16"/>
      <c r="D1849" s="16"/>
      <c r="J1849" s="16"/>
      <c r="O1849" s="16"/>
    </row>
    <row r="1850" spans="3:15" x14ac:dyDescent="0.3">
      <c r="C1850" s="16"/>
      <c r="D1850" s="16"/>
      <c r="J1850" s="16"/>
      <c r="O1850" s="16"/>
    </row>
    <row r="1851" spans="3:15" x14ac:dyDescent="0.3">
      <c r="C1851" s="16"/>
      <c r="D1851" s="16"/>
      <c r="J1851" s="16"/>
      <c r="O1851" s="16"/>
    </row>
    <row r="1852" spans="3:15" x14ac:dyDescent="0.3">
      <c r="C1852" s="16"/>
      <c r="D1852" s="16"/>
      <c r="J1852" s="16"/>
      <c r="O1852" s="16"/>
    </row>
    <row r="1853" spans="3:15" x14ac:dyDescent="0.3">
      <c r="C1853" s="16"/>
      <c r="D1853" s="16"/>
      <c r="J1853" s="16"/>
      <c r="O1853" s="16"/>
    </row>
    <row r="1854" spans="3:15" x14ac:dyDescent="0.3">
      <c r="C1854" s="16"/>
      <c r="D1854" s="16"/>
      <c r="J1854" s="16"/>
      <c r="O1854" s="16"/>
    </row>
    <row r="1855" spans="3:15" x14ac:dyDescent="0.3">
      <c r="C1855" s="16"/>
      <c r="D1855" s="16"/>
      <c r="J1855" s="16"/>
      <c r="O1855" s="16"/>
    </row>
    <row r="1856" spans="3:15" x14ac:dyDescent="0.3">
      <c r="C1856" s="16"/>
      <c r="D1856" s="16"/>
      <c r="J1856" s="16"/>
      <c r="O1856" s="16"/>
    </row>
    <row r="1857" spans="3:15" x14ac:dyDescent="0.3">
      <c r="C1857" s="16"/>
      <c r="D1857" s="16"/>
      <c r="J1857" s="16"/>
      <c r="O1857" s="16"/>
    </row>
    <row r="1858" spans="3:15" x14ac:dyDescent="0.3">
      <c r="C1858" s="16"/>
      <c r="D1858" s="16"/>
      <c r="J1858" s="16"/>
      <c r="O1858" s="16"/>
    </row>
    <row r="1859" spans="3:15" x14ac:dyDescent="0.3">
      <c r="C1859" s="16"/>
      <c r="D1859" s="16"/>
      <c r="J1859" s="16"/>
      <c r="O1859" s="16"/>
    </row>
    <row r="1860" spans="3:15" x14ac:dyDescent="0.3">
      <c r="C1860" s="16"/>
      <c r="D1860" s="16"/>
      <c r="J1860" s="16"/>
      <c r="O1860" s="16"/>
    </row>
    <row r="1861" spans="3:15" x14ac:dyDescent="0.3">
      <c r="C1861" s="16"/>
      <c r="D1861" s="16"/>
      <c r="J1861" s="16"/>
      <c r="O1861" s="16"/>
    </row>
    <row r="1862" spans="3:15" x14ac:dyDescent="0.3">
      <c r="C1862" s="16"/>
      <c r="D1862" s="16"/>
      <c r="J1862" s="16"/>
      <c r="O1862" s="16"/>
    </row>
    <row r="1863" spans="3:15" x14ac:dyDescent="0.3">
      <c r="C1863" s="16"/>
      <c r="D1863" s="16"/>
      <c r="J1863" s="16"/>
      <c r="O1863" s="16"/>
    </row>
    <row r="1864" spans="3:15" x14ac:dyDescent="0.3">
      <c r="C1864" s="16"/>
      <c r="D1864" s="16"/>
      <c r="J1864" s="16"/>
      <c r="O1864" s="16"/>
    </row>
    <row r="1865" spans="3:15" x14ac:dyDescent="0.3">
      <c r="C1865" s="16"/>
      <c r="D1865" s="16"/>
      <c r="J1865" s="16"/>
      <c r="O1865" s="16"/>
    </row>
    <row r="1866" spans="3:15" x14ac:dyDescent="0.3">
      <c r="C1866" s="16"/>
      <c r="D1866" s="16"/>
      <c r="J1866" s="16"/>
      <c r="O1866" s="16"/>
    </row>
    <row r="1867" spans="3:15" x14ac:dyDescent="0.3">
      <c r="C1867" s="16"/>
      <c r="D1867" s="16"/>
      <c r="J1867" s="16"/>
      <c r="O1867" s="16"/>
    </row>
    <row r="1868" spans="3:15" x14ac:dyDescent="0.3">
      <c r="C1868" s="16"/>
      <c r="D1868" s="16"/>
      <c r="J1868" s="16"/>
      <c r="O1868" s="16"/>
    </row>
    <row r="1869" spans="3:15" x14ac:dyDescent="0.3">
      <c r="C1869" s="16"/>
      <c r="D1869" s="16"/>
      <c r="J1869" s="16"/>
      <c r="O1869" s="16"/>
    </row>
    <row r="1870" spans="3:15" x14ac:dyDescent="0.3">
      <c r="C1870" s="16"/>
      <c r="D1870" s="16"/>
      <c r="J1870" s="16"/>
      <c r="O1870" s="16"/>
    </row>
    <row r="1871" spans="3:15" x14ac:dyDescent="0.3">
      <c r="C1871" s="16"/>
      <c r="D1871" s="16"/>
      <c r="J1871" s="16"/>
      <c r="O1871" s="16"/>
    </row>
    <row r="1872" spans="3:15" x14ac:dyDescent="0.3">
      <c r="C1872" s="16"/>
      <c r="D1872" s="16"/>
      <c r="J1872" s="16"/>
      <c r="O1872" s="16"/>
    </row>
    <row r="1873" spans="3:15" x14ac:dyDescent="0.3">
      <c r="C1873" s="16"/>
      <c r="D1873" s="16"/>
      <c r="J1873" s="16"/>
      <c r="O1873" s="16"/>
    </row>
    <row r="1874" spans="3:15" x14ac:dyDescent="0.3">
      <c r="C1874" s="16"/>
      <c r="D1874" s="16"/>
      <c r="J1874" s="16"/>
      <c r="O1874" s="16"/>
    </row>
    <row r="1875" spans="3:15" x14ac:dyDescent="0.3">
      <c r="C1875" s="16"/>
      <c r="D1875" s="16"/>
      <c r="J1875" s="16"/>
      <c r="O1875" s="16"/>
    </row>
    <row r="1876" spans="3:15" x14ac:dyDescent="0.3">
      <c r="C1876" s="16"/>
      <c r="D1876" s="16"/>
      <c r="J1876" s="16"/>
      <c r="O1876" s="16"/>
    </row>
    <row r="1877" spans="3:15" x14ac:dyDescent="0.3">
      <c r="C1877" s="16"/>
      <c r="D1877" s="16"/>
      <c r="J1877" s="16"/>
      <c r="O1877" s="16"/>
    </row>
    <row r="1878" spans="3:15" x14ac:dyDescent="0.3">
      <c r="C1878" s="16"/>
      <c r="D1878" s="16"/>
      <c r="J1878" s="16"/>
      <c r="O1878" s="16"/>
    </row>
    <row r="1879" spans="3:15" x14ac:dyDescent="0.3">
      <c r="C1879" s="16"/>
      <c r="D1879" s="16"/>
      <c r="J1879" s="16"/>
      <c r="O1879" s="16"/>
    </row>
    <row r="1880" spans="3:15" x14ac:dyDescent="0.3">
      <c r="C1880" s="16"/>
      <c r="D1880" s="16"/>
      <c r="J1880" s="16"/>
      <c r="O1880" s="16"/>
    </row>
    <row r="1881" spans="3:15" x14ac:dyDescent="0.3">
      <c r="C1881" s="16"/>
      <c r="D1881" s="16"/>
      <c r="J1881" s="16"/>
      <c r="O1881" s="16"/>
    </row>
    <row r="1882" spans="3:15" x14ac:dyDescent="0.3">
      <c r="C1882" s="16"/>
      <c r="D1882" s="16"/>
      <c r="J1882" s="16"/>
      <c r="O1882" s="16"/>
    </row>
    <row r="1883" spans="3:15" x14ac:dyDescent="0.3">
      <c r="C1883" s="16"/>
      <c r="D1883" s="16"/>
      <c r="J1883" s="16"/>
      <c r="O1883" s="16"/>
    </row>
    <row r="1884" spans="3:15" x14ac:dyDescent="0.3">
      <c r="C1884" s="16"/>
      <c r="D1884" s="16"/>
      <c r="J1884" s="16"/>
      <c r="O1884" s="16"/>
    </row>
    <row r="1885" spans="3:15" x14ac:dyDescent="0.3">
      <c r="C1885" s="16"/>
      <c r="D1885" s="16"/>
      <c r="J1885" s="16"/>
      <c r="O1885" s="16"/>
    </row>
    <row r="1886" spans="3:15" x14ac:dyDescent="0.3">
      <c r="C1886" s="16"/>
      <c r="D1886" s="16"/>
      <c r="J1886" s="16"/>
      <c r="O1886" s="16"/>
    </row>
    <row r="1887" spans="3:15" x14ac:dyDescent="0.3">
      <c r="C1887" s="16"/>
      <c r="D1887" s="16"/>
      <c r="J1887" s="16"/>
      <c r="O1887" s="16"/>
    </row>
    <row r="1888" spans="3:15" x14ac:dyDescent="0.3">
      <c r="C1888" s="16"/>
      <c r="D1888" s="16"/>
      <c r="J1888" s="16"/>
      <c r="O1888" s="16"/>
    </row>
    <row r="1889" spans="3:15" x14ac:dyDescent="0.3">
      <c r="C1889" s="16"/>
      <c r="D1889" s="16"/>
      <c r="J1889" s="16"/>
      <c r="O1889" s="16"/>
    </row>
    <row r="1890" spans="3:15" x14ac:dyDescent="0.3">
      <c r="C1890" s="16"/>
      <c r="D1890" s="16"/>
      <c r="J1890" s="16"/>
      <c r="O1890" s="16"/>
    </row>
    <row r="1891" spans="3:15" x14ac:dyDescent="0.3">
      <c r="C1891" s="16"/>
      <c r="D1891" s="16"/>
      <c r="J1891" s="16"/>
      <c r="O1891" s="16"/>
    </row>
    <row r="1892" spans="3:15" x14ac:dyDescent="0.3">
      <c r="C1892" s="16"/>
      <c r="D1892" s="16"/>
      <c r="J1892" s="16"/>
      <c r="O1892" s="16"/>
    </row>
    <row r="1893" spans="3:15" x14ac:dyDescent="0.3">
      <c r="C1893" s="16"/>
      <c r="D1893" s="16"/>
      <c r="J1893" s="16"/>
      <c r="O1893" s="16"/>
    </row>
    <row r="1894" spans="3:15" x14ac:dyDescent="0.3">
      <c r="C1894" s="16"/>
      <c r="D1894" s="16"/>
      <c r="J1894" s="16"/>
      <c r="O1894" s="16"/>
    </row>
    <row r="1895" spans="3:15" x14ac:dyDescent="0.3">
      <c r="C1895" s="16"/>
      <c r="D1895" s="16"/>
      <c r="J1895" s="16"/>
      <c r="O1895" s="16"/>
    </row>
    <row r="1896" spans="3:15" x14ac:dyDescent="0.3">
      <c r="C1896" s="16"/>
      <c r="D1896" s="16"/>
      <c r="J1896" s="16"/>
      <c r="O1896" s="16"/>
    </row>
    <row r="1897" spans="3:15" x14ac:dyDescent="0.3">
      <c r="C1897" s="16"/>
      <c r="D1897" s="16"/>
      <c r="J1897" s="16"/>
      <c r="O1897" s="16"/>
    </row>
    <row r="1898" spans="3:15" x14ac:dyDescent="0.3">
      <c r="C1898" s="16"/>
      <c r="D1898" s="16"/>
      <c r="J1898" s="16"/>
      <c r="O1898" s="16"/>
    </row>
    <row r="1899" spans="3:15" x14ac:dyDescent="0.3">
      <c r="C1899" s="16"/>
      <c r="D1899" s="16"/>
      <c r="J1899" s="16"/>
      <c r="O1899" s="16"/>
    </row>
    <row r="1900" spans="3:15" x14ac:dyDescent="0.3">
      <c r="C1900" s="16"/>
      <c r="D1900" s="16"/>
      <c r="J1900" s="16"/>
      <c r="O1900" s="16"/>
    </row>
    <row r="1901" spans="3:15" x14ac:dyDescent="0.3">
      <c r="C1901" s="16"/>
      <c r="D1901" s="16"/>
      <c r="J1901" s="16"/>
      <c r="O1901" s="16"/>
    </row>
    <row r="1902" spans="3:15" x14ac:dyDescent="0.3">
      <c r="C1902" s="16"/>
      <c r="D1902" s="16"/>
      <c r="J1902" s="16"/>
      <c r="O1902" s="16"/>
    </row>
    <row r="1903" spans="3:15" x14ac:dyDescent="0.3">
      <c r="C1903" s="16"/>
      <c r="D1903" s="16"/>
      <c r="J1903" s="16"/>
      <c r="O1903" s="16"/>
    </row>
    <row r="1904" spans="3:15" x14ac:dyDescent="0.3">
      <c r="C1904" s="16"/>
      <c r="D1904" s="16"/>
      <c r="J1904" s="16"/>
      <c r="O1904" s="16"/>
    </row>
    <row r="1905" spans="3:15" x14ac:dyDescent="0.3">
      <c r="C1905" s="16"/>
      <c r="D1905" s="16"/>
      <c r="J1905" s="16"/>
      <c r="O1905" s="16"/>
    </row>
    <row r="1906" spans="3:15" x14ac:dyDescent="0.3">
      <c r="C1906" s="16"/>
      <c r="D1906" s="16"/>
      <c r="J1906" s="16"/>
      <c r="O1906" s="16"/>
    </row>
    <row r="1907" spans="3:15" x14ac:dyDescent="0.3">
      <c r="C1907" s="16"/>
      <c r="D1907" s="16"/>
      <c r="J1907" s="16"/>
      <c r="O1907" s="16"/>
    </row>
    <row r="1908" spans="3:15" x14ac:dyDescent="0.3">
      <c r="C1908" s="16"/>
      <c r="D1908" s="16"/>
      <c r="J1908" s="16"/>
      <c r="O1908" s="16"/>
    </row>
    <row r="1909" spans="3:15" x14ac:dyDescent="0.3">
      <c r="C1909" s="16"/>
      <c r="D1909" s="16"/>
      <c r="J1909" s="16"/>
      <c r="O1909" s="16"/>
    </row>
    <row r="1910" spans="3:15" x14ac:dyDescent="0.3">
      <c r="C1910" s="16"/>
      <c r="D1910" s="16"/>
      <c r="J1910" s="16"/>
      <c r="O1910" s="16"/>
    </row>
    <row r="1911" spans="3:15" x14ac:dyDescent="0.3">
      <c r="C1911" s="16"/>
      <c r="D1911" s="16"/>
      <c r="J1911" s="16"/>
      <c r="O1911" s="16"/>
    </row>
    <row r="1912" spans="3:15" x14ac:dyDescent="0.3">
      <c r="C1912" s="16"/>
      <c r="D1912" s="16"/>
      <c r="J1912" s="16"/>
      <c r="O1912" s="16"/>
    </row>
    <row r="1913" spans="3:15" x14ac:dyDescent="0.3">
      <c r="C1913" s="16"/>
      <c r="D1913" s="16"/>
      <c r="J1913" s="16"/>
      <c r="O1913" s="16"/>
    </row>
    <row r="1914" spans="3:15" x14ac:dyDescent="0.3">
      <c r="C1914" s="16"/>
      <c r="D1914" s="16"/>
      <c r="J1914" s="16"/>
      <c r="O1914" s="16"/>
    </row>
    <row r="1915" spans="3:15" x14ac:dyDescent="0.3">
      <c r="C1915" s="16"/>
      <c r="D1915" s="16"/>
      <c r="J1915" s="16"/>
      <c r="O1915" s="16"/>
    </row>
    <row r="1916" spans="3:15" x14ac:dyDescent="0.3">
      <c r="C1916" s="16"/>
      <c r="D1916" s="16"/>
      <c r="J1916" s="16"/>
      <c r="O1916" s="16"/>
    </row>
    <row r="1917" spans="3:15" x14ac:dyDescent="0.3">
      <c r="C1917" s="16"/>
      <c r="D1917" s="16"/>
      <c r="J1917" s="16"/>
      <c r="O1917" s="16"/>
    </row>
    <row r="1918" spans="3:15" x14ac:dyDescent="0.3">
      <c r="C1918" s="16"/>
      <c r="D1918" s="16"/>
      <c r="J1918" s="16"/>
      <c r="O1918" s="16"/>
    </row>
    <row r="1919" spans="3:15" x14ac:dyDescent="0.3">
      <c r="C1919" s="16"/>
      <c r="D1919" s="16"/>
      <c r="J1919" s="16"/>
      <c r="O1919" s="16"/>
    </row>
    <row r="1920" spans="3:15" x14ac:dyDescent="0.3">
      <c r="C1920" s="16"/>
      <c r="D1920" s="16"/>
      <c r="J1920" s="16"/>
      <c r="O1920" s="16"/>
    </row>
    <row r="1921" spans="3:15" x14ac:dyDescent="0.3">
      <c r="C1921" s="16"/>
      <c r="D1921" s="16"/>
      <c r="J1921" s="16"/>
      <c r="O1921" s="16"/>
    </row>
    <row r="1922" spans="3:15" x14ac:dyDescent="0.3">
      <c r="C1922" s="16"/>
      <c r="D1922" s="16"/>
      <c r="J1922" s="16"/>
      <c r="O1922" s="16"/>
    </row>
    <row r="1923" spans="3:15" x14ac:dyDescent="0.3">
      <c r="C1923" s="16"/>
      <c r="D1923" s="16"/>
      <c r="J1923" s="16"/>
      <c r="O1923" s="16"/>
    </row>
    <row r="1924" spans="3:15" x14ac:dyDescent="0.3">
      <c r="C1924" s="16"/>
      <c r="D1924" s="16"/>
      <c r="J1924" s="16"/>
      <c r="O1924" s="16"/>
    </row>
    <row r="1925" spans="3:15" x14ac:dyDescent="0.3">
      <c r="C1925" s="16"/>
      <c r="D1925" s="16"/>
      <c r="J1925" s="16"/>
      <c r="O1925" s="16"/>
    </row>
    <row r="1926" spans="3:15" x14ac:dyDescent="0.3">
      <c r="C1926" s="16"/>
      <c r="D1926" s="16"/>
      <c r="J1926" s="16"/>
      <c r="O1926" s="16"/>
    </row>
    <row r="1927" spans="3:15" x14ac:dyDescent="0.3">
      <c r="C1927" s="16"/>
      <c r="D1927" s="16"/>
      <c r="J1927" s="16"/>
      <c r="O1927" s="16"/>
    </row>
    <row r="1928" spans="3:15" x14ac:dyDescent="0.3">
      <c r="C1928" s="16"/>
      <c r="D1928" s="16"/>
      <c r="J1928" s="16"/>
      <c r="O1928" s="16"/>
    </row>
    <row r="1929" spans="3:15" x14ac:dyDescent="0.3">
      <c r="C1929" s="16"/>
      <c r="D1929" s="16"/>
      <c r="J1929" s="16"/>
      <c r="O1929" s="16"/>
    </row>
    <row r="1930" spans="3:15" x14ac:dyDescent="0.3">
      <c r="C1930" s="16"/>
      <c r="D1930" s="16"/>
      <c r="J1930" s="16"/>
      <c r="O1930" s="16"/>
    </row>
    <row r="1931" spans="3:15" x14ac:dyDescent="0.3">
      <c r="C1931" s="16"/>
      <c r="D1931" s="16"/>
      <c r="J1931" s="16"/>
      <c r="O1931" s="16"/>
    </row>
    <row r="1932" spans="3:15" x14ac:dyDescent="0.3">
      <c r="C1932" s="16"/>
      <c r="D1932" s="16"/>
      <c r="J1932" s="16"/>
      <c r="O1932" s="16"/>
    </row>
    <row r="1933" spans="3:15" x14ac:dyDescent="0.3">
      <c r="C1933" s="16"/>
      <c r="D1933" s="16"/>
      <c r="J1933" s="16"/>
      <c r="O1933" s="16"/>
    </row>
    <row r="1934" spans="3:15" x14ac:dyDescent="0.3">
      <c r="C1934" s="16"/>
      <c r="D1934" s="16"/>
      <c r="J1934" s="16"/>
      <c r="O1934" s="16"/>
    </row>
    <row r="1935" spans="3:15" x14ac:dyDescent="0.3">
      <c r="C1935" s="16"/>
      <c r="D1935" s="16"/>
      <c r="J1935" s="16"/>
      <c r="O1935" s="16"/>
    </row>
    <row r="1936" spans="3:15" x14ac:dyDescent="0.3">
      <c r="C1936" s="16"/>
      <c r="D1936" s="16"/>
      <c r="J1936" s="16"/>
      <c r="O1936" s="16"/>
    </row>
    <row r="1937" spans="3:15" x14ac:dyDescent="0.3">
      <c r="C1937" s="16"/>
      <c r="D1937" s="16"/>
      <c r="J1937" s="16"/>
      <c r="O1937" s="16"/>
    </row>
    <row r="1938" spans="3:15" x14ac:dyDescent="0.3">
      <c r="C1938" s="16"/>
      <c r="D1938" s="16"/>
      <c r="J1938" s="16"/>
      <c r="O1938" s="16"/>
    </row>
    <row r="1939" spans="3:15" x14ac:dyDescent="0.3">
      <c r="C1939" s="16"/>
      <c r="D1939" s="16"/>
      <c r="J1939" s="16"/>
      <c r="O1939" s="16"/>
    </row>
    <row r="1940" spans="3:15" x14ac:dyDescent="0.3">
      <c r="C1940" s="16"/>
      <c r="D1940" s="16"/>
      <c r="J1940" s="16"/>
      <c r="O1940" s="16"/>
    </row>
    <row r="1941" spans="3:15" x14ac:dyDescent="0.3">
      <c r="C1941" s="16"/>
      <c r="D1941" s="16"/>
      <c r="J1941" s="16"/>
      <c r="O1941" s="16"/>
    </row>
    <row r="1942" spans="3:15" x14ac:dyDescent="0.3">
      <c r="C1942" s="16"/>
      <c r="D1942" s="16"/>
      <c r="J1942" s="16"/>
      <c r="O1942" s="16"/>
    </row>
    <row r="1943" spans="3:15" x14ac:dyDescent="0.3">
      <c r="C1943" s="16"/>
      <c r="D1943" s="16"/>
      <c r="J1943" s="16"/>
      <c r="O1943" s="16"/>
    </row>
    <row r="1944" spans="3:15" x14ac:dyDescent="0.3">
      <c r="C1944" s="16"/>
      <c r="D1944" s="16"/>
      <c r="J1944" s="16"/>
      <c r="O1944" s="16"/>
    </row>
    <row r="1945" spans="3:15" x14ac:dyDescent="0.3">
      <c r="C1945" s="16"/>
      <c r="D1945" s="16"/>
      <c r="J1945" s="16"/>
      <c r="O1945" s="16"/>
    </row>
    <row r="1946" spans="3:15" x14ac:dyDescent="0.3">
      <c r="C1946" s="16"/>
      <c r="D1946" s="16"/>
      <c r="J1946" s="16"/>
      <c r="O1946" s="16"/>
    </row>
    <row r="1947" spans="3:15" x14ac:dyDescent="0.3">
      <c r="C1947" s="16"/>
      <c r="D1947" s="16"/>
      <c r="J1947" s="16"/>
      <c r="O1947" s="16"/>
    </row>
    <row r="1948" spans="3:15" x14ac:dyDescent="0.3">
      <c r="C1948" s="16"/>
      <c r="D1948" s="16"/>
      <c r="J1948" s="16"/>
      <c r="O1948" s="16"/>
    </row>
    <row r="1949" spans="3:15" x14ac:dyDescent="0.3">
      <c r="C1949" s="16"/>
      <c r="D1949" s="16"/>
      <c r="J1949" s="16"/>
      <c r="O1949" s="16"/>
    </row>
    <row r="1950" spans="3:15" x14ac:dyDescent="0.3">
      <c r="C1950" s="16"/>
      <c r="D1950" s="16"/>
      <c r="J1950" s="16"/>
      <c r="O1950" s="16"/>
    </row>
    <row r="1951" spans="3:15" x14ac:dyDescent="0.3">
      <c r="C1951" s="16"/>
      <c r="D1951" s="16"/>
      <c r="J1951" s="16"/>
      <c r="O1951" s="16"/>
    </row>
    <row r="1952" spans="3:15" x14ac:dyDescent="0.3">
      <c r="C1952" s="16"/>
      <c r="D1952" s="16"/>
      <c r="J1952" s="16"/>
      <c r="O1952" s="16"/>
    </row>
    <row r="1953" spans="3:15" x14ac:dyDescent="0.3">
      <c r="C1953" s="16"/>
      <c r="D1953" s="16"/>
      <c r="J1953" s="16"/>
      <c r="O1953" s="16"/>
    </row>
    <row r="1954" spans="3:15" x14ac:dyDescent="0.3">
      <c r="C1954" s="16"/>
      <c r="D1954" s="16"/>
      <c r="J1954" s="16"/>
      <c r="O1954" s="16"/>
    </row>
    <row r="1955" spans="3:15" x14ac:dyDescent="0.3">
      <c r="C1955" s="16"/>
      <c r="D1955" s="16"/>
      <c r="J1955" s="16"/>
      <c r="O1955" s="16"/>
    </row>
    <row r="1956" spans="3:15" x14ac:dyDescent="0.3">
      <c r="C1956" s="16"/>
      <c r="D1956" s="16"/>
      <c r="J1956" s="16"/>
      <c r="O1956" s="16"/>
    </row>
    <row r="1957" spans="3:15" x14ac:dyDescent="0.3">
      <c r="C1957" s="16"/>
      <c r="D1957" s="16"/>
      <c r="J1957" s="16"/>
      <c r="O1957" s="16"/>
    </row>
    <row r="1958" spans="3:15" x14ac:dyDescent="0.3">
      <c r="C1958" s="16"/>
      <c r="D1958" s="16"/>
      <c r="J1958" s="16"/>
      <c r="O1958" s="16"/>
    </row>
    <row r="1959" spans="3:15" x14ac:dyDescent="0.3">
      <c r="C1959" s="16"/>
      <c r="D1959" s="16"/>
      <c r="J1959" s="16"/>
      <c r="O1959" s="16"/>
    </row>
    <row r="1960" spans="3:15" x14ac:dyDescent="0.3">
      <c r="C1960" s="16"/>
      <c r="D1960" s="16"/>
      <c r="J1960" s="16"/>
      <c r="O1960" s="16"/>
    </row>
    <row r="1961" spans="3:15" x14ac:dyDescent="0.3">
      <c r="C1961" s="16"/>
      <c r="D1961" s="16"/>
      <c r="J1961" s="16"/>
      <c r="O1961" s="16"/>
    </row>
    <row r="1962" spans="3:15" x14ac:dyDescent="0.3">
      <c r="C1962" s="16"/>
      <c r="D1962" s="16"/>
      <c r="J1962" s="16"/>
      <c r="O1962" s="16"/>
    </row>
    <row r="1963" spans="3:15" x14ac:dyDescent="0.3">
      <c r="C1963" s="16"/>
      <c r="D1963" s="16"/>
      <c r="J1963" s="16"/>
      <c r="O1963" s="16"/>
    </row>
    <row r="1964" spans="3:15" x14ac:dyDescent="0.3">
      <c r="C1964" s="16"/>
      <c r="D1964" s="16"/>
      <c r="J1964" s="16"/>
      <c r="O1964" s="16"/>
    </row>
    <row r="1965" spans="3:15" x14ac:dyDescent="0.3">
      <c r="C1965" s="16"/>
      <c r="D1965" s="16"/>
      <c r="J1965" s="16"/>
      <c r="O1965" s="16"/>
    </row>
    <row r="1966" spans="3:15" x14ac:dyDescent="0.3">
      <c r="C1966" s="16"/>
      <c r="D1966" s="16"/>
      <c r="J1966" s="16"/>
      <c r="O1966" s="16"/>
    </row>
    <row r="1967" spans="3:15" x14ac:dyDescent="0.3">
      <c r="C1967" s="16"/>
      <c r="D1967" s="16"/>
      <c r="J1967" s="16"/>
      <c r="O1967" s="16"/>
    </row>
    <row r="1968" spans="3:15" x14ac:dyDescent="0.3">
      <c r="C1968" s="16"/>
      <c r="D1968" s="16"/>
      <c r="J1968" s="16"/>
      <c r="O1968" s="16"/>
    </row>
    <row r="1969" spans="3:15" x14ac:dyDescent="0.3">
      <c r="C1969" s="16"/>
      <c r="D1969" s="16"/>
      <c r="J1969" s="16"/>
      <c r="O1969" s="16"/>
    </row>
    <row r="1970" spans="3:15" x14ac:dyDescent="0.3">
      <c r="C1970" s="16"/>
      <c r="D1970" s="16"/>
      <c r="J1970" s="16"/>
      <c r="O1970" s="16"/>
    </row>
    <row r="1971" spans="3:15" x14ac:dyDescent="0.3">
      <c r="C1971" s="16"/>
      <c r="D1971" s="16"/>
      <c r="J1971" s="16"/>
      <c r="O1971" s="16"/>
    </row>
    <row r="1972" spans="3:15" x14ac:dyDescent="0.3">
      <c r="C1972" s="16"/>
      <c r="D1972" s="16"/>
      <c r="J1972" s="16"/>
      <c r="O1972" s="16"/>
    </row>
    <row r="1973" spans="3:15" x14ac:dyDescent="0.3">
      <c r="C1973" s="16"/>
      <c r="D1973" s="16"/>
      <c r="J1973" s="16"/>
      <c r="O1973" s="16"/>
    </row>
    <row r="1974" spans="3:15" x14ac:dyDescent="0.3">
      <c r="C1974" s="16"/>
      <c r="D1974" s="16"/>
      <c r="J1974" s="16"/>
      <c r="O1974" s="16"/>
    </row>
    <row r="1975" spans="3:15" x14ac:dyDescent="0.3">
      <c r="C1975" s="16"/>
      <c r="D1975" s="16"/>
      <c r="J1975" s="16"/>
      <c r="O1975" s="16"/>
    </row>
    <row r="1976" spans="3:15" x14ac:dyDescent="0.3">
      <c r="C1976" s="16"/>
      <c r="D1976" s="16"/>
      <c r="J1976" s="16"/>
      <c r="O1976" s="16"/>
    </row>
    <row r="1977" spans="3:15" x14ac:dyDescent="0.3">
      <c r="C1977" s="16"/>
      <c r="D1977" s="16"/>
      <c r="J1977" s="16"/>
      <c r="O1977" s="16"/>
    </row>
    <row r="1978" spans="3:15" x14ac:dyDescent="0.3">
      <c r="C1978" s="16"/>
      <c r="D1978" s="16"/>
      <c r="J1978" s="16"/>
      <c r="O1978" s="16"/>
    </row>
    <row r="1979" spans="3:15" x14ac:dyDescent="0.3">
      <c r="C1979" s="16"/>
      <c r="D1979" s="16"/>
      <c r="J1979" s="16"/>
      <c r="O1979" s="16"/>
    </row>
    <row r="1980" spans="3:15" x14ac:dyDescent="0.3">
      <c r="C1980" s="16"/>
      <c r="D1980" s="16"/>
      <c r="J1980" s="16"/>
      <c r="O1980" s="16"/>
    </row>
    <row r="1981" spans="3:15" x14ac:dyDescent="0.3">
      <c r="C1981" s="16"/>
      <c r="D1981" s="16"/>
      <c r="J1981" s="16"/>
      <c r="O1981" s="16"/>
    </row>
    <row r="1982" spans="3:15" x14ac:dyDescent="0.3">
      <c r="C1982" s="16"/>
      <c r="D1982" s="16"/>
      <c r="J1982" s="16"/>
      <c r="O1982" s="16"/>
    </row>
    <row r="1983" spans="3:15" x14ac:dyDescent="0.3">
      <c r="C1983" s="16"/>
      <c r="D1983" s="16"/>
      <c r="J1983" s="16"/>
      <c r="O1983" s="16"/>
    </row>
    <row r="1984" spans="3:15" x14ac:dyDescent="0.3">
      <c r="C1984" s="16"/>
      <c r="D1984" s="16"/>
      <c r="J1984" s="16"/>
      <c r="O1984" s="16"/>
    </row>
    <row r="1985" spans="3:15" x14ac:dyDescent="0.3">
      <c r="C1985" s="16"/>
      <c r="D1985" s="16"/>
      <c r="J1985" s="16"/>
      <c r="O1985" s="16"/>
    </row>
    <row r="1986" spans="3:15" x14ac:dyDescent="0.3">
      <c r="C1986" s="16"/>
      <c r="D1986" s="16"/>
      <c r="J1986" s="16"/>
      <c r="O1986" s="16"/>
    </row>
    <row r="1987" spans="3:15" x14ac:dyDescent="0.3">
      <c r="C1987" s="16"/>
      <c r="D1987" s="16"/>
      <c r="J1987" s="16"/>
      <c r="O1987" s="16"/>
    </row>
    <row r="1988" spans="3:15" x14ac:dyDescent="0.3">
      <c r="C1988" s="16"/>
      <c r="D1988" s="16"/>
      <c r="J1988" s="16"/>
      <c r="O1988" s="16"/>
    </row>
    <row r="1989" spans="3:15" x14ac:dyDescent="0.3">
      <c r="C1989" s="16"/>
      <c r="D1989" s="16"/>
      <c r="J1989" s="16"/>
      <c r="O1989" s="16"/>
    </row>
    <row r="1990" spans="3:15" x14ac:dyDescent="0.3">
      <c r="C1990" s="16"/>
      <c r="D1990" s="16"/>
      <c r="J1990" s="16"/>
      <c r="O1990" s="16"/>
    </row>
    <row r="1991" spans="3:15" x14ac:dyDescent="0.3">
      <c r="C1991" s="16"/>
      <c r="D1991" s="16"/>
      <c r="J1991" s="16"/>
      <c r="O1991" s="16"/>
    </row>
    <row r="1992" spans="3:15" x14ac:dyDescent="0.3">
      <c r="C1992" s="16"/>
      <c r="D1992" s="16"/>
      <c r="J1992" s="16"/>
      <c r="O1992" s="16"/>
    </row>
    <row r="1993" spans="3:15" x14ac:dyDescent="0.3">
      <c r="C1993" s="16"/>
      <c r="D1993" s="16"/>
      <c r="J1993" s="16"/>
      <c r="O1993" s="16"/>
    </row>
    <row r="1994" spans="3:15" x14ac:dyDescent="0.3">
      <c r="C1994" s="16"/>
      <c r="D1994" s="16"/>
      <c r="J1994" s="16"/>
      <c r="O1994" s="16"/>
    </row>
    <row r="1995" spans="3:15" x14ac:dyDescent="0.3">
      <c r="C1995" s="16"/>
      <c r="D1995" s="16"/>
      <c r="J1995" s="16"/>
      <c r="O1995" s="16"/>
    </row>
    <row r="1996" spans="3:15" x14ac:dyDescent="0.3">
      <c r="C1996" s="16"/>
      <c r="D1996" s="16"/>
      <c r="J1996" s="16"/>
      <c r="O1996" s="16"/>
    </row>
    <row r="1997" spans="3:15" x14ac:dyDescent="0.3">
      <c r="C1997" s="16"/>
      <c r="D1997" s="16"/>
      <c r="J1997" s="16"/>
      <c r="O1997" s="16"/>
    </row>
    <row r="1998" spans="3:15" x14ac:dyDescent="0.3">
      <c r="C1998" s="16"/>
      <c r="D1998" s="16"/>
      <c r="J1998" s="16"/>
      <c r="O1998" s="16"/>
    </row>
    <row r="1999" spans="3:15" x14ac:dyDescent="0.3">
      <c r="C1999" s="16"/>
      <c r="D1999" s="16"/>
      <c r="J1999" s="16"/>
      <c r="O1999" s="16"/>
    </row>
    <row r="2000" spans="3:15" x14ac:dyDescent="0.3">
      <c r="C2000" s="16"/>
      <c r="D2000" s="16"/>
      <c r="J2000" s="16"/>
      <c r="O2000" s="16"/>
    </row>
  </sheetData>
  <sheetProtection algorithmName="SHA-512" hashValue="fb+efap+55xuoNfz26co7+jx4NOCTZp5BHtXr9S8HYt9K3Lz+vDhg/eMS9Auhcju0IJUwxL+iDKLqWkQCvE8BA==" saltValue="YuCeAoSuu6WBBSBcxNXYaw==" spinCount="100000" sheet="1" objects="1" scenarios="1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E98A1-B9D8-425A-BB29-13B6D0F5A472}">
  <sheetPr codeName="Sheet5">
    <pageSetUpPr fitToPage="1"/>
  </sheetPr>
  <dimension ref="A1:K5"/>
  <sheetViews>
    <sheetView showGridLines="0" showRowColHeaders="0" zoomScale="130" zoomScaleNormal="130" workbookViewId="0"/>
  </sheetViews>
  <sheetFormatPr defaultRowHeight="14.4" x14ac:dyDescent="0.3"/>
  <cols>
    <col min="1" max="1" width="7.21875" customWidth="1"/>
    <col min="2" max="2" width="9" customWidth="1"/>
    <col min="3" max="3" width="17.77734375" customWidth="1"/>
    <col min="4" max="4" width="5.33203125" customWidth="1"/>
    <col min="5" max="5" width="19.44140625" customWidth="1"/>
    <col min="6" max="6" width="18.109375" customWidth="1"/>
    <col min="7" max="7" width="7.77734375" customWidth="1"/>
    <col min="8" max="8" width="19.44140625" customWidth="1"/>
    <col min="9" max="9" width="19" customWidth="1"/>
    <col min="10" max="10" width="8" customWidth="1"/>
    <col min="11" max="11" width="23.5546875" customWidth="1"/>
    <col min="12" max="12" width="6.6640625" customWidth="1"/>
  </cols>
  <sheetData>
    <row r="1" spans="1:11" ht="21" customHeight="1" x14ac:dyDescent="0.3">
      <c r="A1" s="132" t="s">
        <v>16</v>
      </c>
      <c r="C1" s="93"/>
      <c r="D1" s="21"/>
      <c r="E1" s="149" t="s">
        <v>4</v>
      </c>
      <c r="F1" s="150">
        <f xml:space="preserve"> IF(Data2!Q1=2, IF(Data2!A3=1,"_", 2*10^4+Data2!A3*10^3+F4*100+Data2!A4 ), Data2!A2*10^4+Data2!A3*10^3+F4*100+Data2!A4)</f>
        <v>23112</v>
      </c>
      <c r="G1" s="55"/>
      <c r="H1" s="56"/>
      <c r="I1" s="56"/>
      <c r="K1" s="93"/>
    </row>
    <row r="2" spans="1:11" ht="27.6" customHeight="1" x14ac:dyDescent="0.3">
      <c r="B2" s="20"/>
      <c r="C2" s="95"/>
      <c r="D2" s="20"/>
      <c r="E2" s="67" t="s">
        <v>18</v>
      </c>
      <c r="F2" s="38">
        <f>IF(Data2!Q1=2, IF(Data2!A3=1, "_",  0.3), Data2!A14)</f>
        <v>0.3</v>
      </c>
      <c r="G2" s="57"/>
      <c r="H2" s="71" t="s">
        <v>0</v>
      </c>
      <c r="I2" s="58">
        <f>IF(AND(Data2!Q1=2,Data2!A3=1),"_", Data2!U2)</f>
        <v>1.5866929799999999E-2</v>
      </c>
      <c r="J2" s="91"/>
      <c r="K2" s="95"/>
    </row>
    <row r="3" spans="1:11" ht="27.6" customHeight="1" x14ac:dyDescent="0.3">
      <c r="B3" s="20"/>
      <c r="C3" s="94"/>
      <c r="D3" s="20"/>
      <c r="E3" s="68" t="s">
        <v>17</v>
      </c>
      <c r="F3" s="36">
        <f>IF(AND(Data2!Q1=2,Data2!A3=1),"_",Data2!A5)</f>
        <v>0.15000000000000002</v>
      </c>
      <c r="G3" s="22"/>
      <c r="H3" s="72" t="s">
        <v>13</v>
      </c>
      <c r="I3" s="144">
        <f>IF(AND(Data2!Q1=2,Data2!A3=1), "_", DEGREES(2*ATAN(1.16925*F5)))</f>
        <v>15.974059813936858</v>
      </c>
      <c r="J3" s="92"/>
      <c r="K3" s="156"/>
    </row>
    <row r="4" spans="1:11" ht="25.8" customHeight="1" x14ac:dyDescent="0.3">
      <c r="D4" s="18"/>
      <c r="E4" s="69" t="s">
        <v>5</v>
      </c>
      <c r="F4" s="31">
        <f xml:space="preserve"> IF(AND(Data2!Q1=2,Data2!A3=1), "_", IF(Data2!Q1=1, 0, 1))</f>
        <v>1</v>
      </c>
      <c r="G4" s="117"/>
      <c r="H4" s="118"/>
      <c r="I4" s="118"/>
      <c r="J4" s="157"/>
      <c r="K4" s="158"/>
    </row>
    <row r="5" spans="1:11" ht="27" customHeight="1" x14ac:dyDescent="0.3">
      <c r="E5" s="70" t="s">
        <v>9</v>
      </c>
      <c r="F5" s="37">
        <f>IF(AND(Data2!Q1=2,Data2!A3=1),"_", Data2!A7)</f>
        <v>0.12</v>
      </c>
      <c r="G5" s="117"/>
    </row>
  </sheetData>
  <sheetProtection algorithmName="SHA-512" hashValue="rIouzLWh6g1vu7ObeQKezReIOeywkftevFNURRR2XTYXNWI9ZvEW/tyz5nALPljX3rIZwL4LffJlY3GaZ0DURQ==" saltValue="TYKnN38DZfAXKCcUwyk5pg==" spinCount="100000" sheet="1" objects="1" scenarios="1"/>
  <hyperlinks>
    <hyperlink ref="A1" location="Start_page!A1" display="BACK" xr:uid="{44F15EF6-7350-4AA4-BD20-06795FC503F9}"/>
  </hyperlinks>
  <pageMargins left="0.7" right="0.7" top="0.75" bottom="0.75" header="0.3" footer="0.3"/>
  <pageSetup paperSize="9" scale="77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Spinner 1">
              <controlPr locked="0" defaultSize="0" autoPict="0">
                <anchor moveWithCells="1">
                  <from>
                    <xdr:col>6</xdr:col>
                    <xdr:colOff>0</xdr:colOff>
                    <xdr:row>1</xdr:row>
                    <xdr:rowOff>22860</xdr:rowOff>
                  </from>
                  <to>
                    <xdr:col>6</xdr:col>
                    <xdr:colOff>144780</xdr:colOff>
                    <xdr:row>1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Spinner 2">
              <controlPr locked="0" defaultSize="0" autoPict="0">
                <anchor moveWithCells="1">
                  <from>
                    <xdr:col>6</xdr:col>
                    <xdr:colOff>0</xdr:colOff>
                    <xdr:row>2</xdr:row>
                    <xdr:rowOff>30480</xdr:rowOff>
                  </from>
                  <to>
                    <xdr:col>6</xdr:col>
                    <xdr:colOff>144780</xdr:colOff>
                    <xdr:row>2</xdr:row>
                    <xdr:rowOff>320040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Spinner 3">
              <controlPr locked="0" defaultSize="0" autoPict="0">
                <anchor moveWithCells="1">
                  <from>
                    <xdr:col>6</xdr:col>
                    <xdr:colOff>0</xdr:colOff>
                    <xdr:row>4</xdr:row>
                    <xdr:rowOff>22860</xdr:rowOff>
                  </from>
                  <to>
                    <xdr:col>6</xdr:col>
                    <xdr:colOff>144780</xdr:colOff>
                    <xdr:row>4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7" name="Option Button 5">
              <controlPr locked="0" defaultSize="0" autoFill="0" autoLine="0" autoPict="0">
                <anchor moveWithCells="1">
                  <from>
                    <xdr:col>2</xdr:col>
                    <xdr:colOff>68580</xdr:colOff>
                    <xdr:row>1</xdr:row>
                    <xdr:rowOff>68580</xdr:rowOff>
                  </from>
                  <to>
                    <xdr:col>2</xdr:col>
                    <xdr:colOff>1082040</xdr:colOff>
                    <xdr:row>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8" name="Option Button 6">
              <controlPr locked="0" defaultSize="0" autoFill="0" autoLine="0" autoPict="0">
                <anchor moveWithCells="1">
                  <from>
                    <xdr:col>2</xdr:col>
                    <xdr:colOff>60960</xdr:colOff>
                    <xdr:row>1</xdr:row>
                    <xdr:rowOff>327660</xdr:rowOff>
                  </from>
                  <to>
                    <xdr:col>2</xdr:col>
                    <xdr:colOff>1051560</xdr:colOff>
                    <xdr:row>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9" name="Check Box 8">
              <controlPr locked="0" defaultSize="0" autoFill="0" autoLine="0" autoPict="0">
                <anchor moveWithCells="1">
                  <from>
                    <xdr:col>10</xdr:col>
                    <xdr:colOff>99060</xdr:colOff>
                    <xdr:row>1</xdr:row>
                    <xdr:rowOff>60960</xdr:rowOff>
                  </from>
                  <to>
                    <xdr:col>10</xdr:col>
                    <xdr:colOff>1028700</xdr:colOff>
                    <xdr:row>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0" name="Check Box 9">
              <controlPr locked="0" defaultSize="0" autoFill="0" autoLine="0" autoPict="0">
                <anchor moveWithCells="1">
                  <from>
                    <xdr:col>10</xdr:col>
                    <xdr:colOff>99060</xdr:colOff>
                    <xdr:row>2</xdr:row>
                    <xdr:rowOff>0</xdr:rowOff>
                  </from>
                  <to>
                    <xdr:col>10</xdr:col>
                    <xdr:colOff>1569720</xdr:colOff>
                    <xdr:row>2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1" name="Check Box 11">
              <controlPr locked="0" defaultSize="0" autoFill="0" autoLine="0" autoPict="0">
                <anchor moveWithCells="1">
                  <from>
                    <xdr:col>10</xdr:col>
                    <xdr:colOff>99060</xdr:colOff>
                    <xdr:row>2</xdr:row>
                    <xdr:rowOff>289560</xdr:rowOff>
                  </from>
                  <to>
                    <xdr:col>10</xdr:col>
                    <xdr:colOff>1569720</xdr:colOff>
                    <xdr:row>3</xdr:row>
                    <xdr:rowOff>274320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4D67-7AE7-4A5B-9088-F822E636F76F}">
  <sheetPr codeName="Sheet6"/>
  <dimension ref="A1:AD1000"/>
  <sheetViews>
    <sheetView zoomScale="85" zoomScaleNormal="100" workbookViewId="0">
      <selection activeCell="A10" sqref="A10"/>
    </sheetView>
  </sheetViews>
  <sheetFormatPr defaultRowHeight="14.4" x14ac:dyDescent="0.3"/>
  <cols>
    <col min="2" max="2" width="9" style="12" bestFit="1" customWidth="1"/>
    <col min="3" max="3" width="9.21875" bestFit="1" customWidth="1"/>
    <col min="4" max="4" width="8.88671875" style="126"/>
    <col min="5" max="6" width="9.44140625" bestFit="1" customWidth="1"/>
    <col min="7" max="7" width="9.44140625" style="126" bestFit="1" customWidth="1"/>
    <col min="8" max="9" width="8.88671875" style="126"/>
    <col min="10" max="10" width="9.44140625" style="126" bestFit="1" customWidth="1"/>
    <col min="11" max="11" width="8.88671875" style="126"/>
    <col min="12" max="13" width="9.21875" bestFit="1" customWidth="1"/>
    <col min="14" max="14" width="10.109375" customWidth="1"/>
    <col min="15" max="15" width="9.5546875" customWidth="1"/>
    <col min="16" max="16" width="10.21875" customWidth="1"/>
    <col min="17" max="17" width="10.5546875" customWidth="1"/>
    <col min="18" max="18" width="10.44140625" customWidth="1"/>
    <col min="19" max="19" width="10.33203125" customWidth="1"/>
    <col min="20" max="21" width="10.21875" customWidth="1"/>
    <col min="22" max="22" width="9.5546875" customWidth="1"/>
    <col min="23" max="23" width="9.88671875" customWidth="1"/>
    <col min="25" max="25" width="8.88671875" style="126"/>
    <col min="27" max="27" width="10" style="126" customWidth="1"/>
    <col min="28" max="30" width="8.88671875" style="40"/>
  </cols>
  <sheetData>
    <row r="1" spans="1:30" x14ac:dyDescent="0.3">
      <c r="A1">
        <f>IF(L1=1, 0, A4/100)</f>
        <v>0</v>
      </c>
      <c r="B1" s="12" cm="1">
        <f t="array" ref="B1:B500">1-COS((_xlfn.SEQUENCE(500,1,0,1)*PI())/(2*(500-1)))</f>
        <v>0</v>
      </c>
      <c r="C1" s="12">
        <f>IF($A$1=0, 0, IF(B1&lt;=$A$2, ($A$1/$A$2^2)*(2*$A$2*B1-B1^2), ($A$1/(1-$A$2)^2)*((1-2*$A$2)+2*$A$2*B1-B1^2)))</f>
        <v>0</v>
      </c>
      <c r="D1" s="126">
        <f>IF(B1&lt;$N$1, ($A$3/0.2)*($O$1*SQRT(B1)+$P$1*B1+$Q$1*(B1^2)+$R$1*(B1^3)), ($A$3/0.2)*($S$1+$T$1*(1-B1)+$U$1*((1-B1)^2)+$V$1*((1-B1)^3)))</f>
        <v>0</v>
      </c>
      <c r="E1" s="12">
        <f>IF($A$1=0, 0, IF(B1&lt;=$A$2, ($A$1/$A$2^2) *(2*$A$2-2*B1), ($A$1/(1-$A$2)^2)*(2*$A$2-2*B1)))</f>
        <v>0</v>
      </c>
      <c r="F1" s="12">
        <f>IF($A$1=0, 0,  ATAN(E1))</f>
        <v>0</v>
      </c>
      <c r="G1" s="122">
        <f>B1-D1*SIN(F1)</f>
        <v>0</v>
      </c>
      <c r="H1" s="122">
        <f>C1+D1*COS(F1)</f>
        <v>0</v>
      </c>
      <c r="I1" s="122">
        <f>B1+D1*SIN(F1)</f>
        <v>0</v>
      </c>
      <c r="J1" s="122">
        <f>C1-D1*COS(F1)</f>
        <v>0</v>
      </c>
      <c r="K1" s="122"/>
      <c r="L1" s="19">
        <v>1</v>
      </c>
      <c r="M1" s="130">
        <v>6</v>
      </c>
      <c r="N1" s="29">
        <f>$N$2/10</f>
        <v>0.4</v>
      </c>
      <c r="O1" s="28">
        <f>IF($M$1=9, 0.2969*SQRT(3),0.2969*(M1/6))</f>
        <v>0.2969</v>
      </c>
      <c r="P1" s="28">
        <f>(0.3/N1)-1.875*(O1/SQRT(N1))-0.1*(N1/W1)</f>
        <v>-0.24686688913915905</v>
      </c>
      <c r="Q1" s="28">
        <f>-(0.3/(N1^2))+1.25*(O1/POWER(N1, 3/2))+(0.2/W1)</f>
        <v>0.17533370412082072</v>
      </c>
      <c r="R1" s="28">
        <f>(0.1/N1^3)-0.375*(O1/POWER(N1, 5/2))-(0.1/(W1*N1))</f>
        <v>-0.26691694475728189</v>
      </c>
      <c r="S1" s="28">
        <f>IF(Z3, 0, 0.002)</f>
        <v>2E-3</v>
      </c>
      <c r="T1" s="28">
        <f>IF(N1=0.2, 0.2, IF(N1=0.3, 0.234, IF(N1=0.4, 0.315, IF(N1=0.5, 0.465, 0.7))))</f>
        <v>0.315</v>
      </c>
      <c r="U1" s="28">
        <f>(3*(0.1-S1)-2*(1-N1)*T1)/((1-N1)^2)</f>
        <v>-0.23333333333333325</v>
      </c>
      <c r="V1" s="125">
        <f>(-2*(0.1-S1)+(1-N1)*T1)/((1-N1)^3)</f>
        <v>-3.2407407407407433E-2</v>
      </c>
      <c r="W1" s="27">
        <f>0.2*((1-N1)^2/(0.588-2*T1*(1-N1)))</f>
        <v>0.34285714285714292</v>
      </c>
      <c r="Y1" s="126">
        <f>IF($Z$1, C1, -0.5)</f>
        <v>-0.5</v>
      </c>
      <c r="Z1" s="19" t="b">
        <v>0</v>
      </c>
      <c r="AA1" s="126">
        <f>$E$1</f>
        <v>0</v>
      </c>
      <c r="AB1" s="40" cm="1">
        <f t="array" ref="AB1:AB50">_xlfn.SEQUENCE(50, 1, 0, (2*PI())/(50-1))</f>
        <v>0</v>
      </c>
      <c r="AC1" s="40">
        <f>$AA$2*(COS(ATAN($AA$1))+COS(AB1))</f>
        <v>1.7850296024999993E-2</v>
      </c>
      <c r="AD1" s="40">
        <f>IF($Z$2, $AA$2*(SIN(ATAN($AA$1))+SIN(AB1)), -0.5)</f>
        <v>-0.5</v>
      </c>
    </row>
    <row r="2" spans="1:30" x14ac:dyDescent="0.3">
      <c r="A2">
        <f>IF(L1=1, 0, A5/10)</f>
        <v>0</v>
      </c>
      <c r="B2" s="12">
        <v>4.9545966939179564E-6</v>
      </c>
      <c r="C2" s="12">
        <f t="shared" ref="C2:C64" si="0">IF($A$1=0, 0, IF(B2&lt;=$A$2, ($A$1/$A$2^2)*(2*$A$2*B2-B2^2), ($A$1/(1-$A$2)^2)*((1-2*$A$2)+2*$A$2*B2-B2^2)))</f>
        <v>0</v>
      </c>
      <c r="D2" s="126">
        <f t="shared" ref="D2:D64" si="1">IF(B2&lt;$N$1, ($A$3/0.2)*($O$1*SQRT(B2)+$P$1*B2+$Q$1*(B2^2)+$R$1*(B2^3)), ($A$3/0.2)*($S$1+$T$1*(1-B2)+$U$1*((1-B2)^2)+$V$1*((1-B2)^3)))</f>
        <v>2.9683994091902485E-4</v>
      </c>
      <c r="E2" s="12">
        <f t="shared" ref="E2:E65" si="2">IF($A$1=0, 0, IF(B2&lt;=$A$2, ($A$1/$A$2^2) *(2*$A$2-2*B2), ($A$1/(1-$A$2)^2)*(2*$A$2-2*B2)))</f>
        <v>0</v>
      </c>
      <c r="F2" s="12">
        <f t="shared" ref="F2:F65" si="3">IF($A$1=0, 0,  ATAN(E2))</f>
        <v>0</v>
      </c>
      <c r="G2" s="122">
        <f>B2-D2*SIN(F2)</f>
        <v>4.9545966939179564E-6</v>
      </c>
      <c r="H2" s="122">
        <f t="shared" ref="H2:H65" si="4">C2+D2*COS(F2)</f>
        <v>2.9683994091902485E-4</v>
      </c>
      <c r="I2" s="122">
        <f t="shared" ref="I2:I65" si="5">B2+D2*SIN(F2)</f>
        <v>4.9545966939179564E-6</v>
      </c>
      <c r="J2" s="122">
        <f>C2-D2*COS(F2)</f>
        <v>-2.9683994091902485E-4</v>
      </c>
      <c r="K2" s="122"/>
      <c r="M2" s="27"/>
      <c r="N2" s="130">
        <v>4</v>
      </c>
      <c r="O2" s="27"/>
      <c r="P2" s="27"/>
      <c r="Q2" s="27"/>
      <c r="R2" s="27"/>
      <c r="S2" s="27"/>
      <c r="T2" s="27"/>
      <c r="U2" s="27"/>
      <c r="V2" s="27"/>
      <c r="W2" s="27"/>
      <c r="Y2" s="126">
        <f t="shared" ref="Y2:Y65" si="6">IF($Z$1, C2, -0.5)</f>
        <v>-0.5</v>
      </c>
      <c r="Z2" s="19" t="b">
        <v>0</v>
      </c>
      <c r="AA2" s="126">
        <f>0.5*(0.2969*($A$3/0.2)*($M$1/6))^2</f>
        <v>8.9251480124999966E-3</v>
      </c>
      <c r="AB2" s="40">
        <v>0.12822827157509359</v>
      </c>
      <c r="AC2" s="40">
        <f t="shared" ref="AC2:AC50" si="7">$AA$2*(COS(ATAN($AA$1))+COS(AB2))</f>
        <v>1.7777020683191886E-2</v>
      </c>
      <c r="AD2" s="40">
        <f t="shared" ref="AD2:AD50" si="8">IF($Z$2, $AA$2*(SIN(ATAN($AA$1))+SIN(AB2)), -0.5)</f>
        <v>-0.5</v>
      </c>
    </row>
    <row r="3" spans="1:30" x14ac:dyDescent="0.3">
      <c r="A3">
        <f>A6/100</f>
        <v>0.09</v>
      </c>
      <c r="B3" s="12">
        <v>1.9818337679722298E-5</v>
      </c>
      <c r="C3" s="12">
        <f t="shared" si="0"/>
        <v>0</v>
      </c>
      <c r="D3" s="126">
        <f t="shared" si="1"/>
        <v>5.9257836439792564E-4</v>
      </c>
      <c r="E3" s="12">
        <f t="shared" si="2"/>
        <v>0</v>
      </c>
      <c r="F3" s="12">
        <f t="shared" si="3"/>
        <v>0</v>
      </c>
      <c r="G3" s="122">
        <f t="shared" ref="G3:G65" si="9">B3-D3*SIN(F3)</f>
        <v>1.9818337679722298E-5</v>
      </c>
      <c r="H3" s="122">
        <f t="shared" si="4"/>
        <v>5.9257836439792564E-4</v>
      </c>
      <c r="I3" s="122">
        <f t="shared" si="5"/>
        <v>1.9818337679722298E-5</v>
      </c>
      <c r="J3" s="122">
        <f t="shared" ref="J3:J65" si="10">C3-D3*COS(F3)</f>
        <v>-5.9257836439792564E-4</v>
      </c>
      <c r="K3" s="122"/>
      <c r="Y3" s="126">
        <f t="shared" si="6"/>
        <v>-0.5</v>
      </c>
      <c r="Z3" s="19" t="b">
        <v>0</v>
      </c>
      <c r="AB3" s="40">
        <v>0.25645654315018718</v>
      </c>
      <c r="AC3" s="40">
        <f t="shared" si="7"/>
        <v>1.7558397836854246E-2</v>
      </c>
      <c r="AD3" s="40">
        <f t="shared" si="8"/>
        <v>-0.5</v>
      </c>
    </row>
    <row r="4" spans="1:30" x14ac:dyDescent="0.3">
      <c r="A4" s="19">
        <v>1</v>
      </c>
      <c r="B4" s="12">
        <v>4.4591075669564439E-5</v>
      </c>
      <c r="C4" s="12">
        <f t="shared" si="0"/>
        <v>0</v>
      </c>
      <c r="D4" s="126">
        <f t="shared" si="1"/>
        <v>8.8721461978929095E-4</v>
      </c>
      <c r="E4" s="12">
        <f t="shared" si="2"/>
        <v>0</v>
      </c>
      <c r="F4" s="12">
        <f t="shared" si="3"/>
        <v>0</v>
      </c>
      <c r="G4" s="122">
        <f t="shared" si="9"/>
        <v>4.4591075669564439E-5</v>
      </c>
      <c r="H4" s="122">
        <f t="shared" si="4"/>
        <v>8.8721461978929095E-4</v>
      </c>
      <c r="I4" s="122">
        <f t="shared" si="5"/>
        <v>4.4591075669564439E-5</v>
      </c>
      <c r="J4" s="122">
        <f t="shared" si="10"/>
        <v>-8.8721461978929095E-4</v>
      </c>
      <c r="K4" s="122"/>
      <c r="Y4" s="126">
        <f t="shared" si="6"/>
        <v>-0.5</v>
      </c>
      <c r="AB4" s="40">
        <v>0.38468481472528077</v>
      </c>
      <c r="AC4" s="40">
        <f t="shared" si="7"/>
        <v>1.7198017267079785E-2</v>
      </c>
      <c r="AD4" s="40">
        <f t="shared" si="8"/>
        <v>-0.5</v>
      </c>
    </row>
    <row r="5" spans="1:30" x14ac:dyDescent="0.3">
      <c r="A5" s="19">
        <v>5</v>
      </c>
      <c r="B5" s="12">
        <v>7.9272565185806165E-5</v>
      </c>
      <c r="C5" s="12">
        <f t="shared" si="0"/>
        <v>0</v>
      </c>
      <c r="D5" s="126">
        <f t="shared" si="1"/>
        <v>1.1807481138199089E-3</v>
      </c>
      <c r="E5" s="12">
        <f t="shared" si="2"/>
        <v>0</v>
      </c>
      <c r="F5" s="12">
        <f t="shared" si="3"/>
        <v>0</v>
      </c>
      <c r="G5" s="122">
        <f t="shared" si="9"/>
        <v>7.9272565185806165E-5</v>
      </c>
      <c r="H5" s="122">
        <f t="shared" si="4"/>
        <v>1.1807481138199089E-3</v>
      </c>
      <c r="I5" s="122">
        <f t="shared" si="5"/>
        <v>7.9272565185806165E-5</v>
      </c>
      <c r="J5" s="122">
        <f t="shared" si="10"/>
        <v>-1.1807481138199089E-3</v>
      </c>
      <c r="K5" s="122"/>
      <c r="Y5" s="126">
        <f t="shared" si="6"/>
        <v>-0.5</v>
      </c>
      <c r="AB5" s="40">
        <v>0.51291308630037435</v>
      </c>
      <c r="AC5" s="40">
        <f t="shared" si="7"/>
        <v>1.6701796412860938E-2</v>
      </c>
      <c r="AD5" s="40">
        <f t="shared" si="8"/>
        <v>-0.5</v>
      </c>
    </row>
    <row r="6" spans="1:30" x14ac:dyDescent="0.3">
      <c r="A6" s="19">
        <v>9</v>
      </c>
      <c r="B6" s="12">
        <v>1.2386246256268496E-4</v>
      </c>
      <c r="C6" s="12">
        <f t="shared" si="0"/>
        <v>0</v>
      </c>
      <c r="D6" s="126">
        <f t="shared" si="1"/>
        <v>1.4731783105496623E-3</v>
      </c>
      <c r="E6" s="12">
        <f t="shared" si="2"/>
        <v>0</v>
      </c>
      <c r="F6" s="12">
        <f t="shared" si="3"/>
        <v>0</v>
      </c>
      <c r="G6" s="122">
        <f t="shared" si="9"/>
        <v>1.2386246256268496E-4</v>
      </c>
      <c r="H6" s="122">
        <f t="shared" si="4"/>
        <v>1.4731783105496623E-3</v>
      </c>
      <c r="I6" s="122">
        <f t="shared" si="5"/>
        <v>1.2386246256268496E-4</v>
      </c>
      <c r="J6" s="122">
        <f t="shared" si="10"/>
        <v>-1.4731783105496623E-3</v>
      </c>
      <c r="K6" s="122"/>
      <c r="Y6" s="126">
        <f t="shared" si="6"/>
        <v>-0.5</v>
      </c>
      <c r="AB6" s="40">
        <v>0.64114135787546789</v>
      </c>
      <c r="AC6" s="40">
        <f t="shared" si="7"/>
        <v>1.6077883206905216E-2</v>
      </c>
      <c r="AD6" s="40">
        <f t="shared" si="8"/>
        <v>-0.5</v>
      </c>
    </row>
    <row r="7" spans="1:30" x14ac:dyDescent="0.3">
      <c r="B7" s="12">
        <v>1.7836032595031082E-4</v>
      </c>
      <c r="C7" s="12">
        <f t="shared" si="0"/>
        <v>0</v>
      </c>
      <c r="D7" s="126">
        <f t="shared" si="1"/>
        <v>1.7645047313348411E-3</v>
      </c>
      <c r="E7" s="12">
        <f t="shared" si="2"/>
        <v>0</v>
      </c>
      <c r="F7" s="12">
        <f t="shared" si="3"/>
        <v>0</v>
      </c>
      <c r="G7" s="122">
        <f t="shared" si="9"/>
        <v>1.7836032595031082E-4</v>
      </c>
      <c r="H7" s="122">
        <f t="shared" si="4"/>
        <v>1.7645047313348411E-3</v>
      </c>
      <c r="I7" s="122">
        <f t="shared" si="5"/>
        <v>1.7836032595031082E-4</v>
      </c>
      <c r="J7" s="122">
        <f t="shared" si="10"/>
        <v>-1.7645047313348411E-3</v>
      </c>
      <c r="K7" s="122"/>
      <c r="Y7" s="126">
        <f t="shared" si="6"/>
        <v>-0.5</v>
      </c>
      <c r="AB7" s="40">
        <v>0.76936962945056142</v>
      </c>
      <c r="AC7" s="40">
        <f t="shared" si="7"/>
        <v>1.5336522286805394E-2</v>
      </c>
      <c r="AD7" s="40">
        <f t="shared" si="8"/>
        <v>-0.5</v>
      </c>
    </row>
    <row r="8" spans="1:30" x14ac:dyDescent="0.3">
      <c r="B8" s="12">
        <v>2.4276561531888508E-4</v>
      </c>
      <c r="C8" s="12">
        <f t="shared" si="0"/>
        <v>0</v>
      </c>
      <c r="D8" s="126">
        <f t="shared" si="1"/>
        <v>2.054726954769577E-3</v>
      </c>
      <c r="E8" s="12">
        <f t="shared" si="2"/>
        <v>0</v>
      </c>
      <c r="F8" s="12">
        <f t="shared" si="3"/>
        <v>0</v>
      </c>
      <c r="G8" s="122">
        <f t="shared" si="9"/>
        <v>2.4276561531888508E-4</v>
      </c>
      <c r="H8" s="122">
        <f t="shared" si="4"/>
        <v>2.054726954769577E-3</v>
      </c>
      <c r="I8" s="122">
        <f t="shared" si="5"/>
        <v>2.4276561531888508E-4</v>
      </c>
      <c r="J8" s="122">
        <f t="shared" si="10"/>
        <v>-2.054726954769577E-3</v>
      </c>
      <c r="K8" s="122"/>
      <c r="Y8" s="126">
        <f t="shared" si="6"/>
        <v>-0.5</v>
      </c>
      <c r="AB8" s="40">
        <v>0.89759790102565495</v>
      </c>
      <c r="AC8" s="40">
        <f t="shared" si="7"/>
        <v>1.4489886778373491E-2</v>
      </c>
      <c r="AD8" s="40">
        <f t="shared" si="8"/>
        <v>-0.5</v>
      </c>
    </row>
    <row r="9" spans="1:30" x14ac:dyDescent="0.3">
      <c r="B9" s="12">
        <v>3.1707769246391848E-4</v>
      </c>
      <c r="C9" s="12">
        <f t="shared" si="0"/>
        <v>0</v>
      </c>
      <c r="D9" s="126">
        <f t="shared" si="1"/>
        <v>2.343844616616156E-3</v>
      </c>
      <c r="E9" s="12">
        <f t="shared" si="2"/>
        <v>0</v>
      </c>
      <c r="F9" s="12">
        <f t="shared" si="3"/>
        <v>0</v>
      </c>
      <c r="G9" s="122">
        <f t="shared" si="9"/>
        <v>3.1707769246391848E-4</v>
      </c>
      <c r="H9" s="122">
        <f t="shared" si="4"/>
        <v>2.343844616616156E-3</v>
      </c>
      <c r="I9" s="122">
        <f t="shared" si="5"/>
        <v>3.1707769246391848E-4</v>
      </c>
      <c r="J9" s="122">
        <f t="shared" si="10"/>
        <v>-2.343844616616156E-3</v>
      </c>
      <c r="K9" s="122"/>
      <c r="Y9" s="126">
        <f t="shared" si="6"/>
        <v>-0.5</v>
      </c>
      <c r="AB9" s="40">
        <v>1.0258261726007485</v>
      </c>
      <c r="AC9" s="40">
        <f t="shared" si="7"/>
        <v>1.355187841325145E-2</v>
      </c>
      <c r="AD9" s="40">
        <f t="shared" si="8"/>
        <v>-0.5</v>
      </c>
    </row>
    <row r="10" spans="1:30" x14ac:dyDescent="0.3">
      <c r="B10" s="12">
        <v>4.0129582101267047E-4</v>
      </c>
      <c r="C10" s="12">
        <f t="shared" si="0"/>
        <v>0</v>
      </c>
      <c r="D10" s="126">
        <f t="shared" si="1"/>
        <v>2.6318574097235333E-3</v>
      </c>
      <c r="E10" s="12">
        <f t="shared" si="2"/>
        <v>0</v>
      </c>
      <c r="F10" s="12">
        <f t="shared" si="3"/>
        <v>0</v>
      </c>
      <c r="G10" s="122">
        <f t="shared" si="9"/>
        <v>4.0129582101267047E-4</v>
      </c>
      <c r="H10" s="122">
        <f t="shared" si="4"/>
        <v>2.6318574097235333E-3</v>
      </c>
      <c r="I10" s="122">
        <f t="shared" si="5"/>
        <v>4.0129582101267047E-4</v>
      </c>
      <c r="J10" s="122">
        <f t="shared" si="10"/>
        <v>-2.6318574097235333E-3</v>
      </c>
      <c r="K10" s="122"/>
      <c r="Y10" s="126">
        <f t="shared" si="6"/>
        <v>-0.5</v>
      </c>
      <c r="AB10" s="40">
        <v>1.154054444175842</v>
      </c>
      <c r="AC10" s="40">
        <f t="shared" si="7"/>
        <v>1.2537899262861937E-2</v>
      </c>
      <c r="AD10" s="40">
        <f t="shared" si="8"/>
        <v>-0.5</v>
      </c>
    </row>
    <row r="11" spans="1:30" x14ac:dyDescent="0.3">
      <c r="B11" s="12">
        <v>4.9541916643136563E-4</v>
      </c>
      <c r="C11" s="12">
        <f t="shared" si="0"/>
        <v>0</v>
      </c>
      <c r="D11" s="126">
        <f t="shared" si="1"/>
        <v>2.9187650839319909E-3</v>
      </c>
      <c r="E11" s="12">
        <f t="shared" si="2"/>
        <v>0</v>
      </c>
      <c r="F11" s="12">
        <f t="shared" si="3"/>
        <v>0</v>
      </c>
      <c r="G11" s="122">
        <f t="shared" si="9"/>
        <v>4.9541916643136563E-4</v>
      </c>
      <c r="H11" s="122">
        <f t="shared" si="4"/>
        <v>2.9187650839319909E-3</v>
      </c>
      <c r="I11" s="122">
        <f t="shared" si="5"/>
        <v>4.9541916643136563E-4</v>
      </c>
      <c r="J11" s="122">
        <f t="shared" si="10"/>
        <v>-2.9187650839319909E-3</v>
      </c>
      <c r="K11" s="122"/>
      <c r="Y11" s="126">
        <f t="shared" si="6"/>
        <v>-0.5</v>
      </c>
      <c r="AB11" s="40">
        <v>1.2822827157509356</v>
      </c>
      <c r="AC11" s="40">
        <f t="shared" si="7"/>
        <v>1.1464598836821381E-2</v>
      </c>
      <c r="AD11" s="40">
        <f t="shared" si="8"/>
        <v>-0.5</v>
      </c>
    </row>
    <row r="12" spans="1:30" x14ac:dyDescent="0.3">
      <c r="B12" s="12">
        <v>5.9944679603363138E-4</v>
      </c>
      <c r="C12" s="12">
        <f t="shared" si="0"/>
        <v>0</v>
      </c>
      <c r="D12" s="126">
        <f t="shared" si="1"/>
        <v>3.2045674459657354E-3</v>
      </c>
      <c r="E12" s="12">
        <f t="shared" si="2"/>
        <v>0</v>
      </c>
      <c r="F12" s="12">
        <f t="shared" si="3"/>
        <v>0</v>
      </c>
      <c r="G12" s="122">
        <f t="shared" si="9"/>
        <v>5.9944679603363138E-4</v>
      </c>
      <c r="H12" s="122">
        <f t="shared" si="4"/>
        <v>3.2045674459657354E-3</v>
      </c>
      <c r="I12" s="122">
        <f t="shared" si="5"/>
        <v>5.9944679603363138E-4</v>
      </c>
      <c r="J12" s="122">
        <f t="shared" si="10"/>
        <v>-3.2045674459657354E-3</v>
      </c>
      <c r="K12" s="122"/>
      <c r="Y12" s="126">
        <f t="shared" si="6"/>
        <v>-0.5</v>
      </c>
      <c r="AB12" s="40">
        <v>1.4105109873260291</v>
      </c>
      <c r="AC12" s="40">
        <f t="shared" si="7"/>
        <v>1.0349600698452373E-2</v>
      </c>
      <c r="AD12" s="40">
        <f t="shared" si="8"/>
        <v>-0.5</v>
      </c>
    </row>
    <row r="13" spans="1:30" x14ac:dyDescent="0.3">
      <c r="B13" s="12">
        <v>7.133776789896018E-4</v>
      </c>
      <c r="C13" s="12">
        <f t="shared" si="0"/>
        <v>0</v>
      </c>
      <c r="D13" s="126">
        <f t="shared" si="1"/>
        <v>3.4892643593116388E-3</v>
      </c>
      <c r="E13" s="12">
        <f t="shared" si="2"/>
        <v>0</v>
      </c>
      <c r="F13" s="12">
        <f t="shared" si="3"/>
        <v>0</v>
      </c>
      <c r="G13" s="122">
        <f t="shared" si="9"/>
        <v>7.133776789896018E-4</v>
      </c>
      <c r="H13" s="122">
        <f t="shared" si="4"/>
        <v>3.4892643593116388E-3</v>
      </c>
      <c r="I13" s="122">
        <f t="shared" si="5"/>
        <v>7.133776789896018E-4</v>
      </c>
      <c r="J13" s="122">
        <f t="shared" si="10"/>
        <v>-3.4892643593116388E-3</v>
      </c>
      <c r="K13" s="122"/>
      <c r="Y13" s="126">
        <f t="shared" si="6"/>
        <v>-0.5</v>
      </c>
      <c r="AB13" s="40">
        <v>1.5387392589011226</v>
      </c>
      <c r="AC13" s="40">
        <f t="shared" si="7"/>
        <v>9.2112130863611502E-3</v>
      </c>
      <c r="AD13" s="40">
        <f t="shared" si="8"/>
        <v>-0.5</v>
      </c>
    </row>
    <row r="14" spans="1:30" x14ac:dyDescent="0.3">
      <c r="B14" s="12">
        <v>8.3721068633602069E-4</v>
      </c>
      <c r="C14" s="12">
        <f t="shared" si="0"/>
        <v>0</v>
      </c>
      <c r="D14" s="126">
        <f t="shared" si="1"/>
        <v>3.7728557440854095E-3</v>
      </c>
      <c r="E14" s="12">
        <f t="shared" si="2"/>
        <v>0</v>
      </c>
      <c r="F14" s="12">
        <f t="shared" si="3"/>
        <v>0</v>
      </c>
      <c r="G14" s="122">
        <f t="shared" si="9"/>
        <v>8.3721068633602069E-4</v>
      </c>
      <c r="H14" s="122">
        <f t="shared" si="4"/>
        <v>3.7728557440854095E-3</v>
      </c>
      <c r="I14" s="122">
        <f t="shared" si="5"/>
        <v>8.3721068633602069E-4</v>
      </c>
      <c r="J14" s="122">
        <f t="shared" si="10"/>
        <v>-3.7728557440854095E-3</v>
      </c>
      <c r="K14" s="122"/>
      <c r="Y14" s="126">
        <f t="shared" si="6"/>
        <v>-0.5</v>
      </c>
      <c r="AB14" s="40">
        <v>1.6669675304762162</v>
      </c>
      <c r="AC14" s="40">
        <f t="shared" si="7"/>
        <v>8.0681282936658216E-3</v>
      </c>
      <c r="AD14" s="40">
        <f t="shared" si="8"/>
        <v>-0.5</v>
      </c>
    </row>
    <row r="15" spans="1:30" x14ac:dyDescent="0.3">
      <c r="B15" s="12">
        <v>9.7094459098767683E-4</v>
      </c>
      <c r="C15" s="12">
        <f t="shared" si="0"/>
        <v>0</v>
      </c>
      <c r="D15" s="126">
        <f t="shared" si="1"/>
        <v>4.0553415768857454E-3</v>
      </c>
      <c r="E15" s="12">
        <f t="shared" si="2"/>
        <v>0</v>
      </c>
      <c r="F15" s="12">
        <f t="shared" si="3"/>
        <v>0</v>
      </c>
      <c r="G15" s="122">
        <f t="shared" si="9"/>
        <v>9.7094459098767683E-4</v>
      </c>
      <c r="H15" s="122">
        <f t="shared" si="4"/>
        <v>4.0553415768857454E-3</v>
      </c>
      <c r="I15" s="122">
        <f t="shared" si="5"/>
        <v>9.7094459098767683E-4</v>
      </c>
      <c r="J15" s="122">
        <f t="shared" si="10"/>
        <v>-4.0553415768857454E-3</v>
      </c>
      <c r="K15" s="122"/>
      <c r="Y15" s="126">
        <f t="shared" si="6"/>
        <v>-0.5</v>
      </c>
      <c r="AB15" s="40">
        <v>1.7951958020513097</v>
      </c>
      <c r="AC15" s="40">
        <f t="shared" si="7"/>
        <v>6.9391157410601603E-3</v>
      </c>
      <c r="AD15" s="40">
        <f t="shared" si="8"/>
        <v>-0.5</v>
      </c>
    </row>
    <row r="16" spans="1:30" x14ac:dyDescent="0.3">
      <c r="B16" s="12">
        <v>1.1145780677496164E-3</v>
      </c>
      <c r="C16" s="12">
        <f t="shared" si="0"/>
        <v>0</v>
      </c>
      <c r="D16" s="126">
        <f t="shared" si="1"/>
        <v>4.3367218906350527E-3</v>
      </c>
      <c r="E16" s="12">
        <f t="shared" si="2"/>
        <v>0</v>
      </c>
      <c r="F16" s="12">
        <f t="shared" si="3"/>
        <v>0</v>
      </c>
      <c r="G16" s="122">
        <f t="shared" si="9"/>
        <v>1.1145780677496164E-3</v>
      </c>
      <c r="H16" s="122">
        <f t="shared" si="4"/>
        <v>4.3367218906350527E-3</v>
      </c>
      <c r="I16" s="122">
        <f t="shared" si="5"/>
        <v>1.1145780677496164E-3</v>
      </c>
      <c r="J16" s="122">
        <f t="shared" si="10"/>
        <v>-4.3367218906350527E-3</v>
      </c>
      <c r="K16" s="122"/>
      <c r="Y16" s="126">
        <f t="shared" si="6"/>
        <v>-0.5</v>
      </c>
      <c r="AB16" s="40">
        <v>1.9234240736264032</v>
      </c>
      <c r="AC16" s="40">
        <f t="shared" si="7"/>
        <v>5.8427137834447156E-3</v>
      </c>
      <c r="AD16" s="40">
        <f t="shared" si="8"/>
        <v>-0.5</v>
      </c>
    </row>
    <row r="17" spans="2:30" x14ac:dyDescent="0.3">
      <c r="B17" s="12">
        <v>1.2681096933296887E-3</v>
      </c>
      <c r="C17" s="12">
        <f t="shared" si="0"/>
        <v>0</v>
      </c>
      <c r="D17" s="126">
        <f t="shared" si="1"/>
        <v>4.6169967744062275E-3</v>
      </c>
      <c r="E17" s="12">
        <f t="shared" si="2"/>
        <v>0</v>
      </c>
      <c r="F17" s="12">
        <f t="shared" si="3"/>
        <v>0</v>
      </c>
      <c r="G17" s="122">
        <f t="shared" si="9"/>
        <v>1.2681096933296887E-3</v>
      </c>
      <c r="H17" s="122">
        <f t="shared" si="4"/>
        <v>4.6169967744062275E-3</v>
      </c>
      <c r="I17" s="122">
        <f t="shared" si="5"/>
        <v>1.2681096933296887E-3</v>
      </c>
      <c r="J17" s="122">
        <f t="shared" si="10"/>
        <v>-4.6169967744062275E-3</v>
      </c>
      <c r="K17" s="122"/>
      <c r="Y17" s="126">
        <f t="shared" si="6"/>
        <v>-0.5</v>
      </c>
      <c r="AB17" s="40">
        <v>2.051652345201497</v>
      </c>
      <c r="AC17" s="40">
        <f t="shared" si="7"/>
        <v>4.7969253106518641E-3</v>
      </c>
      <c r="AD17" s="40">
        <f t="shared" si="8"/>
        <v>-0.5</v>
      </c>
    </row>
    <row r="18" spans="2:30" x14ac:dyDescent="0.3">
      <c r="B18" s="12">
        <v>1.4315379463535338E-3</v>
      </c>
      <c r="C18" s="12">
        <f t="shared" si="0"/>
        <v>0</v>
      </c>
      <c r="D18" s="126">
        <f t="shared" si="1"/>
        <v>4.896166373239517E-3</v>
      </c>
      <c r="E18" s="12">
        <f t="shared" si="2"/>
        <v>0</v>
      </c>
      <c r="F18" s="12">
        <f t="shared" si="3"/>
        <v>0</v>
      </c>
      <c r="G18" s="122">
        <f t="shared" si="9"/>
        <v>1.4315379463535338E-3</v>
      </c>
      <c r="H18" s="122">
        <f t="shared" si="4"/>
        <v>4.896166373239517E-3</v>
      </c>
      <c r="I18" s="122">
        <f t="shared" si="5"/>
        <v>1.4315379463535338E-3</v>
      </c>
      <c r="J18" s="122">
        <f t="shared" si="10"/>
        <v>-4.896166373239517E-3</v>
      </c>
      <c r="K18" s="122"/>
      <c r="Y18" s="126">
        <f t="shared" si="6"/>
        <v>-0.5</v>
      </c>
      <c r="AB18" s="40">
        <v>2.1798806167765905</v>
      </c>
      <c r="AC18" s="40">
        <f t="shared" si="7"/>
        <v>3.8189221404924829E-3</v>
      </c>
      <c r="AD18" s="40">
        <f t="shared" si="8"/>
        <v>-0.5</v>
      </c>
    </row>
    <row r="19" spans="2:30" x14ac:dyDescent="0.3">
      <c r="B19" s="12">
        <v>1.6048612073787938E-3</v>
      </c>
      <c r="C19" s="12">
        <f t="shared" si="0"/>
        <v>0</v>
      </c>
      <c r="D19" s="126">
        <f t="shared" si="1"/>
        <v>5.1742308879433041E-3</v>
      </c>
      <c r="E19" s="12">
        <f t="shared" si="2"/>
        <v>0</v>
      </c>
      <c r="F19" s="12">
        <f t="shared" si="3"/>
        <v>0</v>
      </c>
      <c r="G19" s="122">
        <f t="shared" si="9"/>
        <v>1.6048612073787938E-3</v>
      </c>
      <c r="H19" s="122">
        <f t="shared" si="4"/>
        <v>5.1742308879433041E-3</v>
      </c>
      <c r="I19" s="122">
        <f t="shared" si="5"/>
        <v>1.6048612073787938E-3</v>
      </c>
      <c r="J19" s="122">
        <f t="shared" si="10"/>
        <v>-5.1742308879433041E-3</v>
      </c>
      <c r="K19" s="122"/>
      <c r="Y19" s="126">
        <f t="shared" si="6"/>
        <v>-0.5</v>
      </c>
      <c r="AB19" s="40">
        <v>2.308108888351684</v>
      </c>
      <c r="AC19" s="40">
        <f t="shared" si="7"/>
        <v>2.9247630579822318E-3</v>
      </c>
      <c r="AD19" s="40">
        <f t="shared" si="8"/>
        <v>-0.5</v>
      </c>
    </row>
    <row r="20" spans="2:30" x14ac:dyDescent="0.3">
      <c r="B20" s="12">
        <v>1.7880777589119878E-3</v>
      </c>
      <c r="C20" s="12">
        <f t="shared" si="0"/>
        <v>0</v>
      </c>
      <c r="D20" s="126">
        <f t="shared" si="1"/>
        <v>5.4511905748851758E-3</v>
      </c>
      <c r="E20" s="12">
        <f t="shared" si="2"/>
        <v>0</v>
      </c>
      <c r="F20" s="12">
        <f t="shared" si="3"/>
        <v>0</v>
      </c>
      <c r="G20" s="122">
        <f t="shared" si="9"/>
        <v>1.7880777589119878E-3</v>
      </c>
      <c r="H20" s="122">
        <f t="shared" si="4"/>
        <v>5.4511905748851758E-3</v>
      </c>
      <c r="I20" s="122">
        <f t="shared" si="5"/>
        <v>1.7880777589119878E-3</v>
      </c>
      <c r="J20" s="122">
        <f t="shared" si="10"/>
        <v>-5.4511905748851758E-3</v>
      </c>
      <c r="K20" s="122"/>
      <c r="Y20" s="126">
        <f t="shared" si="6"/>
        <v>-0.5</v>
      </c>
      <c r="AB20" s="40">
        <v>2.4363371599267776</v>
      </c>
      <c r="AC20" s="40">
        <f t="shared" si="7"/>
        <v>2.1291301305355662E-3</v>
      </c>
      <c r="AD20" s="40">
        <f t="shared" si="8"/>
        <v>-0.5</v>
      </c>
    </row>
    <row r="21" spans="2:30" x14ac:dyDescent="0.3">
      <c r="B21" s="12">
        <v>1.9811857854247217E-3</v>
      </c>
      <c r="C21" s="12">
        <f t="shared" si="0"/>
        <v>0</v>
      </c>
      <c r="D21" s="126">
        <f t="shared" si="1"/>
        <v>5.7270457457675615E-3</v>
      </c>
      <c r="E21" s="12">
        <f t="shared" si="2"/>
        <v>0</v>
      </c>
      <c r="F21" s="12">
        <f t="shared" si="3"/>
        <v>0</v>
      </c>
      <c r="G21" s="122">
        <f t="shared" si="9"/>
        <v>1.9811857854247217E-3</v>
      </c>
      <c r="H21" s="122">
        <f t="shared" si="4"/>
        <v>5.7270457457675615E-3</v>
      </c>
      <c r="I21" s="122">
        <f t="shared" si="5"/>
        <v>1.9811857854247217E-3</v>
      </c>
      <c r="J21" s="122">
        <f t="shared" si="10"/>
        <v>-5.7270457457675615E-3</v>
      </c>
      <c r="K21" s="122"/>
      <c r="Y21" s="126">
        <f t="shared" si="6"/>
        <v>-0.5</v>
      </c>
      <c r="AB21" s="40">
        <v>2.5645654315018711</v>
      </c>
      <c r="AC21" s="40">
        <f t="shared" si="7"/>
        <v>1.4450876288247007E-3</v>
      </c>
      <c r="AD21" s="40">
        <f t="shared" si="8"/>
        <v>-0.5</v>
      </c>
    </row>
    <row r="22" spans="2:30" x14ac:dyDescent="0.3">
      <c r="B22" s="12">
        <v>2.1841833733722282E-3</v>
      </c>
      <c r="C22" s="12">
        <f t="shared" si="0"/>
        <v>0</v>
      </c>
      <c r="D22" s="126">
        <f t="shared" si="1"/>
        <v>6.0017967673928934E-3</v>
      </c>
      <c r="E22" s="12">
        <f t="shared" si="2"/>
        <v>0</v>
      </c>
      <c r="F22" s="12">
        <f t="shared" si="3"/>
        <v>0</v>
      </c>
      <c r="G22" s="122">
        <f t="shared" si="9"/>
        <v>2.1841833733722282E-3</v>
      </c>
      <c r="H22" s="122">
        <f t="shared" si="4"/>
        <v>6.0017967673928934E-3</v>
      </c>
      <c r="I22" s="122">
        <f t="shared" si="5"/>
        <v>2.1841833733722282E-3</v>
      </c>
      <c r="J22" s="122">
        <f t="shared" si="10"/>
        <v>-6.0017967673928934E-3</v>
      </c>
      <c r="K22" s="122"/>
      <c r="Y22" s="126">
        <f t="shared" si="6"/>
        <v>-0.5</v>
      </c>
      <c r="AB22" s="40">
        <v>2.6927937030769646</v>
      </c>
      <c r="AC22" s="40">
        <f t="shared" si="7"/>
        <v>8.8386751181635231E-4</v>
      </c>
      <c r="AD22" s="40">
        <f t="shared" si="8"/>
        <v>-0.5</v>
      </c>
    </row>
    <row r="23" spans="2:30" x14ac:dyDescent="0.3">
      <c r="B23" s="12">
        <v>2.3970685112121304E-3</v>
      </c>
      <c r="C23" s="12">
        <f t="shared" si="0"/>
        <v>0</v>
      </c>
      <c r="D23" s="126">
        <f t="shared" si="1"/>
        <v>6.2754440614149146E-3</v>
      </c>
      <c r="E23" s="12">
        <f t="shared" si="2"/>
        <v>0</v>
      </c>
      <c r="F23" s="12">
        <f t="shared" si="3"/>
        <v>0</v>
      </c>
      <c r="G23" s="122">
        <f t="shared" si="9"/>
        <v>2.3970685112121304E-3</v>
      </c>
      <c r="H23" s="122">
        <f t="shared" si="4"/>
        <v>6.2754440614149146E-3</v>
      </c>
      <c r="I23" s="122">
        <f t="shared" si="5"/>
        <v>2.3970685112121304E-3</v>
      </c>
      <c r="J23" s="122">
        <f t="shared" si="10"/>
        <v>-6.2754440614149146E-3</v>
      </c>
      <c r="K23" s="122"/>
      <c r="Y23" s="126">
        <f t="shared" si="6"/>
        <v>-0.5</v>
      </c>
      <c r="AB23" s="40">
        <v>2.8210219746520582</v>
      </c>
      <c r="AC23" s="40">
        <f t="shared" si="7"/>
        <v>4.5468499831603077E-4</v>
      </c>
      <c r="AD23" s="40">
        <f t="shared" si="8"/>
        <v>-0.5</v>
      </c>
    </row>
    <row r="24" spans="2:30" x14ac:dyDescent="0.3">
      <c r="B24" s="12">
        <v>2.619839089424536E-3</v>
      </c>
      <c r="C24" s="12">
        <f t="shared" si="0"/>
        <v>0</v>
      </c>
      <c r="D24" s="126">
        <f t="shared" si="1"/>
        <v>6.5479881040778828E-3</v>
      </c>
      <c r="E24" s="12">
        <f t="shared" si="2"/>
        <v>0</v>
      </c>
      <c r="F24" s="12">
        <f t="shared" si="3"/>
        <v>0</v>
      </c>
      <c r="G24" s="122">
        <f t="shared" si="9"/>
        <v>2.619839089424536E-3</v>
      </c>
      <c r="H24" s="122">
        <f t="shared" si="4"/>
        <v>6.5479881040778828E-3</v>
      </c>
      <c r="I24" s="122">
        <f t="shared" si="5"/>
        <v>2.619839089424536E-3</v>
      </c>
      <c r="J24" s="122">
        <f t="shared" si="10"/>
        <v>-6.5479881040778828E-3</v>
      </c>
      <c r="K24" s="122"/>
      <c r="Y24" s="126">
        <f t="shared" si="6"/>
        <v>-0.5</v>
      </c>
      <c r="AB24" s="40">
        <v>2.9492502462271517</v>
      </c>
      <c r="AC24" s="40">
        <f t="shared" si="7"/>
        <v>1.6458725333001972E-4</v>
      </c>
      <c r="AD24" s="40">
        <f t="shared" si="8"/>
        <v>-0.5</v>
      </c>
    </row>
    <row r="25" spans="2:30" x14ac:dyDescent="0.3">
      <c r="B25" s="12">
        <v>2.8524929005325772E-3</v>
      </c>
      <c r="C25" s="12">
        <f t="shared" si="0"/>
        <v>0</v>
      </c>
      <c r="D25" s="126">
        <f t="shared" si="1"/>
        <v>6.8194294259425435E-3</v>
      </c>
      <c r="E25" s="12">
        <f t="shared" si="2"/>
        <v>0</v>
      </c>
      <c r="F25" s="12">
        <f t="shared" si="3"/>
        <v>0</v>
      </c>
      <c r="G25" s="122">
        <f t="shared" si="9"/>
        <v>2.8524929005325772E-3</v>
      </c>
      <c r="H25" s="122">
        <f t="shared" si="4"/>
        <v>6.8194294259425435E-3</v>
      </c>
      <c r="I25" s="122">
        <f t="shared" si="5"/>
        <v>2.8524929005325772E-3</v>
      </c>
      <c r="J25" s="122">
        <f t="shared" si="10"/>
        <v>-6.8194294259425435E-3</v>
      </c>
      <c r="K25" s="122"/>
      <c r="Y25" s="126">
        <f t="shared" si="6"/>
        <v>-0.5</v>
      </c>
      <c r="AB25" s="40">
        <v>3.0774785178022452</v>
      </c>
      <c r="AC25" s="40">
        <f t="shared" si="7"/>
        <v>1.8337673810804733E-5</v>
      </c>
      <c r="AD25" s="40">
        <f t="shared" si="8"/>
        <v>-0.5</v>
      </c>
    </row>
    <row r="26" spans="2:30" x14ac:dyDescent="0.3">
      <c r="B26" s="12">
        <v>3.0950276391248366E-3</v>
      </c>
      <c r="C26" s="12">
        <f t="shared" si="0"/>
        <v>0</v>
      </c>
      <c r="D26" s="126">
        <f t="shared" si="1"/>
        <v>7.089768611600651E-3</v>
      </c>
      <c r="E26" s="12">
        <f t="shared" si="2"/>
        <v>0</v>
      </c>
      <c r="F26" s="12">
        <f t="shared" si="3"/>
        <v>0</v>
      </c>
      <c r="G26" s="122">
        <f t="shared" si="9"/>
        <v>3.0950276391248366E-3</v>
      </c>
      <c r="H26" s="122">
        <f t="shared" si="4"/>
        <v>7.089768611600651E-3</v>
      </c>
      <c r="I26" s="122">
        <f>B26+D26*SIN(F26)</f>
        <v>3.0950276391248366E-3</v>
      </c>
      <c r="J26" s="122">
        <f t="shared" si="10"/>
        <v>-7.089768611600651E-3</v>
      </c>
      <c r="K26" s="122"/>
      <c r="Y26" s="126">
        <f t="shared" si="6"/>
        <v>-0.5</v>
      </c>
      <c r="AB26" s="40">
        <v>3.2057067893773388</v>
      </c>
      <c r="AC26" s="40">
        <f t="shared" si="7"/>
        <v>1.8337673810802751E-5</v>
      </c>
      <c r="AD26" s="40">
        <f t="shared" si="8"/>
        <v>-0.5</v>
      </c>
    </row>
    <row r="27" spans="2:30" x14ac:dyDescent="0.3">
      <c r="B27" s="12">
        <v>3.3474409018774409E-3</v>
      </c>
      <c r="C27" s="12">
        <f t="shared" si="0"/>
        <v>0</v>
      </c>
      <c r="D27" s="126">
        <f t="shared" si="1"/>
        <v>7.3590062993754667E-3</v>
      </c>
      <c r="E27" s="12">
        <f t="shared" si="2"/>
        <v>0</v>
      </c>
      <c r="F27" s="12">
        <f t="shared" si="3"/>
        <v>0</v>
      </c>
      <c r="G27" s="122">
        <f t="shared" si="9"/>
        <v>3.3474409018774409E-3</v>
      </c>
      <c r="H27" s="122">
        <f t="shared" si="4"/>
        <v>7.3590062993754667E-3</v>
      </c>
      <c r="I27" s="122">
        <f t="shared" si="5"/>
        <v>3.3474409018774409E-3</v>
      </c>
      <c r="J27" s="122">
        <f t="shared" si="10"/>
        <v>-7.3590062993754667E-3</v>
      </c>
      <c r="K27" s="122"/>
      <c r="Y27" s="126">
        <f t="shared" si="6"/>
        <v>-0.5</v>
      </c>
      <c r="AB27" s="40">
        <v>3.3339350609524323</v>
      </c>
      <c r="AC27" s="40">
        <f t="shared" si="7"/>
        <v>1.6458725333001476E-4</v>
      </c>
      <c r="AD27" s="40">
        <f t="shared" si="8"/>
        <v>-0.5</v>
      </c>
    </row>
    <row r="28" spans="2:30" x14ac:dyDescent="0.3">
      <c r="B28" s="12">
        <v>3.609730187578708E-3</v>
      </c>
      <c r="C28" s="12">
        <f t="shared" si="0"/>
        <v>0</v>
      </c>
      <c r="D28" s="126">
        <f t="shared" si="1"/>
        <v>7.6271431810115255E-3</v>
      </c>
      <c r="E28" s="12">
        <f t="shared" si="2"/>
        <v>0</v>
      </c>
      <c r="F28" s="12">
        <f t="shared" si="3"/>
        <v>0</v>
      </c>
      <c r="G28" s="122">
        <f t="shared" si="9"/>
        <v>3.609730187578708E-3</v>
      </c>
      <c r="H28" s="122">
        <f t="shared" si="4"/>
        <v>7.6271431810115255E-3</v>
      </c>
      <c r="I28" s="122">
        <f t="shared" si="5"/>
        <v>3.609730187578708E-3</v>
      </c>
      <c r="J28" s="122">
        <f t="shared" si="10"/>
        <v>-7.6271431810115255E-3</v>
      </c>
      <c r="K28" s="122"/>
      <c r="Y28" s="126">
        <f t="shared" si="6"/>
        <v>-0.5</v>
      </c>
      <c r="AB28" s="40">
        <v>3.4621633325275258</v>
      </c>
      <c r="AC28" s="40">
        <f t="shared" si="7"/>
        <v>4.5468499831602388E-4</v>
      </c>
      <c r="AD28" s="40">
        <f t="shared" si="8"/>
        <v>-0.5</v>
      </c>
    </row>
    <row r="29" spans="2:30" x14ac:dyDescent="0.3">
      <c r="B29" s="12">
        <v>3.8818928971533495E-3</v>
      </c>
      <c r="C29" s="12">
        <f t="shared" si="0"/>
        <v>0</v>
      </c>
      <c r="D29" s="126">
        <f t="shared" si="1"/>
        <v>7.8941800013504222E-3</v>
      </c>
      <c r="E29" s="12">
        <f t="shared" si="2"/>
        <v>0</v>
      </c>
      <c r="F29" s="12">
        <f t="shared" si="3"/>
        <v>0</v>
      </c>
      <c r="G29" s="122">
        <f t="shared" si="9"/>
        <v>3.8818928971533495E-3</v>
      </c>
      <c r="H29" s="122">
        <f t="shared" si="4"/>
        <v>7.8941800013504222E-3</v>
      </c>
      <c r="I29" s="122">
        <f t="shared" si="5"/>
        <v>3.8818928971533495E-3</v>
      </c>
      <c r="J29" s="122">
        <f t="shared" si="10"/>
        <v>-7.8941800013504222E-3</v>
      </c>
      <c r="K29" s="122"/>
      <c r="Y29" s="126">
        <f t="shared" si="6"/>
        <v>-0.5</v>
      </c>
      <c r="AB29" s="40">
        <v>3.5903916041026194</v>
      </c>
      <c r="AC29" s="40">
        <f t="shared" si="7"/>
        <v>8.8386751181634244E-4</v>
      </c>
      <c r="AD29" s="40">
        <f t="shared" si="8"/>
        <v>-0.5</v>
      </c>
    </row>
    <row r="30" spans="2:30" x14ac:dyDescent="0.3">
      <c r="B30" s="12">
        <v>4.1639263336883392E-3</v>
      </c>
      <c r="C30" s="12">
        <f t="shared" si="0"/>
        <v>0</v>
      </c>
      <c r="D30" s="126">
        <f t="shared" si="1"/>
        <v>8.1601175579949607E-3</v>
      </c>
      <c r="E30" s="12">
        <f t="shared" si="2"/>
        <v>0</v>
      </c>
      <c r="F30" s="12">
        <f t="shared" si="3"/>
        <v>0</v>
      </c>
      <c r="G30" s="122">
        <f t="shared" si="9"/>
        <v>4.1639263336883392E-3</v>
      </c>
      <c r="H30" s="122">
        <f t="shared" si="4"/>
        <v>8.1601175579949607E-3</v>
      </c>
      <c r="I30" s="122">
        <f t="shared" si="5"/>
        <v>4.1639263336883392E-3</v>
      </c>
      <c r="J30" s="122">
        <f t="shared" si="10"/>
        <v>-8.1601175579949607E-3</v>
      </c>
      <c r="K30" s="122"/>
      <c r="Y30" s="126">
        <f t="shared" si="6"/>
        <v>-0.5</v>
      </c>
      <c r="AB30" s="40">
        <v>3.7186198756777129</v>
      </c>
      <c r="AC30" s="40">
        <f t="shared" si="7"/>
        <v>1.4450876288246888E-3</v>
      </c>
      <c r="AD30" s="40">
        <f t="shared" si="8"/>
        <v>-0.5</v>
      </c>
    </row>
    <row r="31" spans="2:30" x14ac:dyDescent="0.3">
      <c r="B31" s="12">
        <v>4.4558277024601134E-3</v>
      </c>
      <c r="C31" s="12">
        <f t="shared" si="0"/>
        <v>0</v>
      </c>
      <c r="D31" s="126">
        <f t="shared" si="1"/>
        <v>8.4249567009612343E-3</v>
      </c>
      <c r="E31" s="12">
        <f t="shared" si="2"/>
        <v>0</v>
      </c>
      <c r="F31" s="12">
        <f t="shared" si="3"/>
        <v>0</v>
      </c>
      <c r="G31" s="122">
        <f t="shared" si="9"/>
        <v>4.4558277024601134E-3</v>
      </c>
      <c r="H31" s="122">
        <f t="shared" si="4"/>
        <v>8.4249567009612343E-3</v>
      </c>
      <c r="I31" s="122">
        <f t="shared" si="5"/>
        <v>4.4558277024601134E-3</v>
      </c>
      <c r="J31" s="122">
        <f t="shared" si="10"/>
        <v>-8.4249567009612343E-3</v>
      </c>
      <c r="K31" s="122"/>
      <c r="Y31" s="126">
        <f t="shared" si="6"/>
        <v>-0.5</v>
      </c>
      <c r="AB31" s="40">
        <v>3.8468481472528064</v>
      </c>
      <c r="AC31" s="40">
        <f t="shared" si="7"/>
        <v>2.1291301305355515E-3</v>
      </c>
      <c r="AD31" s="40">
        <f t="shared" si="8"/>
        <v>-0.5</v>
      </c>
    </row>
    <row r="32" spans="2:30" x14ac:dyDescent="0.3">
      <c r="B32" s="12">
        <v>4.7575941109612163E-3</v>
      </c>
      <c r="C32" s="12">
        <f t="shared" si="0"/>
        <v>0</v>
      </c>
      <c r="D32" s="126">
        <f t="shared" si="1"/>
        <v>8.6886983323169777E-3</v>
      </c>
      <c r="E32" s="12">
        <f t="shared" si="2"/>
        <v>0</v>
      </c>
      <c r="F32" s="12">
        <f t="shared" si="3"/>
        <v>0</v>
      </c>
      <c r="G32" s="122">
        <f t="shared" si="9"/>
        <v>4.7575941109612163E-3</v>
      </c>
      <c r="H32" s="122">
        <f t="shared" si="4"/>
        <v>8.6886983323169777E-3</v>
      </c>
      <c r="I32" s="122">
        <f t="shared" si="5"/>
        <v>4.7575941109612163E-3</v>
      </c>
      <c r="J32" s="122">
        <f t="shared" si="10"/>
        <v>-8.6886983323169777E-3</v>
      </c>
      <c r="K32" s="122"/>
      <c r="Y32" s="126">
        <f t="shared" si="6"/>
        <v>-0.5</v>
      </c>
      <c r="AB32" s="40">
        <v>3.9750764188279</v>
      </c>
      <c r="AC32" s="40">
        <f t="shared" si="7"/>
        <v>2.9247630579822157E-3</v>
      </c>
      <c r="AD32" s="40">
        <f t="shared" si="8"/>
        <v>-0.5</v>
      </c>
    </row>
    <row r="33" spans="2:30" x14ac:dyDescent="0.3">
      <c r="B33" s="12">
        <v>5.0692225689300541E-3</v>
      </c>
      <c r="C33" s="12">
        <f t="shared" si="0"/>
        <v>0</v>
      </c>
      <c r="D33" s="126">
        <f t="shared" si="1"/>
        <v>8.9513434058096017E-3</v>
      </c>
      <c r="E33" s="12">
        <f t="shared" si="2"/>
        <v>0</v>
      </c>
      <c r="F33" s="12">
        <f t="shared" si="3"/>
        <v>0</v>
      </c>
      <c r="G33" s="122">
        <f t="shared" si="9"/>
        <v>5.0692225689300541E-3</v>
      </c>
      <c r="H33" s="122">
        <f t="shared" si="4"/>
        <v>8.9513434058096017E-3</v>
      </c>
      <c r="I33" s="122">
        <f t="shared" si="5"/>
        <v>5.0692225689300541E-3</v>
      </c>
      <c r="J33" s="122">
        <f t="shared" si="10"/>
        <v>-8.9513434058096017E-3</v>
      </c>
      <c r="K33" s="122"/>
      <c r="Y33" s="126">
        <f t="shared" si="6"/>
        <v>-0.5</v>
      </c>
      <c r="AB33" s="40">
        <v>4.1033046904029939</v>
      </c>
      <c r="AC33" s="40">
        <f t="shared" si="7"/>
        <v>3.8189221404924681E-3</v>
      </c>
      <c r="AD33" s="40">
        <f t="shared" si="8"/>
        <v>-0.5</v>
      </c>
    </row>
    <row r="34" spans="2:30" x14ac:dyDescent="0.3">
      <c r="B34" s="12">
        <v>5.3907099883800935E-3</v>
      </c>
      <c r="C34" s="12">
        <f t="shared" si="0"/>
        <v>0</v>
      </c>
      <c r="D34" s="126">
        <f t="shared" si="1"/>
        <v>9.2128929264806061E-3</v>
      </c>
      <c r="E34" s="12">
        <f t="shared" si="2"/>
        <v>0</v>
      </c>
      <c r="F34" s="12">
        <f t="shared" si="3"/>
        <v>0</v>
      </c>
      <c r="G34" s="122">
        <f t="shared" si="9"/>
        <v>5.3907099883800935E-3</v>
      </c>
      <c r="H34" s="122">
        <f t="shared" si="4"/>
        <v>9.2128929264806061E-3</v>
      </c>
      <c r="I34" s="122">
        <f t="shared" si="5"/>
        <v>5.3907099883800935E-3</v>
      </c>
      <c r="J34" s="122">
        <f t="shared" si="10"/>
        <v>-9.2128929264806061E-3</v>
      </c>
      <c r="K34" s="122"/>
      <c r="Y34" s="126">
        <f t="shared" si="6"/>
        <v>-0.5</v>
      </c>
      <c r="AB34" s="40">
        <v>4.2315329619780879</v>
      </c>
      <c r="AC34" s="40">
        <f t="shared" si="7"/>
        <v>4.7969253106518511E-3</v>
      </c>
      <c r="AD34" s="40">
        <f t="shared" si="8"/>
        <v>-0.5</v>
      </c>
    </row>
    <row r="35" spans="2:30" x14ac:dyDescent="0.3">
      <c r="B35" s="12">
        <v>5.7220531836302824E-3</v>
      </c>
      <c r="C35" s="12">
        <f t="shared" si="0"/>
        <v>0</v>
      </c>
      <c r="D35" s="126">
        <f t="shared" si="1"/>
        <v>9.4733479502680431E-3</v>
      </c>
      <c r="E35" s="12">
        <f t="shared" si="2"/>
        <v>0</v>
      </c>
      <c r="F35" s="12">
        <f t="shared" si="3"/>
        <v>0</v>
      </c>
      <c r="G35" s="122">
        <f t="shared" si="9"/>
        <v>5.7220531836302824E-3</v>
      </c>
      <c r="H35" s="122">
        <f t="shared" si="4"/>
        <v>9.4733479502680431E-3</v>
      </c>
      <c r="I35" s="122">
        <f t="shared" si="5"/>
        <v>5.7220531836302824E-3</v>
      </c>
      <c r="J35" s="122">
        <f t="shared" si="10"/>
        <v>-9.4733479502680431E-3</v>
      </c>
      <c r="K35" s="122"/>
      <c r="Y35" s="126">
        <f t="shared" si="6"/>
        <v>-0.5</v>
      </c>
      <c r="AB35" s="40">
        <v>4.3597612335531819</v>
      </c>
      <c r="AC35" s="40">
        <f t="shared" si="7"/>
        <v>5.8427137834447052E-3</v>
      </c>
      <c r="AD35" s="40">
        <f t="shared" si="8"/>
        <v>-0.5</v>
      </c>
    </row>
    <row r="36" spans="2:30" x14ac:dyDescent="0.3">
      <c r="B36" s="12">
        <v>6.0632488713366905E-3</v>
      </c>
      <c r="C36" s="12">
        <f t="shared" si="0"/>
        <v>0</v>
      </c>
      <c r="D36" s="126">
        <f t="shared" si="1"/>
        <v>9.7327095835970795E-3</v>
      </c>
      <c r="E36" s="12">
        <f t="shared" si="2"/>
        <v>0</v>
      </c>
      <c r="F36" s="12">
        <f t="shared" si="3"/>
        <v>0</v>
      </c>
      <c r="G36" s="122">
        <f t="shared" si="9"/>
        <v>6.0632488713366905E-3</v>
      </c>
      <c r="H36" s="122">
        <f t="shared" si="4"/>
        <v>9.7327095835970795E-3</v>
      </c>
      <c r="I36" s="122">
        <f t="shared" si="5"/>
        <v>6.0632488713366905E-3</v>
      </c>
      <c r="J36" s="122">
        <f t="shared" si="10"/>
        <v>-9.7327095835970795E-3</v>
      </c>
      <c r="K36" s="122"/>
      <c r="Y36" s="126">
        <f t="shared" si="6"/>
        <v>-0.5</v>
      </c>
      <c r="AB36" s="40">
        <v>4.4879895051282759</v>
      </c>
      <c r="AC36" s="40">
        <f t="shared" si="7"/>
        <v>6.9391157410601525E-3</v>
      </c>
      <c r="AD36" s="40">
        <f t="shared" si="8"/>
        <v>-0.5</v>
      </c>
    </row>
    <row r="37" spans="2:30" x14ac:dyDescent="0.3">
      <c r="B37" s="12">
        <v>6.4142936705253728E-3</v>
      </c>
      <c r="C37" s="12">
        <f t="shared" si="0"/>
        <v>0</v>
      </c>
      <c r="D37" s="126">
        <f t="shared" si="1"/>
        <v>9.9909789829586322E-3</v>
      </c>
      <c r="E37" s="12">
        <f t="shared" si="2"/>
        <v>0</v>
      </c>
      <c r="F37" s="12">
        <f t="shared" si="3"/>
        <v>0</v>
      </c>
      <c r="G37" s="122">
        <f t="shared" si="9"/>
        <v>6.4142936705253728E-3</v>
      </c>
      <c r="H37" s="122">
        <f t="shared" si="4"/>
        <v>9.9909789829586322E-3</v>
      </c>
      <c r="I37" s="122">
        <f t="shared" si="5"/>
        <v>6.4142936705253728E-3</v>
      </c>
      <c r="J37" s="122">
        <f t="shared" si="10"/>
        <v>-9.9909789829586322E-3</v>
      </c>
      <c r="K37" s="122"/>
      <c r="Y37" s="126">
        <f t="shared" si="6"/>
        <v>-0.5</v>
      </c>
      <c r="AB37" s="40">
        <v>4.6162177767033699</v>
      </c>
      <c r="AC37" s="40">
        <f t="shared" si="7"/>
        <v>8.0681282936658164E-3</v>
      </c>
      <c r="AD37" s="40">
        <f t="shared" si="8"/>
        <v>-0.5</v>
      </c>
    </row>
    <row r="38" spans="2:30" x14ac:dyDescent="0.3">
      <c r="B38" s="12">
        <v>6.7751841026255644E-3</v>
      </c>
      <c r="C38" s="12">
        <f t="shared" si="0"/>
        <v>0</v>
      </c>
      <c r="D38" s="126">
        <f t="shared" si="1"/>
        <v>1.0248157354475467E-2</v>
      </c>
      <c r="E38" s="12">
        <f t="shared" si="2"/>
        <v>0</v>
      </c>
      <c r="F38" s="12">
        <f t="shared" si="3"/>
        <v>0</v>
      </c>
      <c r="G38" s="122">
        <f t="shared" si="9"/>
        <v>6.7751841026255644E-3</v>
      </c>
      <c r="H38" s="122">
        <f t="shared" si="4"/>
        <v>1.0248157354475467E-2</v>
      </c>
      <c r="I38" s="122">
        <f t="shared" si="5"/>
        <v>6.7751841026255644E-3</v>
      </c>
      <c r="J38" s="122">
        <f t="shared" si="10"/>
        <v>-1.0248157354475467E-2</v>
      </c>
      <c r="K38" s="122"/>
      <c r="Y38" s="126">
        <f t="shared" si="6"/>
        <v>-0.5</v>
      </c>
      <c r="AB38" s="40">
        <v>4.7444460482784638</v>
      </c>
      <c r="AC38" s="40">
        <f t="shared" si="7"/>
        <v>9.2112130863611485E-3</v>
      </c>
      <c r="AD38" s="40">
        <f t="shared" si="8"/>
        <v>-0.5</v>
      </c>
    </row>
    <row r="39" spans="2:30" x14ac:dyDescent="0.3">
      <c r="B39" s="12">
        <v>7.1459165915040979E-3</v>
      </c>
      <c r="C39" s="12">
        <f t="shared" si="0"/>
        <v>0</v>
      </c>
      <c r="D39" s="126">
        <f t="shared" si="1"/>
        <v>1.0504245953456563E-2</v>
      </c>
      <c r="E39" s="12">
        <f t="shared" si="2"/>
        <v>0</v>
      </c>
      <c r="F39" s="12">
        <f t="shared" si="3"/>
        <v>0</v>
      </c>
      <c r="G39" s="122">
        <f t="shared" si="9"/>
        <v>7.1459165915040979E-3</v>
      </c>
      <c r="H39" s="122">
        <f t="shared" si="4"/>
        <v>1.0504245953456563E-2</v>
      </c>
      <c r="I39" s="122">
        <f t="shared" si="5"/>
        <v>7.1459165915040979E-3</v>
      </c>
      <c r="J39" s="122">
        <f t="shared" si="10"/>
        <v>-1.0504245953456563E-2</v>
      </c>
      <c r="K39" s="122"/>
      <c r="Y39" s="126">
        <f t="shared" si="6"/>
        <v>-0.5</v>
      </c>
      <c r="AB39" s="40">
        <v>4.8726743198535578</v>
      </c>
      <c r="AC39" s="40">
        <f t="shared" si="7"/>
        <v>1.0349600698452378E-2</v>
      </c>
      <c r="AD39" s="40">
        <f t="shared" si="8"/>
        <v>-0.5</v>
      </c>
    </row>
    <row r="40" spans="2:30" x14ac:dyDescent="0.3">
      <c r="B40" s="12">
        <v>7.5264874635010415E-3</v>
      </c>
      <c r="C40" s="12">
        <f t="shared" si="0"/>
        <v>0</v>
      </c>
      <c r="D40" s="126">
        <f t="shared" si="1"/>
        <v>1.0759246083939654E-2</v>
      </c>
      <c r="E40" s="12">
        <f t="shared" si="2"/>
        <v>0</v>
      </c>
      <c r="F40" s="12">
        <f t="shared" si="3"/>
        <v>0</v>
      </c>
      <c r="G40" s="122">
        <f t="shared" si="9"/>
        <v>7.5264874635010415E-3</v>
      </c>
      <c r="H40" s="122">
        <f t="shared" si="4"/>
        <v>1.0759246083939654E-2</v>
      </c>
      <c r="I40" s="122">
        <f t="shared" si="5"/>
        <v>7.5264874635010415E-3</v>
      </c>
      <c r="J40" s="122">
        <f t="shared" si="10"/>
        <v>-1.0759246083939654E-2</v>
      </c>
      <c r="K40" s="122"/>
      <c r="Y40" s="126">
        <f t="shared" si="6"/>
        <v>-0.5</v>
      </c>
      <c r="AB40" s="40">
        <v>5.0009025914286518</v>
      </c>
      <c r="AC40" s="40">
        <f t="shared" si="7"/>
        <v>1.1464598836821388E-2</v>
      </c>
      <c r="AD40" s="40">
        <f t="shared" si="8"/>
        <v>-0.5</v>
      </c>
    </row>
    <row r="41" spans="2:30" x14ac:dyDescent="0.3">
      <c r="B41" s="12">
        <v>7.9168929474660032E-3</v>
      </c>
      <c r="C41" s="12">
        <f t="shared" si="0"/>
        <v>0</v>
      </c>
      <c r="D41" s="126">
        <f t="shared" si="1"/>
        <v>1.1013159098221747E-2</v>
      </c>
      <c r="E41" s="12">
        <f t="shared" si="2"/>
        <v>0</v>
      </c>
      <c r="F41" s="12">
        <f t="shared" si="3"/>
        <v>0</v>
      </c>
      <c r="G41" s="122">
        <f t="shared" si="9"/>
        <v>7.9168929474660032E-3</v>
      </c>
      <c r="H41" s="122">
        <f t="shared" si="4"/>
        <v>1.1013159098221747E-2</v>
      </c>
      <c r="I41" s="122">
        <f t="shared" si="5"/>
        <v>7.9168929474660032E-3</v>
      </c>
      <c r="J41" s="122">
        <f t="shared" si="10"/>
        <v>-1.1013159098221747E-2</v>
      </c>
      <c r="K41" s="122"/>
      <c r="Y41" s="126">
        <f t="shared" si="6"/>
        <v>-0.5</v>
      </c>
      <c r="AB41" s="40">
        <v>5.1291308630037458</v>
      </c>
      <c r="AC41" s="40">
        <f t="shared" si="7"/>
        <v>1.2537899262861949E-2</v>
      </c>
      <c r="AD41" s="40">
        <f t="shared" si="8"/>
        <v>-0.5</v>
      </c>
    </row>
    <row r="42" spans="2:30" x14ac:dyDescent="0.3">
      <c r="B42" s="12">
        <v>8.3171291747956566E-3</v>
      </c>
      <c r="C42" s="12">
        <f t="shared" si="0"/>
        <v>0</v>
      </c>
      <c r="D42" s="126">
        <f t="shared" si="1"/>
        <v>1.1265986396377931E-2</v>
      </c>
      <c r="E42" s="12">
        <f t="shared" si="2"/>
        <v>0</v>
      </c>
      <c r="F42" s="12">
        <f t="shared" si="3"/>
        <v>0</v>
      </c>
      <c r="G42" s="122">
        <f t="shared" si="9"/>
        <v>8.3171291747956566E-3</v>
      </c>
      <c r="H42" s="122">
        <f t="shared" si="4"/>
        <v>1.1265986396377931E-2</v>
      </c>
      <c r="I42" s="122">
        <f t="shared" si="5"/>
        <v>8.3171291747956566E-3</v>
      </c>
      <c r="J42" s="122">
        <f t="shared" si="10"/>
        <v>-1.1265986396377931E-2</v>
      </c>
      <c r="K42" s="122"/>
      <c r="Y42" s="126">
        <f t="shared" si="6"/>
        <v>-0.5</v>
      </c>
      <c r="AB42" s="40">
        <v>5.2573591345788397</v>
      </c>
      <c r="AC42" s="40">
        <f t="shared" si="7"/>
        <v>1.3551878413251464E-2</v>
      </c>
      <c r="AD42" s="40">
        <f t="shared" si="8"/>
        <v>-0.5</v>
      </c>
    </row>
    <row r="43" spans="2:30" x14ac:dyDescent="0.3">
      <c r="B43" s="12">
        <v>8.727192179471821E-3</v>
      </c>
      <c r="C43" s="12">
        <f t="shared" si="0"/>
        <v>0</v>
      </c>
      <c r="D43" s="126">
        <f t="shared" si="1"/>
        <v>1.1517729425768213E-2</v>
      </c>
      <c r="E43" s="12">
        <f t="shared" si="2"/>
        <v>0</v>
      </c>
      <c r="F43" s="12">
        <f t="shared" si="3"/>
        <v>0</v>
      </c>
      <c r="G43" s="122">
        <f t="shared" si="9"/>
        <v>8.727192179471821E-3</v>
      </c>
      <c r="H43" s="122">
        <f t="shared" si="4"/>
        <v>1.1517729425768213E-2</v>
      </c>
      <c r="I43" s="122">
        <f t="shared" si="5"/>
        <v>8.727192179471821E-3</v>
      </c>
      <c r="J43" s="122">
        <f t="shared" si="10"/>
        <v>-1.1517729425768213E-2</v>
      </c>
      <c r="K43" s="122"/>
      <c r="Y43" s="126">
        <f t="shared" si="6"/>
        <v>-0.5</v>
      </c>
      <c r="AB43" s="40">
        <v>5.3855874061539337</v>
      </c>
      <c r="AC43" s="40">
        <f t="shared" si="7"/>
        <v>1.4489886778373507E-2</v>
      </c>
      <c r="AD43" s="40">
        <f t="shared" si="8"/>
        <v>-0.5</v>
      </c>
    </row>
    <row r="44" spans="2:30" x14ac:dyDescent="0.3">
      <c r="B44" s="12">
        <v>9.1470778981007639E-3</v>
      </c>
      <c r="C44" s="12">
        <f t="shared" si="0"/>
        <v>0</v>
      </c>
      <c r="D44" s="126">
        <f t="shared" si="1"/>
        <v>1.176838968053279E-2</v>
      </c>
      <c r="E44" s="12">
        <f t="shared" si="2"/>
        <v>0</v>
      </c>
      <c r="F44" s="12">
        <f t="shared" si="3"/>
        <v>0</v>
      </c>
      <c r="G44" s="122">
        <f t="shared" si="9"/>
        <v>9.1470778981007639E-3</v>
      </c>
      <c r="H44" s="122">
        <f t="shared" si="4"/>
        <v>1.176838968053279E-2</v>
      </c>
      <c r="I44" s="122">
        <f t="shared" si="5"/>
        <v>9.1470778981007639E-3</v>
      </c>
      <c r="J44" s="122">
        <f t="shared" si="10"/>
        <v>-1.176838968053279E-2</v>
      </c>
      <c r="K44" s="122"/>
      <c r="Y44" s="126">
        <f t="shared" si="6"/>
        <v>-0.5</v>
      </c>
      <c r="AB44" s="40">
        <v>5.5138156777290277</v>
      </c>
      <c r="AC44" s="40">
        <f t="shared" si="7"/>
        <v>1.5336522286805413E-2</v>
      </c>
      <c r="AD44" s="40">
        <f t="shared" si="8"/>
        <v>-0.5</v>
      </c>
    </row>
    <row r="45" spans="2:30" x14ac:dyDescent="0.3">
      <c r="B45" s="12">
        <v>9.5767821699537237E-3</v>
      </c>
      <c r="C45" s="12">
        <f t="shared" si="0"/>
        <v>0</v>
      </c>
      <c r="D45" s="126">
        <f t="shared" si="1"/>
        <v>1.2017968701075844E-2</v>
      </c>
      <c r="E45" s="12">
        <f t="shared" si="2"/>
        <v>0</v>
      </c>
      <c r="F45" s="12">
        <f t="shared" si="3"/>
        <v>0</v>
      </c>
      <c r="G45" s="122">
        <f t="shared" si="9"/>
        <v>9.5767821699537237E-3</v>
      </c>
      <c r="H45" s="122">
        <f t="shared" si="4"/>
        <v>1.2017968701075844E-2</v>
      </c>
      <c r="I45" s="122">
        <f t="shared" si="5"/>
        <v>9.5767821699537237E-3</v>
      </c>
      <c r="J45" s="122">
        <f t="shared" si="10"/>
        <v>-1.2017968701075844E-2</v>
      </c>
      <c r="K45" s="122"/>
      <c r="Y45" s="126">
        <f t="shared" si="6"/>
        <v>-0.5</v>
      </c>
      <c r="AB45" s="40">
        <v>5.6420439493041217</v>
      </c>
      <c r="AC45" s="40">
        <f t="shared" si="7"/>
        <v>1.607788320690523E-2</v>
      </c>
      <c r="AD45" s="40">
        <f t="shared" si="8"/>
        <v>-0.5</v>
      </c>
    </row>
    <row r="46" spans="2:30" x14ac:dyDescent="0.3">
      <c r="B46" s="12">
        <v>1.0016300737007988E-2</v>
      </c>
      <c r="C46" s="12">
        <f t="shared" si="0"/>
        <v>0</v>
      </c>
      <c r="D46" s="126">
        <f t="shared" si="1"/>
        <v>1.2266468073537505E-2</v>
      </c>
      <c r="E46" s="12">
        <f t="shared" si="2"/>
        <v>0</v>
      </c>
      <c r="F46" s="12">
        <f t="shared" si="3"/>
        <v>0</v>
      </c>
      <c r="G46" s="122">
        <f t="shared" si="9"/>
        <v>1.0016300737007988E-2</v>
      </c>
      <c r="H46" s="122">
        <f t="shared" si="4"/>
        <v>1.2266468073537505E-2</v>
      </c>
      <c r="I46" s="122">
        <f t="shared" si="5"/>
        <v>1.0016300737007988E-2</v>
      </c>
      <c r="J46" s="122">
        <f t="shared" si="10"/>
        <v>-1.2266468073537505E-2</v>
      </c>
      <c r="K46" s="122"/>
      <c r="Y46" s="126">
        <f t="shared" si="6"/>
        <v>-0.5</v>
      </c>
      <c r="AB46" s="40">
        <v>5.7702722208792157</v>
      </c>
      <c r="AC46" s="40">
        <f t="shared" si="7"/>
        <v>1.6701796412860955E-2</v>
      </c>
      <c r="AD46" s="40">
        <f t="shared" si="8"/>
        <v>-0.5</v>
      </c>
    </row>
    <row r="47" spans="2:30" x14ac:dyDescent="0.3">
      <c r="B47" s="12">
        <v>1.0465629243989194E-2</v>
      </c>
      <c r="C47" s="12">
        <f t="shared" si="0"/>
        <v>0</v>
      </c>
      <c r="D47" s="126">
        <f t="shared" si="1"/>
        <v>1.2513889429254464E-2</v>
      </c>
      <c r="E47" s="12">
        <f t="shared" si="2"/>
        <v>0</v>
      </c>
      <c r="F47" s="12">
        <f t="shared" si="3"/>
        <v>0</v>
      </c>
      <c r="G47" s="122">
        <f t="shared" si="9"/>
        <v>1.0465629243989194E-2</v>
      </c>
      <c r="H47" s="122">
        <f t="shared" si="4"/>
        <v>1.2513889429254464E-2</v>
      </c>
      <c r="I47" s="122">
        <f t="shared" si="5"/>
        <v>1.0465629243989194E-2</v>
      </c>
      <c r="J47" s="122">
        <f t="shared" si="10"/>
        <v>-1.2513889429254464E-2</v>
      </c>
      <c r="K47" s="122"/>
      <c r="Y47" s="126">
        <f t="shared" si="6"/>
        <v>-0.5</v>
      </c>
      <c r="AB47" s="40">
        <v>5.8985004924543096</v>
      </c>
      <c r="AC47" s="40">
        <f t="shared" si="7"/>
        <v>1.7198017267079799E-2</v>
      </c>
      <c r="AD47" s="40">
        <f t="shared" si="8"/>
        <v>-0.5</v>
      </c>
    </row>
    <row r="48" spans="2:30" x14ac:dyDescent="0.3">
      <c r="B48" s="12">
        <v>1.092476323841407E-2</v>
      </c>
      <c r="C48" s="12">
        <f t="shared" si="0"/>
        <v>0</v>
      </c>
      <c r="D48" s="126">
        <f t="shared" si="1"/>
        <v>1.2760234444208832E-2</v>
      </c>
      <c r="E48" s="12">
        <f t="shared" si="2"/>
        <v>0</v>
      </c>
      <c r="F48" s="12">
        <f t="shared" si="3"/>
        <v>0</v>
      </c>
      <c r="G48" s="122">
        <f t="shared" si="9"/>
        <v>1.092476323841407E-2</v>
      </c>
      <c r="H48" s="122">
        <f t="shared" si="4"/>
        <v>1.2760234444208832E-2</v>
      </c>
      <c r="I48" s="122">
        <f t="shared" si="5"/>
        <v>1.092476323841407E-2</v>
      </c>
      <c r="J48" s="122">
        <f t="shared" si="10"/>
        <v>-1.2760234444208832E-2</v>
      </c>
      <c r="K48" s="122"/>
      <c r="Y48" s="126">
        <f t="shared" si="6"/>
        <v>-0.5</v>
      </c>
      <c r="AB48" s="40">
        <v>6.0267287640294036</v>
      </c>
      <c r="AC48" s="40">
        <f t="shared" si="7"/>
        <v>1.7558397836854256E-2</v>
      </c>
      <c r="AD48" s="40">
        <f t="shared" si="8"/>
        <v>-0.5</v>
      </c>
    </row>
    <row r="49" spans="2:30" x14ac:dyDescent="0.3">
      <c r="B49" s="12">
        <v>1.1393698170635291E-2</v>
      </c>
      <c r="C49" s="12">
        <f t="shared" si="0"/>
        <v>0</v>
      </c>
      <c r="D49" s="126">
        <f t="shared" si="1"/>
        <v>1.3005504838466273E-2</v>
      </c>
      <c r="E49" s="12">
        <f t="shared" si="2"/>
        <v>0</v>
      </c>
      <c r="F49" s="12">
        <f t="shared" si="3"/>
        <v>0</v>
      </c>
      <c r="G49" s="122">
        <f t="shared" si="9"/>
        <v>1.1393698170635291E-2</v>
      </c>
      <c r="H49" s="122">
        <f t="shared" si="4"/>
        <v>1.3005504838466273E-2</v>
      </c>
      <c r="I49" s="122">
        <f t="shared" si="5"/>
        <v>1.1393698170635291E-2</v>
      </c>
      <c r="J49" s="122">
        <f t="shared" si="10"/>
        <v>-1.3005504838466273E-2</v>
      </c>
      <c r="K49" s="122"/>
      <c r="Y49" s="126">
        <f t="shared" si="6"/>
        <v>-0.5</v>
      </c>
      <c r="AB49" s="40">
        <v>6.1549570356044976</v>
      </c>
      <c r="AC49" s="40">
        <f t="shared" si="7"/>
        <v>1.7777020683191893E-2</v>
      </c>
      <c r="AD49" s="40">
        <f t="shared" si="8"/>
        <v>-0.5</v>
      </c>
    </row>
    <row r="50" spans="2:30" x14ac:dyDescent="0.3">
      <c r="B50" s="12">
        <v>1.1872429393885775E-2</v>
      </c>
      <c r="C50" s="12">
        <f t="shared" si="0"/>
        <v>0</v>
      </c>
      <c r="D50" s="126">
        <f t="shared" si="1"/>
        <v>1.3249702375601975E-2</v>
      </c>
      <c r="E50" s="12">
        <f t="shared" si="2"/>
        <v>0</v>
      </c>
      <c r="F50" s="12">
        <f t="shared" si="3"/>
        <v>0</v>
      </c>
      <c r="G50" s="122">
        <f t="shared" si="9"/>
        <v>1.1872429393885775E-2</v>
      </c>
      <c r="H50" s="122">
        <f t="shared" si="4"/>
        <v>1.3249702375601975E-2</v>
      </c>
      <c r="I50" s="122">
        <f t="shared" si="5"/>
        <v>1.1872429393885775E-2</v>
      </c>
      <c r="J50" s="122">
        <f t="shared" si="10"/>
        <v>-1.3249702375601975E-2</v>
      </c>
      <c r="K50" s="122"/>
      <c r="Y50" s="126">
        <f t="shared" si="6"/>
        <v>-0.5</v>
      </c>
      <c r="AB50" s="40">
        <v>6.2831853071795916</v>
      </c>
      <c r="AC50" s="40">
        <f t="shared" si="7"/>
        <v>1.7850296024999993E-2</v>
      </c>
      <c r="AD50" s="40">
        <f t="shared" si="8"/>
        <v>-0.5</v>
      </c>
    </row>
    <row r="51" spans="2:30" x14ac:dyDescent="0.3">
      <c r="B51" s="12">
        <v>1.2360952164325312E-2</v>
      </c>
      <c r="C51" s="12">
        <f t="shared" si="0"/>
        <v>0</v>
      </c>
      <c r="D51" s="126">
        <f t="shared" si="1"/>
        <v>1.3492828862116137E-2</v>
      </c>
      <c r="E51" s="12">
        <f t="shared" si="2"/>
        <v>0</v>
      </c>
      <c r="F51" s="12">
        <f t="shared" si="3"/>
        <v>0</v>
      </c>
      <c r="G51" s="122">
        <f t="shared" si="9"/>
        <v>1.2360952164325312E-2</v>
      </c>
      <c r="H51" s="122">
        <f t="shared" si="4"/>
        <v>1.3492828862116137E-2</v>
      </c>
      <c r="I51" s="122">
        <f t="shared" si="5"/>
        <v>1.2360952164325312E-2</v>
      </c>
      <c r="J51" s="122">
        <f t="shared" si="10"/>
        <v>-1.3492828862116137E-2</v>
      </c>
      <c r="K51" s="122"/>
      <c r="Y51" s="126">
        <f t="shared" si="6"/>
        <v>-0.5</v>
      </c>
    </row>
    <row r="52" spans="2:30" x14ac:dyDescent="0.3">
      <c r="B52" s="12">
        <v>1.2859261641087194E-2</v>
      </c>
      <c r="C52" s="12">
        <f t="shared" si="0"/>
        <v>0</v>
      </c>
      <c r="D52" s="126">
        <f t="shared" si="1"/>
        <v>1.3734886146837759E-2</v>
      </c>
      <c r="E52" s="12">
        <f t="shared" si="2"/>
        <v>0</v>
      </c>
      <c r="F52" s="12">
        <f t="shared" si="3"/>
        <v>0</v>
      </c>
      <c r="G52" s="122">
        <f t="shared" si="9"/>
        <v>1.2859261641087194E-2</v>
      </c>
      <c r="H52" s="122">
        <f t="shared" si="4"/>
        <v>1.3734886146837759E-2</v>
      </c>
      <c r="I52" s="122">
        <f t="shared" si="5"/>
        <v>1.2859261641087194E-2</v>
      </c>
      <c r="J52" s="122">
        <f t="shared" si="10"/>
        <v>-1.3734886146837759E-2</v>
      </c>
      <c r="K52" s="122"/>
      <c r="Y52" s="126">
        <f t="shared" si="6"/>
        <v>-0.5</v>
      </c>
    </row>
    <row r="53" spans="2:30" x14ac:dyDescent="0.3">
      <c r="B53" s="12">
        <v>1.3367352886326511E-2</v>
      </c>
      <c r="C53" s="12">
        <f t="shared" si="0"/>
        <v>0</v>
      </c>
      <c r="D53" s="126">
        <f t="shared" si="1"/>
        <v>1.3975876120317697E-2</v>
      </c>
      <c r="E53" s="12">
        <f t="shared" si="2"/>
        <v>0</v>
      </c>
      <c r="F53" s="12">
        <f t="shared" si="3"/>
        <v>0</v>
      </c>
      <c r="G53" s="122">
        <f t="shared" si="9"/>
        <v>1.3367352886326511E-2</v>
      </c>
      <c r="H53" s="122">
        <f t="shared" si="4"/>
        <v>1.3975876120317697E-2</v>
      </c>
      <c r="I53" s="122">
        <f t="shared" si="5"/>
        <v>1.3367352886326511E-2</v>
      </c>
      <c r="J53" s="122">
        <f t="shared" si="10"/>
        <v>-1.3975876120317697E-2</v>
      </c>
      <c r="K53" s="122"/>
      <c r="Y53" s="126">
        <f t="shared" si="6"/>
        <v>-0.5</v>
      </c>
    </row>
    <row r="54" spans="2:30" x14ac:dyDescent="0.3">
      <c r="B54" s="12">
        <v>1.3885220865268999E-2</v>
      </c>
      <c r="C54" s="12">
        <f t="shared" si="0"/>
        <v>0</v>
      </c>
      <c r="D54" s="126">
        <f t="shared" si="1"/>
        <v>1.4215800714210509E-2</v>
      </c>
      <c r="E54" s="12">
        <f t="shared" si="2"/>
        <v>0</v>
      </c>
      <c r="F54" s="12">
        <f t="shared" si="3"/>
        <v>0</v>
      </c>
      <c r="G54" s="122">
        <f t="shared" si="9"/>
        <v>1.3885220865268999E-2</v>
      </c>
      <c r="H54" s="122">
        <f t="shared" si="4"/>
        <v>1.4215800714210509E-2</v>
      </c>
      <c r="I54" s="122">
        <f t="shared" si="5"/>
        <v>1.3885220865268999E-2</v>
      </c>
      <c r="J54" s="122">
        <f t="shared" si="10"/>
        <v>-1.4215800714210509E-2</v>
      </c>
      <c r="K54" s="122"/>
      <c r="Y54" s="126">
        <f t="shared" si="6"/>
        <v>-0.5</v>
      </c>
    </row>
    <row r="55" spans="2:30" x14ac:dyDescent="0.3">
      <c r="B55" s="12">
        <v>1.4412860446260445E-2</v>
      </c>
      <c r="C55" s="12">
        <f t="shared" si="0"/>
        <v>0</v>
      </c>
      <c r="D55" s="126">
        <f t="shared" si="1"/>
        <v>1.4454661900645125E-2</v>
      </c>
      <c r="E55" s="12">
        <f t="shared" si="2"/>
        <v>0</v>
      </c>
      <c r="F55" s="12">
        <f t="shared" si="3"/>
        <v>0</v>
      </c>
      <c r="G55" s="122">
        <f t="shared" si="9"/>
        <v>1.4412860446260445E-2</v>
      </c>
      <c r="H55" s="122">
        <f t="shared" si="4"/>
        <v>1.4454661900645125E-2</v>
      </c>
      <c r="I55" s="122">
        <f t="shared" si="5"/>
        <v>1.4412860446260445E-2</v>
      </c>
      <c r="J55" s="122">
        <f t="shared" si="10"/>
        <v>-1.4454661900645125E-2</v>
      </c>
      <c r="K55" s="122"/>
      <c r="Y55" s="126">
        <f t="shared" si="6"/>
        <v>-0.5</v>
      </c>
    </row>
    <row r="56" spans="2:30" x14ac:dyDescent="0.3">
      <c r="B56" s="12">
        <v>1.4950266400818424E-2</v>
      </c>
      <c r="C56" s="12">
        <f t="shared" si="0"/>
        <v>0</v>
      </c>
      <c r="D56" s="126">
        <f t="shared" si="1"/>
        <v>1.4692461691585322E-2</v>
      </c>
      <c r="E56" s="12">
        <f t="shared" si="2"/>
        <v>0</v>
      </c>
      <c r="F56" s="12">
        <f t="shared" si="3"/>
        <v>0</v>
      </c>
      <c r="G56" s="122">
        <f t="shared" si="9"/>
        <v>1.4950266400818424E-2</v>
      </c>
      <c r="H56" s="122">
        <f t="shared" si="4"/>
        <v>1.4692461691585322E-2</v>
      </c>
      <c r="I56" s="122">
        <f t="shared" si="5"/>
        <v>1.4950266400818424E-2</v>
      </c>
      <c r="J56" s="122">
        <f t="shared" si="10"/>
        <v>-1.4692461691585322E-2</v>
      </c>
      <c r="K56" s="122"/>
      <c r="Y56" s="126">
        <f t="shared" si="6"/>
        <v>-0.5</v>
      </c>
    </row>
    <row r="57" spans="2:30" x14ac:dyDescent="0.3">
      <c r="B57" s="12">
        <v>1.5497433403683258E-2</v>
      </c>
      <c r="C57" s="12">
        <f t="shared" si="0"/>
        <v>0</v>
      </c>
      <c r="D57" s="126">
        <f t="shared" si="1"/>
        <v>1.4929202138178598E-2</v>
      </c>
      <c r="E57" s="12">
        <f t="shared" si="2"/>
        <v>0</v>
      </c>
      <c r="F57" s="12">
        <f t="shared" si="3"/>
        <v>0</v>
      </c>
      <c r="G57" s="122">
        <f t="shared" si="9"/>
        <v>1.5497433403683258E-2</v>
      </c>
      <c r="H57" s="122">
        <f t="shared" si="4"/>
        <v>1.4929202138178598E-2</v>
      </c>
      <c r="I57" s="122">
        <f t="shared" si="5"/>
        <v>1.5497433403683258E-2</v>
      </c>
      <c r="J57" s="122">
        <f t="shared" si="10"/>
        <v>-1.4929202138178598E-2</v>
      </c>
      <c r="K57" s="122"/>
      <c r="Y57" s="126">
        <f t="shared" si="6"/>
        <v>-0.5</v>
      </c>
    </row>
    <row r="58" spans="2:30" x14ac:dyDescent="0.3">
      <c r="B58" s="12">
        <v>1.605435603287142E-2</v>
      </c>
      <c r="C58" s="12">
        <f t="shared" si="0"/>
        <v>0</v>
      </c>
      <c r="D58" s="126">
        <f t="shared" si="1"/>
        <v>1.5164885330094975E-2</v>
      </c>
      <c r="E58" s="12">
        <f t="shared" si="2"/>
        <v>0</v>
      </c>
      <c r="F58" s="12">
        <f t="shared" si="3"/>
        <v>0</v>
      </c>
      <c r="G58" s="122">
        <f t="shared" si="9"/>
        <v>1.605435603287142E-2</v>
      </c>
      <c r="H58" s="122">
        <f t="shared" si="4"/>
        <v>1.5164885330094975E-2</v>
      </c>
      <c r="I58" s="122">
        <f t="shared" si="5"/>
        <v>1.605435603287142E-2</v>
      </c>
      <c r="J58" s="122">
        <f t="shared" si="10"/>
        <v>-1.5164885330094975E-2</v>
      </c>
      <c r="K58" s="122"/>
      <c r="Y58" s="126">
        <f t="shared" si="6"/>
        <v>-0.5</v>
      </c>
    </row>
    <row r="59" spans="2:30" x14ac:dyDescent="0.3">
      <c r="B59" s="12">
        <v>1.6621028769728818E-2</v>
      </c>
      <c r="C59" s="12">
        <f t="shared" si="0"/>
        <v>0</v>
      </c>
      <c r="D59" s="126">
        <f t="shared" si="1"/>
        <v>1.5399513394854715E-2</v>
      </c>
      <c r="E59" s="12">
        <f t="shared" si="2"/>
        <v>0</v>
      </c>
      <c r="F59" s="12">
        <f t="shared" si="3"/>
        <v>0</v>
      </c>
      <c r="G59" s="122">
        <f t="shared" si="9"/>
        <v>1.6621028769728818E-2</v>
      </c>
      <c r="H59" s="122">
        <f t="shared" si="4"/>
        <v>1.5399513394854715E-2</v>
      </c>
      <c r="I59" s="122">
        <f t="shared" si="5"/>
        <v>1.6621028769728818E-2</v>
      </c>
      <c r="J59" s="122">
        <f t="shared" si="10"/>
        <v>-1.5399513394854715E-2</v>
      </c>
      <c r="K59" s="122"/>
      <c r="Y59" s="126">
        <f t="shared" si="6"/>
        <v>-0.5</v>
      </c>
    </row>
    <row r="60" spans="2:30" x14ac:dyDescent="0.3">
      <c r="B60" s="12">
        <v>1.719744599898565E-2</v>
      </c>
      <c r="C60" s="12">
        <f t="shared" si="0"/>
        <v>0</v>
      </c>
      <c r="D60" s="126">
        <f t="shared" si="1"/>
        <v>1.5633088497145762E-2</v>
      </c>
      <c r="E60" s="12">
        <f t="shared" si="2"/>
        <v>0</v>
      </c>
      <c r="F60" s="12">
        <f t="shared" si="3"/>
        <v>0</v>
      </c>
      <c r="G60" s="122">
        <f t="shared" si="9"/>
        <v>1.719744599898565E-2</v>
      </c>
      <c r="H60" s="122">
        <f t="shared" si="4"/>
        <v>1.5633088497145762E-2</v>
      </c>
      <c r="I60" s="122">
        <f t="shared" si="5"/>
        <v>1.719744599898565E-2</v>
      </c>
      <c r="J60" s="122">
        <f t="shared" si="10"/>
        <v>-1.5633088497145762E-2</v>
      </c>
      <c r="K60" s="122"/>
      <c r="Y60" s="126">
        <f t="shared" si="6"/>
        <v>-0.5</v>
      </c>
    </row>
    <row r="61" spans="2:30" x14ac:dyDescent="0.3">
      <c r="B61" s="12">
        <v>1.7783602008812238E-2</v>
      </c>
      <c r="C61" s="12">
        <f t="shared" si="0"/>
        <v>0</v>
      </c>
      <c r="D61" s="126">
        <f t="shared" si="1"/>
        <v>1.5865612838130684E-2</v>
      </c>
      <c r="E61" s="12">
        <f t="shared" si="2"/>
        <v>0</v>
      </c>
      <c r="F61" s="12">
        <f t="shared" si="3"/>
        <v>0</v>
      </c>
      <c r="G61" s="122">
        <f t="shared" si="9"/>
        <v>1.7783602008812238E-2</v>
      </c>
      <c r="H61" s="122">
        <f t="shared" si="4"/>
        <v>1.5865612838130684E-2</v>
      </c>
      <c r="I61" s="122">
        <f t="shared" si="5"/>
        <v>1.7783602008812238E-2</v>
      </c>
      <c r="J61" s="122">
        <f t="shared" si="10"/>
        <v>-1.5865612838130684E-2</v>
      </c>
      <c r="K61" s="122"/>
      <c r="Y61" s="126">
        <f t="shared" si="6"/>
        <v>-0.5</v>
      </c>
    </row>
    <row r="62" spans="2:30" x14ac:dyDescent="0.3">
      <c r="B62" s="12">
        <v>1.8379490990875214E-2</v>
      </c>
      <c r="C62" s="12">
        <f t="shared" si="0"/>
        <v>0</v>
      </c>
      <c r="D62" s="126">
        <f t="shared" si="1"/>
        <v>1.6097088654743019E-2</v>
      </c>
      <c r="E62" s="12">
        <f t="shared" si="2"/>
        <v>0</v>
      </c>
      <c r="F62" s="12">
        <f t="shared" si="3"/>
        <v>0</v>
      </c>
      <c r="G62" s="122">
        <f t="shared" si="9"/>
        <v>1.8379490990875214E-2</v>
      </c>
      <c r="H62" s="122">
        <f t="shared" si="4"/>
        <v>1.6097088654743019E-2</v>
      </c>
      <c r="I62" s="122">
        <f t="shared" si="5"/>
        <v>1.8379490990875214E-2</v>
      </c>
      <c r="J62" s="122">
        <f t="shared" si="10"/>
        <v>-1.6097088654743019E-2</v>
      </c>
      <c r="K62" s="122"/>
      <c r="Y62" s="126">
        <f t="shared" si="6"/>
        <v>-0.5</v>
      </c>
    </row>
    <row r="63" spans="2:30" x14ac:dyDescent="0.3">
      <c r="B63" s="12">
        <v>1.8985107040395466E-2</v>
      </c>
      <c r="C63" s="12">
        <f t="shared" si="0"/>
        <v>0</v>
      </c>
      <c r="D63" s="126">
        <f t="shared" si="1"/>
        <v>1.6327518218973602E-2</v>
      </c>
      <c r="E63" s="12">
        <f t="shared" si="2"/>
        <v>0</v>
      </c>
      <c r="F63" s="12">
        <f t="shared" si="3"/>
        <v>0</v>
      </c>
      <c r="G63" s="122">
        <f t="shared" si="9"/>
        <v>1.8985107040395466E-2</v>
      </c>
      <c r="H63" s="122">
        <f t="shared" si="4"/>
        <v>1.6327518218973602E-2</v>
      </c>
      <c r="I63" s="122">
        <f t="shared" si="5"/>
        <v>1.8985107040395466E-2</v>
      </c>
      <c r="J63" s="122">
        <f t="shared" si="10"/>
        <v>-1.6327518218973602E-2</v>
      </c>
      <c r="K63" s="122"/>
      <c r="Y63" s="126">
        <f t="shared" si="6"/>
        <v>-0.5</v>
      </c>
    </row>
    <row r="64" spans="2:30" x14ac:dyDescent="0.3">
      <c r="B64" s="12">
        <v>1.9600444156206542E-2</v>
      </c>
      <c r="C64" s="12">
        <f t="shared" si="0"/>
        <v>0</v>
      </c>
      <c r="D64" s="126">
        <f t="shared" si="1"/>
        <v>1.6556903837146544E-2</v>
      </c>
      <c r="E64" s="12">
        <f t="shared" si="2"/>
        <v>0</v>
      </c>
      <c r="F64" s="12">
        <f t="shared" si="3"/>
        <v>0</v>
      </c>
      <c r="G64" s="122">
        <f t="shared" si="9"/>
        <v>1.9600444156206542E-2</v>
      </c>
      <c r="H64" s="122">
        <f t="shared" si="4"/>
        <v>1.6556903837146544E-2</v>
      </c>
      <c r="I64" s="122">
        <f t="shared" si="5"/>
        <v>1.9600444156206542E-2</v>
      </c>
      <c r="J64" s="122">
        <f t="shared" si="10"/>
        <v>-1.6556903837146544E-2</v>
      </c>
      <c r="K64" s="122"/>
      <c r="Y64" s="126">
        <f t="shared" si="6"/>
        <v>-0.5</v>
      </c>
    </row>
    <row r="65" spans="2:25" x14ac:dyDescent="0.3">
      <c r="B65" s="12">
        <v>2.0225496240813712E-2</v>
      </c>
      <c r="C65" s="12">
        <f t="shared" ref="C65:C128" si="11">IF($A$1=0, 0, IF(B65&lt;=$A$2, ($A$1/$A$2^2)*(2*$A$2*B65-B65^2), ($A$1/(1-$A$2)^2)*((1-2*$A$2)+2*$A$2*B65-B65^2)))</f>
        <v>0</v>
      </c>
      <c r="D65" s="126">
        <f t="shared" ref="D65:D128" si="12">IF(B65&lt;$N$1, ($A$3/0.2)*($O$1*SQRT(B65)+$P$1*B65+$Q$1*(B65^2)+$R$1*(B65^3)), ($A$3/0.2)*($S$1+$T$1*(1-B65)+$U$1*((1-B65)^2)+$V$1*((1-B65)^3)))</f>
        <v>1.6785247849184927E-2</v>
      </c>
      <c r="E65" s="12">
        <f t="shared" si="2"/>
        <v>0</v>
      </c>
      <c r="F65" s="12">
        <f t="shared" si="3"/>
        <v>0</v>
      </c>
      <c r="G65" s="122">
        <f t="shared" si="9"/>
        <v>2.0225496240813712E-2</v>
      </c>
      <c r="H65" s="122">
        <f t="shared" si="4"/>
        <v>1.6785247849184927E-2</v>
      </c>
      <c r="I65" s="122">
        <f t="shared" si="5"/>
        <v>2.0225496240813712E-2</v>
      </c>
      <c r="J65" s="122">
        <f t="shared" si="10"/>
        <v>-1.6785247849184927E-2</v>
      </c>
      <c r="K65" s="122"/>
      <c r="Y65" s="126">
        <f t="shared" si="6"/>
        <v>-0.5</v>
      </c>
    </row>
    <row r="66" spans="2:25" x14ac:dyDescent="0.3">
      <c r="B66" s="12">
        <v>2.0860257100455248E-2</v>
      </c>
      <c r="C66" s="12">
        <f t="shared" si="11"/>
        <v>0</v>
      </c>
      <c r="D66" s="126">
        <f t="shared" si="12"/>
        <v>1.7012552627866946E-2</v>
      </c>
      <c r="E66" s="12">
        <f t="shared" ref="E66:E129" si="13">IF($A$1=0, 0, IF(B66&lt;=$A$2, ($A$1/$A$2^2) *(2*$A$2-2*B66), ($A$1/(1-$A$2)^2)*(2*$A$2-2*B66)))</f>
        <v>0</v>
      </c>
      <c r="F66" s="12">
        <f t="shared" ref="F66:F129" si="14">IF($A$1=0, 0,  ATAN(E66))</f>
        <v>0</v>
      </c>
      <c r="G66" s="122">
        <f t="shared" ref="G66:G129" si="15">B66-D66*SIN(F66)</f>
        <v>2.0860257100455248E-2</v>
      </c>
      <c r="H66" s="122">
        <f t="shared" ref="H66:H129" si="16">C66+D66*COS(F66)</f>
        <v>1.7012552627866946E-2</v>
      </c>
      <c r="I66" s="122">
        <f t="shared" ref="I66:I129" si="17">B66+D66*SIN(F66)</f>
        <v>2.0860257100455248E-2</v>
      </c>
      <c r="J66" s="122">
        <f t="shared" ref="J66:J129" si="18">C66-D66*COS(F66)</f>
        <v>-1.7012552627866946E-2</v>
      </c>
      <c r="K66" s="122"/>
      <c r="Y66" s="126">
        <f t="shared" ref="Y66:Y129" si="19">IF($Z$1, C66, -0.5)</f>
        <v>-0.5</v>
      </c>
    </row>
    <row r="67" spans="2:25" x14ac:dyDescent="0.3">
      <c r="B67" s="12">
        <v>2.1504720445162939E-2</v>
      </c>
      <c r="C67" s="12">
        <f t="shared" si="11"/>
        <v>0</v>
      </c>
      <c r="D67" s="126">
        <f t="shared" si="12"/>
        <v>1.7238820578071499E-2</v>
      </c>
      <c r="E67" s="12">
        <f t="shared" si="13"/>
        <v>0</v>
      </c>
      <c r="F67" s="12">
        <f t="shared" si="14"/>
        <v>0</v>
      </c>
      <c r="G67" s="122">
        <f t="shared" si="15"/>
        <v>2.1504720445162939E-2</v>
      </c>
      <c r="H67" s="122">
        <f t="shared" si="16"/>
        <v>1.7238820578071499E-2</v>
      </c>
      <c r="I67" s="122">
        <f t="shared" si="17"/>
        <v>2.1504720445162939E-2</v>
      </c>
      <c r="J67" s="122">
        <f t="shared" si="18"/>
        <v>-1.7238820578071499E-2</v>
      </c>
      <c r="K67" s="122"/>
      <c r="Y67" s="126">
        <f t="shared" si="19"/>
        <v>-0.5</v>
      </c>
    </row>
    <row r="68" spans="2:25" x14ac:dyDescent="0.3">
      <c r="B68" s="12">
        <v>2.2158879888824812E-2</v>
      </c>
      <c r="C68" s="12">
        <f t="shared" si="11"/>
        <v>0</v>
      </c>
      <c r="D68" s="126">
        <f t="shared" si="12"/>
        <v>1.7464054136014352E-2</v>
      </c>
      <c r="E68" s="12">
        <f t="shared" si="13"/>
        <v>0</v>
      </c>
      <c r="F68" s="12">
        <f t="shared" si="14"/>
        <v>0</v>
      </c>
      <c r="G68" s="122">
        <f t="shared" si="15"/>
        <v>2.2158879888824812E-2</v>
      </c>
      <c r="H68" s="122">
        <f t="shared" si="16"/>
        <v>1.7464054136014352E-2</v>
      </c>
      <c r="I68" s="122">
        <f t="shared" si="17"/>
        <v>2.2158879888824812E-2</v>
      </c>
      <c r="J68" s="122">
        <f t="shared" si="18"/>
        <v>-1.7464054136014352E-2</v>
      </c>
      <c r="K68" s="122"/>
      <c r="Y68" s="126">
        <f t="shared" si="19"/>
        <v>-0.5</v>
      </c>
    </row>
    <row r="69" spans="2:25" x14ac:dyDescent="0.3">
      <c r="B69" s="12">
        <v>2.2822728949248527E-2</v>
      </c>
      <c r="C69" s="12">
        <f t="shared" si="11"/>
        <v>0</v>
      </c>
      <c r="D69" s="126">
        <f t="shared" si="12"/>
        <v>1.7688255768474482E-2</v>
      </c>
      <c r="E69" s="12">
        <f t="shared" si="13"/>
        <v>0</v>
      </c>
      <c r="F69" s="12">
        <f t="shared" si="14"/>
        <v>0</v>
      </c>
      <c r="G69" s="122">
        <f t="shared" si="15"/>
        <v>2.2822728949248527E-2</v>
      </c>
      <c r="H69" s="122">
        <f t="shared" si="16"/>
        <v>1.7688255768474482E-2</v>
      </c>
      <c r="I69" s="122">
        <f t="shared" si="17"/>
        <v>2.2822728949248527E-2</v>
      </c>
      <c r="J69" s="122">
        <f t="shared" si="18"/>
        <v>-1.7688255768474482E-2</v>
      </c>
      <c r="K69" s="122"/>
      <c r="Y69" s="126">
        <f t="shared" si="19"/>
        <v>-0.5</v>
      </c>
    </row>
    <row r="70" spans="2:25" x14ac:dyDescent="0.3">
      <c r="B70" s="12">
        <v>2.349626104822522E-2</v>
      </c>
      <c r="C70" s="12">
        <f t="shared" si="11"/>
        <v>0</v>
      </c>
      <c r="D70" s="126">
        <f t="shared" si="12"/>
        <v>1.7911427972010535E-2</v>
      </c>
      <c r="E70" s="12">
        <f t="shared" si="13"/>
        <v>0</v>
      </c>
      <c r="F70" s="12">
        <f t="shared" si="14"/>
        <v>0</v>
      </c>
      <c r="G70" s="122">
        <f t="shared" si="15"/>
        <v>2.349626104822522E-2</v>
      </c>
      <c r="H70" s="122">
        <f t="shared" si="16"/>
        <v>1.7911427972010535E-2</v>
      </c>
      <c r="I70" s="122">
        <f t="shared" si="17"/>
        <v>2.349626104822522E-2</v>
      </c>
      <c r="J70" s="122">
        <f t="shared" si="18"/>
        <v>-1.7911427972010535E-2</v>
      </c>
      <c r="K70" s="122"/>
      <c r="Y70" s="126">
        <f t="shared" si="19"/>
        <v>-0.5</v>
      </c>
    </row>
    <row r="71" spans="2:25" x14ac:dyDescent="0.3">
      <c r="B71" s="12">
        <v>2.4179469511595331E-2</v>
      </c>
      <c r="C71" s="12">
        <f t="shared" si="11"/>
        <v>0</v>
      </c>
      <c r="D71" s="126">
        <f t="shared" si="12"/>
        <v>1.8133573272168125E-2</v>
      </c>
      <c r="E71" s="12">
        <f t="shared" si="13"/>
        <v>0</v>
      </c>
      <c r="F71" s="12">
        <f t="shared" si="14"/>
        <v>0</v>
      </c>
      <c r="G71" s="122">
        <f t="shared" si="15"/>
        <v>2.4179469511595331E-2</v>
      </c>
      <c r="H71" s="122">
        <f t="shared" si="16"/>
        <v>1.8133573272168125E-2</v>
      </c>
      <c r="I71" s="122">
        <f t="shared" si="17"/>
        <v>2.4179469511595331E-2</v>
      </c>
      <c r="J71" s="122">
        <f t="shared" si="18"/>
        <v>-1.8133573272168125E-2</v>
      </c>
      <c r="K71" s="122"/>
      <c r="Y71" s="126">
        <f t="shared" si="19"/>
        <v>-0.5</v>
      </c>
    </row>
    <row r="72" spans="2:25" x14ac:dyDescent="0.3">
      <c r="B72" s="12">
        <v>2.487234756931378E-2</v>
      </c>
      <c r="C72" s="12">
        <f t="shared" si="11"/>
        <v>0</v>
      </c>
      <c r="D72" s="126">
        <f t="shared" si="12"/>
        <v>1.835469422267709E-2</v>
      </c>
      <c r="E72" s="12">
        <f t="shared" si="13"/>
        <v>0</v>
      </c>
      <c r="F72" s="12">
        <f t="shared" si="14"/>
        <v>0</v>
      </c>
      <c r="G72" s="122">
        <f t="shared" si="15"/>
        <v>2.487234756931378E-2</v>
      </c>
      <c r="H72" s="122">
        <f t="shared" si="16"/>
        <v>1.835469422267709E-2</v>
      </c>
      <c r="I72" s="122">
        <f t="shared" si="17"/>
        <v>2.487234756931378E-2</v>
      </c>
      <c r="J72" s="122">
        <f t="shared" si="18"/>
        <v>-1.835469422267709E-2</v>
      </c>
      <c r="K72" s="122"/>
      <c r="Y72" s="126">
        <f t="shared" si="19"/>
        <v>-0.5</v>
      </c>
    </row>
    <row r="73" spans="2:25" x14ac:dyDescent="0.3">
      <c r="B73" s="12">
        <v>2.5574888355518133E-2</v>
      </c>
      <c r="C73" s="12">
        <f t="shared" si="11"/>
        <v>0</v>
      </c>
      <c r="D73" s="126">
        <f t="shared" si="12"/>
        <v>1.8574793404640046E-2</v>
      </c>
      <c r="E73" s="12">
        <f t="shared" si="13"/>
        <v>0</v>
      </c>
      <c r="F73" s="12">
        <f t="shared" si="14"/>
        <v>0</v>
      </c>
      <c r="G73" s="122">
        <f t="shared" si="15"/>
        <v>2.5574888355518133E-2</v>
      </c>
      <c r="H73" s="122">
        <f t="shared" si="16"/>
        <v>1.8574793404640046E-2</v>
      </c>
      <c r="I73" s="122">
        <f t="shared" si="17"/>
        <v>2.5574888355518133E-2</v>
      </c>
      <c r="J73" s="122">
        <f t="shared" si="18"/>
        <v>-1.8574793404640046E-2</v>
      </c>
      <c r="K73" s="122"/>
      <c r="Y73" s="126">
        <f t="shared" si="19"/>
        <v>-0.5</v>
      </c>
    </row>
    <row r="74" spans="2:25" x14ac:dyDescent="0.3">
      <c r="B74" s="12">
        <v>2.6287084908595659E-2</v>
      </c>
      <c r="C74" s="12">
        <f t="shared" si="11"/>
        <v>0</v>
      </c>
      <c r="D74" s="126">
        <f t="shared" si="12"/>
        <v>1.8793873425711038E-2</v>
      </c>
      <c r="E74" s="12">
        <f t="shared" si="13"/>
        <v>0</v>
      </c>
      <c r="F74" s="12">
        <f t="shared" si="14"/>
        <v>0</v>
      </c>
      <c r="G74" s="122">
        <f t="shared" si="15"/>
        <v>2.6287084908595659E-2</v>
      </c>
      <c r="H74" s="122">
        <f t="shared" si="16"/>
        <v>1.8793873425711038E-2</v>
      </c>
      <c r="I74" s="122">
        <f t="shared" si="17"/>
        <v>2.6287084908595659E-2</v>
      </c>
      <c r="J74" s="122">
        <f t="shared" si="18"/>
        <v>-1.8793873425711038E-2</v>
      </c>
      <c r="K74" s="122"/>
      <c r="Y74" s="126">
        <f t="shared" si="19"/>
        <v>-0.5</v>
      </c>
    </row>
    <row r="75" spans="2:25" x14ac:dyDescent="0.3">
      <c r="B75" s="12">
        <v>2.7008930171253165E-2</v>
      </c>
      <c r="C75" s="12">
        <f t="shared" si="11"/>
        <v>0</v>
      </c>
      <c r="D75" s="126">
        <f t="shared" si="12"/>
        <v>1.9011936919265594E-2</v>
      </c>
      <c r="E75" s="12">
        <f t="shared" si="13"/>
        <v>0</v>
      </c>
      <c r="F75" s="12">
        <f t="shared" si="14"/>
        <v>0</v>
      </c>
      <c r="G75" s="122">
        <f t="shared" si="15"/>
        <v>2.7008930171253165E-2</v>
      </c>
      <c r="H75" s="122">
        <f t="shared" si="16"/>
        <v>1.9011936919265594E-2</v>
      </c>
      <c r="I75" s="122">
        <f t="shared" si="17"/>
        <v>2.7008930171253165E-2</v>
      </c>
      <c r="J75" s="122">
        <f t="shared" si="18"/>
        <v>-1.9011936919265594E-2</v>
      </c>
      <c r="K75" s="122"/>
      <c r="Y75" s="126">
        <f t="shared" si="19"/>
        <v>-0.5</v>
      </c>
    </row>
    <row r="76" spans="2:25" x14ac:dyDescent="0.3">
      <c r="B76" s="12">
        <v>2.7740416990586381E-2</v>
      </c>
      <c r="C76" s="12">
        <f t="shared" si="11"/>
        <v>0</v>
      </c>
      <c r="D76" s="126">
        <f t="shared" si="12"/>
        <v>1.9228986543561231E-2</v>
      </c>
      <c r="E76" s="12">
        <f t="shared" si="13"/>
        <v>0</v>
      </c>
      <c r="F76" s="12">
        <f t="shared" si="14"/>
        <v>0</v>
      </c>
      <c r="G76" s="122">
        <f t="shared" si="15"/>
        <v>2.7740416990586381E-2</v>
      </c>
      <c r="H76" s="122">
        <f t="shared" si="16"/>
        <v>1.9228986543561231E-2</v>
      </c>
      <c r="I76" s="122">
        <f t="shared" si="17"/>
        <v>2.7740416990586381E-2</v>
      </c>
      <c r="J76" s="122">
        <f t="shared" si="18"/>
        <v>-1.9228986543561231E-2</v>
      </c>
      <c r="K76" s="122"/>
      <c r="Y76" s="126">
        <f t="shared" si="19"/>
        <v>-0.5</v>
      </c>
    </row>
    <row r="77" spans="2:25" x14ac:dyDescent="0.3">
      <c r="B77" s="12">
        <v>2.8481538118150684E-2</v>
      </c>
      <c r="C77" s="12">
        <f t="shared" si="11"/>
        <v>0</v>
      </c>
      <c r="D77" s="126">
        <f t="shared" si="12"/>
        <v>1.944502498088917E-2</v>
      </c>
      <c r="E77" s="12">
        <f t="shared" si="13"/>
        <v>0</v>
      </c>
      <c r="F77" s="12">
        <f t="shared" si="14"/>
        <v>0</v>
      </c>
      <c r="G77" s="122">
        <f t="shared" si="15"/>
        <v>2.8481538118150684E-2</v>
      </c>
      <c r="H77" s="122">
        <f t="shared" si="16"/>
        <v>1.944502498088917E-2</v>
      </c>
      <c r="I77" s="122">
        <f t="shared" si="17"/>
        <v>2.8481538118150684E-2</v>
      </c>
      <c r="J77" s="122">
        <f t="shared" si="18"/>
        <v>-1.944502498088917E-2</v>
      </c>
      <c r="K77" s="122"/>
      <c r="Y77" s="126">
        <f t="shared" si="19"/>
        <v>-0.5</v>
      </c>
    </row>
    <row r="78" spans="2:25" x14ac:dyDescent="0.3">
      <c r="B78" s="12">
        <v>2.923228621003382E-2</v>
      </c>
      <c r="C78" s="12">
        <f t="shared" si="11"/>
        <v>0</v>
      </c>
      <c r="D78" s="126">
        <f t="shared" si="12"/>
        <v>1.9660054936717512E-2</v>
      </c>
      <c r="E78" s="12">
        <f t="shared" si="13"/>
        <v>0</v>
      </c>
      <c r="F78" s="12">
        <f t="shared" si="14"/>
        <v>0</v>
      </c>
      <c r="G78" s="122">
        <f t="shared" si="15"/>
        <v>2.923228621003382E-2</v>
      </c>
      <c r="H78" s="122">
        <f t="shared" si="16"/>
        <v>1.9660054936717512E-2</v>
      </c>
      <c r="I78" s="122">
        <f t="shared" si="17"/>
        <v>2.923228621003382E-2</v>
      </c>
      <c r="J78" s="122">
        <f t="shared" si="18"/>
        <v>-1.9660054936717512E-2</v>
      </c>
      <c r="K78" s="122"/>
      <c r="Y78" s="126">
        <f t="shared" si="19"/>
        <v>-0.5</v>
      </c>
    </row>
    <row r="79" spans="2:25" x14ac:dyDescent="0.3">
      <c r="B79" s="12">
        <v>2.9992653826927507E-2</v>
      </c>
      <c r="C79" s="12">
        <f t="shared" si="11"/>
        <v>0</v>
      </c>
      <c r="D79" s="126">
        <f t="shared" si="12"/>
        <v>1.9874079138824961E-2</v>
      </c>
      <c r="E79" s="12">
        <f t="shared" si="13"/>
        <v>0</v>
      </c>
      <c r="F79" s="12">
        <f t="shared" si="14"/>
        <v>0</v>
      </c>
      <c r="G79" s="122">
        <f t="shared" si="15"/>
        <v>2.9992653826927507E-2</v>
      </c>
      <c r="H79" s="122">
        <f t="shared" si="16"/>
        <v>1.9874079138824961E-2</v>
      </c>
      <c r="I79" s="122">
        <f t="shared" si="17"/>
        <v>2.9992653826927507E-2</v>
      </c>
      <c r="J79" s="122">
        <f t="shared" si="18"/>
        <v>-1.9874079138824961E-2</v>
      </c>
      <c r="K79" s="122"/>
      <c r="Y79" s="126">
        <f t="shared" si="19"/>
        <v>-0.5</v>
      </c>
    </row>
    <row r="80" spans="2:25" x14ac:dyDescent="0.3">
      <c r="B80" s="12">
        <v>3.0762633434202158E-2</v>
      </c>
      <c r="C80" s="12">
        <f t="shared" si="11"/>
        <v>0</v>
      </c>
      <c r="D80" s="126">
        <f t="shared" si="12"/>
        <v>2.0087100336426675E-2</v>
      </c>
      <c r="E80" s="12">
        <f t="shared" si="13"/>
        <v>0</v>
      </c>
      <c r="F80" s="12">
        <f t="shared" si="14"/>
        <v>0</v>
      </c>
      <c r="G80" s="122">
        <f t="shared" si="15"/>
        <v>3.0762633434202158E-2</v>
      </c>
      <c r="H80" s="122">
        <f t="shared" si="16"/>
        <v>2.0087100336426675E-2</v>
      </c>
      <c r="I80" s="122">
        <f t="shared" si="17"/>
        <v>3.0762633434202158E-2</v>
      </c>
      <c r="J80" s="122">
        <f t="shared" si="18"/>
        <v>-2.0087100336426675E-2</v>
      </c>
      <c r="K80" s="122"/>
      <c r="Y80" s="126">
        <f t="shared" si="19"/>
        <v>-0.5</v>
      </c>
    </row>
    <row r="81" spans="2:25" x14ac:dyDescent="0.3">
      <c r="B81" s="12">
        <v>3.1542217401980821E-2</v>
      </c>
      <c r="C81" s="12">
        <f t="shared" si="11"/>
        <v>0</v>
      </c>
      <c r="D81" s="126">
        <f t="shared" si="12"/>
        <v>2.0299121299290911E-2</v>
      </c>
      <c r="E81" s="12">
        <f t="shared" si="13"/>
        <v>0</v>
      </c>
      <c r="F81" s="12">
        <f t="shared" si="14"/>
        <v>0</v>
      </c>
      <c r="G81" s="122">
        <f t="shared" si="15"/>
        <v>3.1542217401980821E-2</v>
      </c>
      <c r="H81" s="122">
        <f t="shared" si="16"/>
        <v>2.0299121299290911E-2</v>
      </c>
      <c r="I81" s="122">
        <f t="shared" si="17"/>
        <v>3.1542217401980821E-2</v>
      </c>
      <c r="J81" s="122">
        <f t="shared" si="18"/>
        <v>-2.0299121299290911E-2</v>
      </c>
      <c r="K81" s="122"/>
      <c r="Y81" s="126">
        <f t="shared" si="19"/>
        <v>-0.5</v>
      </c>
    </row>
    <row r="82" spans="2:25" x14ac:dyDescent="0.3">
      <c r="B82" s="12">
        <v>3.2331398005215228E-2</v>
      </c>
      <c r="C82" s="12">
        <f t="shared" si="11"/>
        <v>0</v>
      </c>
      <c r="D82" s="126">
        <f t="shared" si="12"/>
        <v>2.051014481684775E-2</v>
      </c>
      <c r="E82" s="12">
        <f t="shared" si="13"/>
        <v>0</v>
      </c>
      <c r="F82" s="12">
        <f t="shared" si="14"/>
        <v>0</v>
      </c>
      <c r="G82" s="122">
        <f t="shared" si="15"/>
        <v>3.2331398005215228E-2</v>
      </c>
      <c r="H82" s="122">
        <f t="shared" si="16"/>
        <v>2.051014481684775E-2</v>
      </c>
      <c r="I82" s="122">
        <f t="shared" si="17"/>
        <v>3.2331398005215228E-2</v>
      </c>
      <c r="J82" s="122">
        <f t="shared" si="18"/>
        <v>-2.051014481684775E-2</v>
      </c>
      <c r="K82" s="122"/>
      <c r="Y82" s="126">
        <f t="shared" si="19"/>
        <v>-0.5</v>
      </c>
    </row>
    <row r="83" spans="2:25" x14ac:dyDescent="0.3">
      <c r="B83" s="12">
        <v>3.313016742376218E-2</v>
      </c>
      <c r="C83" s="12">
        <f t="shared" si="11"/>
        <v>0</v>
      </c>
      <c r="D83" s="126">
        <f t="shared" si="12"/>
        <v>2.0720173697289183E-2</v>
      </c>
      <c r="E83" s="12">
        <f t="shared" si="13"/>
        <v>0</v>
      </c>
      <c r="F83" s="12">
        <f t="shared" si="14"/>
        <v>0</v>
      </c>
      <c r="G83" s="122">
        <f t="shared" si="15"/>
        <v>3.313016742376218E-2</v>
      </c>
      <c r="H83" s="122">
        <f t="shared" si="16"/>
        <v>2.0720173697289183E-2</v>
      </c>
      <c r="I83" s="122">
        <f t="shared" si="17"/>
        <v>3.313016742376218E-2</v>
      </c>
      <c r="J83" s="122">
        <f t="shared" si="18"/>
        <v>-2.0720173697289183E-2</v>
      </c>
      <c r="K83" s="122"/>
      <c r="Y83" s="126">
        <f t="shared" si="19"/>
        <v>-0.5</v>
      </c>
    </row>
    <row r="84" spans="2:25" x14ac:dyDescent="0.3">
      <c r="B84" s="12">
        <v>3.3938517742461038E-2</v>
      </c>
      <c r="C84" s="12">
        <f t="shared" si="11"/>
        <v>0</v>
      </c>
      <c r="D84" s="126">
        <f t="shared" si="12"/>
        <v>2.0929210766661089E-2</v>
      </c>
      <c r="E84" s="12">
        <f t="shared" si="13"/>
        <v>0</v>
      </c>
      <c r="F84" s="12">
        <f t="shared" si="14"/>
        <v>0</v>
      </c>
      <c r="G84" s="122">
        <f t="shared" si="15"/>
        <v>3.3938517742461038E-2</v>
      </c>
      <c r="H84" s="122">
        <f t="shared" si="16"/>
        <v>2.0929210766661089E-2</v>
      </c>
      <c r="I84" s="122">
        <f t="shared" si="17"/>
        <v>3.3938517742461038E-2</v>
      </c>
      <c r="J84" s="122">
        <f t="shared" si="18"/>
        <v>-2.0929210766661089E-2</v>
      </c>
      <c r="K84" s="122"/>
      <c r="Y84" s="126">
        <f t="shared" si="19"/>
        <v>-0.5</v>
      </c>
    </row>
    <row r="85" spans="2:25" x14ac:dyDescent="0.3">
      <c r="B85" s="12">
        <v>3.475644095121222E-2</v>
      </c>
      <c r="C85" s="12">
        <f t="shared" si="11"/>
        <v>0</v>
      </c>
      <c r="D85" s="126">
        <f t="shared" si="12"/>
        <v>2.1137258867947151E-2</v>
      </c>
      <c r="E85" s="12">
        <f t="shared" si="13"/>
        <v>0</v>
      </c>
      <c r="F85" s="12">
        <f t="shared" si="14"/>
        <v>0</v>
      </c>
      <c r="G85" s="122">
        <f t="shared" si="15"/>
        <v>3.475644095121222E-2</v>
      </c>
      <c r="H85" s="122">
        <f t="shared" si="16"/>
        <v>2.1137258867947151E-2</v>
      </c>
      <c r="I85" s="122">
        <f t="shared" si="17"/>
        <v>3.475644095121222E-2</v>
      </c>
      <c r="J85" s="122">
        <f t="shared" si="18"/>
        <v>-2.1137258867947151E-2</v>
      </c>
      <c r="K85" s="122"/>
      <c r="Y85" s="126">
        <f t="shared" si="19"/>
        <v>-0.5</v>
      </c>
    </row>
    <row r="86" spans="2:25" x14ac:dyDescent="0.3">
      <c r="B86" s="12">
        <v>3.5583928945056353E-2</v>
      </c>
      <c r="C86" s="12">
        <f t="shared" si="11"/>
        <v>0</v>
      </c>
      <c r="D86" s="126">
        <f t="shared" si="12"/>
        <v>2.1344320860144681E-2</v>
      </c>
      <c r="E86" s="12">
        <f t="shared" si="13"/>
        <v>0</v>
      </c>
      <c r="F86" s="12">
        <f t="shared" si="14"/>
        <v>0</v>
      </c>
      <c r="G86" s="122">
        <f t="shared" si="15"/>
        <v>3.5583928945056353E-2</v>
      </c>
      <c r="H86" s="122">
        <f t="shared" si="16"/>
        <v>2.1344320860144681E-2</v>
      </c>
      <c r="I86" s="122">
        <f t="shared" si="17"/>
        <v>3.5583928945056353E-2</v>
      </c>
      <c r="J86" s="122">
        <f t="shared" si="18"/>
        <v>-2.1344320860144681E-2</v>
      </c>
      <c r="K86" s="122"/>
      <c r="Y86" s="126">
        <f t="shared" si="19"/>
        <v>-0.5</v>
      </c>
    </row>
    <row r="87" spans="2:25" x14ac:dyDescent="0.3">
      <c r="B87" s="12">
        <v>3.6420973524254996E-2</v>
      </c>
      <c r="C87" s="12">
        <f t="shared" si="11"/>
        <v>0</v>
      </c>
      <c r="D87" s="126">
        <f t="shared" si="12"/>
        <v>2.1550399617332773E-2</v>
      </c>
      <c r="E87" s="12">
        <f t="shared" si="13"/>
        <v>0</v>
      </c>
      <c r="F87" s="12">
        <f t="shared" si="14"/>
        <v>0</v>
      </c>
      <c r="G87" s="122">
        <f t="shared" si="15"/>
        <v>3.6420973524254996E-2</v>
      </c>
      <c r="H87" s="122">
        <f t="shared" si="16"/>
        <v>2.1550399617332773E-2</v>
      </c>
      <c r="I87" s="122">
        <f t="shared" si="17"/>
        <v>3.6420973524254996E-2</v>
      </c>
      <c r="J87" s="122">
        <f t="shared" si="18"/>
        <v>-2.1550399617332773E-2</v>
      </c>
      <c r="K87" s="122"/>
      <c r="Y87" s="126">
        <f t="shared" si="19"/>
        <v>-0.5</v>
      </c>
    </row>
    <row r="88" spans="2:25" x14ac:dyDescent="0.3">
      <c r="B88" s="12">
        <v>3.7267566394371454E-2</v>
      </c>
      <c r="C88" s="12">
        <f t="shared" si="11"/>
        <v>0</v>
      </c>
      <c r="D88" s="126">
        <f t="shared" si="12"/>
        <v>2.1755498027732401E-2</v>
      </c>
      <c r="E88" s="12">
        <f t="shared" si="13"/>
        <v>0</v>
      </c>
      <c r="F88" s="12">
        <f t="shared" si="14"/>
        <v>0</v>
      </c>
      <c r="G88" s="122">
        <f t="shared" si="15"/>
        <v>3.7267566394371454E-2</v>
      </c>
      <c r="H88" s="122">
        <f t="shared" si="16"/>
        <v>2.1755498027732401E-2</v>
      </c>
      <c r="I88" s="122">
        <f t="shared" si="17"/>
        <v>3.7267566394371454E-2</v>
      </c>
      <c r="J88" s="122">
        <f t="shared" si="18"/>
        <v>-2.1755498027732401E-2</v>
      </c>
      <c r="K88" s="122"/>
      <c r="Y88" s="126">
        <f t="shared" si="19"/>
        <v>-0.5</v>
      </c>
    </row>
    <row r="89" spans="2:25" x14ac:dyDescent="0.3">
      <c r="B89" s="12">
        <v>3.8123699166353275E-2</v>
      </c>
      <c r="C89" s="12">
        <f t="shared" si="11"/>
        <v>0</v>
      </c>
      <c r="D89" s="126">
        <f t="shared" si="12"/>
        <v>2.1959618992759174E-2</v>
      </c>
      <c r="E89" s="12">
        <f t="shared" si="13"/>
        <v>0</v>
      </c>
      <c r="F89" s="12">
        <f t="shared" si="14"/>
        <v>0</v>
      </c>
      <c r="G89" s="122">
        <f t="shared" si="15"/>
        <v>3.8123699166353275E-2</v>
      </c>
      <c r="H89" s="122">
        <f t="shared" si="16"/>
        <v>2.1959618992759174E-2</v>
      </c>
      <c r="I89" s="122">
        <f t="shared" si="17"/>
        <v>3.8123699166353275E-2</v>
      </c>
      <c r="J89" s="122">
        <f t="shared" si="18"/>
        <v>-2.1959618992759174E-2</v>
      </c>
      <c r="K89" s="122"/>
      <c r="Y89" s="126">
        <f t="shared" si="19"/>
        <v>-0.5</v>
      </c>
    </row>
    <row r="90" spans="2:25" x14ac:dyDescent="0.3">
      <c r="B90" s="12">
        <v>3.8989363356615403E-2</v>
      </c>
      <c r="C90" s="12">
        <f t="shared" si="11"/>
        <v>0</v>
      </c>
      <c r="D90" s="126">
        <f t="shared" si="12"/>
        <v>2.2162765426068442E-2</v>
      </c>
      <c r="E90" s="12">
        <f t="shared" si="13"/>
        <v>0</v>
      </c>
      <c r="F90" s="12">
        <f t="shared" si="14"/>
        <v>0</v>
      </c>
      <c r="G90" s="122">
        <f t="shared" si="15"/>
        <v>3.8989363356615403E-2</v>
      </c>
      <c r="H90" s="122">
        <f t="shared" si="16"/>
        <v>2.2162765426068442E-2</v>
      </c>
      <c r="I90" s="122">
        <f t="shared" si="17"/>
        <v>3.8989363356615403E-2</v>
      </c>
      <c r="J90" s="122">
        <f t="shared" si="18"/>
        <v>-2.2162765426068442E-2</v>
      </c>
      <c r="K90" s="122"/>
      <c r="Y90" s="126">
        <f t="shared" si="19"/>
        <v>-0.5</v>
      </c>
    </row>
    <row r="91" spans="2:25" x14ac:dyDescent="0.3">
      <c r="B91" s="12">
        <v>3.9864550387123776E-2</v>
      </c>
      <c r="C91" s="12">
        <f t="shared" si="11"/>
        <v>0</v>
      </c>
      <c r="D91" s="126">
        <f t="shared" si="12"/>
        <v>2.2364940252592863E-2</v>
      </c>
      <c r="E91" s="12">
        <f t="shared" si="13"/>
        <v>0</v>
      </c>
      <c r="F91" s="12">
        <f t="shared" si="14"/>
        <v>0</v>
      </c>
      <c r="G91" s="122">
        <f t="shared" si="15"/>
        <v>3.9864550387123776E-2</v>
      </c>
      <c r="H91" s="122">
        <f t="shared" si="16"/>
        <v>2.2364940252592863E-2</v>
      </c>
      <c r="I91" s="122">
        <f t="shared" si="17"/>
        <v>3.9864550387123776E-2</v>
      </c>
      <c r="J91" s="122">
        <f t="shared" si="18"/>
        <v>-2.2364940252592863E-2</v>
      </c>
      <c r="K91" s="122"/>
      <c r="Y91" s="126">
        <f t="shared" si="19"/>
        <v>-0.5</v>
      </c>
    </row>
    <row r="92" spans="2:25" x14ac:dyDescent="0.3">
      <c r="B92" s="12">
        <v>4.0749251585480817E-2</v>
      </c>
      <c r="C92" s="12">
        <f t="shared" si="11"/>
        <v>0</v>
      </c>
      <c r="D92" s="126">
        <f t="shared" si="12"/>
        <v>2.2566146407572964E-2</v>
      </c>
      <c r="E92" s="12">
        <f t="shared" si="13"/>
        <v>0</v>
      </c>
      <c r="F92" s="12">
        <f t="shared" si="14"/>
        <v>0</v>
      </c>
      <c r="G92" s="122">
        <f t="shared" si="15"/>
        <v>4.0749251585480817E-2</v>
      </c>
      <c r="H92" s="122">
        <f t="shared" si="16"/>
        <v>2.2566146407572964E-2</v>
      </c>
      <c r="I92" s="122">
        <f t="shared" si="17"/>
        <v>4.0749251585480817E-2</v>
      </c>
      <c r="J92" s="122">
        <f t="shared" si="18"/>
        <v>-2.2566146407572964E-2</v>
      </c>
      <c r="K92" s="122"/>
      <c r="Y92" s="126">
        <f t="shared" si="19"/>
        <v>-0.5</v>
      </c>
    </row>
    <row r="93" spans="2:25" x14ac:dyDescent="0.3">
      <c r="B93" s="12">
        <v>4.1643458185011473E-2</v>
      </c>
      <c r="C93" s="12">
        <f t="shared" si="11"/>
        <v>0</v>
      </c>
      <c r="D93" s="126">
        <f t="shared" si="12"/>
        <v>2.2766386835580386E-2</v>
      </c>
      <c r="E93" s="12">
        <f t="shared" si="13"/>
        <v>0</v>
      </c>
      <c r="F93" s="12">
        <f t="shared" si="14"/>
        <v>0</v>
      </c>
      <c r="G93" s="122">
        <f t="shared" si="15"/>
        <v>4.1643458185011473E-2</v>
      </c>
      <c r="H93" s="122">
        <f t="shared" si="16"/>
        <v>2.2766386835580386E-2</v>
      </c>
      <c r="I93" s="122">
        <f t="shared" si="17"/>
        <v>4.1643458185011473E-2</v>
      </c>
      <c r="J93" s="122">
        <f t="shared" si="18"/>
        <v>-2.2766386835580386E-2</v>
      </c>
      <c r="K93" s="122"/>
      <c r="Y93" s="126">
        <f t="shared" si="19"/>
        <v>-0.5</v>
      </c>
    </row>
    <row r="94" spans="2:25" x14ac:dyDescent="0.3">
      <c r="B94" s="12">
        <v>4.2547161324849481E-2</v>
      </c>
      <c r="C94" s="12">
        <f t="shared" si="11"/>
        <v>0</v>
      </c>
      <c r="D94" s="126">
        <f t="shared" si="12"/>
        <v>2.2965664489534004E-2</v>
      </c>
      <c r="E94" s="12">
        <f t="shared" si="13"/>
        <v>0</v>
      </c>
      <c r="F94" s="12">
        <f t="shared" si="14"/>
        <v>0</v>
      </c>
      <c r="G94" s="122">
        <f t="shared" si="15"/>
        <v>4.2547161324849481E-2</v>
      </c>
      <c r="H94" s="122">
        <f t="shared" si="16"/>
        <v>2.2965664489534004E-2</v>
      </c>
      <c r="I94" s="122">
        <f t="shared" si="17"/>
        <v>4.2547161324849481E-2</v>
      </c>
      <c r="J94" s="122">
        <f t="shared" si="18"/>
        <v>-2.2965664489534004E-2</v>
      </c>
      <c r="K94" s="122"/>
      <c r="Y94" s="126">
        <f t="shared" si="19"/>
        <v>-0.5</v>
      </c>
    </row>
    <row r="95" spans="2:25" x14ac:dyDescent="0.3">
      <c r="B95" s="12">
        <v>4.346035205002563E-2</v>
      </c>
      <c r="C95" s="12">
        <f t="shared" si="11"/>
        <v>0</v>
      </c>
      <c r="D95" s="126">
        <f t="shared" si="12"/>
        <v>2.3163982329709266E-2</v>
      </c>
      <c r="E95" s="12">
        <f t="shared" si="13"/>
        <v>0</v>
      </c>
      <c r="F95" s="12">
        <f t="shared" si="14"/>
        <v>0</v>
      </c>
      <c r="G95" s="122">
        <f t="shared" si="15"/>
        <v>4.346035205002563E-2</v>
      </c>
      <c r="H95" s="122">
        <f t="shared" si="16"/>
        <v>2.3163982329709266E-2</v>
      </c>
      <c r="I95" s="122">
        <f t="shared" si="17"/>
        <v>4.346035205002563E-2</v>
      </c>
      <c r="J95" s="122">
        <f t="shared" si="18"/>
        <v>-2.3163982329709266E-2</v>
      </c>
      <c r="K95" s="122"/>
      <c r="Y95" s="126">
        <f t="shared" si="19"/>
        <v>-0.5</v>
      </c>
    </row>
    <row r="96" spans="2:25" x14ac:dyDescent="0.3">
      <c r="B96" s="12">
        <v>4.4383021311556581E-2</v>
      </c>
      <c r="C96" s="12">
        <f t="shared" si="11"/>
        <v>0</v>
      </c>
      <c r="D96" s="126">
        <f t="shared" si="12"/>
        <v>2.3361343322740768E-2</v>
      </c>
      <c r="E96" s="12">
        <f t="shared" si="13"/>
        <v>0</v>
      </c>
      <c r="F96" s="12">
        <f t="shared" si="14"/>
        <v>0</v>
      </c>
      <c r="G96" s="122">
        <f t="shared" si="15"/>
        <v>4.4383021311556581E-2</v>
      </c>
      <c r="H96" s="122">
        <f t="shared" si="16"/>
        <v>2.3361343322740768E-2</v>
      </c>
      <c r="I96" s="122">
        <f t="shared" si="17"/>
        <v>4.4383021311556581E-2</v>
      </c>
      <c r="J96" s="122">
        <f t="shared" si="18"/>
        <v>-2.3361343322740768E-2</v>
      </c>
      <c r="K96" s="122"/>
      <c r="Y96" s="126">
        <f t="shared" si="19"/>
        <v>-0.5</v>
      </c>
    </row>
    <row r="97" spans="2:25" x14ac:dyDescent="0.3">
      <c r="B97" s="12">
        <v>4.5315159966534124E-2</v>
      </c>
      <c r="C97" s="12">
        <f t="shared" si="11"/>
        <v>0</v>
      </c>
      <c r="D97" s="126">
        <f t="shared" si="12"/>
        <v>2.355775044061793E-2</v>
      </c>
      <c r="E97" s="12">
        <f t="shared" si="13"/>
        <v>0</v>
      </c>
      <c r="F97" s="12">
        <f t="shared" si="14"/>
        <v>0</v>
      </c>
      <c r="G97" s="122">
        <f t="shared" si="15"/>
        <v>4.5315159966534124E-2</v>
      </c>
      <c r="H97" s="122">
        <f t="shared" si="16"/>
        <v>2.355775044061793E-2</v>
      </c>
      <c r="I97" s="122">
        <f t="shared" si="17"/>
        <v>4.5315159966534124E-2</v>
      </c>
      <c r="J97" s="122">
        <f t="shared" si="18"/>
        <v>-2.355775044061793E-2</v>
      </c>
      <c r="K97" s="122"/>
      <c r="Y97" s="126">
        <f t="shared" si="19"/>
        <v>-0.5</v>
      </c>
    </row>
    <row r="98" spans="2:25" x14ac:dyDescent="0.3">
      <c r="B98" s="12">
        <v>4.625675877821589E-2</v>
      </c>
      <c r="C98" s="12">
        <f t="shared" si="11"/>
        <v>0</v>
      </c>
      <c r="D98" s="126">
        <f t="shared" si="12"/>
        <v>2.3753206659674342E-2</v>
      </c>
      <c r="E98" s="12">
        <f t="shared" si="13"/>
        <v>0</v>
      </c>
      <c r="F98" s="12">
        <f t="shared" si="14"/>
        <v>0</v>
      </c>
      <c r="G98" s="122">
        <f t="shared" si="15"/>
        <v>4.625675877821589E-2</v>
      </c>
      <c r="H98" s="122">
        <f t="shared" si="16"/>
        <v>2.3753206659674342E-2</v>
      </c>
      <c r="I98" s="122">
        <f t="shared" si="17"/>
        <v>4.625675877821589E-2</v>
      </c>
      <c r="J98" s="122">
        <f t="shared" si="18"/>
        <v>-2.3753206659674342E-2</v>
      </c>
      <c r="K98" s="122"/>
      <c r="Y98" s="126">
        <f t="shared" si="19"/>
        <v>-0.5</v>
      </c>
    </row>
    <row r="99" spans="2:25" x14ac:dyDescent="0.3">
      <c r="B99" s="12">
        <v>4.7207808416117381E-2</v>
      </c>
      <c r="C99" s="12">
        <f t="shared" si="11"/>
        <v>0</v>
      </c>
      <c r="D99" s="126">
        <f t="shared" si="12"/>
        <v>2.3947714959570678E-2</v>
      </c>
      <c r="E99" s="12">
        <f t="shared" si="13"/>
        <v>0</v>
      </c>
      <c r="F99" s="12">
        <f t="shared" si="14"/>
        <v>0</v>
      </c>
      <c r="G99" s="122">
        <f t="shared" si="15"/>
        <v>4.7207808416117381E-2</v>
      </c>
      <c r="H99" s="122">
        <f t="shared" si="16"/>
        <v>2.3947714959570678E-2</v>
      </c>
      <c r="I99" s="122">
        <f t="shared" si="17"/>
        <v>4.7207808416117381E-2</v>
      </c>
      <c r="J99" s="122">
        <f t="shared" si="18"/>
        <v>-2.3947714959570678E-2</v>
      </c>
      <c r="K99" s="122"/>
      <c r="Y99" s="126">
        <f t="shared" si="19"/>
        <v>-0.5</v>
      </c>
    </row>
    <row r="100" spans="2:25" x14ac:dyDescent="0.3">
      <c r="B100" s="12">
        <v>4.8168299456103791E-2</v>
      </c>
      <c r="C100" s="12">
        <f t="shared" si="11"/>
        <v>0</v>
      </c>
      <c r="D100" s="126">
        <f t="shared" si="12"/>
        <v>2.4141278322271177E-2</v>
      </c>
      <c r="E100" s="12">
        <f t="shared" si="13"/>
        <v>0</v>
      </c>
      <c r="F100" s="12">
        <f t="shared" si="14"/>
        <v>0</v>
      </c>
      <c r="G100" s="122">
        <f t="shared" si="15"/>
        <v>4.8168299456103791E-2</v>
      </c>
      <c r="H100" s="122">
        <f t="shared" si="16"/>
        <v>2.4141278322271177E-2</v>
      </c>
      <c r="I100" s="122">
        <f t="shared" si="17"/>
        <v>4.8168299456103791E-2</v>
      </c>
      <c r="J100" s="122">
        <f t="shared" si="18"/>
        <v>-2.4141278322271177E-2</v>
      </c>
      <c r="K100" s="122"/>
      <c r="Y100" s="126">
        <f t="shared" si="19"/>
        <v>-0.5</v>
      </c>
    </row>
    <row r="101" spans="2:25" x14ac:dyDescent="0.3">
      <c r="B101" s="12">
        <v>4.9138222380483598E-2</v>
      </c>
      <c r="C101" s="12">
        <f t="shared" si="11"/>
        <v>0</v>
      </c>
      <c r="D101" s="126">
        <f t="shared" si="12"/>
        <v>2.4333899731014023E-2</v>
      </c>
      <c r="E101" s="12">
        <f t="shared" si="13"/>
        <v>0</v>
      </c>
      <c r="F101" s="12">
        <f t="shared" si="14"/>
        <v>0</v>
      </c>
      <c r="G101" s="122">
        <f t="shared" si="15"/>
        <v>4.9138222380483598E-2</v>
      </c>
      <c r="H101" s="122">
        <f t="shared" si="16"/>
        <v>2.4333899731014023E-2</v>
      </c>
      <c r="I101" s="122">
        <f t="shared" si="17"/>
        <v>4.9138222380483598E-2</v>
      </c>
      <c r="J101" s="122">
        <f t="shared" si="18"/>
        <v>-2.4333899731014023E-2</v>
      </c>
      <c r="K101" s="122"/>
      <c r="Y101" s="126">
        <f t="shared" si="19"/>
        <v>-0.5</v>
      </c>
    </row>
    <row r="102" spans="2:25" x14ac:dyDescent="0.3">
      <c r="B102" s="12">
        <v>5.0117567578102928E-2</v>
      </c>
      <c r="C102" s="12">
        <f t="shared" si="11"/>
        <v>0</v>
      </c>
      <c r="D102" s="126">
        <f t="shared" si="12"/>
        <v>2.4525582169275747E-2</v>
      </c>
      <c r="E102" s="12">
        <f t="shared" si="13"/>
        <v>0</v>
      </c>
      <c r="F102" s="12">
        <f t="shared" si="14"/>
        <v>0</v>
      </c>
      <c r="G102" s="122">
        <f t="shared" si="15"/>
        <v>5.0117567578102928E-2</v>
      </c>
      <c r="H102" s="122">
        <f t="shared" si="16"/>
        <v>2.4525582169275747E-2</v>
      </c>
      <c r="I102" s="122">
        <f t="shared" si="17"/>
        <v>5.0117567578102928E-2</v>
      </c>
      <c r="J102" s="122">
        <f t="shared" si="18"/>
        <v>-2.4525582169275747E-2</v>
      </c>
      <c r="K102" s="122"/>
      <c r="Y102" s="126">
        <f t="shared" si="19"/>
        <v>-0.5</v>
      </c>
    </row>
    <row r="103" spans="2:25" x14ac:dyDescent="0.3">
      <c r="B103" s="12">
        <v>5.1106325344440817E-2</v>
      </c>
      <c r="C103" s="12">
        <f t="shared" si="11"/>
        <v>0</v>
      </c>
      <c r="D103" s="126">
        <f t="shared" si="12"/>
        <v>2.4716328619729673E-2</v>
      </c>
      <c r="E103" s="12">
        <f t="shared" si="13"/>
        <v>0</v>
      </c>
      <c r="F103" s="12">
        <f t="shared" si="14"/>
        <v>0</v>
      </c>
      <c r="G103" s="122">
        <f t="shared" si="15"/>
        <v>5.1106325344440817E-2</v>
      </c>
      <c r="H103" s="122">
        <f t="shared" si="16"/>
        <v>2.4716328619729673E-2</v>
      </c>
      <c r="I103" s="122">
        <f t="shared" si="17"/>
        <v>5.1106325344440817E-2</v>
      </c>
      <c r="J103" s="122">
        <f t="shared" si="18"/>
        <v>-2.4716328619729673E-2</v>
      </c>
      <c r="K103" s="122"/>
      <c r="Y103" s="126">
        <f t="shared" si="19"/>
        <v>-0.5</v>
      </c>
    </row>
    <row r="104" spans="2:25" x14ac:dyDescent="0.3">
      <c r="B104" s="12">
        <v>5.2104485881705465E-2</v>
      </c>
      <c r="C104" s="12">
        <f t="shared" si="11"/>
        <v>0</v>
      </c>
      <c r="D104" s="126">
        <f t="shared" si="12"/>
        <v>2.4906142063198591E-2</v>
      </c>
      <c r="E104" s="12">
        <f t="shared" si="13"/>
        <v>0</v>
      </c>
      <c r="F104" s="12">
        <f t="shared" si="14"/>
        <v>0</v>
      </c>
      <c r="G104" s="122">
        <f t="shared" si="15"/>
        <v>5.2104485881705465E-2</v>
      </c>
      <c r="H104" s="122">
        <f t="shared" si="16"/>
        <v>2.4906142063198591E-2</v>
      </c>
      <c r="I104" s="122">
        <f t="shared" si="17"/>
        <v>5.2104485881705465E-2</v>
      </c>
      <c r="J104" s="122">
        <f t="shared" si="18"/>
        <v>-2.4906142063198591E-2</v>
      </c>
      <c r="K104" s="122"/>
      <c r="Y104" s="126">
        <f t="shared" si="19"/>
        <v>-0.5</v>
      </c>
    </row>
    <row r="105" spans="2:25" x14ac:dyDescent="0.3">
      <c r="B105" s="12">
        <v>5.3112039298931046E-2</v>
      </c>
      <c r="C105" s="12">
        <f t="shared" si="11"/>
        <v>0</v>
      </c>
      <c r="D105" s="126">
        <f t="shared" si="12"/>
        <v>2.5095025477601719E-2</v>
      </c>
      <c r="E105" s="12">
        <f t="shared" si="13"/>
        <v>0</v>
      </c>
      <c r="F105" s="12">
        <f t="shared" si="14"/>
        <v>0</v>
      </c>
      <c r="G105" s="122">
        <f t="shared" si="15"/>
        <v>5.3112039298931046E-2</v>
      </c>
      <c r="H105" s="122">
        <f t="shared" si="16"/>
        <v>2.5095025477601719E-2</v>
      </c>
      <c r="I105" s="122">
        <f t="shared" si="17"/>
        <v>5.3112039298931046E-2</v>
      </c>
      <c r="J105" s="122">
        <f t="shared" si="18"/>
        <v>-2.5095025477601719E-2</v>
      </c>
      <c r="K105" s="122"/>
      <c r="Y105" s="126">
        <f t="shared" si="19"/>
        <v>-0.5</v>
      </c>
    </row>
    <row r="106" spans="2:25" x14ac:dyDescent="0.3">
      <c r="B106" s="12">
        <v>5.4128975612075858E-2</v>
      </c>
      <c r="C106" s="12">
        <f t="shared" si="11"/>
        <v>0</v>
      </c>
      <c r="D106" s="126">
        <f t="shared" si="12"/>
        <v>2.5282981836896264E-2</v>
      </c>
      <c r="E106" s="12">
        <f t="shared" si="13"/>
        <v>0</v>
      </c>
      <c r="F106" s="12">
        <f t="shared" si="14"/>
        <v>0</v>
      </c>
      <c r="G106" s="122">
        <f t="shared" si="15"/>
        <v>5.4128975612075858E-2</v>
      </c>
      <c r="H106" s="122">
        <f t="shared" si="16"/>
        <v>2.5282981836896264E-2</v>
      </c>
      <c r="I106" s="122">
        <f t="shared" si="17"/>
        <v>5.4128975612075858E-2</v>
      </c>
      <c r="J106" s="122">
        <f t="shared" si="18"/>
        <v>-2.5282981836896264E-2</v>
      </c>
      <c r="K106" s="122"/>
      <c r="Y106" s="126">
        <f t="shared" si="19"/>
        <v>-0.5</v>
      </c>
    </row>
    <row r="107" spans="2:25" x14ac:dyDescent="0.3">
      <c r="B107" s="12">
        <v>5.5155284744121347E-2</v>
      </c>
      <c r="C107" s="12">
        <f t="shared" si="11"/>
        <v>0</v>
      </c>
      <c r="D107" s="126">
        <f t="shared" si="12"/>
        <v>2.5470014110013546E-2</v>
      </c>
      <c r="E107" s="12">
        <f t="shared" si="13"/>
        <v>0</v>
      </c>
      <c r="F107" s="12">
        <f t="shared" si="14"/>
        <v>0</v>
      </c>
      <c r="G107" s="122">
        <f t="shared" si="15"/>
        <v>5.5155284744121347E-2</v>
      </c>
      <c r="H107" s="122">
        <f t="shared" si="16"/>
        <v>2.5470014110013546E-2</v>
      </c>
      <c r="I107" s="122">
        <f t="shared" si="17"/>
        <v>5.5155284744121347E-2</v>
      </c>
      <c r="J107" s="122">
        <f t="shared" si="18"/>
        <v>-2.5470014110013546E-2</v>
      </c>
      <c r="K107" s="122"/>
      <c r="Y107" s="126">
        <f t="shared" si="19"/>
        <v>-0.5</v>
      </c>
    </row>
    <row r="108" spans="2:25" x14ac:dyDescent="0.3">
      <c r="B108" s="12">
        <v>5.6190956525171698E-2</v>
      </c>
      <c r="C108" s="12">
        <f t="shared" si="11"/>
        <v>0</v>
      </c>
      <c r="D108" s="126">
        <f t="shared" si="12"/>
        <v>2.5656125259789827E-2</v>
      </c>
      <c r="E108" s="12">
        <f t="shared" si="13"/>
        <v>0</v>
      </c>
      <c r="F108" s="12">
        <f t="shared" si="14"/>
        <v>0</v>
      </c>
      <c r="G108" s="122">
        <f t="shared" si="15"/>
        <v>5.6190956525171698E-2</v>
      </c>
      <c r="H108" s="122">
        <f t="shared" si="16"/>
        <v>2.5656125259789827E-2</v>
      </c>
      <c r="I108" s="122">
        <f t="shared" si="17"/>
        <v>5.6190956525171698E-2</v>
      </c>
      <c r="J108" s="122">
        <f t="shared" si="18"/>
        <v>-2.5656125259789827E-2</v>
      </c>
      <c r="K108" s="122"/>
      <c r="Y108" s="126">
        <f t="shared" si="19"/>
        <v>-0.5</v>
      </c>
    </row>
    <row r="109" spans="2:25" x14ac:dyDescent="0.3">
      <c r="B109" s="12">
        <v>5.7235980692555199E-2</v>
      </c>
      <c r="C109" s="12">
        <f t="shared" si="11"/>
        <v>0</v>
      </c>
      <c r="D109" s="126">
        <f t="shared" si="12"/>
        <v>2.5841318241892192E-2</v>
      </c>
      <c r="E109" s="12">
        <f t="shared" si="13"/>
        <v>0</v>
      </c>
      <c r="F109" s="12">
        <f t="shared" si="14"/>
        <v>0</v>
      </c>
      <c r="G109" s="122">
        <f t="shared" si="15"/>
        <v>5.7235980692555199E-2</v>
      </c>
      <c r="H109" s="122">
        <f t="shared" si="16"/>
        <v>2.5841318241892192E-2</v>
      </c>
      <c r="I109" s="122">
        <f t="shared" si="17"/>
        <v>5.7235980692555199E-2</v>
      </c>
      <c r="J109" s="122">
        <f t="shared" si="18"/>
        <v>-2.5841318241892192E-2</v>
      </c>
      <c r="K109" s="122"/>
      <c r="Y109" s="126">
        <f t="shared" si="19"/>
        <v>-0.5</v>
      </c>
    </row>
    <row r="110" spans="2:25" x14ac:dyDescent="0.3">
      <c r="B110" s="12">
        <v>5.8290346890925049E-2</v>
      </c>
      <c r="C110" s="12">
        <f t="shared" si="11"/>
        <v>0</v>
      </c>
      <c r="D110" s="126">
        <f t="shared" si="12"/>
        <v>2.6025596003739142E-2</v>
      </c>
      <c r="E110" s="12">
        <f t="shared" si="13"/>
        <v>0</v>
      </c>
      <c r="F110" s="12">
        <f t="shared" si="14"/>
        <v>0</v>
      </c>
      <c r="G110" s="122">
        <f t="shared" si="15"/>
        <v>5.8290346890925049E-2</v>
      </c>
      <c r="H110" s="122">
        <f t="shared" si="16"/>
        <v>2.6025596003739142E-2</v>
      </c>
      <c r="I110" s="122">
        <f t="shared" si="17"/>
        <v>5.8290346890925049E-2</v>
      </c>
      <c r="J110" s="122">
        <f t="shared" si="18"/>
        <v>-2.6025596003739142E-2</v>
      </c>
      <c r="K110" s="122"/>
      <c r="Y110" s="126">
        <f t="shared" si="19"/>
        <v>-0.5</v>
      </c>
    </row>
    <row r="111" spans="2:25" x14ac:dyDescent="0.3">
      <c r="B111" s="12">
        <v>5.9354044672362938E-2</v>
      </c>
      <c r="C111" s="12">
        <f t="shared" si="11"/>
        <v>0</v>
      </c>
      <c r="D111" s="126">
        <f t="shared" si="12"/>
        <v>2.6208961483416771E-2</v>
      </c>
      <c r="E111" s="12">
        <f t="shared" si="13"/>
        <v>0</v>
      </c>
      <c r="F111" s="12">
        <f t="shared" si="14"/>
        <v>0</v>
      </c>
      <c r="G111" s="122">
        <f t="shared" si="15"/>
        <v>5.9354044672362938E-2</v>
      </c>
      <c r="H111" s="122">
        <f t="shared" si="16"/>
        <v>2.6208961483416771E-2</v>
      </c>
      <c r="I111" s="122">
        <f t="shared" si="17"/>
        <v>5.9354044672362938E-2</v>
      </c>
      <c r="J111" s="122">
        <f t="shared" si="18"/>
        <v>-2.6208961483416771E-2</v>
      </c>
      <c r="K111" s="122"/>
      <c r="Y111" s="126">
        <f t="shared" si="19"/>
        <v>-0.5</v>
      </c>
    </row>
    <row r="112" spans="2:25" x14ac:dyDescent="0.3">
      <c r="B112" s="12">
        <v>6.0427063496481526E-2</v>
      </c>
      <c r="C112" s="12">
        <f t="shared" si="11"/>
        <v>0</v>
      </c>
      <c r="D112" s="126">
        <f t="shared" si="12"/>
        <v>2.6391417608589748E-2</v>
      </c>
      <c r="E112" s="12">
        <f t="shared" si="13"/>
        <v>0</v>
      </c>
      <c r="F112" s="12">
        <f t="shared" si="14"/>
        <v>0</v>
      </c>
      <c r="G112" s="122">
        <f t="shared" si="15"/>
        <v>6.0427063496481526E-2</v>
      </c>
      <c r="H112" s="122">
        <f t="shared" si="16"/>
        <v>2.6391417608589748E-2</v>
      </c>
      <c r="I112" s="122">
        <f t="shared" si="17"/>
        <v>6.0427063496481526E-2</v>
      </c>
      <c r="J112" s="122">
        <f t="shared" si="18"/>
        <v>-2.6391417608589748E-2</v>
      </c>
      <c r="K112" s="122"/>
      <c r="Y112" s="126">
        <f t="shared" si="19"/>
        <v>-0.5</v>
      </c>
    </row>
    <row r="113" spans="2:25" x14ac:dyDescent="0.3">
      <c r="B113" s="12">
        <v>6.1509392730530021E-2</v>
      </c>
      <c r="C113" s="12">
        <f t="shared" si="11"/>
        <v>0</v>
      </c>
      <c r="D113" s="126">
        <f t="shared" si="12"/>
        <v>2.6572967295408235E-2</v>
      </c>
      <c r="E113" s="12">
        <f t="shared" si="13"/>
        <v>0</v>
      </c>
      <c r="F113" s="12">
        <f t="shared" si="14"/>
        <v>0</v>
      </c>
      <c r="G113" s="122">
        <f t="shared" si="15"/>
        <v>6.1509392730530021E-2</v>
      </c>
      <c r="H113" s="122">
        <f t="shared" si="16"/>
        <v>2.6572967295408235E-2</v>
      </c>
      <c r="I113" s="122">
        <f t="shared" si="17"/>
        <v>6.1509392730530021E-2</v>
      </c>
      <c r="J113" s="122">
        <f t="shared" si="18"/>
        <v>-2.6572967295408235E-2</v>
      </c>
      <c r="K113" s="122"/>
      <c r="Y113" s="126">
        <f t="shared" si="19"/>
        <v>-0.5</v>
      </c>
    </row>
    <row r="114" spans="2:25" x14ac:dyDescent="0.3">
      <c r="B114" s="12">
        <v>6.2601021649498656E-2</v>
      </c>
      <c r="C114" s="12">
        <f t="shared" si="11"/>
        <v>0</v>
      </c>
      <c r="D114" s="126">
        <f t="shared" si="12"/>
        <v>2.6753613447409962E-2</v>
      </c>
      <c r="E114" s="12">
        <f t="shared" si="13"/>
        <v>0</v>
      </c>
      <c r="F114" s="12">
        <f t="shared" si="14"/>
        <v>0</v>
      </c>
      <c r="G114" s="122">
        <f t="shared" si="15"/>
        <v>6.2601021649498656E-2</v>
      </c>
      <c r="H114" s="122">
        <f t="shared" si="16"/>
        <v>2.6753613447409962E-2</v>
      </c>
      <c r="I114" s="122">
        <f t="shared" si="17"/>
        <v>6.2601021649498656E-2</v>
      </c>
      <c r="J114" s="122">
        <f t="shared" si="18"/>
        <v>-2.6753613447409962E-2</v>
      </c>
      <c r="K114" s="122"/>
      <c r="Y114" s="126">
        <f t="shared" si="19"/>
        <v>-0.5</v>
      </c>
    </row>
    <row r="115" spans="2:25" x14ac:dyDescent="0.3">
      <c r="B115" s="12">
        <v>6.3701939436225374E-2</v>
      </c>
      <c r="C115" s="12">
        <f t="shared" si="11"/>
        <v>0</v>
      </c>
      <c r="D115" s="126">
        <f t="shared" si="12"/>
        <v>2.6933358954418226E-2</v>
      </c>
      <c r="E115" s="12">
        <f t="shared" si="13"/>
        <v>0</v>
      </c>
      <c r="F115" s="12">
        <f t="shared" si="14"/>
        <v>0</v>
      </c>
      <c r="G115" s="122">
        <f t="shared" si="15"/>
        <v>6.3701939436225374E-2</v>
      </c>
      <c r="H115" s="122">
        <f t="shared" si="16"/>
        <v>2.6933358954418226E-2</v>
      </c>
      <c r="I115" s="122">
        <f t="shared" si="17"/>
        <v>6.3701939436225374E-2</v>
      </c>
      <c r="J115" s="122">
        <f t="shared" si="18"/>
        <v>-2.6933358954418226E-2</v>
      </c>
      <c r="K115" s="122"/>
      <c r="Y115" s="126">
        <f t="shared" si="19"/>
        <v>-0.5</v>
      </c>
    </row>
    <row r="116" spans="2:25" x14ac:dyDescent="0.3">
      <c r="B116" s="12">
        <v>6.4812135181502861E-2</v>
      </c>
      <c r="C116" s="12">
        <f t="shared" si="11"/>
        <v>0</v>
      </c>
      <c r="D116" s="126">
        <f t="shared" si="12"/>
        <v>2.7112206691435676E-2</v>
      </c>
      <c r="E116" s="12">
        <f t="shared" si="13"/>
        <v>0</v>
      </c>
      <c r="F116" s="12">
        <f t="shared" si="14"/>
        <v>0</v>
      </c>
      <c r="G116" s="122">
        <f t="shared" si="15"/>
        <v>6.4812135181502861E-2</v>
      </c>
      <c r="H116" s="122">
        <f t="shared" si="16"/>
        <v>2.7112206691435676E-2</v>
      </c>
      <c r="I116" s="122">
        <f t="shared" si="17"/>
        <v>6.4812135181502861E-2</v>
      </c>
      <c r="J116" s="122">
        <f t="shared" si="18"/>
        <v>-2.7112206691435676E-2</v>
      </c>
      <c r="K116" s="122"/>
      <c r="Y116" s="126">
        <f t="shared" si="19"/>
        <v>-0.5</v>
      </c>
    </row>
    <row r="117" spans="2:25" x14ac:dyDescent="0.3">
      <c r="B117" s="12">
        <v>6.5931597884186899E-2</v>
      </c>
      <c r="C117" s="12">
        <f t="shared" si="11"/>
        <v>0</v>
      </c>
      <c r="D117" s="126">
        <f t="shared" si="12"/>
        <v>2.7290159517534142E-2</v>
      </c>
      <c r="E117" s="12">
        <f t="shared" si="13"/>
        <v>0</v>
      </c>
      <c r="F117" s="12">
        <f t="shared" si="14"/>
        <v>0</v>
      </c>
      <c r="G117" s="122">
        <f t="shared" si="15"/>
        <v>6.5931597884186899E-2</v>
      </c>
      <c r="H117" s="122">
        <f t="shared" si="16"/>
        <v>2.7290159517534142E-2</v>
      </c>
      <c r="I117" s="122">
        <f t="shared" si="17"/>
        <v>6.5931597884186899E-2</v>
      </c>
      <c r="J117" s="122">
        <f t="shared" si="18"/>
        <v>-2.7290159517534142E-2</v>
      </c>
      <c r="K117" s="122"/>
      <c r="Y117" s="126">
        <f t="shared" si="19"/>
        <v>-0.5</v>
      </c>
    </row>
    <row r="118" spans="2:25" x14ac:dyDescent="0.3">
      <c r="B118" s="12">
        <v>6.7060316451305058E-2</v>
      </c>
      <c r="C118" s="12">
        <f t="shared" si="11"/>
        <v>0</v>
      </c>
      <c r="D118" s="126">
        <f t="shared" si="12"/>
        <v>2.7467220274740512E-2</v>
      </c>
      <c r="E118" s="12">
        <f t="shared" si="13"/>
        <v>0</v>
      </c>
      <c r="F118" s="12">
        <f t="shared" si="14"/>
        <v>0</v>
      </c>
      <c r="G118" s="122">
        <f t="shared" si="15"/>
        <v>6.7060316451305058E-2</v>
      </c>
      <c r="H118" s="122">
        <f t="shared" si="16"/>
        <v>2.7467220274740512E-2</v>
      </c>
      <c r="I118" s="122">
        <f t="shared" si="17"/>
        <v>6.7060316451305058E-2</v>
      </c>
      <c r="J118" s="122">
        <f t="shared" si="18"/>
        <v>-2.7467220274740512E-2</v>
      </c>
      <c r="K118" s="122"/>
      <c r="Y118" s="126">
        <f t="shared" si="19"/>
        <v>-0.5</v>
      </c>
    </row>
    <row r="119" spans="2:25" x14ac:dyDescent="0.3">
      <c r="B119" s="12">
        <v>6.8198279698166608E-2</v>
      </c>
      <c r="C119" s="12">
        <f t="shared" si="11"/>
        <v>0</v>
      </c>
      <c r="D119" s="126">
        <f t="shared" si="12"/>
        <v>2.7643391786918877E-2</v>
      </c>
      <c r="E119" s="12">
        <f t="shared" si="13"/>
        <v>0</v>
      </c>
      <c r="F119" s="12">
        <f t="shared" si="14"/>
        <v>0</v>
      </c>
      <c r="G119" s="122">
        <f t="shared" si="15"/>
        <v>6.8198279698166608E-2</v>
      </c>
      <c r="H119" s="122">
        <f t="shared" si="16"/>
        <v>2.7643391786918877E-2</v>
      </c>
      <c r="I119" s="122">
        <f t="shared" si="17"/>
        <v>6.8198279698166608E-2</v>
      </c>
      <c r="J119" s="122">
        <f t="shared" si="18"/>
        <v>-2.7643391786918877E-2</v>
      </c>
      <c r="K119" s="122"/>
      <c r="Y119" s="126">
        <f t="shared" si="19"/>
        <v>-0.5</v>
      </c>
    </row>
    <row r="120" spans="2:25" x14ac:dyDescent="0.3">
      <c r="B120" s="12">
        <v>6.9345476348473767E-2</v>
      </c>
      <c r="C120" s="12">
        <f t="shared" si="11"/>
        <v>0</v>
      </c>
      <c r="D120" s="126">
        <f t="shared" si="12"/>
        <v>2.7818676858649222E-2</v>
      </c>
      <c r="E120" s="12">
        <f t="shared" si="13"/>
        <v>0</v>
      </c>
      <c r="F120" s="12">
        <f t="shared" si="14"/>
        <v>0</v>
      </c>
      <c r="G120" s="122">
        <f t="shared" si="15"/>
        <v>6.9345476348473767E-2</v>
      </c>
      <c r="H120" s="122">
        <f t="shared" si="16"/>
        <v>2.7818676858649222E-2</v>
      </c>
      <c r="I120" s="122">
        <f t="shared" si="17"/>
        <v>6.9345476348473767E-2</v>
      </c>
      <c r="J120" s="122">
        <f t="shared" si="18"/>
        <v>-2.7818676858649222E-2</v>
      </c>
      <c r="K120" s="122"/>
      <c r="Y120" s="126">
        <f t="shared" si="19"/>
        <v>-0.5</v>
      </c>
    </row>
    <row r="121" spans="2:25" x14ac:dyDescent="0.3">
      <c r="B121" s="12">
        <v>7.050189503443316E-2</v>
      </c>
      <c r="C121" s="12">
        <f t="shared" si="11"/>
        <v>0</v>
      </c>
      <c r="D121" s="126">
        <f t="shared" si="12"/>
        <v>2.7993078274102579E-2</v>
      </c>
      <c r="E121" s="12">
        <f t="shared" si="13"/>
        <v>0</v>
      </c>
      <c r="F121" s="12">
        <f t="shared" si="14"/>
        <v>0</v>
      </c>
      <c r="G121" s="122">
        <f t="shared" si="15"/>
        <v>7.050189503443316E-2</v>
      </c>
      <c r="H121" s="122">
        <f t="shared" si="16"/>
        <v>2.7993078274102579E-2</v>
      </c>
      <c r="I121" s="122">
        <f t="shared" si="17"/>
        <v>7.050189503443316E-2</v>
      </c>
      <c r="J121" s="122">
        <f t="shared" si="18"/>
        <v>-2.7993078274102579E-2</v>
      </c>
      <c r="K121" s="122"/>
      <c r="Y121" s="126">
        <f t="shared" si="19"/>
        <v>-0.5</v>
      </c>
    </row>
    <row r="122" spans="2:25" x14ac:dyDescent="0.3">
      <c r="B122" s="12">
        <v>7.1667524296868401E-2</v>
      </c>
      <c r="C122" s="12">
        <f t="shared" si="11"/>
        <v>0</v>
      </c>
      <c r="D122" s="126">
        <f t="shared" si="12"/>
        <v>2.8166598795912757E-2</v>
      </c>
      <c r="E122" s="12">
        <f t="shared" si="13"/>
        <v>0</v>
      </c>
      <c r="F122" s="12">
        <f t="shared" si="14"/>
        <v>0</v>
      </c>
      <c r="G122" s="122">
        <f t="shared" si="15"/>
        <v>7.1667524296868401E-2</v>
      </c>
      <c r="H122" s="122">
        <f t="shared" si="16"/>
        <v>2.8166598795912757E-2</v>
      </c>
      <c r="I122" s="122">
        <f t="shared" si="17"/>
        <v>7.1667524296868401E-2</v>
      </c>
      <c r="J122" s="122">
        <f t="shared" si="18"/>
        <v>-2.8166598795912757E-2</v>
      </c>
      <c r="K122" s="122"/>
      <c r="Y122" s="126">
        <f t="shared" si="19"/>
        <v>-0.5</v>
      </c>
    </row>
    <row r="123" spans="2:25" x14ac:dyDescent="0.3">
      <c r="B123" s="12">
        <v>7.2842352585333559E-2</v>
      </c>
      <c r="C123" s="12">
        <f t="shared" si="11"/>
        <v>0</v>
      </c>
      <c r="D123" s="126">
        <f t="shared" si="12"/>
        <v>2.8339241164045185E-2</v>
      </c>
      <c r="E123" s="12">
        <f t="shared" si="13"/>
        <v>0</v>
      </c>
      <c r="F123" s="12">
        <f t="shared" si="14"/>
        <v>0</v>
      </c>
      <c r="G123" s="122">
        <f t="shared" si="15"/>
        <v>7.2842352585333559E-2</v>
      </c>
      <c r="H123" s="122">
        <f t="shared" si="16"/>
        <v>2.8339241164045185E-2</v>
      </c>
      <c r="I123" s="122">
        <f t="shared" si="17"/>
        <v>7.2842352585333559E-2</v>
      </c>
      <c r="J123" s="122">
        <f t="shared" si="18"/>
        <v>-2.8339241164045185E-2</v>
      </c>
      <c r="K123" s="122"/>
      <c r="Y123" s="126">
        <f t="shared" si="19"/>
        <v>-0.5</v>
      </c>
    </row>
    <row r="124" spans="2:25" x14ac:dyDescent="0.3">
      <c r="B124" s="12">
        <v>7.4026368258227948E-2</v>
      </c>
      <c r="C124" s="12">
        <f t="shared" si="11"/>
        <v>0</v>
      </c>
      <c r="D124" s="126">
        <f t="shared" si="12"/>
        <v>2.8511008094662518E-2</v>
      </c>
      <c r="E124" s="12">
        <f t="shared" si="13"/>
        <v>0</v>
      </c>
      <c r="F124" s="12">
        <f t="shared" si="14"/>
        <v>0</v>
      </c>
      <c r="G124" s="122">
        <f t="shared" si="15"/>
        <v>7.4026368258227948E-2</v>
      </c>
      <c r="H124" s="122">
        <f t="shared" si="16"/>
        <v>2.8511008094662518E-2</v>
      </c>
      <c r="I124" s="122">
        <f t="shared" si="17"/>
        <v>7.4026368258227948E-2</v>
      </c>
      <c r="J124" s="122">
        <f t="shared" si="18"/>
        <v>-2.8511008094662518E-2</v>
      </c>
      <c r="K124" s="122"/>
      <c r="Y124" s="126">
        <f t="shared" si="19"/>
        <v>-0.5</v>
      </c>
    </row>
    <row r="125" spans="2:25" x14ac:dyDescent="0.3">
      <c r="B125" s="12">
        <v>7.5219559582911377E-2</v>
      </c>
      <c r="C125" s="12">
        <f t="shared" si="11"/>
        <v>0</v>
      </c>
      <c r="D125" s="126">
        <f t="shared" si="12"/>
        <v>2.8681902278987498E-2</v>
      </c>
      <c r="E125" s="12">
        <f t="shared" si="13"/>
        <v>0</v>
      </c>
      <c r="F125" s="12">
        <f t="shared" si="14"/>
        <v>0</v>
      </c>
      <c r="G125" s="122">
        <f t="shared" si="15"/>
        <v>7.5219559582911377E-2</v>
      </c>
      <c r="H125" s="122">
        <f t="shared" si="16"/>
        <v>2.8681902278987498E-2</v>
      </c>
      <c r="I125" s="122">
        <f t="shared" si="17"/>
        <v>7.5219559582911377E-2</v>
      </c>
      <c r="J125" s="122">
        <f t="shared" si="18"/>
        <v>-2.8681902278987498E-2</v>
      </c>
      <c r="K125" s="122"/>
      <c r="Y125" s="126">
        <f t="shared" si="19"/>
        <v>-0.5</v>
      </c>
    </row>
    <row r="126" spans="2:25" x14ac:dyDescent="0.3">
      <c r="B126" s="12">
        <v>7.6421914735820273E-2</v>
      </c>
      <c r="C126" s="12">
        <f t="shared" si="11"/>
        <v>0</v>
      </c>
      <c r="D126" s="126">
        <f t="shared" si="12"/>
        <v>2.8851926382163044E-2</v>
      </c>
      <c r="E126" s="12">
        <f t="shared" si="13"/>
        <v>0</v>
      </c>
      <c r="F126" s="12">
        <f t="shared" si="14"/>
        <v>0</v>
      </c>
      <c r="G126" s="122">
        <f t="shared" si="15"/>
        <v>7.6421914735820273E-2</v>
      </c>
      <c r="H126" s="122">
        <f t="shared" si="16"/>
        <v>2.8851926382163044E-2</v>
      </c>
      <c r="I126" s="122">
        <f t="shared" si="17"/>
        <v>7.6421914735820273E-2</v>
      </c>
      <c r="J126" s="122">
        <f t="shared" si="18"/>
        <v>-2.8851926382163044E-2</v>
      </c>
      <c r="K126" s="122"/>
      <c r="Y126" s="126">
        <f t="shared" si="19"/>
        <v>-0.5</v>
      </c>
    </row>
    <row r="127" spans="2:25" x14ac:dyDescent="0.3">
      <c r="B127" s="12">
        <v>7.7633421802584812E-2</v>
      </c>
      <c r="C127" s="12">
        <f t="shared" si="11"/>
        <v>0</v>
      </c>
      <c r="D127" s="126">
        <f t="shared" si="12"/>
        <v>2.9021083042109729E-2</v>
      </c>
      <c r="E127" s="12">
        <f t="shared" si="13"/>
        <v>0</v>
      </c>
      <c r="F127" s="12">
        <f t="shared" si="14"/>
        <v>0</v>
      </c>
      <c r="G127" s="122">
        <f t="shared" si="15"/>
        <v>7.7633421802584812E-2</v>
      </c>
      <c r="H127" s="122">
        <f t="shared" si="16"/>
        <v>2.9021083042109729E-2</v>
      </c>
      <c r="I127" s="122">
        <f t="shared" si="17"/>
        <v>7.7633421802584812E-2</v>
      </c>
      <c r="J127" s="122">
        <f t="shared" si="18"/>
        <v>-2.9021083042109729E-2</v>
      </c>
      <c r="K127" s="122"/>
      <c r="Y127" s="126">
        <f t="shared" si="19"/>
        <v>-0.5</v>
      </c>
    </row>
    <row r="128" spans="2:25" x14ac:dyDescent="0.3">
      <c r="B128" s="12">
        <v>7.8854068778147268E-2</v>
      </c>
      <c r="C128" s="12">
        <f t="shared" si="11"/>
        <v>0</v>
      </c>
      <c r="D128" s="126">
        <f t="shared" si="12"/>
        <v>2.9189374868380965E-2</v>
      </c>
      <c r="E128" s="12">
        <f t="shared" si="13"/>
        <v>0</v>
      </c>
      <c r="F128" s="12">
        <f t="shared" si="14"/>
        <v>0</v>
      </c>
      <c r="G128" s="122">
        <f t="shared" si="15"/>
        <v>7.8854068778147268E-2</v>
      </c>
      <c r="H128" s="122">
        <f t="shared" si="16"/>
        <v>2.9189374868380965E-2</v>
      </c>
      <c r="I128" s="122">
        <f t="shared" si="17"/>
        <v>7.8854068778147268E-2</v>
      </c>
      <c r="J128" s="122">
        <f t="shared" si="18"/>
        <v>-2.9189374868380965E-2</v>
      </c>
      <c r="K128" s="122"/>
      <c r="Y128" s="126">
        <f t="shared" si="19"/>
        <v>-0.5</v>
      </c>
    </row>
    <row r="129" spans="2:25" x14ac:dyDescent="0.3">
      <c r="B129" s="12">
        <v>8.0083843566880586E-2</v>
      </c>
      <c r="C129" s="12">
        <f t="shared" ref="C129:C192" si="20">IF($A$1=0, 0, IF(B129&lt;=$A$2, ($A$1/$A$2^2)*(2*$A$2*B129-B129^2), ($A$1/(1-$A$2)^2)*((1-2*$A$2)+2*$A$2*B129-B129^2)))</f>
        <v>0</v>
      </c>
      <c r="D129" s="126">
        <f t="shared" ref="D129:D192" si="21">IF(B129&lt;$N$1, ($A$3/0.2)*($O$1*SQRT(B129)+$P$1*B129+$Q$1*(B129^2)+$R$1*(B129^3)), ($A$3/0.2)*($S$1+$T$1*(1-B129)+$U$1*((1-B129)^2)+$V$1*((1-B129)^3)))</f>
        <v>2.9356804441015731E-2</v>
      </c>
      <c r="E129" s="12">
        <f t="shared" si="13"/>
        <v>0</v>
      </c>
      <c r="F129" s="12">
        <f t="shared" si="14"/>
        <v>0</v>
      </c>
      <c r="G129" s="122">
        <f t="shared" si="15"/>
        <v>8.0083843566880586E-2</v>
      </c>
      <c r="H129" s="122">
        <f t="shared" si="16"/>
        <v>2.9356804441015731E-2</v>
      </c>
      <c r="I129" s="122">
        <f t="shared" si="17"/>
        <v>8.0083843566880586E-2</v>
      </c>
      <c r="J129" s="122">
        <f t="shared" si="18"/>
        <v>-2.9356804441015731E-2</v>
      </c>
      <c r="K129" s="122"/>
      <c r="Y129" s="126">
        <f t="shared" si="19"/>
        <v>-0.5</v>
      </c>
    </row>
    <row r="130" spans="2:25" x14ac:dyDescent="0.3">
      <c r="B130" s="12">
        <v>8.1322733982708617E-2</v>
      </c>
      <c r="C130" s="12">
        <f t="shared" si="20"/>
        <v>0</v>
      </c>
      <c r="D130" s="126">
        <f t="shared" si="21"/>
        <v>2.9523374309389314E-2</v>
      </c>
      <c r="E130" s="12">
        <f t="shared" ref="E130:E193" si="22">IF($A$1=0, 0, IF(B130&lt;=$A$2, ($A$1/$A$2^2) *(2*$A$2-2*B130), ($A$1/(1-$A$2)^2)*(2*$A$2-2*B130)))</f>
        <v>0</v>
      </c>
      <c r="F130" s="12">
        <f t="shared" ref="F130:F193" si="23">IF($A$1=0, 0,  ATAN(E130))</f>
        <v>0</v>
      </c>
      <c r="G130" s="122">
        <f t="shared" ref="G130:G193" si="24">B130-D130*SIN(F130)</f>
        <v>8.1322733982708617E-2</v>
      </c>
      <c r="H130" s="122">
        <f t="shared" ref="H130:H193" si="25">C130+D130*COS(F130)</f>
        <v>2.9523374309389314E-2</v>
      </c>
      <c r="I130" s="122">
        <f t="shared" ref="I130:I193" si="26">B130+D130*SIN(F130)</f>
        <v>8.1322733982708617E-2</v>
      </c>
      <c r="J130" s="122">
        <f t="shared" ref="J130:J193" si="27">C130-D130*COS(F130)</f>
        <v>-2.9523374309389314E-2</v>
      </c>
      <c r="K130" s="122"/>
      <c r="Y130" s="126">
        <f t="shared" ref="Y130:Y193" si="28">IF($Z$1, C130, -0.5)</f>
        <v>-0.5</v>
      </c>
    </row>
    <row r="131" spans="2:25" x14ac:dyDescent="0.3">
      <c r="B131" s="12">
        <v>8.2570727749226691E-2</v>
      </c>
      <c r="C131" s="12">
        <f t="shared" si="20"/>
        <v>0</v>
      </c>
      <c r="D131" s="126">
        <f t="shared" si="21"/>
        <v>2.9689086991062E-2</v>
      </c>
      <c r="E131" s="12">
        <f t="shared" si="22"/>
        <v>0</v>
      </c>
      <c r="F131" s="12">
        <f t="shared" si="23"/>
        <v>0</v>
      </c>
      <c r="G131" s="122">
        <f t="shared" si="24"/>
        <v>8.2570727749226691E-2</v>
      </c>
      <c r="H131" s="122">
        <f t="shared" si="25"/>
        <v>2.9689086991062E-2</v>
      </c>
      <c r="I131" s="122">
        <f t="shared" si="26"/>
        <v>8.2570727749226691E-2</v>
      </c>
      <c r="J131" s="122">
        <f t="shared" si="27"/>
        <v>-2.9689086991062E-2</v>
      </c>
      <c r="K131" s="122"/>
      <c r="Y131" s="126">
        <f t="shared" si="28"/>
        <v>-0.5</v>
      </c>
    </row>
    <row r="132" spans="2:25" x14ac:dyDescent="0.3">
      <c r="B132" s="12">
        <v>8.3827812499823295E-2</v>
      </c>
      <c r="C132" s="12">
        <f t="shared" si="20"/>
        <v>0</v>
      </c>
      <c r="D132" s="126">
        <f t="shared" si="21"/>
        <v>2.9853944970625875E-2</v>
      </c>
      <c r="E132" s="12">
        <f t="shared" si="22"/>
        <v>0</v>
      </c>
      <c r="F132" s="12">
        <f t="shared" si="23"/>
        <v>0</v>
      </c>
      <c r="G132" s="122">
        <f t="shared" si="24"/>
        <v>8.3827812499823295E-2</v>
      </c>
      <c r="H132" s="122">
        <f t="shared" si="25"/>
        <v>2.9853944970625875E-2</v>
      </c>
      <c r="I132" s="122">
        <f t="shared" si="26"/>
        <v>8.3827812499823295E-2</v>
      </c>
      <c r="J132" s="122">
        <f t="shared" si="27"/>
        <v>-2.9853944970625875E-2</v>
      </c>
      <c r="K132" s="122"/>
      <c r="Y132" s="126">
        <f t="shared" si="28"/>
        <v>-0.5</v>
      </c>
    </row>
    <row r="133" spans="2:25" x14ac:dyDescent="0.3">
      <c r="B133" s="12">
        <v>8.5093975777802311E-2</v>
      </c>
      <c r="C133" s="12">
        <f t="shared" si="20"/>
        <v>0</v>
      </c>
      <c r="D133" s="126">
        <f t="shared" si="21"/>
        <v>3.0017950698550056E-2</v>
      </c>
      <c r="E133" s="12">
        <f t="shared" si="22"/>
        <v>0</v>
      </c>
      <c r="F133" s="12">
        <f t="shared" si="23"/>
        <v>0</v>
      </c>
      <c r="G133" s="122">
        <f t="shared" si="24"/>
        <v>8.5093975777802311E-2</v>
      </c>
      <c r="H133" s="122">
        <f t="shared" si="25"/>
        <v>3.0017950698550056E-2</v>
      </c>
      <c r="I133" s="122">
        <f t="shared" si="26"/>
        <v>8.5093975777802311E-2</v>
      </c>
      <c r="J133" s="122">
        <f t="shared" si="27"/>
        <v>-3.0017950698550056E-2</v>
      </c>
      <c r="K133" s="122"/>
      <c r="Y133" s="126">
        <f t="shared" si="28"/>
        <v>-0.5</v>
      </c>
    </row>
    <row r="134" spans="2:25" x14ac:dyDescent="0.3">
      <c r="B134" s="12">
        <v>8.6369205036507135E-2</v>
      </c>
      <c r="C134" s="12">
        <f t="shared" si="20"/>
        <v>0</v>
      </c>
      <c r="D134" s="126">
        <f t="shared" si="21"/>
        <v>3.018110659002431E-2</v>
      </c>
      <c r="E134" s="12">
        <f t="shared" si="22"/>
        <v>0</v>
      </c>
      <c r="F134" s="12">
        <f t="shared" si="23"/>
        <v>0</v>
      </c>
      <c r="G134" s="122">
        <f t="shared" si="24"/>
        <v>8.6369205036507135E-2</v>
      </c>
      <c r="H134" s="122">
        <f t="shared" si="25"/>
        <v>3.018110659002431E-2</v>
      </c>
      <c r="I134" s="122">
        <f t="shared" si="26"/>
        <v>8.6369205036507135E-2</v>
      </c>
      <c r="J134" s="122">
        <f t="shared" si="27"/>
        <v>-3.018110659002431E-2</v>
      </c>
      <c r="K134" s="122"/>
      <c r="Y134" s="126">
        <f t="shared" si="28"/>
        <v>-0.5</v>
      </c>
    </row>
    <row r="135" spans="2:25" x14ac:dyDescent="0.3">
      <c r="B135" s="12">
        <v>8.7653487639444361E-2</v>
      </c>
      <c r="C135" s="12">
        <f t="shared" si="20"/>
        <v>0</v>
      </c>
      <c r="D135" s="126">
        <f t="shared" si="21"/>
        <v>3.0343415023801282E-2</v>
      </c>
      <c r="E135" s="12">
        <f t="shared" si="22"/>
        <v>0</v>
      </c>
      <c r="F135" s="12">
        <f t="shared" si="23"/>
        <v>0</v>
      </c>
      <c r="G135" s="122">
        <f t="shared" si="24"/>
        <v>8.7653487639444361E-2</v>
      </c>
      <c r="H135" s="122">
        <f t="shared" si="25"/>
        <v>3.0343415023801282E-2</v>
      </c>
      <c r="I135" s="122">
        <f t="shared" si="26"/>
        <v>8.7653487639444361E-2</v>
      </c>
      <c r="J135" s="122">
        <f t="shared" si="27"/>
        <v>-3.0343415023801282E-2</v>
      </c>
      <c r="K135" s="122"/>
      <c r="Y135" s="126">
        <f t="shared" si="28"/>
        <v>-0.5</v>
      </c>
    </row>
    <row r="136" spans="2:25" x14ac:dyDescent="0.3">
      <c r="B136" s="12">
        <v>8.8946810860409342E-2</v>
      </c>
      <c r="C136" s="12">
        <f t="shared" si="20"/>
        <v>0</v>
      </c>
      <c r="D136" s="126">
        <f t="shared" si="21"/>
        <v>3.0504878341037517E-2</v>
      </c>
      <c r="E136" s="12">
        <f t="shared" si="22"/>
        <v>0</v>
      </c>
      <c r="F136" s="12">
        <f t="shared" si="23"/>
        <v>0</v>
      </c>
      <c r="G136" s="122">
        <f t="shared" si="24"/>
        <v>8.8946810860409342E-2</v>
      </c>
      <c r="H136" s="122">
        <f t="shared" si="25"/>
        <v>3.0504878341037517E-2</v>
      </c>
      <c r="I136" s="122">
        <f t="shared" si="26"/>
        <v>8.8946810860409342E-2</v>
      </c>
      <c r="J136" s="122">
        <f t="shared" si="27"/>
        <v>-3.0504878341037517E-2</v>
      </c>
      <c r="K136" s="122"/>
      <c r="Y136" s="126">
        <f t="shared" si="28"/>
        <v>-0.5</v>
      </c>
    </row>
    <row r="137" spans="2:25" x14ac:dyDescent="0.3">
      <c r="B137" s="12">
        <v>9.0249161883612206E-2</v>
      </c>
      <c r="C137" s="12">
        <f t="shared" si="20"/>
        <v>0</v>
      </c>
      <c r="D137" s="126">
        <f t="shared" si="21"/>
        <v>3.066549884413337E-2</v>
      </c>
      <c r="E137" s="12">
        <f t="shared" si="22"/>
        <v>0</v>
      </c>
      <c r="F137" s="12">
        <f t="shared" si="23"/>
        <v>0</v>
      </c>
      <c r="G137" s="122">
        <f t="shared" si="24"/>
        <v>9.0249161883612206E-2</v>
      </c>
      <c r="H137" s="122">
        <f t="shared" si="25"/>
        <v>3.066549884413337E-2</v>
      </c>
      <c r="I137" s="122">
        <f t="shared" si="26"/>
        <v>9.0249161883612206E-2</v>
      </c>
      <c r="J137" s="122">
        <f t="shared" si="27"/>
        <v>-3.066549884413337E-2</v>
      </c>
      <c r="K137" s="122"/>
      <c r="Y137" s="126">
        <f t="shared" si="28"/>
        <v>-0.5</v>
      </c>
    </row>
    <row r="138" spans="2:25" x14ac:dyDescent="0.3">
      <c r="B138" s="12">
        <v>9.1560527803804637E-2</v>
      </c>
      <c r="C138" s="12">
        <f t="shared" si="20"/>
        <v>0</v>
      </c>
      <c r="D138" s="126">
        <f t="shared" si="21"/>
        <v>3.0825278795571984E-2</v>
      </c>
      <c r="E138" s="12">
        <f t="shared" si="22"/>
        <v>0</v>
      </c>
      <c r="F138" s="12">
        <f t="shared" si="23"/>
        <v>0</v>
      </c>
      <c r="G138" s="122">
        <f t="shared" si="24"/>
        <v>9.1560527803804637E-2</v>
      </c>
      <c r="H138" s="122">
        <f t="shared" si="25"/>
        <v>3.0825278795571984E-2</v>
      </c>
      <c r="I138" s="122">
        <f t="shared" si="26"/>
        <v>9.1560527803804637E-2</v>
      </c>
      <c r="J138" s="122">
        <f t="shared" si="27"/>
        <v>-3.0825278795571984E-2</v>
      </c>
      <c r="K138" s="122"/>
      <c r="Y138" s="126">
        <f t="shared" si="28"/>
        <v>-0.5</v>
      </c>
    </row>
    <row r="139" spans="2:25" x14ac:dyDescent="0.3">
      <c r="B139" s="12">
        <v>9.2880895626408333E-2</v>
      </c>
      <c r="C139" s="12">
        <f t="shared" si="20"/>
        <v>0</v>
      </c>
      <c r="D139" s="126">
        <f t="shared" si="21"/>
        <v>3.0984220416757489E-2</v>
      </c>
      <c r="E139" s="12">
        <f t="shared" si="22"/>
        <v>0</v>
      </c>
      <c r="F139" s="12">
        <f t="shared" si="23"/>
        <v>0</v>
      </c>
      <c r="G139" s="122">
        <f t="shared" si="24"/>
        <v>9.2880895626408333E-2</v>
      </c>
      <c r="H139" s="122">
        <f t="shared" si="25"/>
        <v>3.0984220416757489E-2</v>
      </c>
      <c r="I139" s="122">
        <f t="shared" si="26"/>
        <v>9.2880895626408333E-2</v>
      </c>
      <c r="J139" s="122">
        <f t="shared" si="27"/>
        <v>-3.0984220416757489E-2</v>
      </c>
      <c r="K139" s="122"/>
      <c r="Y139" s="126">
        <f t="shared" si="28"/>
        <v>-0.5</v>
      </c>
    </row>
    <row r="140" spans="2:25" x14ac:dyDescent="0.3">
      <c r="B140" s="12">
        <v>9.4210252267643013E-2</v>
      </c>
      <c r="C140" s="12">
        <f t="shared" si="20"/>
        <v>0</v>
      </c>
      <c r="D140" s="126">
        <f t="shared" si="21"/>
        <v>3.1142325886852538E-2</v>
      </c>
      <c r="E140" s="12">
        <f t="shared" si="22"/>
        <v>0</v>
      </c>
      <c r="F140" s="12">
        <f t="shared" si="23"/>
        <v>0</v>
      </c>
      <c r="G140" s="122">
        <f t="shared" si="24"/>
        <v>9.4210252267643013E-2</v>
      </c>
      <c r="H140" s="122">
        <f t="shared" si="25"/>
        <v>3.1142325886852538E-2</v>
      </c>
      <c r="I140" s="122">
        <f t="shared" si="26"/>
        <v>9.4210252267643013E-2</v>
      </c>
      <c r="J140" s="122">
        <f t="shared" si="27"/>
        <v>-3.1142325886852538E-2</v>
      </c>
      <c r="K140" s="122"/>
      <c r="Y140" s="126">
        <f t="shared" si="28"/>
        <v>-0.5</v>
      </c>
    </row>
    <row r="141" spans="2:25" x14ac:dyDescent="0.3">
      <c r="B141" s="12">
        <v>9.5548584554656757E-2</v>
      </c>
      <c r="C141" s="12">
        <f t="shared" si="20"/>
        <v>0</v>
      </c>
      <c r="D141" s="126">
        <f t="shared" si="21"/>
        <v>3.129959734161547E-2</v>
      </c>
      <c r="E141" s="12">
        <f t="shared" si="22"/>
        <v>0</v>
      </c>
      <c r="F141" s="12">
        <f t="shared" si="23"/>
        <v>0</v>
      </c>
      <c r="G141" s="122">
        <f t="shared" si="24"/>
        <v>9.5548584554656757E-2</v>
      </c>
      <c r="H141" s="122">
        <f t="shared" si="25"/>
        <v>3.129959734161547E-2</v>
      </c>
      <c r="I141" s="122">
        <f t="shared" si="26"/>
        <v>9.5548584554656757E-2</v>
      </c>
      <c r="J141" s="122">
        <f t="shared" si="27"/>
        <v>-3.129959734161547E-2</v>
      </c>
      <c r="K141" s="122"/>
      <c r="Y141" s="126">
        <f t="shared" si="28"/>
        <v>-0.5</v>
      </c>
    </row>
    <row r="142" spans="2:25" x14ac:dyDescent="0.3">
      <c r="B142" s="12">
        <v>9.6895879225656123E-2</v>
      </c>
      <c r="C142" s="12">
        <f t="shared" si="20"/>
        <v>0</v>
      </c>
      <c r="D142" s="126">
        <f t="shared" si="21"/>
        <v>3.145603687223697E-2</v>
      </c>
      <c r="E142" s="12">
        <f t="shared" si="22"/>
        <v>0</v>
      </c>
      <c r="F142" s="12">
        <f t="shared" si="23"/>
        <v>0</v>
      </c>
      <c r="G142" s="122">
        <f t="shared" si="24"/>
        <v>9.6895879225656123E-2</v>
      </c>
      <c r="H142" s="122">
        <f t="shared" si="25"/>
        <v>3.145603687223697E-2</v>
      </c>
      <c r="I142" s="122">
        <f t="shared" si="26"/>
        <v>9.6895879225656123E-2</v>
      </c>
      <c r="J142" s="122">
        <f t="shared" si="27"/>
        <v>-3.145603687223697E-2</v>
      </c>
      <c r="K142" s="122"/>
      <c r="Y142" s="126">
        <f t="shared" si="28"/>
        <v>-0.5</v>
      </c>
    </row>
    <row r="143" spans="2:25" x14ac:dyDescent="0.3">
      <c r="B143" s="12">
        <v>9.8252122930037711E-2</v>
      </c>
      <c r="C143" s="12">
        <f t="shared" si="20"/>
        <v>0</v>
      </c>
      <c r="D143" s="126">
        <f t="shared" si="21"/>
        <v>3.1611646524176647E-2</v>
      </c>
      <c r="E143" s="12">
        <f t="shared" si="22"/>
        <v>0</v>
      </c>
      <c r="F143" s="12">
        <f t="shared" si="23"/>
        <v>0</v>
      </c>
      <c r="G143" s="122">
        <f t="shared" si="24"/>
        <v>9.8252122930037711E-2</v>
      </c>
      <c r="H143" s="122">
        <f t="shared" si="25"/>
        <v>3.1611646524176647E-2</v>
      </c>
      <c r="I143" s="122">
        <f t="shared" si="26"/>
        <v>9.8252122930037711E-2</v>
      </c>
      <c r="J143" s="122">
        <f t="shared" si="27"/>
        <v>-3.1611646524176647E-2</v>
      </c>
      <c r="K143" s="122"/>
      <c r="Y143" s="126">
        <f t="shared" si="28"/>
        <v>-0.5</v>
      </c>
    </row>
    <row r="144" spans="2:25" x14ac:dyDescent="0.3">
      <c r="B144" s="12">
        <v>9.9617302228520166E-2</v>
      </c>
      <c r="C144" s="12">
        <f t="shared" si="20"/>
        <v>0</v>
      </c>
      <c r="D144" s="126">
        <f t="shared" si="21"/>
        <v>3.1766428295999613E-2</v>
      </c>
      <c r="E144" s="12">
        <f t="shared" si="22"/>
        <v>0</v>
      </c>
      <c r="F144" s="12">
        <f t="shared" si="23"/>
        <v>0</v>
      </c>
      <c r="G144" s="122">
        <f t="shared" si="24"/>
        <v>9.9617302228520166E-2</v>
      </c>
      <c r="H144" s="122">
        <f t="shared" si="25"/>
        <v>3.1766428295999613E-2</v>
      </c>
      <c r="I144" s="122">
        <f t="shared" si="26"/>
        <v>9.9617302228520166E-2</v>
      </c>
      <c r="J144" s="122">
        <f t="shared" si="27"/>
        <v>-3.1766428295999613E-2</v>
      </c>
      <c r="K144" s="122"/>
      <c r="Y144" s="126">
        <f t="shared" si="28"/>
        <v>-0.5</v>
      </c>
    </row>
    <row r="145" spans="2:25" x14ac:dyDescent="0.3">
      <c r="B145" s="12">
        <v>0.10099140359327796</v>
      </c>
      <c r="C145" s="12">
        <f t="shared" si="20"/>
        <v>0</v>
      </c>
      <c r="D145" s="126">
        <f t="shared" si="21"/>
        <v>3.1920384138213173E-2</v>
      </c>
      <c r="E145" s="12">
        <f t="shared" si="22"/>
        <v>0</v>
      </c>
      <c r="F145" s="12">
        <f t="shared" si="23"/>
        <v>0</v>
      </c>
      <c r="G145" s="122">
        <f t="shared" si="24"/>
        <v>0.10099140359327796</v>
      </c>
      <c r="H145" s="122">
        <f t="shared" si="25"/>
        <v>3.1920384138213173E-2</v>
      </c>
      <c r="I145" s="122">
        <f t="shared" si="26"/>
        <v>0.10099140359327796</v>
      </c>
      <c r="J145" s="122">
        <f t="shared" si="27"/>
        <v>-3.1920384138213173E-2</v>
      </c>
      <c r="K145" s="122"/>
      <c r="Y145" s="126">
        <f t="shared" si="28"/>
        <v>-0.5</v>
      </c>
    </row>
    <row r="146" spans="2:25" x14ac:dyDescent="0.3">
      <c r="B146" s="12">
        <v>0.10237441340807496</v>
      </c>
      <c r="C146" s="12">
        <f t="shared" si="20"/>
        <v>0</v>
      </c>
      <c r="D146" s="126">
        <f t="shared" si="21"/>
        <v>3.2073515952103761E-2</v>
      </c>
      <c r="E146" s="12">
        <f t="shared" si="22"/>
        <v>0</v>
      </c>
      <c r="F146" s="12">
        <f t="shared" si="23"/>
        <v>0</v>
      </c>
      <c r="G146" s="122">
        <f t="shared" si="24"/>
        <v>0.10237441340807496</v>
      </c>
      <c r="H146" s="122">
        <f t="shared" si="25"/>
        <v>3.2073515952103761E-2</v>
      </c>
      <c r="I146" s="122">
        <f t="shared" si="26"/>
        <v>0.10237441340807496</v>
      </c>
      <c r="J146" s="122">
        <f t="shared" si="27"/>
        <v>-3.2073515952103761E-2</v>
      </c>
      <c r="K146" s="122"/>
      <c r="Y146" s="126">
        <f t="shared" si="28"/>
        <v>-0.5</v>
      </c>
    </row>
    <row r="147" spans="2:25" x14ac:dyDescent="0.3">
      <c r="B147" s="12">
        <v>0.1037663179683993</v>
      </c>
      <c r="C147" s="12">
        <f t="shared" si="20"/>
        <v>0</v>
      </c>
      <c r="D147" s="126">
        <f t="shared" si="21"/>
        <v>3.2225825588574286E-2</v>
      </c>
      <c r="E147" s="12">
        <f t="shared" si="22"/>
        <v>0</v>
      </c>
      <c r="F147" s="12">
        <f t="shared" si="23"/>
        <v>0</v>
      </c>
      <c r="G147" s="122">
        <f t="shared" si="24"/>
        <v>0.1037663179683993</v>
      </c>
      <c r="H147" s="122">
        <f t="shared" si="25"/>
        <v>3.2225825588574286E-2</v>
      </c>
      <c r="I147" s="122">
        <f t="shared" si="26"/>
        <v>0.1037663179683993</v>
      </c>
      <c r="J147" s="122">
        <f t="shared" si="27"/>
        <v>-3.2225825588574286E-2</v>
      </c>
      <c r="K147" s="122"/>
      <c r="Y147" s="126">
        <f t="shared" si="28"/>
        <v>-0.5</v>
      </c>
    </row>
    <row r="148" spans="2:25" x14ac:dyDescent="0.3">
      <c r="B148" s="12">
        <v>0.10516710348159974</v>
      </c>
      <c r="C148" s="12">
        <f t="shared" si="20"/>
        <v>0</v>
      </c>
      <c r="D148" s="126">
        <f t="shared" si="21"/>
        <v>3.2377314846982252E-2</v>
      </c>
      <c r="E148" s="12">
        <f t="shared" si="22"/>
        <v>0</v>
      </c>
      <c r="F148" s="12">
        <f t="shared" si="23"/>
        <v>0</v>
      </c>
      <c r="G148" s="122">
        <f t="shared" si="24"/>
        <v>0.10516710348159974</v>
      </c>
      <c r="H148" s="122">
        <f t="shared" si="25"/>
        <v>3.2377314846982252E-2</v>
      </c>
      <c r="I148" s="122">
        <f t="shared" si="26"/>
        <v>0.10516710348159974</v>
      </c>
      <c r="J148" s="122">
        <f t="shared" si="27"/>
        <v>-3.2377314846982252E-2</v>
      </c>
      <c r="K148" s="122"/>
      <c r="Y148" s="126">
        <f t="shared" si="28"/>
        <v>-0.5</v>
      </c>
    </row>
    <row r="149" spans="2:25" x14ac:dyDescent="0.3">
      <c r="B149" s="12">
        <v>0.10657675606702155</v>
      </c>
      <c r="C149" s="12">
        <f t="shared" si="20"/>
        <v>0</v>
      </c>
      <c r="D149" s="126">
        <f t="shared" si="21"/>
        <v>3.2527985473978283E-2</v>
      </c>
      <c r="E149" s="12">
        <f t="shared" si="22"/>
        <v>0</v>
      </c>
      <c r="F149" s="12">
        <f t="shared" si="23"/>
        <v>0</v>
      </c>
      <c r="G149" s="122">
        <f t="shared" si="24"/>
        <v>0.10657675606702155</v>
      </c>
      <c r="H149" s="122">
        <f t="shared" si="25"/>
        <v>3.2527985473978283E-2</v>
      </c>
      <c r="I149" s="122">
        <f t="shared" si="26"/>
        <v>0.10657675606702155</v>
      </c>
      <c r="J149" s="122">
        <f t="shared" si="27"/>
        <v>-3.2527985473978283E-2</v>
      </c>
      <c r="K149" s="122"/>
      <c r="Y149" s="126">
        <f t="shared" si="28"/>
        <v>-0.5</v>
      </c>
    </row>
    <row r="150" spans="2:25" x14ac:dyDescent="0.3">
      <c r="B150" s="12">
        <v>0.10799526175614471</v>
      </c>
      <c r="C150" s="12">
        <f t="shared" si="20"/>
        <v>0</v>
      </c>
      <c r="D150" s="126">
        <f t="shared" si="21"/>
        <v>3.2677839162345935E-2</v>
      </c>
      <c r="E150" s="12">
        <f t="shared" si="22"/>
        <v>0</v>
      </c>
      <c r="F150" s="12">
        <f t="shared" si="23"/>
        <v>0</v>
      </c>
      <c r="G150" s="122">
        <f t="shared" si="24"/>
        <v>0.10799526175614471</v>
      </c>
      <c r="H150" s="122">
        <f t="shared" si="25"/>
        <v>3.2677839162345935E-2</v>
      </c>
      <c r="I150" s="122">
        <f t="shared" si="26"/>
        <v>0.10799526175614471</v>
      </c>
      <c r="J150" s="122">
        <f t="shared" si="27"/>
        <v>-3.2677839162345935E-2</v>
      </c>
      <c r="K150" s="122"/>
      <c r="Y150" s="126">
        <f t="shared" si="28"/>
        <v>-0.5</v>
      </c>
    </row>
    <row r="151" spans="2:25" x14ac:dyDescent="0.3">
      <c r="B151" s="12">
        <v>0.10942260649272206</v>
      </c>
      <c r="C151" s="12">
        <f t="shared" si="20"/>
        <v>0</v>
      </c>
      <c r="D151" s="126">
        <f t="shared" si="21"/>
        <v>3.2826877549842252E-2</v>
      </c>
      <c r="E151" s="12">
        <f t="shared" si="22"/>
        <v>0</v>
      </c>
      <c r="F151" s="12">
        <f t="shared" si="23"/>
        <v>0</v>
      </c>
      <c r="G151" s="122">
        <f t="shared" si="24"/>
        <v>0.10942260649272206</v>
      </c>
      <c r="H151" s="122">
        <f t="shared" si="25"/>
        <v>3.2826877549842252E-2</v>
      </c>
      <c r="I151" s="122">
        <f t="shared" si="26"/>
        <v>0.10942260649272206</v>
      </c>
      <c r="J151" s="122">
        <f t="shared" si="27"/>
        <v>-3.2826877549842252E-2</v>
      </c>
      <c r="K151" s="122"/>
      <c r="Y151" s="126">
        <f t="shared" si="28"/>
        <v>-0.5</v>
      </c>
    </row>
    <row r="152" spans="2:25" x14ac:dyDescent="0.3">
      <c r="B152" s="12">
        <v>0.11085877613291861</v>
      </c>
      <c r="C152" s="12">
        <f t="shared" si="20"/>
        <v>0</v>
      </c>
      <c r="D152" s="126">
        <f t="shared" si="21"/>
        <v>3.2975102218039683E-2</v>
      </c>
      <c r="E152" s="12">
        <f t="shared" si="22"/>
        <v>0</v>
      </c>
      <c r="F152" s="12">
        <f t="shared" si="23"/>
        <v>0</v>
      </c>
      <c r="G152" s="122">
        <f t="shared" si="24"/>
        <v>0.11085877613291861</v>
      </c>
      <c r="H152" s="122">
        <f t="shared" si="25"/>
        <v>3.2975102218039683E-2</v>
      </c>
      <c r="I152" s="122">
        <f t="shared" si="26"/>
        <v>0.11085877613291861</v>
      </c>
      <c r="J152" s="122">
        <f t="shared" si="27"/>
        <v>-3.2975102218039683E-2</v>
      </c>
      <c r="K152" s="122"/>
      <c r="Y152" s="126">
        <f t="shared" si="28"/>
        <v>-0.5</v>
      </c>
    </row>
    <row r="153" spans="2:25" x14ac:dyDescent="0.3">
      <c r="B153" s="12">
        <v>0.11230375644545154</v>
      </c>
      <c r="C153" s="12">
        <f t="shared" si="20"/>
        <v>0</v>
      </c>
      <c r="D153" s="126">
        <f t="shared" si="21"/>
        <v>3.3122514691169322E-2</v>
      </c>
      <c r="E153" s="12">
        <f t="shared" si="22"/>
        <v>0</v>
      </c>
      <c r="F153" s="12">
        <f t="shared" si="23"/>
        <v>0</v>
      </c>
      <c r="G153" s="122">
        <f t="shared" si="24"/>
        <v>0.11230375644545154</v>
      </c>
      <c r="H153" s="122">
        <f t="shared" si="25"/>
        <v>3.3122514691169322E-2</v>
      </c>
      <c r="I153" s="122">
        <f t="shared" si="26"/>
        <v>0.11230375644545154</v>
      </c>
      <c r="J153" s="122">
        <f t="shared" si="27"/>
        <v>-3.3122514691169322E-2</v>
      </c>
      <c r="K153" s="122"/>
      <c r="Y153" s="126">
        <f t="shared" si="28"/>
        <v>-0.5</v>
      </c>
    </row>
    <row r="154" spans="2:25" x14ac:dyDescent="0.3">
      <c r="B154" s="12">
        <v>0.11375753311173153</v>
      </c>
      <c r="C154" s="12">
        <f t="shared" si="20"/>
        <v>0</v>
      </c>
      <c r="D154" s="126">
        <f t="shared" si="21"/>
        <v>3.3269116434965641E-2</v>
      </c>
      <c r="E154" s="12">
        <f t="shared" si="22"/>
        <v>0</v>
      </c>
      <c r="F154" s="12">
        <f t="shared" si="23"/>
        <v>0</v>
      </c>
      <c r="G154" s="122">
        <f t="shared" si="24"/>
        <v>0.11375753311173153</v>
      </c>
      <c r="H154" s="122">
        <f t="shared" si="25"/>
        <v>3.3269116434965641E-2</v>
      </c>
      <c r="I154" s="122">
        <f t="shared" si="26"/>
        <v>0.11375753311173153</v>
      </c>
      <c r="J154" s="122">
        <f t="shared" si="27"/>
        <v>-3.3269116434965641E-2</v>
      </c>
      <c r="K154" s="122"/>
      <c r="Y154" s="126">
        <f t="shared" si="28"/>
        <v>-0.5</v>
      </c>
    </row>
    <row r="155" spans="2:25" x14ac:dyDescent="0.3">
      <c r="B155" s="12">
        <v>0.11522009172600445</v>
      </c>
      <c r="C155" s="12">
        <f t="shared" si="20"/>
        <v>0</v>
      </c>
      <c r="D155" s="126">
        <f t="shared" si="21"/>
        <v>3.3414908855512952E-2</v>
      </c>
      <c r="E155" s="12">
        <f t="shared" si="22"/>
        <v>0</v>
      </c>
      <c r="F155" s="12">
        <f t="shared" si="23"/>
        <v>0</v>
      </c>
      <c r="G155" s="122">
        <f t="shared" si="24"/>
        <v>0.11522009172600445</v>
      </c>
      <c r="H155" s="122">
        <f t="shared" si="25"/>
        <v>3.3414908855512952E-2</v>
      </c>
      <c r="I155" s="122">
        <f t="shared" si="26"/>
        <v>0.11522009172600445</v>
      </c>
      <c r="J155" s="122">
        <f t="shared" si="27"/>
        <v>-3.3414908855512952E-2</v>
      </c>
      <c r="K155" s="122"/>
      <c r="Y155" s="126">
        <f t="shared" si="28"/>
        <v>-0.5</v>
      </c>
    </row>
    <row r="156" spans="2:25" x14ac:dyDescent="0.3">
      <c r="B156" s="12">
        <v>0.11669141779549419</v>
      </c>
      <c r="C156" s="12">
        <f t="shared" si="20"/>
        <v>0</v>
      </c>
      <c r="D156" s="126">
        <f t="shared" si="21"/>
        <v>3.3559893298093599E-2</v>
      </c>
      <c r="E156" s="12">
        <f t="shared" si="22"/>
        <v>0</v>
      </c>
      <c r="F156" s="12">
        <f t="shared" si="23"/>
        <v>0</v>
      </c>
      <c r="G156" s="122">
        <f t="shared" si="24"/>
        <v>0.11669141779549419</v>
      </c>
      <c r="H156" s="122">
        <f t="shared" si="25"/>
        <v>3.3559893298093599E-2</v>
      </c>
      <c r="I156" s="122">
        <f t="shared" si="26"/>
        <v>0.11669141779549419</v>
      </c>
      <c r="J156" s="122">
        <f t="shared" si="27"/>
        <v>-3.3559893298093599E-2</v>
      </c>
      <c r="K156" s="122"/>
      <c r="Y156" s="126">
        <f t="shared" si="28"/>
        <v>-0.5</v>
      </c>
    </row>
    <row r="157" spans="2:25" x14ac:dyDescent="0.3">
      <c r="B157" s="12">
        <v>0.11817149674054617</v>
      </c>
      <c r="C157" s="12">
        <f t="shared" si="20"/>
        <v>0</v>
      </c>
      <c r="D157" s="126">
        <f t="shared" si="21"/>
        <v>3.3704071046038231E-2</v>
      </c>
      <c r="E157" s="12">
        <f t="shared" si="22"/>
        <v>0</v>
      </c>
      <c r="F157" s="12">
        <f t="shared" si="23"/>
        <v>0</v>
      </c>
      <c r="G157" s="122">
        <f t="shared" si="24"/>
        <v>0.11817149674054617</v>
      </c>
      <c r="H157" s="122">
        <f t="shared" si="25"/>
        <v>3.3704071046038231E-2</v>
      </c>
      <c r="I157" s="122">
        <f t="shared" si="26"/>
        <v>0.11817149674054617</v>
      </c>
      <c r="J157" s="122">
        <f t="shared" si="27"/>
        <v>-3.3704071046038231E-2</v>
      </c>
      <c r="K157" s="122"/>
      <c r="Y157" s="126">
        <f t="shared" si="28"/>
        <v>-0.5</v>
      </c>
    </row>
    <row r="158" spans="2:25" x14ac:dyDescent="0.3">
      <c r="B158" s="12">
        <v>0.11966031389477194</v>
      </c>
      <c r="C158" s="12">
        <f t="shared" si="20"/>
        <v>0</v>
      </c>
      <c r="D158" s="126">
        <f t="shared" si="21"/>
        <v>3.3847443319578112E-2</v>
      </c>
      <c r="E158" s="12">
        <f t="shared" si="22"/>
        <v>0</v>
      </c>
      <c r="F158" s="12">
        <f t="shared" si="23"/>
        <v>0</v>
      </c>
      <c r="G158" s="122">
        <f t="shared" si="24"/>
        <v>0.11966031389477194</v>
      </c>
      <c r="H158" s="122">
        <f t="shared" si="25"/>
        <v>3.3847443319578112E-2</v>
      </c>
      <c r="I158" s="122">
        <f t="shared" si="26"/>
        <v>0.11966031389477194</v>
      </c>
      <c r="J158" s="122">
        <f t="shared" si="27"/>
        <v>-3.3847443319578112E-2</v>
      </c>
      <c r="K158" s="122"/>
      <c r="Y158" s="126">
        <f t="shared" si="28"/>
        <v>-0.5</v>
      </c>
    </row>
    <row r="159" spans="2:25" x14ac:dyDescent="0.3">
      <c r="B159" s="12">
        <v>0.12115785450519423</v>
      </c>
      <c r="C159" s="12">
        <f t="shared" si="20"/>
        <v>0</v>
      </c>
      <c r="D159" s="126">
        <f t="shared" si="21"/>
        <v>3.3990011274699812E-2</v>
      </c>
      <c r="E159" s="12">
        <f t="shared" si="22"/>
        <v>0</v>
      </c>
      <c r="F159" s="12">
        <f t="shared" si="23"/>
        <v>0</v>
      </c>
      <c r="G159" s="122">
        <f t="shared" si="24"/>
        <v>0.12115785450519423</v>
      </c>
      <c r="H159" s="122">
        <f t="shared" si="25"/>
        <v>3.3990011274699812E-2</v>
      </c>
      <c r="I159" s="122">
        <f t="shared" si="26"/>
        <v>0.12115785450519423</v>
      </c>
      <c r="J159" s="122">
        <f t="shared" si="27"/>
        <v>-3.3990011274699812E-2</v>
      </c>
      <c r="K159" s="122"/>
      <c r="Y159" s="126">
        <f t="shared" si="28"/>
        <v>-0.5</v>
      </c>
    </row>
    <row r="160" spans="2:25" x14ac:dyDescent="0.3">
      <c r="B160" s="12">
        <v>0.12266410373239378</v>
      </c>
      <c r="C160" s="12">
        <f t="shared" si="20"/>
        <v>0</v>
      </c>
      <c r="D160" s="126">
        <f t="shared" si="21"/>
        <v>3.4131776002002276E-2</v>
      </c>
      <c r="E160" s="12">
        <f t="shared" si="22"/>
        <v>0</v>
      </c>
      <c r="F160" s="12">
        <f t="shared" si="23"/>
        <v>0</v>
      </c>
      <c r="G160" s="122">
        <f t="shared" si="24"/>
        <v>0.12266410373239378</v>
      </c>
      <c r="H160" s="122">
        <f t="shared" si="25"/>
        <v>3.4131776002002276E-2</v>
      </c>
      <c r="I160" s="122">
        <f t="shared" si="26"/>
        <v>0.12266410373239378</v>
      </c>
      <c r="J160" s="122">
        <f t="shared" si="27"/>
        <v>-3.4131776002002276E-2</v>
      </c>
      <c r="K160" s="122"/>
      <c r="Y160" s="126">
        <f t="shared" si="28"/>
        <v>-0.5</v>
      </c>
    </row>
    <row r="161" spans="2:25" x14ac:dyDescent="0.3">
      <c r="B161" s="12">
        <v>0.12417904665065549</v>
      </c>
      <c r="C161" s="12">
        <f t="shared" si="20"/>
        <v>0</v>
      </c>
      <c r="D161" s="126">
        <f t="shared" si="21"/>
        <v>3.4272738525556512E-2</v>
      </c>
      <c r="E161" s="12">
        <f t="shared" si="22"/>
        <v>0</v>
      </c>
      <c r="F161" s="12">
        <f t="shared" si="23"/>
        <v>0</v>
      </c>
      <c r="G161" s="122">
        <f t="shared" si="24"/>
        <v>0.12417904665065549</v>
      </c>
      <c r="H161" s="122">
        <f t="shared" si="25"/>
        <v>3.4272738525556512E-2</v>
      </c>
      <c r="I161" s="122">
        <f t="shared" si="26"/>
        <v>0.12417904665065549</v>
      </c>
      <c r="J161" s="122">
        <f t="shared" si="27"/>
        <v>-3.4272738525556512E-2</v>
      </c>
      <c r="K161" s="122"/>
      <c r="Y161" s="126">
        <f t="shared" si="28"/>
        <v>-0.5</v>
      </c>
    </row>
    <row r="162" spans="2:25" x14ac:dyDescent="0.3">
      <c r="B162" s="12">
        <v>0.12570266824811704</v>
      </c>
      <c r="C162" s="12">
        <f t="shared" si="20"/>
        <v>0</v>
      </c>
      <c r="D162" s="126">
        <f t="shared" si="21"/>
        <v>3.4412899801768003E-2</v>
      </c>
      <c r="E162" s="12">
        <f t="shared" si="22"/>
        <v>0</v>
      </c>
      <c r="F162" s="12">
        <f t="shared" si="23"/>
        <v>0</v>
      </c>
      <c r="G162" s="122">
        <f t="shared" si="24"/>
        <v>0.12570266824811704</v>
      </c>
      <c r="H162" s="122">
        <f t="shared" si="25"/>
        <v>3.4412899801768003E-2</v>
      </c>
      <c r="I162" s="122">
        <f t="shared" si="26"/>
        <v>0.12570266824811704</v>
      </c>
      <c r="J162" s="122">
        <f t="shared" si="27"/>
        <v>-3.4412899801768003E-2</v>
      </c>
      <c r="K162" s="122"/>
      <c r="Y162" s="126">
        <f t="shared" si="28"/>
        <v>-0.5</v>
      </c>
    </row>
    <row r="163" spans="2:25" x14ac:dyDescent="0.3">
      <c r="B163" s="12">
        <v>0.1272349534269176</v>
      </c>
      <c r="C163" s="12">
        <f t="shared" si="20"/>
        <v>0</v>
      </c>
      <c r="D163" s="126">
        <f t="shared" si="21"/>
        <v>3.4552260718242148E-2</v>
      </c>
      <c r="E163" s="12">
        <f t="shared" si="22"/>
        <v>0</v>
      </c>
      <c r="F163" s="12">
        <f t="shared" si="23"/>
        <v>0</v>
      </c>
      <c r="G163" s="122">
        <f t="shared" si="24"/>
        <v>0.1272349534269176</v>
      </c>
      <c r="H163" s="122">
        <f t="shared" si="25"/>
        <v>3.4552260718242148E-2</v>
      </c>
      <c r="I163" s="122">
        <f t="shared" si="26"/>
        <v>0.1272349534269176</v>
      </c>
      <c r="J163" s="122">
        <f t="shared" si="27"/>
        <v>-3.4552260718242148E-2</v>
      </c>
      <c r="K163" s="122"/>
      <c r="Y163" s="126">
        <f t="shared" si="28"/>
        <v>-0.5</v>
      </c>
    </row>
    <row r="164" spans="2:25" x14ac:dyDescent="0.3">
      <c r="B164" s="12">
        <v>0.12877588700334663</v>
      </c>
      <c r="C164" s="12">
        <f t="shared" si="20"/>
        <v>0</v>
      </c>
      <c r="D164" s="126">
        <f t="shared" si="21"/>
        <v>3.4690822092652528E-2</v>
      </c>
      <c r="E164" s="12">
        <f t="shared" si="22"/>
        <v>0</v>
      </c>
      <c r="F164" s="12">
        <f t="shared" si="23"/>
        <v>0</v>
      </c>
      <c r="G164" s="122">
        <f t="shared" si="24"/>
        <v>0.12877588700334663</v>
      </c>
      <c r="H164" s="122">
        <f t="shared" si="25"/>
        <v>3.4690822092652528E-2</v>
      </c>
      <c r="I164" s="122">
        <f t="shared" si="26"/>
        <v>0.12877588700334663</v>
      </c>
      <c r="J164" s="122">
        <f t="shared" si="27"/>
        <v>-3.4690822092652528E-2</v>
      </c>
      <c r="K164" s="122"/>
      <c r="Y164" s="126">
        <f t="shared" si="28"/>
        <v>-0.5</v>
      </c>
    </row>
    <row r="165" spans="2:25" x14ac:dyDescent="0.3">
      <c r="B165" s="12">
        <v>0.13032545370799575</v>
      </c>
      <c r="C165" s="12">
        <f t="shared" si="20"/>
        <v>0</v>
      </c>
      <c r="D165" s="126">
        <f t="shared" si="21"/>
        <v>3.4828584671612692E-2</v>
      </c>
      <c r="E165" s="12">
        <f t="shared" si="22"/>
        <v>0</v>
      </c>
      <c r="F165" s="12">
        <f t="shared" si="23"/>
        <v>0</v>
      </c>
      <c r="G165" s="122">
        <f t="shared" si="24"/>
        <v>0.13032545370799575</v>
      </c>
      <c r="H165" s="122">
        <f t="shared" si="25"/>
        <v>3.4828584671612692E-2</v>
      </c>
      <c r="I165" s="122">
        <f t="shared" si="26"/>
        <v>0.13032545370799575</v>
      </c>
      <c r="J165" s="122">
        <f t="shared" si="27"/>
        <v>-3.4828584671612692E-2</v>
      </c>
      <c r="K165" s="122"/>
      <c r="Y165" s="126">
        <f t="shared" si="28"/>
        <v>-0.5</v>
      </c>
    </row>
    <row r="166" spans="2:25" x14ac:dyDescent="0.3">
      <c r="B166" s="12">
        <v>0.13188363818590843</v>
      </c>
      <c r="C166" s="12">
        <f t="shared" si="20"/>
        <v>0</v>
      </c>
      <c r="D166" s="126">
        <f t="shared" si="21"/>
        <v>3.4965549129550993E-2</v>
      </c>
      <c r="E166" s="12">
        <f t="shared" si="22"/>
        <v>0</v>
      </c>
      <c r="F166" s="12">
        <f t="shared" si="23"/>
        <v>0</v>
      </c>
      <c r="G166" s="122">
        <f t="shared" si="24"/>
        <v>0.13188363818590843</v>
      </c>
      <c r="H166" s="122">
        <f t="shared" si="25"/>
        <v>3.4965549129550993E-2</v>
      </c>
      <c r="I166" s="122">
        <f t="shared" si="26"/>
        <v>0.13188363818590843</v>
      </c>
      <c r="J166" s="122">
        <f t="shared" si="27"/>
        <v>-3.4965549129550993E-2</v>
      </c>
      <c r="K166" s="122"/>
      <c r="Y166" s="126">
        <f t="shared" si="28"/>
        <v>-0.5</v>
      </c>
    </row>
    <row r="167" spans="2:25" x14ac:dyDescent="0.3">
      <c r="B167" s="12">
        <v>0.13345042499673354</v>
      </c>
      <c r="C167" s="12">
        <f t="shared" si="20"/>
        <v>0</v>
      </c>
      <c r="D167" s="126">
        <f t="shared" si="21"/>
        <v>3.5101716067589273E-2</v>
      </c>
      <c r="E167" s="12">
        <f t="shared" si="22"/>
        <v>0</v>
      </c>
      <c r="F167" s="12">
        <f t="shared" si="23"/>
        <v>0</v>
      </c>
      <c r="G167" s="122">
        <f t="shared" si="24"/>
        <v>0.13345042499673354</v>
      </c>
      <c r="H167" s="122">
        <f t="shared" si="25"/>
        <v>3.5101716067589273E-2</v>
      </c>
      <c r="I167" s="122">
        <f t="shared" si="26"/>
        <v>0.13345042499673354</v>
      </c>
      <c r="J167" s="122">
        <f t="shared" si="27"/>
        <v>-3.5101716067589273E-2</v>
      </c>
      <c r="K167" s="122"/>
      <c r="Y167" s="126">
        <f t="shared" si="28"/>
        <v>-0.5</v>
      </c>
    </row>
    <row r="168" spans="2:25" x14ac:dyDescent="0.3">
      <c r="B168" s="12">
        <v>0.13502579861487751</v>
      </c>
      <c r="C168" s="12">
        <f t="shared" si="20"/>
        <v>0</v>
      </c>
      <c r="D168" s="126">
        <f t="shared" si="21"/>
        <v>3.5237086012424958E-2</v>
      </c>
      <c r="E168" s="12">
        <f t="shared" si="22"/>
        <v>0</v>
      </c>
      <c r="F168" s="12">
        <f t="shared" si="23"/>
        <v>0</v>
      </c>
      <c r="G168" s="122">
        <f t="shared" si="24"/>
        <v>0.13502579861487751</v>
      </c>
      <c r="H168" s="122">
        <f t="shared" si="25"/>
        <v>3.5237086012424958E-2</v>
      </c>
      <c r="I168" s="122">
        <f t="shared" si="26"/>
        <v>0.13502579861487751</v>
      </c>
      <c r="J168" s="122">
        <f t="shared" si="27"/>
        <v>-3.5237086012424958E-2</v>
      </c>
      <c r="K168" s="122"/>
      <c r="Y168" s="126">
        <f t="shared" si="28"/>
        <v>-0.5</v>
      </c>
    </row>
    <row r="169" spans="2:25" x14ac:dyDescent="0.3">
      <c r="B169" s="12">
        <v>0.13660974342965859</v>
      </c>
      <c r="C169" s="12">
        <f t="shared" si="20"/>
        <v>0</v>
      </c>
      <c r="D169" s="126">
        <f t="shared" si="21"/>
        <v>3.5371659415217166E-2</v>
      </c>
      <c r="E169" s="12">
        <f t="shared" si="22"/>
        <v>0</v>
      </c>
      <c r="F169" s="12">
        <f t="shared" si="23"/>
        <v>0</v>
      </c>
      <c r="G169" s="122">
        <f t="shared" si="24"/>
        <v>0.13660974342965859</v>
      </c>
      <c r="H169" s="122">
        <f t="shared" si="25"/>
        <v>3.5371659415217166E-2</v>
      </c>
      <c r="I169" s="122">
        <f t="shared" si="26"/>
        <v>0.13660974342965859</v>
      </c>
      <c r="J169" s="122">
        <f t="shared" si="27"/>
        <v>-3.5371659415217166E-2</v>
      </c>
      <c r="K169" s="122"/>
      <c r="Y169" s="126">
        <f t="shared" si="28"/>
        <v>-0.5</v>
      </c>
    </row>
    <row r="170" spans="2:25" x14ac:dyDescent="0.3">
      <c r="B170" s="12">
        <v>0.13820224374546131</v>
      </c>
      <c r="C170" s="12">
        <f t="shared" si="20"/>
        <v>0</v>
      </c>
      <c r="D170" s="126">
        <f t="shared" si="21"/>
        <v>3.5505436650476681E-2</v>
      </c>
      <c r="E170" s="12">
        <f t="shared" si="22"/>
        <v>0</v>
      </c>
      <c r="F170" s="12">
        <f t="shared" si="23"/>
        <v>0</v>
      </c>
      <c r="G170" s="122">
        <f t="shared" si="24"/>
        <v>0.13820224374546131</v>
      </c>
      <c r="H170" s="122">
        <f t="shared" si="25"/>
        <v>3.5505436650476681E-2</v>
      </c>
      <c r="I170" s="122">
        <f t="shared" si="26"/>
        <v>0.13820224374546131</v>
      </c>
      <c r="J170" s="122">
        <f t="shared" si="27"/>
        <v>-3.5505436650476681E-2</v>
      </c>
      <c r="K170" s="122"/>
      <c r="Y170" s="126">
        <f t="shared" si="28"/>
        <v>-0.5</v>
      </c>
    </row>
    <row r="171" spans="2:25" x14ac:dyDescent="0.3">
      <c r="B171" s="12">
        <v>0.13980328378189188</v>
      </c>
      <c r="C171" s="12">
        <f t="shared" si="20"/>
        <v>0</v>
      </c>
      <c r="D171" s="126">
        <f t="shared" si="21"/>
        <v>3.5638418014960163E-2</v>
      </c>
      <c r="E171" s="12">
        <f t="shared" si="22"/>
        <v>0</v>
      </c>
      <c r="F171" s="12">
        <f t="shared" si="23"/>
        <v>0</v>
      </c>
      <c r="G171" s="122">
        <f t="shared" si="24"/>
        <v>0.13980328378189188</v>
      </c>
      <c r="H171" s="122">
        <f t="shared" si="25"/>
        <v>3.5638418014960163E-2</v>
      </c>
      <c r="I171" s="122">
        <f t="shared" si="26"/>
        <v>0.13980328378189188</v>
      </c>
      <c r="J171" s="122">
        <f t="shared" si="27"/>
        <v>-3.5638418014960163E-2</v>
      </c>
      <c r="K171" s="122"/>
      <c r="Y171" s="126">
        <f t="shared" si="28"/>
        <v>-0.5</v>
      </c>
    </row>
    <row r="172" spans="2:25" x14ac:dyDescent="0.3">
      <c r="B172" s="12">
        <v>0.14141284767393503</v>
      </c>
      <c r="C172" s="12">
        <f t="shared" si="20"/>
        <v>0</v>
      </c>
      <c r="D172" s="126">
        <f t="shared" si="21"/>
        <v>3.5770603726568616E-2</v>
      </c>
      <c r="E172" s="12">
        <f t="shared" si="22"/>
        <v>0</v>
      </c>
      <c r="F172" s="12">
        <f t="shared" si="23"/>
        <v>0</v>
      </c>
      <c r="G172" s="122">
        <f t="shared" si="24"/>
        <v>0.14141284767393503</v>
      </c>
      <c r="H172" s="122">
        <f t="shared" si="25"/>
        <v>3.5770603726568616E-2</v>
      </c>
      <c r="I172" s="122">
        <f t="shared" si="26"/>
        <v>0.14141284767393503</v>
      </c>
      <c r="J172" s="122">
        <f t="shared" si="27"/>
        <v>-3.5770603726568616E-2</v>
      </c>
      <c r="K172" s="122"/>
      <c r="Y172" s="126">
        <f t="shared" si="28"/>
        <v>-0.5</v>
      </c>
    </row>
    <row r="173" spans="2:25" x14ac:dyDescent="0.3">
      <c r="B173" s="12">
        <v>0.143030919472111</v>
      </c>
      <c r="C173" s="12">
        <f t="shared" si="20"/>
        <v>0</v>
      </c>
      <c r="D173" s="126">
        <f t="shared" si="21"/>
        <v>3.590199392325031E-2</v>
      </c>
      <c r="E173" s="12">
        <f t="shared" si="22"/>
        <v>0</v>
      </c>
      <c r="F173" s="12">
        <f t="shared" si="23"/>
        <v>0</v>
      </c>
      <c r="G173" s="122">
        <f t="shared" si="24"/>
        <v>0.143030919472111</v>
      </c>
      <c r="H173" s="122">
        <f t="shared" si="25"/>
        <v>3.590199392325031E-2</v>
      </c>
      <c r="I173" s="122">
        <f t="shared" si="26"/>
        <v>0.143030919472111</v>
      </c>
      <c r="J173" s="122">
        <f t="shared" si="27"/>
        <v>-3.590199392325031E-2</v>
      </c>
      <c r="K173" s="122"/>
      <c r="Y173" s="126">
        <f t="shared" si="28"/>
        <v>-0.5</v>
      </c>
    </row>
    <row r="174" spans="2:25" x14ac:dyDescent="0.3">
      <c r="B174" s="12">
        <v>0.14465748314263338</v>
      </c>
      <c r="C174" s="12">
        <f t="shared" si="20"/>
        <v>0</v>
      </c>
      <c r="D174" s="126">
        <f t="shared" si="21"/>
        <v>3.6032588661908289E-2</v>
      </c>
      <c r="E174" s="12">
        <f t="shared" si="22"/>
        <v>0</v>
      </c>
      <c r="F174" s="12">
        <f t="shared" si="23"/>
        <v>0</v>
      </c>
      <c r="G174" s="122">
        <f t="shared" si="24"/>
        <v>0.14465748314263338</v>
      </c>
      <c r="H174" s="122">
        <f t="shared" si="25"/>
        <v>3.6032588661908289E-2</v>
      </c>
      <c r="I174" s="122">
        <f t="shared" si="26"/>
        <v>0.14465748314263338</v>
      </c>
      <c r="J174" s="122">
        <f t="shared" si="27"/>
        <v>-3.6032588661908289E-2</v>
      </c>
      <c r="K174" s="122"/>
      <c r="Y174" s="126">
        <f t="shared" si="28"/>
        <v>-0.5</v>
      </c>
    </row>
    <row r="175" spans="2:25" x14ac:dyDescent="0.3">
      <c r="B175" s="12">
        <v>0.14629252256756808</v>
      </c>
      <c r="C175" s="12">
        <f t="shared" si="20"/>
        <v>0</v>
      </c>
      <c r="D175" s="126">
        <f t="shared" si="21"/>
        <v>3.6162387917312681E-2</v>
      </c>
      <c r="E175" s="12">
        <f t="shared" si="22"/>
        <v>0</v>
      </c>
      <c r="F175" s="12">
        <f t="shared" si="23"/>
        <v>0</v>
      </c>
      <c r="G175" s="122">
        <f t="shared" si="24"/>
        <v>0.14629252256756808</v>
      </c>
      <c r="H175" s="122">
        <f t="shared" si="25"/>
        <v>3.6162387917312681E-2</v>
      </c>
      <c r="I175" s="122">
        <f t="shared" si="26"/>
        <v>0.14629252256756808</v>
      </c>
      <c r="J175" s="122">
        <f t="shared" si="27"/>
        <v>-3.6162387917312681E-2</v>
      </c>
      <c r="K175" s="122"/>
      <c r="Y175" s="126">
        <f t="shared" si="28"/>
        <v>-0.5</v>
      </c>
    </row>
    <row r="176" spans="2:25" x14ac:dyDescent="0.3">
      <c r="B176" s="12">
        <v>0.14793602154499341</v>
      </c>
      <c r="C176" s="12">
        <f t="shared" si="20"/>
        <v>0</v>
      </c>
      <c r="D176" s="126">
        <f t="shared" si="21"/>
        <v>3.6291391581017886E-2</v>
      </c>
      <c r="E176" s="12">
        <f t="shared" si="22"/>
        <v>0</v>
      </c>
      <c r="F176" s="12">
        <f t="shared" si="23"/>
        <v>0</v>
      </c>
      <c r="G176" s="122">
        <f t="shared" si="24"/>
        <v>0.14793602154499341</v>
      </c>
      <c r="H176" s="122">
        <f t="shared" si="25"/>
        <v>3.6291391581017886E-2</v>
      </c>
      <c r="I176" s="122">
        <f t="shared" si="26"/>
        <v>0.14793602154499341</v>
      </c>
      <c r="J176" s="122">
        <f t="shared" si="27"/>
        <v>-3.6291391581017886E-2</v>
      </c>
      <c r="K176" s="122"/>
      <c r="Y176" s="126">
        <f t="shared" si="28"/>
        <v>-0.5</v>
      </c>
    </row>
    <row r="177" spans="2:25" x14ac:dyDescent="0.3">
      <c r="B177" s="12">
        <v>0.14958796378916006</v>
      </c>
      <c r="C177" s="12">
        <f t="shared" si="20"/>
        <v>0</v>
      </c>
      <c r="D177" s="126">
        <f t="shared" si="21"/>
        <v>3.6419599460284752E-2</v>
      </c>
      <c r="E177" s="12">
        <f t="shared" si="22"/>
        <v>0</v>
      </c>
      <c r="F177" s="12">
        <f t="shared" si="23"/>
        <v>0</v>
      </c>
      <c r="G177" s="122">
        <f t="shared" si="24"/>
        <v>0.14958796378916006</v>
      </c>
      <c r="H177" s="122">
        <f t="shared" si="25"/>
        <v>3.6419599460284752E-2</v>
      </c>
      <c r="I177" s="122">
        <f t="shared" si="26"/>
        <v>0.14958796378916006</v>
      </c>
      <c r="J177" s="122">
        <f t="shared" si="27"/>
        <v>-3.6419599460284752E-2</v>
      </c>
      <c r="K177" s="122"/>
      <c r="Y177" s="126">
        <f t="shared" si="28"/>
        <v>-0.5</v>
      </c>
    </row>
    <row r="178" spans="2:25" x14ac:dyDescent="0.3">
      <c r="B178" s="12">
        <v>0.15124833293065298</v>
      </c>
      <c r="C178" s="12">
        <f t="shared" si="20"/>
        <v>0</v>
      </c>
      <c r="D178" s="126">
        <f t="shared" si="21"/>
        <v>3.6547011277008205E-2</v>
      </c>
      <c r="E178" s="12">
        <f t="shared" si="22"/>
        <v>0</v>
      </c>
      <c r="F178" s="12">
        <f t="shared" si="23"/>
        <v>0</v>
      </c>
      <c r="G178" s="122">
        <f t="shared" si="24"/>
        <v>0.15124833293065298</v>
      </c>
      <c r="H178" s="122">
        <f t="shared" si="25"/>
        <v>3.6547011277008205E-2</v>
      </c>
      <c r="I178" s="122">
        <f t="shared" si="26"/>
        <v>0.15124833293065298</v>
      </c>
      <c r="J178" s="122">
        <f t="shared" si="27"/>
        <v>-3.6547011277008205E-2</v>
      </c>
      <c r="K178" s="122"/>
      <c r="Y178" s="126">
        <f t="shared" si="28"/>
        <v>-0.5</v>
      </c>
    </row>
    <row r="179" spans="2:25" x14ac:dyDescent="0.3">
      <c r="B179" s="12">
        <v>0.15291711251655316</v>
      </c>
      <c r="C179" s="12">
        <f t="shared" si="20"/>
        <v>0</v>
      </c>
      <c r="D179" s="126">
        <f t="shared" si="21"/>
        <v>3.667362666664991E-2</v>
      </c>
      <c r="E179" s="12">
        <f t="shared" si="22"/>
        <v>0</v>
      </c>
      <c r="F179" s="12">
        <f t="shared" si="23"/>
        <v>0</v>
      </c>
      <c r="G179" s="122">
        <f t="shared" si="24"/>
        <v>0.15291711251655316</v>
      </c>
      <c r="H179" s="122">
        <f t="shared" si="25"/>
        <v>3.667362666664991E-2</v>
      </c>
      <c r="I179" s="122">
        <f t="shared" si="26"/>
        <v>0.15291711251655316</v>
      </c>
      <c r="J179" s="122">
        <f t="shared" si="27"/>
        <v>-3.667362666664991E-2</v>
      </c>
      <c r="K179" s="122"/>
      <c r="Y179" s="126">
        <f t="shared" si="28"/>
        <v>-0.5</v>
      </c>
    </row>
    <row r="180" spans="2:25" x14ac:dyDescent="0.3">
      <c r="B180" s="12">
        <v>0.15459428601060099</v>
      </c>
      <c r="C180" s="12">
        <f t="shared" si="20"/>
        <v>0</v>
      </c>
      <c r="D180" s="126">
        <f t="shared" si="21"/>
        <v>3.6799445177176773E-2</v>
      </c>
      <c r="E180" s="12">
        <f t="shared" si="22"/>
        <v>0</v>
      </c>
      <c r="F180" s="12">
        <f t="shared" si="23"/>
        <v>0</v>
      </c>
      <c r="G180" s="122">
        <f t="shared" si="24"/>
        <v>0.15459428601060099</v>
      </c>
      <c r="H180" s="122">
        <f t="shared" si="25"/>
        <v>3.6799445177176773E-2</v>
      </c>
      <c r="I180" s="122">
        <f t="shared" si="26"/>
        <v>0.15459428601060099</v>
      </c>
      <c r="J180" s="122">
        <f t="shared" si="27"/>
        <v>-3.6799445177176773E-2</v>
      </c>
      <c r="K180" s="122"/>
      <c r="Y180" s="126">
        <f t="shared" si="28"/>
        <v>-0.5</v>
      </c>
    </row>
    <row r="181" spans="2:25" x14ac:dyDescent="0.3">
      <c r="B181" s="12">
        <v>0.15627983679335988</v>
      </c>
      <c r="C181" s="12">
        <f t="shared" si="20"/>
        <v>0</v>
      </c>
      <c r="D181" s="126">
        <f t="shared" si="21"/>
        <v>3.692446626800483E-2</v>
      </c>
      <c r="E181" s="12">
        <f t="shared" si="22"/>
        <v>0</v>
      </c>
      <c r="F181" s="12">
        <f t="shared" si="23"/>
        <v>0</v>
      </c>
      <c r="G181" s="122">
        <f t="shared" si="24"/>
        <v>0.15627983679335988</v>
      </c>
      <c r="H181" s="122">
        <f t="shared" si="25"/>
        <v>3.692446626800483E-2</v>
      </c>
      <c r="I181" s="122">
        <f t="shared" si="26"/>
        <v>0.15627983679335988</v>
      </c>
      <c r="J181" s="122">
        <f t="shared" si="27"/>
        <v>-3.692446626800483E-2</v>
      </c>
      <c r="K181" s="122"/>
      <c r="Y181" s="126">
        <f t="shared" si="28"/>
        <v>-0.5</v>
      </c>
    </row>
    <row r="182" spans="2:25" x14ac:dyDescent="0.3">
      <c r="B182" s="12">
        <v>0.15797374816238119</v>
      </c>
      <c r="C182" s="12">
        <f t="shared" si="20"/>
        <v>0</v>
      </c>
      <c r="D182" s="126">
        <f t="shared" si="21"/>
        <v>3.7048689308949216E-2</v>
      </c>
      <c r="E182" s="12">
        <f t="shared" si="22"/>
        <v>0</v>
      </c>
      <c r="F182" s="12">
        <f t="shared" si="23"/>
        <v>0</v>
      </c>
      <c r="G182" s="122">
        <f t="shared" si="24"/>
        <v>0.15797374816238119</v>
      </c>
      <c r="H182" s="122">
        <f t="shared" si="25"/>
        <v>3.7048689308949216E-2</v>
      </c>
      <c r="I182" s="122">
        <f t="shared" si="26"/>
        <v>0.15797374816238119</v>
      </c>
      <c r="J182" s="122">
        <f t="shared" si="27"/>
        <v>-3.7048689308949216E-2</v>
      </c>
      <c r="K182" s="122"/>
      <c r="Y182" s="126">
        <f t="shared" si="28"/>
        <v>-0.5</v>
      </c>
    </row>
    <row r="183" spans="2:25" x14ac:dyDescent="0.3">
      <c r="B183" s="12">
        <v>0.15967600333236964</v>
      </c>
      <c r="C183" s="12">
        <f t="shared" si="20"/>
        <v>0</v>
      </c>
      <c r="D183" s="126">
        <f t="shared" si="21"/>
        <v>3.7172113579179905E-2</v>
      </c>
      <c r="E183" s="12">
        <f t="shared" si="22"/>
        <v>0</v>
      </c>
      <c r="F183" s="12">
        <f t="shared" si="23"/>
        <v>0</v>
      </c>
      <c r="G183" s="122">
        <f t="shared" si="24"/>
        <v>0.15967600333236964</v>
      </c>
      <c r="H183" s="122">
        <f t="shared" si="25"/>
        <v>3.7172113579179905E-2</v>
      </c>
      <c r="I183" s="122">
        <f t="shared" si="26"/>
        <v>0.15967600333236964</v>
      </c>
      <c r="J183" s="122">
        <f t="shared" si="27"/>
        <v>-3.7172113579179905E-2</v>
      </c>
      <c r="K183" s="122"/>
      <c r="Y183" s="126">
        <f t="shared" si="28"/>
        <v>-0.5</v>
      </c>
    </row>
    <row r="184" spans="2:25" x14ac:dyDescent="0.3">
      <c r="B184" s="12">
        <v>0.16138658543534967</v>
      </c>
      <c r="C184" s="12">
        <f t="shared" si="20"/>
        <v>0</v>
      </c>
      <c r="D184" s="126">
        <f t="shared" si="21"/>
        <v>3.7294738266183694E-2</v>
      </c>
      <c r="E184" s="12">
        <f t="shared" si="22"/>
        <v>0</v>
      </c>
      <c r="F184" s="12">
        <f t="shared" si="23"/>
        <v>0</v>
      </c>
      <c r="G184" s="122">
        <f t="shared" si="24"/>
        <v>0.16138658543534967</v>
      </c>
      <c r="H184" s="122">
        <f t="shared" si="25"/>
        <v>3.7294738266183694E-2</v>
      </c>
      <c r="I184" s="122">
        <f t="shared" si="26"/>
        <v>0.16138658543534967</v>
      </c>
      <c r="J184" s="122">
        <f t="shared" si="27"/>
        <v>-3.7294738266183694E-2</v>
      </c>
      <c r="K184" s="122"/>
      <c r="Y184" s="126">
        <f t="shared" si="28"/>
        <v>-0.5</v>
      </c>
    </row>
    <row r="185" spans="2:25" x14ac:dyDescent="0.3">
      <c r="B185" s="12">
        <v>0.16310547752083215</v>
      </c>
      <c r="C185" s="12">
        <f t="shared" si="20"/>
        <v>0</v>
      </c>
      <c r="D185" s="126">
        <f t="shared" si="21"/>
        <v>3.7416562464732336E-2</v>
      </c>
      <c r="E185" s="12">
        <f t="shared" si="22"/>
        <v>0</v>
      </c>
      <c r="F185" s="12">
        <f t="shared" si="23"/>
        <v>0</v>
      </c>
      <c r="G185" s="122">
        <f t="shared" si="24"/>
        <v>0.16310547752083215</v>
      </c>
      <c r="H185" s="122">
        <f t="shared" si="25"/>
        <v>3.7416562464732336E-2</v>
      </c>
      <c r="I185" s="122">
        <f t="shared" si="26"/>
        <v>0.16310547752083215</v>
      </c>
      <c r="J185" s="122">
        <f t="shared" si="27"/>
        <v>-3.7416562464732336E-2</v>
      </c>
      <c r="K185" s="122"/>
      <c r="Y185" s="126">
        <f t="shared" si="28"/>
        <v>-0.5</v>
      </c>
    </row>
    <row r="186" spans="2:25" x14ac:dyDescent="0.3">
      <c r="B186" s="12">
        <v>0.16483266255598328</v>
      </c>
      <c r="C186" s="12">
        <f t="shared" si="20"/>
        <v>0</v>
      </c>
      <c r="D186" s="126">
        <f t="shared" si="21"/>
        <v>3.753758517585732E-2</v>
      </c>
      <c r="E186" s="12">
        <f t="shared" si="22"/>
        <v>0</v>
      </c>
      <c r="F186" s="12">
        <f t="shared" si="23"/>
        <v>0</v>
      </c>
      <c r="G186" s="122">
        <f t="shared" si="24"/>
        <v>0.16483266255598328</v>
      </c>
      <c r="H186" s="122">
        <f t="shared" si="25"/>
        <v>3.753758517585732E-2</v>
      </c>
      <c r="I186" s="122">
        <f t="shared" si="26"/>
        <v>0.16483266255598328</v>
      </c>
      <c r="J186" s="122">
        <f t="shared" si="27"/>
        <v>-3.753758517585732E-2</v>
      </c>
      <c r="K186" s="122"/>
      <c r="Y186" s="126">
        <f t="shared" si="28"/>
        <v>-0.5</v>
      </c>
    </row>
    <row r="187" spans="2:25" x14ac:dyDescent="0.3">
      <c r="B187" s="12">
        <v>0.1665681234257923</v>
      </c>
      <c r="C187" s="12">
        <f t="shared" si="20"/>
        <v>0</v>
      </c>
      <c r="D187" s="126">
        <f t="shared" si="21"/>
        <v>3.7657805305830884E-2</v>
      </c>
      <c r="E187" s="12">
        <f t="shared" si="22"/>
        <v>0</v>
      </c>
      <c r="F187" s="12">
        <f t="shared" si="23"/>
        <v>0</v>
      </c>
      <c r="G187" s="122">
        <f t="shared" si="24"/>
        <v>0.1665681234257923</v>
      </c>
      <c r="H187" s="122">
        <f t="shared" si="25"/>
        <v>3.7657805305830884E-2</v>
      </c>
      <c r="I187" s="122">
        <f t="shared" si="26"/>
        <v>0.1665681234257923</v>
      </c>
      <c r="J187" s="122">
        <f t="shared" si="27"/>
        <v>-3.7657805305830884E-2</v>
      </c>
      <c r="K187" s="122"/>
      <c r="Y187" s="126">
        <f t="shared" si="28"/>
        <v>-0.5</v>
      </c>
    </row>
    <row r="188" spans="2:25" x14ac:dyDescent="0.3">
      <c r="B188" s="12">
        <v>0.16831184293324197</v>
      </c>
      <c r="C188" s="12">
        <f t="shared" si="20"/>
        <v>0</v>
      </c>
      <c r="D188" s="126">
        <f t="shared" si="21"/>
        <v>3.7777221665154126E-2</v>
      </c>
      <c r="E188" s="12">
        <f t="shared" si="22"/>
        <v>0</v>
      </c>
      <c r="F188" s="12">
        <f t="shared" si="23"/>
        <v>0</v>
      </c>
      <c r="G188" s="122">
        <f t="shared" si="24"/>
        <v>0.16831184293324197</v>
      </c>
      <c r="H188" s="122">
        <f t="shared" si="25"/>
        <v>3.7777221665154126E-2</v>
      </c>
      <c r="I188" s="122">
        <f t="shared" si="26"/>
        <v>0.16831184293324197</v>
      </c>
      <c r="J188" s="122">
        <f t="shared" si="27"/>
        <v>-3.7777221665154126E-2</v>
      </c>
      <c r="K188" s="122"/>
      <c r="Y188" s="126">
        <f t="shared" si="28"/>
        <v>-0.5</v>
      </c>
    </row>
    <row r="189" spans="2:25" x14ac:dyDescent="0.3">
      <c r="B189" s="12">
        <v>0.17006380379947839</v>
      </c>
      <c r="C189" s="12">
        <f t="shared" si="20"/>
        <v>0</v>
      </c>
      <c r="D189" s="126">
        <f t="shared" si="21"/>
        <v>3.789583296755164E-2</v>
      </c>
      <c r="E189" s="12">
        <f t="shared" si="22"/>
        <v>0</v>
      </c>
      <c r="F189" s="12">
        <f t="shared" si="23"/>
        <v>0</v>
      </c>
      <c r="G189" s="122">
        <f t="shared" si="24"/>
        <v>0.17006380379947839</v>
      </c>
      <c r="H189" s="122">
        <f t="shared" si="25"/>
        <v>3.789583296755164E-2</v>
      </c>
      <c r="I189" s="122">
        <f t="shared" si="26"/>
        <v>0.17006380379947839</v>
      </c>
      <c r="J189" s="122">
        <f t="shared" si="27"/>
        <v>-3.789583296755164E-2</v>
      </c>
      <c r="K189" s="122"/>
      <c r="Y189" s="126">
        <f t="shared" si="28"/>
        <v>-0.5</v>
      </c>
    </row>
    <row r="190" spans="2:25" x14ac:dyDescent="0.3">
      <c r="B190" s="12">
        <v>0.17182398866398252</v>
      </c>
      <c r="C190" s="12">
        <f t="shared" si="20"/>
        <v>0</v>
      </c>
      <c r="D190" s="126">
        <f t="shared" si="21"/>
        <v>3.8013637828973448E-2</v>
      </c>
      <c r="E190" s="12">
        <f t="shared" si="22"/>
        <v>0</v>
      </c>
      <c r="F190" s="12">
        <f t="shared" si="23"/>
        <v>0</v>
      </c>
      <c r="G190" s="122">
        <f t="shared" si="24"/>
        <v>0.17182398866398252</v>
      </c>
      <c r="H190" s="122">
        <f t="shared" si="25"/>
        <v>3.8013637828973448E-2</v>
      </c>
      <c r="I190" s="122">
        <f t="shared" si="26"/>
        <v>0.17182398866398252</v>
      </c>
      <c r="J190" s="122">
        <f t="shared" si="27"/>
        <v>-3.8013637828973448E-2</v>
      </c>
      <c r="K190" s="122"/>
      <c r="Y190" s="126">
        <f t="shared" si="28"/>
        <v>-0.5</v>
      </c>
    </row>
    <row r="191" spans="2:25" x14ac:dyDescent="0.3">
      <c r="B191" s="12">
        <v>0.1735923800847422</v>
      </c>
      <c r="C191" s="12">
        <f t="shared" si="20"/>
        <v>0</v>
      </c>
      <c r="D191" s="126">
        <f t="shared" si="21"/>
        <v>3.8130634766603874E-2</v>
      </c>
      <c r="E191" s="12">
        <f t="shared" si="22"/>
        <v>0</v>
      </c>
      <c r="F191" s="12">
        <f t="shared" si="23"/>
        <v>0</v>
      </c>
      <c r="G191" s="122">
        <f t="shared" si="24"/>
        <v>0.1735923800847422</v>
      </c>
      <c r="H191" s="122">
        <f t="shared" si="25"/>
        <v>3.8130634766603874E-2</v>
      </c>
      <c r="I191" s="122">
        <f t="shared" si="26"/>
        <v>0.1735923800847422</v>
      </c>
      <c r="J191" s="122">
        <f t="shared" si="27"/>
        <v>-3.8130634766603874E-2</v>
      </c>
      <c r="K191" s="122"/>
      <c r="Y191" s="126">
        <f t="shared" si="28"/>
        <v>-0.5</v>
      </c>
    </row>
    <row r="192" spans="2:25" x14ac:dyDescent="0.3">
      <c r="B192" s="12">
        <v>0.17536896053842488</v>
      </c>
      <c r="C192" s="12">
        <f t="shared" si="20"/>
        <v>0</v>
      </c>
      <c r="D192" s="126">
        <f t="shared" si="21"/>
        <v>3.8246822197877881E-2</v>
      </c>
      <c r="E192" s="12">
        <f t="shared" si="22"/>
        <v>0</v>
      </c>
      <c r="F192" s="12">
        <f t="shared" si="23"/>
        <v>0</v>
      </c>
      <c r="G192" s="122">
        <f t="shared" si="24"/>
        <v>0.17536896053842488</v>
      </c>
      <c r="H192" s="122">
        <f t="shared" si="25"/>
        <v>3.8246822197877881E-2</v>
      </c>
      <c r="I192" s="122">
        <f t="shared" si="26"/>
        <v>0.17536896053842488</v>
      </c>
      <c r="J192" s="122">
        <f t="shared" si="27"/>
        <v>-3.8246822197877881E-2</v>
      </c>
      <c r="K192" s="122"/>
      <c r="Y192" s="126">
        <f t="shared" si="28"/>
        <v>-0.5</v>
      </c>
    </row>
    <row r="193" spans="2:25" x14ac:dyDescent="0.3">
      <c r="B193" s="12">
        <v>0.17715371242055111</v>
      </c>
      <c r="C193" s="12">
        <f t="shared" ref="C193:C256" si="29">IF($A$1=0, 0, IF(B193&lt;=$A$2, ($A$1/$A$2^2)*(2*$A$2*B193-B193^2), ($A$1/(1-$A$2)^2)*((1-2*$A$2)+2*$A$2*B193-B193^2)))</f>
        <v>0</v>
      </c>
      <c r="D193" s="126">
        <f t="shared" ref="D193:D256" si="30">IF(B193&lt;$N$1, ($A$3/0.2)*($O$1*SQRT(B193)+$P$1*B193+$Q$1*(B193^2)+$R$1*(B193^3)), ($A$3/0.2)*($S$1+$T$1*(1-B193)+$U$1*((1-B193)^2)+$V$1*((1-B193)^3)))</f>
        <v>3.8362198439504752E-2</v>
      </c>
      <c r="E193" s="12">
        <f t="shared" si="22"/>
        <v>0</v>
      </c>
      <c r="F193" s="12">
        <f t="shared" si="23"/>
        <v>0</v>
      </c>
      <c r="G193" s="122">
        <f t="shared" si="24"/>
        <v>0.17715371242055111</v>
      </c>
      <c r="H193" s="122">
        <f t="shared" si="25"/>
        <v>3.8362198439504752E-2</v>
      </c>
      <c r="I193" s="122">
        <f t="shared" si="26"/>
        <v>0.17715371242055111</v>
      </c>
      <c r="J193" s="122">
        <f t="shared" si="27"/>
        <v>-3.8362198439504752E-2</v>
      </c>
      <c r="K193" s="122"/>
      <c r="Y193" s="126">
        <f t="shared" si="28"/>
        <v>-0.5</v>
      </c>
    </row>
    <row r="194" spans="2:25" x14ac:dyDescent="0.3">
      <c r="B194" s="12">
        <v>0.17894661804566958</v>
      </c>
      <c r="C194" s="12">
        <f t="shared" si="29"/>
        <v>0</v>
      </c>
      <c r="D194" s="126">
        <f t="shared" si="30"/>
        <v>3.8476761706499552E-2</v>
      </c>
      <c r="E194" s="12">
        <f t="shared" ref="E194:E257" si="31">IF($A$1=0, 0, IF(B194&lt;=$A$2, ($A$1/$A$2^2) *(2*$A$2-2*B194), ($A$1/(1-$A$2)^2)*(2*$A$2-2*B194)))</f>
        <v>0</v>
      </c>
      <c r="F194" s="12">
        <f t="shared" ref="F194:F257" si="32">IF($A$1=0, 0,  ATAN(E194))</f>
        <v>0</v>
      </c>
      <c r="G194" s="122">
        <f t="shared" ref="G194:G257" si="33">B194-D194*SIN(F194)</f>
        <v>0.17894661804566958</v>
      </c>
      <c r="H194" s="122">
        <f t="shared" ref="H194:H257" si="34">C194+D194*COS(F194)</f>
        <v>3.8476761706499552E-2</v>
      </c>
      <c r="I194" s="122">
        <f t="shared" ref="I194:I257" si="35">B194+D194*SIN(F194)</f>
        <v>0.17894661804566958</v>
      </c>
      <c r="J194" s="122">
        <f t="shared" ref="J194:J257" si="36">C194-D194*COS(F194)</f>
        <v>-3.8476761706499552E-2</v>
      </c>
      <c r="K194" s="122"/>
      <c r="Y194" s="126">
        <f t="shared" ref="Y194:Y257" si="37">IF($Z$1, C194, -0.5)</f>
        <v>-0.5</v>
      </c>
    </row>
    <row r="195" spans="2:25" x14ac:dyDescent="0.3">
      <c r="B195" s="12">
        <v>0.18074765964753159</v>
      </c>
      <c r="C195" s="12">
        <f t="shared" si="29"/>
        <v>0</v>
      </c>
      <c r="D195" s="126">
        <f t="shared" si="30"/>
        <v>3.8590510111222005E-2</v>
      </c>
      <c r="E195" s="12">
        <f t="shared" si="31"/>
        <v>0</v>
      </c>
      <c r="F195" s="12">
        <f t="shared" si="32"/>
        <v>0</v>
      </c>
      <c r="G195" s="122">
        <f t="shared" si="33"/>
        <v>0.18074765964753159</v>
      </c>
      <c r="H195" s="122">
        <f t="shared" si="34"/>
        <v>3.8590510111222005E-2</v>
      </c>
      <c r="I195" s="122">
        <f t="shared" si="35"/>
        <v>0.18074765964753159</v>
      </c>
      <c r="J195" s="122">
        <f t="shared" si="36"/>
        <v>-3.8590510111222005E-2</v>
      </c>
      <c r="K195" s="122"/>
      <c r="Y195" s="126">
        <f t="shared" si="37"/>
        <v>-0.5</v>
      </c>
    </row>
    <row r="196" spans="2:25" x14ac:dyDescent="0.3">
      <c r="B196" s="12">
        <v>0.1825568193792676</v>
      </c>
      <c r="C196" s="12">
        <f t="shared" si="29"/>
        <v>0</v>
      </c>
      <c r="D196" s="126">
        <f t="shared" si="30"/>
        <v>3.870344166242367E-2</v>
      </c>
      <c r="E196" s="12">
        <f t="shared" si="31"/>
        <v>0</v>
      </c>
      <c r="F196" s="12">
        <f t="shared" si="32"/>
        <v>0</v>
      </c>
      <c r="G196" s="122">
        <f t="shared" si="33"/>
        <v>0.1825568193792676</v>
      </c>
      <c r="H196" s="122">
        <f t="shared" si="34"/>
        <v>3.870344166242367E-2</v>
      </c>
      <c r="I196" s="122">
        <f t="shared" si="35"/>
        <v>0.1825568193792676</v>
      </c>
      <c r="J196" s="122">
        <f t="shared" si="36"/>
        <v>-3.870344166242367E-2</v>
      </c>
      <c r="K196" s="122"/>
      <c r="Y196" s="126">
        <f t="shared" si="37"/>
        <v>-0.5</v>
      </c>
    </row>
    <row r="197" spans="2:25" x14ac:dyDescent="0.3">
      <c r="B197" s="12">
        <v>0.18437407931356398</v>
      </c>
      <c r="C197" s="12">
        <f t="shared" si="29"/>
        <v>0</v>
      </c>
      <c r="D197" s="126">
        <f t="shared" si="30"/>
        <v>3.8815554264302839E-2</v>
      </c>
      <c r="E197" s="12">
        <f t="shared" si="31"/>
        <v>0</v>
      </c>
      <c r="F197" s="12">
        <f t="shared" si="32"/>
        <v>0</v>
      </c>
      <c r="G197" s="122">
        <f t="shared" si="33"/>
        <v>0.18437407931356398</v>
      </c>
      <c r="H197" s="122">
        <f t="shared" si="34"/>
        <v>3.8815554264302839E-2</v>
      </c>
      <c r="I197" s="122">
        <f t="shared" si="35"/>
        <v>0.18437407931356398</v>
      </c>
      <c r="J197" s="122">
        <f t="shared" si="36"/>
        <v>-3.8815554264302839E-2</v>
      </c>
      <c r="K197" s="122"/>
      <c r="Y197" s="126">
        <f t="shared" si="37"/>
        <v>-0.5</v>
      </c>
    </row>
    <row r="198" spans="2:25" x14ac:dyDescent="0.3">
      <c r="B198" s="12">
        <v>0.18619942144284063</v>
      </c>
      <c r="C198" s="12">
        <f t="shared" si="29"/>
        <v>0</v>
      </c>
      <c r="D198" s="126">
        <f t="shared" si="30"/>
        <v>3.8926845715567759E-2</v>
      </c>
      <c r="E198" s="12">
        <f t="shared" si="31"/>
        <v>0</v>
      </c>
      <c r="F198" s="12">
        <f t="shared" si="32"/>
        <v>0</v>
      </c>
      <c r="G198" s="122">
        <f t="shared" si="33"/>
        <v>0.18619942144284063</v>
      </c>
      <c r="H198" s="122">
        <f t="shared" si="34"/>
        <v>3.8926845715567759E-2</v>
      </c>
      <c r="I198" s="122">
        <f t="shared" si="35"/>
        <v>0.18619942144284063</v>
      </c>
      <c r="J198" s="122">
        <f t="shared" si="36"/>
        <v>-3.8926845715567759E-2</v>
      </c>
      <c r="K198" s="122"/>
      <c r="Y198" s="126">
        <f t="shared" si="37"/>
        <v>-0.5</v>
      </c>
    </row>
    <row r="199" spans="2:25" x14ac:dyDescent="0.3">
      <c r="B199" s="12">
        <v>0.18803282767942942</v>
      </c>
      <c r="C199" s="12">
        <f t="shared" si="29"/>
        <v>0</v>
      </c>
      <c r="D199" s="126">
        <f t="shared" si="30"/>
        <v>3.9037313708508124E-2</v>
      </c>
      <c r="E199" s="12">
        <f t="shared" si="31"/>
        <v>0</v>
      </c>
      <c r="F199" s="12">
        <f t="shared" si="32"/>
        <v>0</v>
      </c>
      <c r="G199" s="122">
        <f t="shared" si="33"/>
        <v>0.18803282767942942</v>
      </c>
      <c r="H199" s="122">
        <f t="shared" si="34"/>
        <v>3.9037313708508124E-2</v>
      </c>
      <c r="I199" s="122">
        <f t="shared" si="35"/>
        <v>0.18803282767942942</v>
      </c>
      <c r="J199" s="122">
        <f t="shared" si="36"/>
        <v>-3.9037313708508124E-2</v>
      </c>
      <c r="K199" s="122"/>
      <c r="Y199" s="126">
        <f t="shared" si="37"/>
        <v>-0.5</v>
      </c>
    </row>
    <row r="200" spans="2:25" x14ac:dyDescent="0.3">
      <c r="B200" s="12">
        <v>0.18987427985575323</v>
      </c>
      <c r="C200" s="12">
        <f t="shared" si="29"/>
        <v>0</v>
      </c>
      <c r="D200" s="126">
        <f t="shared" si="30"/>
        <v>3.9146955828075085E-2</v>
      </c>
      <c r="E200" s="12">
        <f t="shared" si="31"/>
        <v>0</v>
      </c>
      <c r="F200" s="12">
        <f t="shared" si="32"/>
        <v>0</v>
      </c>
      <c r="G200" s="122">
        <f t="shared" si="33"/>
        <v>0.18987427985575323</v>
      </c>
      <c r="H200" s="122">
        <f t="shared" si="34"/>
        <v>3.9146955828075085E-2</v>
      </c>
      <c r="I200" s="122">
        <f t="shared" si="35"/>
        <v>0.18987427985575323</v>
      </c>
      <c r="J200" s="122">
        <f t="shared" si="36"/>
        <v>-3.9146955828075085E-2</v>
      </c>
      <c r="K200" s="122"/>
      <c r="Y200" s="126">
        <f t="shared" si="37"/>
        <v>-0.5</v>
      </c>
    </row>
    <row r="201" spans="2:25" x14ac:dyDescent="0.3">
      <c r="B201" s="12">
        <v>0.19172375972450661</v>
      </c>
      <c r="C201" s="12">
        <f t="shared" si="29"/>
        <v>0</v>
      </c>
      <c r="D201" s="126">
        <f t="shared" si="30"/>
        <v>3.9255769550969849E-2</v>
      </c>
      <c r="E201" s="12">
        <f t="shared" si="31"/>
        <v>0</v>
      </c>
      <c r="F201" s="12">
        <f t="shared" si="32"/>
        <v>0</v>
      </c>
      <c r="G201" s="122">
        <f t="shared" si="33"/>
        <v>0.19172375972450661</v>
      </c>
      <c r="H201" s="122">
        <f t="shared" si="34"/>
        <v>3.9255769550969849E-2</v>
      </c>
      <c r="I201" s="122">
        <f t="shared" si="35"/>
        <v>0.19172375972450661</v>
      </c>
      <c r="J201" s="122">
        <f t="shared" si="36"/>
        <v>-3.9255769550969849E-2</v>
      </c>
      <c r="K201" s="122"/>
      <c r="Y201" s="126">
        <f t="shared" si="37"/>
        <v>-0.5</v>
      </c>
    </row>
    <row r="202" spans="2:25" x14ac:dyDescent="0.3">
      <c r="B202" s="12">
        <v>0.19358124895883555</v>
      </c>
      <c r="C202" s="12">
        <f t="shared" si="29"/>
        <v>0</v>
      </c>
      <c r="D202" s="126">
        <f t="shared" si="30"/>
        <v>3.9363752244740875E-2</v>
      </c>
      <c r="E202" s="12">
        <f t="shared" si="31"/>
        <v>0</v>
      </c>
      <c r="F202" s="12">
        <f t="shared" si="32"/>
        <v>0</v>
      </c>
      <c r="G202" s="122">
        <f t="shared" si="33"/>
        <v>0.19358124895883555</v>
      </c>
      <c r="H202" s="122">
        <f t="shared" si="34"/>
        <v>3.9363752244740875E-2</v>
      </c>
      <c r="I202" s="122">
        <f t="shared" si="35"/>
        <v>0.19358124895883555</v>
      </c>
      <c r="J202" s="122">
        <f t="shared" si="36"/>
        <v>-3.9363752244740875E-2</v>
      </c>
      <c r="K202" s="122"/>
      <c r="Y202" s="126">
        <f t="shared" si="37"/>
        <v>-0.5</v>
      </c>
    </row>
    <row r="203" spans="2:25" x14ac:dyDescent="0.3">
      <c r="B203" s="12">
        <v>0.19544672915252015</v>
      </c>
      <c r="C203" s="12">
        <f t="shared" si="29"/>
        <v>0</v>
      </c>
      <c r="D203" s="126">
        <f t="shared" si="30"/>
        <v>3.9470901166890282E-2</v>
      </c>
      <c r="E203" s="12">
        <f t="shared" si="31"/>
        <v>0</v>
      </c>
      <c r="F203" s="12">
        <f t="shared" si="32"/>
        <v>0</v>
      </c>
      <c r="G203" s="122">
        <f t="shared" si="33"/>
        <v>0.19544672915252015</v>
      </c>
      <c r="H203" s="122">
        <f t="shared" si="34"/>
        <v>3.9470901166890282E-2</v>
      </c>
      <c r="I203" s="122">
        <f t="shared" si="35"/>
        <v>0.19544672915252015</v>
      </c>
      <c r="J203" s="122">
        <f t="shared" si="36"/>
        <v>-3.9470901166890282E-2</v>
      </c>
      <c r="K203" s="122"/>
      <c r="Y203" s="126">
        <f t="shared" si="37"/>
        <v>-0.5</v>
      </c>
    </row>
    <row r="204" spans="2:25" x14ac:dyDescent="0.3">
      <c r="B204" s="12">
        <v>0.19732018182015654</v>
      </c>
      <c r="C204" s="12">
        <f t="shared" si="29"/>
        <v>0</v>
      </c>
      <c r="D204" s="126">
        <f t="shared" si="30"/>
        <v>3.9577213463988958E-2</v>
      </c>
      <c r="E204" s="12">
        <f t="shared" si="31"/>
        <v>0</v>
      </c>
      <c r="F204" s="12">
        <f t="shared" si="32"/>
        <v>0</v>
      </c>
      <c r="G204" s="122">
        <f t="shared" si="33"/>
        <v>0.19732018182015654</v>
      </c>
      <c r="H204" s="122">
        <f t="shared" si="34"/>
        <v>3.9577213463988958E-2</v>
      </c>
      <c r="I204" s="122">
        <f t="shared" si="35"/>
        <v>0.19732018182015654</v>
      </c>
      <c r="J204" s="122">
        <f t="shared" si="36"/>
        <v>-3.9577213463988958E-2</v>
      </c>
      <c r="K204" s="122"/>
      <c r="Y204" s="126">
        <f t="shared" si="37"/>
        <v>-0.5</v>
      </c>
    </row>
    <row r="205" spans="2:25" x14ac:dyDescent="0.3">
      <c r="B205" s="12">
        <v>0.1992015883973397</v>
      </c>
      <c r="C205" s="12">
        <f t="shared" si="29"/>
        <v>0</v>
      </c>
      <c r="D205" s="126">
        <f t="shared" si="30"/>
        <v>3.9682686170801028E-2</v>
      </c>
      <c r="E205" s="12">
        <f t="shared" si="31"/>
        <v>0</v>
      </c>
      <c r="F205" s="12">
        <f t="shared" si="32"/>
        <v>0</v>
      </c>
      <c r="G205" s="122">
        <f t="shared" si="33"/>
        <v>0.1992015883973397</v>
      </c>
      <c r="H205" s="122">
        <f t="shared" si="34"/>
        <v>3.9682686170801028E-2</v>
      </c>
      <c r="I205" s="122">
        <f t="shared" si="35"/>
        <v>0.1992015883973397</v>
      </c>
      <c r="J205" s="122">
        <f t="shared" si="36"/>
        <v>-3.9682686170801028E-2</v>
      </c>
      <c r="K205" s="122"/>
      <c r="Y205" s="126">
        <f t="shared" si="37"/>
        <v>-0.5</v>
      </c>
    </row>
    <row r="206" spans="2:25" x14ac:dyDescent="0.3">
      <c r="B206" s="12">
        <v>0.20109093024084834</v>
      </c>
      <c r="C206" s="12">
        <f t="shared" si="29"/>
        <v>0</v>
      </c>
      <c r="D206" s="126">
        <f t="shared" si="30"/>
        <v>3.9787316209417542E-2</v>
      </c>
      <c r="E206" s="12">
        <f t="shared" si="31"/>
        <v>0</v>
      </c>
      <c r="F206" s="12">
        <f t="shared" si="32"/>
        <v>0</v>
      </c>
      <c r="G206" s="122">
        <f t="shared" si="33"/>
        <v>0.20109093024084834</v>
      </c>
      <c r="H206" s="122">
        <f t="shared" si="34"/>
        <v>3.9787316209417542E-2</v>
      </c>
      <c r="I206" s="122">
        <f t="shared" si="35"/>
        <v>0.20109093024084834</v>
      </c>
      <c r="J206" s="122">
        <f t="shared" si="36"/>
        <v>-3.9787316209417542E-2</v>
      </c>
      <c r="K206" s="122"/>
      <c r="Y206" s="126">
        <f t="shared" si="37"/>
        <v>-0.5</v>
      </c>
    </row>
    <row r="207" spans="2:25" x14ac:dyDescent="0.3">
      <c r="B207" s="12">
        <v>0.20298818862882839</v>
      </c>
      <c r="C207" s="12">
        <f t="shared" si="29"/>
        <v>0</v>
      </c>
      <c r="D207" s="126">
        <f t="shared" si="30"/>
        <v>3.9891100388399575E-2</v>
      </c>
      <c r="E207" s="12">
        <f t="shared" si="31"/>
        <v>0</v>
      </c>
      <c r="F207" s="12">
        <f t="shared" si="32"/>
        <v>0</v>
      </c>
      <c r="G207" s="122">
        <f t="shared" si="33"/>
        <v>0.20298818862882839</v>
      </c>
      <c r="H207" s="122">
        <f t="shared" si="34"/>
        <v>3.9891100388399575E-2</v>
      </c>
      <c r="I207" s="122">
        <f t="shared" si="35"/>
        <v>0.20298818862882839</v>
      </c>
      <c r="J207" s="122">
        <f t="shared" si="36"/>
        <v>-3.9891100388399575E-2</v>
      </c>
      <c r="K207" s="122"/>
      <c r="Y207" s="126">
        <f t="shared" si="37"/>
        <v>-0.5</v>
      </c>
    </row>
    <row r="208" spans="2:25" x14ac:dyDescent="0.3">
      <c r="B208" s="12">
        <v>0.20489334476097976</v>
      </c>
      <c r="C208" s="12">
        <f t="shared" si="29"/>
        <v>0</v>
      </c>
      <c r="D208" s="126">
        <f t="shared" si="30"/>
        <v>3.9994035401931131E-2</v>
      </c>
      <c r="E208" s="12">
        <f t="shared" si="31"/>
        <v>0</v>
      </c>
      <c r="F208" s="12">
        <f t="shared" si="32"/>
        <v>0</v>
      </c>
      <c r="G208" s="122">
        <f t="shared" si="33"/>
        <v>0.20489334476097976</v>
      </c>
      <c r="H208" s="122">
        <f t="shared" si="34"/>
        <v>3.9994035401931131E-2</v>
      </c>
      <c r="I208" s="122">
        <f t="shared" si="35"/>
        <v>0.20489334476097976</v>
      </c>
      <c r="J208" s="122">
        <f t="shared" si="36"/>
        <v>-3.9994035401931131E-2</v>
      </c>
      <c r="K208" s="122"/>
      <c r="Y208" s="126">
        <f t="shared" si="37"/>
        <v>-0.5</v>
      </c>
    </row>
    <row r="209" spans="2:25" x14ac:dyDescent="0.3">
      <c r="B209" s="12">
        <v>0.20680637975874194</v>
      </c>
      <c r="C209" s="12">
        <f t="shared" si="29"/>
        <v>0</v>
      </c>
      <c r="D209" s="126">
        <f t="shared" si="30"/>
        <v>4.0096117828981384E-2</v>
      </c>
      <c r="E209" s="12">
        <f t="shared" si="31"/>
        <v>0</v>
      </c>
      <c r="F209" s="12">
        <f t="shared" si="32"/>
        <v>0</v>
      </c>
      <c r="G209" s="122">
        <f t="shared" si="33"/>
        <v>0.20680637975874194</v>
      </c>
      <c r="H209" s="122">
        <f t="shared" si="34"/>
        <v>4.0096117828981384E-2</v>
      </c>
      <c r="I209" s="122">
        <f t="shared" si="35"/>
        <v>0.20680637975874194</v>
      </c>
      <c r="J209" s="122">
        <f t="shared" si="36"/>
        <v>-4.0096117828981384E-2</v>
      </c>
      <c r="K209" s="122"/>
      <c r="Y209" s="126">
        <f t="shared" si="37"/>
        <v>-0.5</v>
      </c>
    </row>
    <row r="210" spans="2:25" x14ac:dyDescent="0.3">
      <c r="B210" s="12">
        <v>0.20872727466548102</v>
      </c>
      <c r="C210" s="12">
        <f t="shared" si="29"/>
        <v>0</v>
      </c>
      <c r="D210" s="126">
        <f t="shared" si="30"/>
        <v>4.0197344132477095E-2</v>
      </c>
      <c r="E210" s="12">
        <f t="shared" si="31"/>
        <v>0</v>
      </c>
      <c r="F210" s="12">
        <f t="shared" si="32"/>
        <v>0</v>
      </c>
      <c r="G210" s="122">
        <f t="shared" si="33"/>
        <v>0.20872727466548102</v>
      </c>
      <c r="H210" s="122">
        <f t="shared" si="34"/>
        <v>4.0197344132477095E-2</v>
      </c>
      <c r="I210" s="122">
        <f t="shared" si="35"/>
        <v>0.20872727466548102</v>
      </c>
      <c r="J210" s="122">
        <f t="shared" si="36"/>
        <v>-4.0197344132477095E-2</v>
      </c>
      <c r="K210" s="122"/>
      <c r="Y210" s="126">
        <f t="shared" si="37"/>
        <v>-0.5</v>
      </c>
    </row>
    <row r="211" spans="2:25" x14ac:dyDescent="0.3">
      <c r="B211" s="12">
        <v>0.21065601044667814</v>
      </c>
      <c r="C211" s="12">
        <f t="shared" si="29"/>
        <v>0</v>
      </c>
      <c r="D211" s="126">
        <f t="shared" si="30"/>
        <v>4.0297710658484857E-2</v>
      </c>
      <c r="E211" s="12">
        <f t="shared" si="31"/>
        <v>0</v>
      </c>
      <c r="F211" s="12">
        <f t="shared" si="32"/>
        <v>0</v>
      </c>
      <c r="G211" s="122">
        <f t="shared" si="33"/>
        <v>0.21065601044667814</v>
      </c>
      <c r="H211" s="122">
        <f t="shared" si="34"/>
        <v>4.0297710658484857E-2</v>
      </c>
      <c r="I211" s="122">
        <f t="shared" si="35"/>
        <v>0.21065601044667814</v>
      </c>
      <c r="J211" s="122">
        <f t="shared" si="36"/>
        <v>-4.0297710658484857E-2</v>
      </c>
      <c r="K211" s="122"/>
      <c r="Y211" s="126">
        <f t="shared" si="37"/>
        <v>-0.5</v>
      </c>
    </row>
    <row r="212" spans="2:25" x14ac:dyDescent="0.3">
      <c r="B212" s="12">
        <v>0.21259256799011716</v>
      </c>
      <c r="C212" s="12">
        <f t="shared" si="29"/>
        <v>0</v>
      </c>
      <c r="D212" s="126">
        <f t="shared" si="30"/>
        <v>4.0397213635403488E-2</v>
      </c>
      <c r="E212" s="12">
        <f t="shared" si="31"/>
        <v>0</v>
      </c>
      <c r="F212" s="12">
        <f t="shared" si="32"/>
        <v>0</v>
      </c>
      <c r="G212" s="122">
        <f t="shared" si="33"/>
        <v>0.21259256799011716</v>
      </c>
      <c r="H212" s="122">
        <f t="shared" si="34"/>
        <v>4.0397213635403488E-2</v>
      </c>
      <c r="I212" s="122">
        <f t="shared" si="35"/>
        <v>0.21259256799011716</v>
      </c>
      <c r="J212" s="122">
        <f t="shared" si="36"/>
        <v>-4.0397213635403488E-2</v>
      </c>
      <c r="K212" s="122"/>
      <c r="Y212" s="126">
        <f t="shared" si="37"/>
        <v>-0.5</v>
      </c>
    </row>
    <row r="213" spans="2:25" x14ac:dyDescent="0.3">
      <c r="B213" s="12">
        <v>0.21453692810607505</v>
      </c>
      <c r="C213" s="12">
        <f t="shared" si="29"/>
        <v>0</v>
      </c>
      <c r="D213" s="126">
        <f t="shared" si="30"/>
        <v>4.049584917316669E-2</v>
      </c>
      <c r="E213" s="12">
        <f t="shared" si="31"/>
        <v>0</v>
      </c>
      <c r="F213" s="12">
        <f t="shared" si="32"/>
        <v>0</v>
      </c>
      <c r="G213" s="122">
        <f t="shared" si="33"/>
        <v>0.21453692810607505</v>
      </c>
      <c r="H213" s="122">
        <f t="shared" si="34"/>
        <v>4.049584917316669E-2</v>
      </c>
      <c r="I213" s="122">
        <f t="shared" si="35"/>
        <v>0.21453692810607505</v>
      </c>
      <c r="J213" s="122">
        <f t="shared" si="36"/>
        <v>-4.049584917316669E-2</v>
      </c>
      <c r="K213" s="122"/>
      <c r="Y213" s="126">
        <f t="shared" si="37"/>
        <v>-0.5</v>
      </c>
    </row>
    <row r="214" spans="2:25" x14ac:dyDescent="0.3">
      <c r="B214" s="12">
        <v>0.2164890715275114</v>
      </c>
      <c r="C214" s="12">
        <f t="shared" si="29"/>
        <v>0</v>
      </c>
      <c r="D214" s="126">
        <f t="shared" si="30"/>
        <v>4.0593613262456064E-2</v>
      </c>
      <c r="E214" s="12">
        <f t="shared" si="31"/>
        <v>0</v>
      </c>
      <c r="F214" s="12">
        <f t="shared" si="32"/>
        <v>0</v>
      </c>
      <c r="G214" s="122">
        <f t="shared" si="33"/>
        <v>0.2164890715275114</v>
      </c>
      <c r="H214" s="122">
        <f t="shared" si="34"/>
        <v>4.0593613262456064E-2</v>
      </c>
      <c r="I214" s="122">
        <f t="shared" si="35"/>
        <v>0.2164890715275114</v>
      </c>
      <c r="J214" s="122">
        <f t="shared" si="36"/>
        <v>-4.0593613262456064E-2</v>
      </c>
      <c r="K214" s="122"/>
      <c r="Y214" s="126">
        <f t="shared" si="37"/>
        <v>-0.5</v>
      </c>
    </row>
    <row r="215" spans="2:25" x14ac:dyDescent="0.3">
      <c r="B215" s="12">
        <v>0.21844897891025949</v>
      </c>
      <c r="C215" s="12">
        <f t="shared" si="29"/>
        <v>0</v>
      </c>
      <c r="D215" s="126">
        <f t="shared" si="30"/>
        <v>4.0690501773924685E-2</v>
      </c>
      <c r="E215" s="12">
        <f t="shared" si="31"/>
        <v>0</v>
      </c>
      <c r="F215" s="12">
        <f t="shared" si="32"/>
        <v>0</v>
      </c>
      <c r="G215" s="122">
        <f t="shared" si="33"/>
        <v>0.21844897891025949</v>
      </c>
      <c r="H215" s="122">
        <f t="shared" si="34"/>
        <v>4.0690501773924685E-2</v>
      </c>
      <c r="I215" s="122">
        <f t="shared" si="35"/>
        <v>0.21844897891025949</v>
      </c>
      <c r="J215" s="122">
        <f t="shared" si="36"/>
        <v>-4.0690501773924685E-2</v>
      </c>
      <c r="K215" s="122"/>
      <c r="Y215" s="126">
        <f t="shared" si="37"/>
        <v>-0.5</v>
      </c>
    </row>
    <row r="216" spans="2:25" x14ac:dyDescent="0.3">
      <c r="B216" s="12">
        <v>0.22041663083321805</v>
      </c>
      <c r="C216" s="12">
        <f t="shared" si="29"/>
        <v>0</v>
      </c>
      <c r="D216" s="126">
        <f t="shared" si="30"/>
        <v>4.078651045743123E-2</v>
      </c>
      <c r="E216" s="12">
        <f t="shared" si="31"/>
        <v>0</v>
      </c>
      <c r="F216" s="12">
        <f t="shared" si="32"/>
        <v>0</v>
      </c>
      <c r="G216" s="122">
        <f t="shared" si="33"/>
        <v>0.22041663083321805</v>
      </c>
      <c r="H216" s="122">
        <f t="shared" si="34"/>
        <v>4.078651045743123E-2</v>
      </c>
      <c r="I216" s="122">
        <f t="shared" si="35"/>
        <v>0.22041663083321805</v>
      </c>
      <c r="J216" s="122">
        <f t="shared" si="36"/>
        <v>-4.078651045743123E-2</v>
      </c>
      <c r="K216" s="122"/>
      <c r="Y216" s="126">
        <f t="shared" si="37"/>
        <v>-0.5</v>
      </c>
    </row>
    <row r="217" spans="2:25" x14ac:dyDescent="0.3">
      <c r="B217" s="12">
        <v>0.22239200779854373</v>
      </c>
      <c r="C217" s="12">
        <f t="shared" si="29"/>
        <v>0</v>
      </c>
      <c r="D217" s="126">
        <f t="shared" si="30"/>
        <v>4.0881634941285001E-2</v>
      </c>
      <c r="E217" s="12">
        <f t="shared" si="31"/>
        <v>0</v>
      </c>
      <c r="F217" s="12">
        <f t="shared" si="32"/>
        <v>0</v>
      </c>
      <c r="G217" s="122">
        <f t="shared" si="33"/>
        <v>0.22239200779854373</v>
      </c>
      <c r="H217" s="122">
        <f t="shared" si="34"/>
        <v>4.0881634941285001E-2</v>
      </c>
      <c r="I217" s="122">
        <f t="shared" si="35"/>
        <v>0.22239200779854373</v>
      </c>
      <c r="J217" s="122">
        <f t="shared" si="36"/>
        <v>-4.0881634941285001E-2</v>
      </c>
      <c r="K217" s="122"/>
      <c r="Y217" s="126">
        <f t="shared" si="37"/>
        <v>-0.5</v>
      </c>
    </row>
    <row r="218" spans="2:25" x14ac:dyDescent="0.3">
      <c r="B218" s="12">
        <v>0.22437509023184399</v>
      </c>
      <c r="C218" s="12">
        <f t="shared" si="29"/>
        <v>0</v>
      </c>
      <c r="D218" s="126">
        <f t="shared" si="30"/>
        <v>4.0975870731501683E-2</v>
      </c>
      <c r="E218" s="12">
        <f t="shared" si="31"/>
        <v>0</v>
      </c>
      <c r="F218" s="12">
        <f t="shared" si="32"/>
        <v>0</v>
      </c>
      <c r="G218" s="122">
        <f t="shared" si="33"/>
        <v>0.22437509023184399</v>
      </c>
      <c r="H218" s="122">
        <f t="shared" si="34"/>
        <v>4.0975870731501683E-2</v>
      </c>
      <c r="I218" s="122">
        <f t="shared" si="35"/>
        <v>0.22437509023184399</v>
      </c>
      <c r="J218" s="122">
        <f t="shared" si="36"/>
        <v>-4.0975870731501683E-2</v>
      </c>
      <c r="K218" s="122"/>
      <c r="Y218" s="126">
        <f t="shared" si="37"/>
        <v>-0.5</v>
      </c>
    </row>
    <row r="219" spans="2:25" x14ac:dyDescent="0.3">
      <c r="B219" s="12">
        <v>0.22636585848237156</v>
      </c>
      <c r="C219" s="12">
        <f t="shared" si="29"/>
        <v>0</v>
      </c>
      <c r="D219" s="126">
        <f t="shared" si="30"/>
        <v>4.1069213211070377E-2</v>
      </c>
      <c r="E219" s="12">
        <f t="shared" si="31"/>
        <v>0</v>
      </c>
      <c r="F219" s="12">
        <f t="shared" si="32"/>
        <v>0</v>
      </c>
      <c r="G219" s="122">
        <f t="shared" si="33"/>
        <v>0.22636585848237156</v>
      </c>
      <c r="H219" s="122">
        <f t="shared" si="34"/>
        <v>4.1069213211070377E-2</v>
      </c>
      <c r="I219" s="122">
        <f t="shared" si="35"/>
        <v>0.22636585848237156</v>
      </c>
      <c r="J219" s="122">
        <f t="shared" si="36"/>
        <v>-4.1069213211070377E-2</v>
      </c>
      <c r="K219" s="122"/>
      <c r="Y219" s="126">
        <f t="shared" si="37"/>
        <v>-0.5</v>
      </c>
    </row>
    <row r="220" spans="2:25" x14ac:dyDescent="0.3">
      <c r="B220" s="12">
        <v>0.22836429282321902</v>
      </c>
      <c r="C220" s="12">
        <f t="shared" si="29"/>
        <v>0</v>
      </c>
      <c r="D220" s="126">
        <f t="shared" si="30"/>
        <v>4.116165763923154E-2</v>
      </c>
      <c r="E220" s="12">
        <f t="shared" si="31"/>
        <v>0</v>
      </c>
      <c r="F220" s="12">
        <f t="shared" si="32"/>
        <v>0</v>
      </c>
      <c r="G220" s="122">
        <f t="shared" si="33"/>
        <v>0.22836429282321902</v>
      </c>
      <c r="H220" s="122">
        <f t="shared" si="34"/>
        <v>4.116165763923154E-2</v>
      </c>
      <c r="I220" s="122">
        <f t="shared" si="35"/>
        <v>0.22836429282321902</v>
      </c>
      <c r="J220" s="122">
        <f t="shared" si="36"/>
        <v>-4.116165763923154E-2</v>
      </c>
      <c r="K220" s="122"/>
      <c r="Y220" s="126">
        <f t="shared" si="37"/>
        <v>-0.5</v>
      </c>
    </row>
    <row r="221" spans="2:25" x14ac:dyDescent="0.3">
      <c r="B221" s="12">
        <v>0.2303703734515139</v>
      </c>
      <c r="C221" s="12">
        <f t="shared" si="29"/>
        <v>0</v>
      </c>
      <c r="D221" s="126">
        <f t="shared" si="30"/>
        <v>4.1253199150766334E-2</v>
      </c>
      <c r="E221" s="12">
        <f t="shared" si="31"/>
        <v>0</v>
      </c>
      <c r="F221" s="12">
        <f t="shared" si="32"/>
        <v>0</v>
      </c>
      <c r="G221" s="122">
        <f t="shared" si="33"/>
        <v>0.2303703734515139</v>
      </c>
      <c r="H221" s="122">
        <f t="shared" si="34"/>
        <v>4.1253199150766334E-2</v>
      </c>
      <c r="I221" s="122">
        <f t="shared" si="35"/>
        <v>0.2303703734515139</v>
      </c>
      <c r="J221" s="122">
        <f t="shared" si="36"/>
        <v>-4.1253199150766334E-2</v>
      </c>
      <c r="K221" s="122"/>
      <c r="Y221" s="126">
        <f t="shared" si="37"/>
        <v>-0.5</v>
      </c>
    </row>
    <row r="222" spans="2:25" x14ac:dyDescent="0.3">
      <c r="B222" s="12">
        <v>0.23238408048861525</v>
      </c>
      <c r="C222" s="12">
        <f t="shared" si="29"/>
        <v>0</v>
      </c>
      <c r="D222" s="126">
        <f t="shared" si="30"/>
        <v>4.1343832755297363E-2</v>
      </c>
      <c r="E222" s="12">
        <f t="shared" si="31"/>
        <v>0</v>
      </c>
      <c r="F222" s="12">
        <f t="shared" si="32"/>
        <v>0</v>
      </c>
      <c r="G222" s="122">
        <f t="shared" si="33"/>
        <v>0.23238408048861525</v>
      </c>
      <c r="H222" s="122">
        <f t="shared" si="34"/>
        <v>4.1343832755297363E-2</v>
      </c>
      <c r="I222" s="122">
        <f t="shared" si="35"/>
        <v>0.23238408048861525</v>
      </c>
      <c r="J222" s="122">
        <f t="shared" si="36"/>
        <v>-4.1343832755297363E-2</v>
      </c>
      <c r="K222" s="122"/>
      <c r="Y222" s="126">
        <f t="shared" si="37"/>
        <v>-0.5</v>
      </c>
    </row>
    <row r="223" spans="2:25" x14ac:dyDescent="0.3">
      <c r="B223" s="12">
        <v>0.23440539398031057</v>
      </c>
      <c r="C223" s="12">
        <f t="shared" si="29"/>
        <v>0</v>
      </c>
      <c r="D223" s="126">
        <f t="shared" si="30"/>
        <v>4.1433553336600967E-2</v>
      </c>
      <c r="E223" s="12">
        <f t="shared" si="31"/>
        <v>0</v>
      </c>
      <c r="F223" s="12">
        <f t="shared" si="32"/>
        <v>0</v>
      </c>
      <c r="G223" s="122">
        <f t="shared" si="33"/>
        <v>0.23440539398031057</v>
      </c>
      <c r="H223" s="122">
        <f t="shared" si="34"/>
        <v>4.1433553336600967E-2</v>
      </c>
      <c r="I223" s="122">
        <f t="shared" si="35"/>
        <v>0.23440539398031057</v>
      </c>
      <c r="J223" s="122">
        <f t="shared" si="36"/>
        <v>-4.1433553336600967E-2</v>
      </c>
      <c r="K223" s="122"/>
      <c r="Y223" s="126">
        <f t="shared" si="37"/>
        <v>-0.5</v>
      </c>
    </row>
    <row r="224" spans="2:25" x14ac:dyDescent="0.3">
      <c r="B224" s="12">
        <v>0.23643429389701376</v>
      </c>
      <c r="C224" s="12">
        <f t="shared" si="29"/>
        <v>0</v>
      </c>
      <c r="D224" s="126">
        <f t="shared" si="30"/>
        <v>4.152235565193111E-2</v>
      </c>
      <c r="E224" s="12">
        <f t="shared" si="31"/>
        <v>0</v>
      </c>
      <c r="F224" s="12">
        <f t="shared" si="32"/>
        <v>0</v>
      </c>
      <c r="G224" s="122">
        <f t="shared" si="33"/>
        <v>0.23643429389701376</v>
      </c>
      <c r="H224" s="122">
        <f t="shared" si="34"/>
        <v>4.152235565193111E-2</v>
      </c>
      <c r="I224" s="122">
        <f t="shared" si="35"/>
        <v>0.23643429389701376</v>
      </c>
      <c r="J224" s="122">
        <f t="shared" si="36"/>
        <v>-4.152235565193111E-2</v>
      </c>
      <c r="K224" s="122"/>
      <c r="Y224" s="126">
        <f t="shared" si="37"/>
        <v>-0.5</v>
      </c>
    </row>
    <row r="225" spans="2:25" x14ac:dyDescent="0.3">
      <c r="B225" s="12">
        <v>0.23847076013396296</v>
      </c>
      <c r="C225" s="12">
        <f t="shared" si="29"/>
        <v>0</v>
      </c>
      <c r="D225" s="126">
        <f t="shared" si="30"/>
        <v>4.1610234331355009E-2</v>
      </c>
      <c r="E225" s="12">
        <f t="shared" si="31"/>
        <v>0</v>
      </c>
      <c r="F225" s="12">
        <f t="shared" si="32"/>
        <v>0</v>
      </c>
      <c r="G225" s="122">
        <f t="shared" si="33"/>
        <v>0.23847076013396296</v>
      </c>
      <c r="H225" s="122">
        <f t="shared" si="34"/>
        <v>4.1610234331355009E-2</v>
      </c>
      <c r="I225" s="122">
        <f t="shared" si="35"/>
        <v>0.23847076013396296</v>
      </c>
      <c r="J225" s="122">
        <f t="shared" si="36"/>
        <v>-4.1610234331355009E-2</v>
      </c>
      <c r="K225" s="122"/>
      <c r="Y225" s="126">
        <f t="shared" si="37"/>
        <v>-0.5</v>
      </c>
    </row>
    <row r="226" spans="2:25" x14ac:dyDescent="0.3">
      <c r="B226" s="12">
        <v>0.24051477251142062</v>
      </c>
      <c r="C226" s="12">
        <f t="shared" si="29"/>
        <v>0</v>
      </c>
      <c r="D226" s="126">
        <f t="shared" si="30"/>
        <v>4.1697183877100877E-2</v>
      </c>
      <c r="E226" s="12">
        <f t="shared" si="31"/>
        <v>0</v>
      </c>
      <c r="F226" s="12">
        <f t="shared" si="32"/>
        <v>0</v>
      </c>
      <c r="G226" s="122">
        <f t="shared" si="33"/>
        <v>0.24051477251142062</v>
      </c>
      <c r="H226" s="122">
        <f t="shared" si="34"/>
        <v>4.1697183877100877E-2</v>
      </c>
      <c r="I226" s="122">
        <f t="shared" si="35"/>
        <v>0.24051477251142062</v>
      </c>
      <c r="J226" s="122">
        <f t="shared" si="36"/>
        <v>-4.1697183877100877E-2</v>
      </c>
      <c r="K226" s="122"/>
      <c r="Y226" s="126">
        <f t="shared" si="37"/>
        <v>-0.5</v>
      </c>
    </row>
    <row r="227" spans="2:25" x14ac:dyDescent="0.3">
      <c r="B227" s="12">
        <v>0.24256631077487267</v>
      </c>
      <c r="C227" s="12">
        <f t="shared" si="29"/>
        <v>0</v>
      </c>
      <c r="D227" s="126">
        <f t="shared" si="30"/>
        <v>4.1783198662917367E-2</v>
      </c>
      <c r="E227" s="12">
        <f t="shared" si="31"/>
        <v>0</v>
      </c>
      <c r="F227" s="12">
        <f t="shared" si="32"/>
        <v>0</v>
      </c>
      <c r="G227" s="122">
        <f t="shared" si="33"/>
        <v>0.24256631077487267</v>
      </c>
      <c r="H227" s="122">
        <f t="shared" si="34"/>
        <v>4.1783198662917367E-2</v>
      </c>
      <c r="I227" s="122">
        <f t="shared" si="35"/>
        <v>0.24256631077487267</v>
      </c>
      <c r="J227" s="122">
        <f t="shared" si="36"/>
        <v>-4.1783198662917367E-2</v>
      </c>
      <c r="K227" s="122"/>
      <c r="Y227" s="126">
        <f t="shared" si="37"/>
        <v>-0.5</v>
      </c>
    </row>
    <row r="228" spans="2:25" x14ac:dyDescent="0.3">
      <c r="B228" s="12">
        <v>0.24462535459522983</v>
      </c>
      <c r="C228" s="12">
        <f t="shared" si="29"/>
        <v>0</v>
      </c>
      <c r="D228" s="126">
        <f t="shared" si="30"/>
        <v>4.1868272933445423E-2</v>
      </c>
      <c r="E228" s="12">
        <f t="shared" si="31"/>
        <v>0</v>
      </c>
      <c r="F228" s="12">
        <f t="shared" si="32"/>
        <v>0</v>
      </c>
      <c r="G228" s="122">
        <f t="shared" si="33"/>
        <v>0.24462535459522983</v>
      </c>
      <c r="H228" s="122">
        <f t="shared" si="34"/>
        <v>4.1868272933445423E-2</v>
      </c>
      <c r="I228" s="122">
        <f t="shared" si="35"/>
        <v>0.24462535459522983</v>
      </c>
      <c r="J228" s="122">
        <f t="shared" si="36"/>
        <v>-4.1868272933445423E-2</v>
      </c>
      <c r="K228" s="122"/>
      <c r="Y228" s="126">
        <f t="shared" si="37"/>
        <v>-0.5</v>
      </c>
    </row>
    <row r="229" spans="2:25" x14ac:dyDescent="0.3">
      <c r="B229" s="12">
        <v>0.24669188356902849</v>
      </c>
      <c r="C229" s="12">
        <f t="shared" si="29"/>
        <v>0</v>
      </c>
      <c r="D229" s="126">
        <f t="shared" si="30"/>
        <v>4.1952400803602186E-2</v>
      </c>
      <c r="E229" s="12">
        <f t="shared" si="31"/>
        <v>0</v>
      </c>
      <c r="F229" s="12">
        <f t="shared" si="32"/>
        <v>0</v>
      </c>
      <c r="G229" s="122">
        <f t="shared" si="33"/>
        <v>0.24669188356902849</v>
      </c>
      <c r="H229" s="122">
        <f t="shared" si="34"/>
        <v>4.1952400803602186E-2</v>
      </c>
      <c r="I229" s="122">
        <f t="shared" si="35"/>
        <v>0.24669188356902849</v>
      </c>
      <c r="J229" s="122">
        <f t="shared" si="36"/>
        <v>-4.1952400803602186E-2</v>
      </c>
      <c r="K229" s="122"/>
      <c r="Y229" s="126">
        <f t="shared" si="37"/>
        <v>-0.5</v>
      </c>
    </row>
    <row r="230" spans="2:25" x14ac:dyDescent="0.3">
      <c r="B230" s="12">
        <v>0.24876587721863352</v>
      </c>
      <c r="C230" s="12">
        <f t="shared" si="29"/>
        <v>0</v>
      </c>
      <c r="D230" s="126">
        <f t="shared" si="30"/>
        <v>4.2035576257977429E-2</v>
      </c>
      <c r="E230" s="12">
        <f t="shared" si="31"/>
        <v>0</v>
      </c>
      <c r="F230" s="12">
        <f t="shared" si="32"/>
        <v>0</v>
      </c>
      <c r="G230" s="122">
        <f t="shared" si="33"/>
        <v>0.24876587721863352</v>
      </c>
      <c r="H230" s="122">
        <f t="shared" si="34"/>
        <v>4.2035576257977429E-2</v>
      </c>
      <c r="I230" s="122">
        <f t="shared" si="35"/>
        <v>0.24876587721863352</v>
      </c>
      <c r="J230" s="122">
        <f t="shared" si="36"/>
        <v>-4.2035576257977429E-2</v>
      </c>
      <c r="K230" s="122"/>
      <c r="Y230" s="126">
        <f t="shared" si="37"/>
        <v>-0.5</v>
      </c>
    </row>
    <row r="231" spans="2:25" x14ac:dyDescent="0.3">
      <c r="B231" s="12">
        <v>0.25084731499244084</v>
      </c>
      <c r="C231" s="12">
        <f t="shared" si="29"/>
        <v>0</v>
      </c>
      <c r="D231" s="126">
        <f t="shared" si="30"/>
        <v>4.2117793150242368E-2</v>
      </c>
      <c r="E231" s="12">
        <f t="shared" si="31"/>
        <v>0</v>
      </c>
      <c r="F231" s="12">
        <f t="shared" si="32"/>
        <v>0</v>
      </c>
      <c r="G231" s="122">
        <f t="shared" si="33"/>
        <v>0.25084731499244084</v>
      </c>
      <c r="H231" s="122">
        <f t="shared" si="34"/>
        <v>4.2117793150242368E-2</v>
      </c>
      <c r="I231" s="122">
        <f t="shared" si="35"/>
        <v>0.25084731499244084</v>
      </c>
      <c r="J231" s="122">
        <f t="shared" si="36"/>
        <v>-4.2117793150242368E-2</v>
      </c>
      <c r="K231" s="122"/>
      <c r="Y231" s="126">
        <f t="shared" si="37"/>
        <v>-0.5</v>
      </c>
    </row>
    <row r="232" spans="2:25" x14ac:dyDescent="0.3">
      <c r="B232" s="12">
        <v>0.25293617626508091</v>
      </c>
      <c r="C232" s="12">
        <f t="shared" si="29"/>
        <v>0</v>
      </c>
      <c r="D232" s="126">
        <f t="shared" si="30"/>
        <v>4.2199045202571117E-2</v>
      </c>
      <c r="E232" s="12">
        <f t="shared" si="31"/>
        <v>0</v>
      </c>
      <c r="F232" s="12">
        <f t="shared" si="32"/>
        <v>0</v>
      </c>
      <c r="G232" s="122">
        <f t="shared" si="33"/>
        <v>0.25293617626508091</v>
      </c>
      <c r="H232" s="122">
        <f t="shared" si="34"/>
        <v>4.2199045202571117E-2</v>
      </c>
      <c r="I232" s="122">
        <f t="shared" si="35"/>
        <v>0.25293617626508091</v>
      </c>
      <c r="J232" s="122">
        <f t="shared" si="36"/>
        <v>-4.2199045202571117E-2</v>
      </c>
      <c r="K232" s="122"/>
      <c r="Y232" s="126">
        <f t="shared" si="37"/>
        <v>-0.5</v>
      </c>
    </row>
    <row r="233" spans="2:25" x14ac:dyDescent="0.3">
      <c r="B233" s="12">
        <v>0.25503244033762351</v>
      </c>
      <c r="C233" s="12">
        <f t="shared" si="29"/>
        <v>0</v>
      </c>
      <c r="D233" s="126">
        <f t="shared" si="30"/>
        <v>4.2279326005074822E-2</v>
      </c>
      <c r="E233" s="12">
        <f t="shared" si="31"/>
        <v>0</v>
      </c>
      <c r="F233" s="12">
        <f t="shared" si="32"/>
        <v>0</v>
      </c>
      <c r="G233" s="122">
        <f t="shared" si="33"/>
        <v>0.25503244033762351</v>
      </c>
      <c r="H233" s="122">
        <f t="shared" si="34"/>
        <v>4.2279326005074822E-2</v>
      </c>
      <c r="I233" s="122">
        <f t="shared" si="35"/>
        <v>0.25503244033762351</v>
      </c>
      <c r="J233" s="122">
        <f t="shared" si="36"/>
        <v>-4.2279326005074822E-2</v>
      </c>
      <c r="K233" s="122"/>
      <c r="Y233" s="126">
        <f t="shared" si="37"/>
        <v>-0.5</v>
      </c>
    </row>
    <row r="234" spans="2:25" x14ac:dyDescent="0.3">
      <c r="B234" s="12">
        <v>0.25713608643778241</v>
      </c>
      <c r="C234" s="12">
        <f t="shared" si="29"/>
        <v>0</v>
      </c>
      <c r="D234" s="126">
        <f t="shared" si="30"/>
        <v>4.2358629015248686E-2</v>
      </c>
      <c r="E234" s="12">
        <f t="shared" si="31"/>
        <v>0</v>
      </c>
      <c r="F234" s="12">
        <f t="shared" si="32"/>
        <v>0</v>
      </c>
      <c r="G234" s="122">
        <f t="shared" si="33"/>
        <v>0.25713608643778241</v>
      </c>
      <c r="H234" s="122">
        <f t="shared" si="34"/>
        <v>4.2358629015248686E-2</v>
      </c>
      <c r="I234" s="122">
        <f t="shared" si="35"/>
        <v>0.25713608643778241</v>
      </c>
      <c r="J234" s="122">
        <f t="shared" si="36"/>
        <v>-4.2358629015248686E-2</v>
      </c>
      <c r="K234" s="122"/>
      <c r="Y234" s="126">
        <f t="shared" si="37"/>
        <v>-0.5</v>
      </c>
    </row>
    <row r="235" spans="2:25" x14ac:dyDescent="0.3">
      <c r="B235" s="12">
        <v>0.25924709372012167</v>
      </c>
      <c r="C235" s="12">
        <f t="shared" si="29"/>
        <v>0</v>
      </c>
      <c r="D235" s="126">
        <f t="shared" si="30"/>
        <v>4.2436947557431902E-2</v>
      </c>
      <c r="E235" s="12">
        <f t="shared" si="31"/>
        <v>0</v>
      </c>
      <c r="F235" s="12">
        <f t="shared" si="32"/>
        <v>0</v>
      </c>
      <c r="G235" s="122">
        <f t="shared" si="33"/>
        <v>0.25924709372012167</v>
      </c>
      <c r="H235" s="122">
        <f t="shared" si="34"/>
        <v>4.2436947557431902E-2</v>
      </c>
      <c r="I235" s="122">
        <f t="shared" si="35"/>
        <v>0.25924709372012167</v>
      </c>
      <c r="J235" s="122">
        <f t="shared" si="36"/>
        <v>-4.2436947557431902E-2</v>
      </c>
      <c r="K235" s="122"/>
      <c r="Y235" s="126">
        <f t="shared" si="37"/>
        <v>-0.5</v>
      </c>
    </row>
    <row r="236" spans="2:25" x14ac:dyDescent="0.3">
      <c r="B236" s="12">
        <v>0.26136544126626193</v>
      </c>
      <c r="C236" s="12">
        <f t="shared" si="29"/>
        <v>0</v>
      </c>
      <c r="D236" s="126">
        <f t="shared" si="30"/>
        <v>4.2514274822280519E-2</v>
      </c>
      <c r="E236" s="12">
        <f t="shared" si="31"/>
        <v>0</v>
      </c>
      <c r="F236" s="12">
        <f t="shared" si="32"/>
        <v>0</v>
      </c>
      <c r="G236" s="122">
        <f t="shared" si="33"/>
        <v>0.26136544126626193</v>
      </c>
      <c r="H236" s="122">
        <f t="shared" si="34"/>
        <v>4.2514274822280519E-2</v>
      </c>
      <c r="I236" s="122">
        <f t="shared" si="35"/>
        <v>0.26136544126626193</v>
      </c>
      <c r="J236" s="122">
        <f t="shared" si="36"/>
        <v>-4.2514274822280519E-2</v>
      </c>
      <c r="K236" s="122"/>
      <c r="Y236" s="126">
        <f t="shared" si="37"/>
        <v>-0.5</v>
      </c>
    </row>
    <row r="237" spans="2:25" x14ac:dyDescent="0.3">
      <c r="B237" s="12">
        <v>0.26349110808508769</v>
      </c>
      <c r="C237" s="12">
        <f t="shared" si="29"/>
        <v>0</v>
      </c>
      <c r="D237" s="126">
        <f t="shared" si="30"/>
        <v>4.2590603866253747E-2</v>
      </c>
      <c r="E237" s="12">
        <f t="shared" si="31"/>
        <v>0</v>
      </c>
      <c r="F237" s="12">
        <f t="shared" si="32"/>
        <v>0</v>
      </c>
      <c r="G237" s="122">
        <f t="shared" si="33"/>
        <v>0.26349110808508769</v>
      </c>
      <c r="H237" s="122">
        <f t="shared" si="34"/>
        <v>4.2590603866253747E-2</v>
      </c>
      <c r="I237" s="122">
        <f t="shared" si="35"/>
        <v>0.26349110808508769</v>
      </c>
      <c r="J237" s="122">
        <f t="shared" si="36"/>
        <v>-4.2590603866253747E-2</v>
      </c>
      <c r="K237" s="122"/>
      <c r="Y237" s="126">
        <f t="shared" si="37"/>
        <v>-0.5</v>
      </c>
    </row>
    <row r="238" spans="2:25" x14ac:dyDescent="0.3">
      <c r="B238" s="12">
        <v>0.26562407311295533</v>
      </c>
      <c r="C238" s="12">
        <f t="shared" si="29"/>
        <v>0</v>
      </c>
      <c r="D238" s="126">
        <f t="shared" si="30"/>
        <v>4.2665927611113201E-2</v>
      </c>
      <c r="E238" s="12">
        <f t="shared" si="31"/>
        <v>0</v>
      </c>
      <c r="F238" s="12">
        <f t="shared" si="32"/>
        <v>0</v>
      </c>
      <c r="G238" s="122">
        <f t="shared" si="33"/>
        <v>0.26562407311295533</v>
      </c>
      <c r="H238" s="122">
        <f t="shared" si="34"/>
        <v>4.2665927611113201E-2</v>
      </c>
      <c r="I238" s="122">
        <f t="shared" si="35"/>
        <v>0.26562407311295533</v>
      </c>
      <c r="J238" s="122">
        <f t="shared" si="36"/>
        <v>-4.2665927611113201E-2</v>
      </c>
      <c r="K238" s="122"/>
      <c r="Y238" s="126">
        <f t="shared" si="37"/>
        <v>-0.5</v>
      </c>
    </row>
    <row r="239" spans="2:25" x14ac:dyDescent="0.3">
      <c r="B239" s="12">
        <v>0.26776431521390176</v>
      </c>
      <c r="C239" s="12">
        <f t="shared" si="29"/>
        <v>0</v>
      </c>
      <c r="D239" s="126">
        <f t="shared" si="30"/>
        <v>4.2740238843435717E-2</v>
      </c>
      <c r="E239" s="12">
        <f t="shared" si="31"/>
        <v>0</v>
      </c>
      <c r="F239" s="12">
        <f t="shared" si="32"/>
        <v>0</v>
      </c>
      <c r="G239" s="122">
        <f t="shared" si="33"/>
        <v>0.26776431521390176</v>
      </c>
      <c r="H239" s="122">
        <f t="shared" si="34"/>
        <v>4.2740238843435717E-2</v>
      </c>
      <c r="I239" s="122">
        <f t="shared" si="35"/>
        <v>0.26776431521390176</v>
      </c>
      <c r="J239" s="122">
        <f t="shared" si="36"/>
        <v>-4.2740238843435717E-2</v>
      </c>
      <c r="K239" s="122"/>
      <c r="Y239" s="126">
        <f t="shared" si="37"/>
        <v>-0.5</v>
      </c>
    </row>
    <row r="240" spans="2:25" x14ac:dyDescent="0.3">
      <c r="B240" s="12">
        <v>0.26991181317985435</v>
      </c>
      <c r="C240" s="12">
        <f t="shared" si="29"/>
        <v>0</v>
      </c>
      <c r="D240" s="126">
        <f t="shared" si="30"/>
        <v>4.2813530214139611E-2</v>
      </c>
      <c r="E240" s="12">
        <f t="shared" si="31"/>
        <v>0</v>
      </c>
      <c r="F240" s="12">
        <f t="shared" si="32"/>
        <v>0</v>
      </c>
      <c r="G240" s="122">
        <f t="shared" si="33"/>
        <v>0.26991181317985435</v>
      </c>
      <c r="H240" s="122">
        <f t="shared" si="34"/>
        <v>4.2813530214139611E-2</v>
      </c>
      <c r="I240" s="122">
        <f t="shared" si="35"/>
        <v>0.26991181317985435</v>
      </c>
      <c r="J240" s="122">
        <f t="shared" si="36"/>
        <v>-4.2813530214139611E-2</v>
      </c>
      <c r="K240" s="122"/>
      <c r="Y240" s="126">
        <f t="shared" si="37"/>
        <v>-0.5</v>
      </c>
    </row>
    <row r="241" spans="2:25" x14ac:dyDescent="0.3">
      <c r="B241" s="12">
        <v>0.27206654573084033</v>
      </c>
      <c r="C241" s="12">
        <f t="shared" si="29"/>
        <v>0</v>
      </c>
      <c r="D241" s="126">
        <f t="shared" si="30"/>
        <v>4.2885794238024508E-2</v>
      </c>
      <c r="E241" s="12">
        <f t="shared" si="31"/>
        <v>0</v>
      </c>
      <c r="F241" s="12">
        <f t="shared" si="32"/>
        <v>0</v>
      </c>
      <c r="G241" s="122">
        <f t="shared" si="33"/>
        <v>0.27206654573084033</v>
      </c>
      <c r="H241" s="122">
        <f t="shared" si="34"/>
        <v>4.2885794238024508E-2</v>
      </c>
      <c r="I241" s="122">
        <f t="shared" si="35"/>
        <v>0.27206654573084033</v>
      </c>
      <c r="J241" s="122">
        <f t="shared" si="36"/>
        <v>-4.2885794238024508E-2</v>
      </c>
      <c r="K241" s="122"/>
      <c r="Y241" s="126">
        <f t="shared" si="37"/>
        <v>-0.5</v>
      </c>
    </row>
    <row r="242" spans="2:25" x14ac:dyDescent="0.3">
      <c r="B242" s="12">
        <v>0.27422849151519824</v>
      </c>
      <c r="C242" s="12">
        <f t="shared" si="29"/>
        <v>0</v>
      </c>
      <c r="D242" s="126">
        <f t="shared" si="30"/>
        <v>4.2957023293324771E-2</v>
      </c>
      <c r="E242" s="12">
        <f t="shared" si="31"/>
        <v>0</v>
      </c>
      <c r="F242" s="12">
        <f t="shared" si="32"/>
        <v>0</v>
      </c>
      <c r="G242" s="122">
        <f t="shared" si="33"/>
        <v>0.27422849151519824</v>
      </c>
      <c r="H242" s="122">
        <f t="shared" si="34"/>
        <v>4.2957023293324771E-2</v>
      </c>
      <c r="I242" s="122">
        <f t="shared" si="35"/>
        <v>0.27422849151519824</v>
      </c>
      <c r="J242" s="122">
        <f t="shared" si="36"/>
        <v>-4.2957023293324771E-2</v>
      </c>
      <c r="K242" s="122"/>
      <c r="Y242" s="126">
        <f t="shared" si="37"/>
        <v>-0.5</v>
      </c>
    </row>
    <row r="243" spans="2:25" x14ac:dyDescent="0.3">
      <c r="B243" s="12">
        <v>0.27639762910978904</v>
      </c>
      <c r="C243" s="12">
        <f t="shared" si="29"/>
        <v>0</v>
      </c>
      <c r="D243" s="126">
        <f t="shared" si="30"/>
        <v>4.3027209621276923E-2</v>
      </c>
      <c r="E243" s="12">
        <f t="shared" si="31"/>
        <v>0</v>
      </c>
      <c r="F243" s="12">
        <f t="shared" si="32"/>
        <v>0</v>
      </c>
      <c r="G243" s="122">
        <f t="shared" si="33"/>
        <v>0.27639762910978904</v>
      </c>
      <c r="H243" s="122">
        <f t="shared" si="34"/>
        <v>4.3027209621276923E-2</v>
      </c>
      <c r="I243" s="122">
        <f t="shared" si="35"/>
        <v>0.27639762910978904</v>
      </c>
      <c r="J243" s="122">
        <f t="shared" si="36"/>
        <v>-4.3027209621276923E-2</v>
      </c>
      <c r="K243" s="122"/>
      <c r="Y243" s="126">
        <f t="shared" si="37"/>
        <v>-0.5</v>
      </c>
    </row>
    <row r="244" spans="2:25" x14ac:dyDescent="0.3">
      <c r="B244" s="12">
        <v>0.27857393702020894</v>
      </c>
      <c r="C244" s="12">
        <f t="shared" si="29"/>
        <v>0</v>
      </c>
      <c r="D244" s="126">
        <f t="shared" si="30"/>
        <v>4.3096345325700731E-2</v>
      </c>
      <c r="E244" s="12">
        <f t="shared" si="31"/>
        <v>0</v>
      </c>
      <c r="F244" s="12">
        <f t="shared" si="32"/>
        <v>0</v>
      </c>
      <c r="G244" s="122">
        <f t="shared" si="33"/>
        <v>0.27857393702020894</v>
      </c>
      <c r="H244" s="122">
        <f t="shared" si="34"/>
        <v>4.3096345325700731E-2</v>
      </c>
      <c r="I244" s="122">
        <f t="shared" si="35"/>
        <v>0.27857393702020894</v>
      </c>
      <c r="J244" s="122">
        <f t="shared" si="36"/>
        <v>-4.3096345325700731E-2</v>
      </c>
      <c r="K244" s="122"/>
      <c r="Y244" s="126">
        <f t="shared" si="37"/>
        <v>-0.5</v>
      </c>
    </row>
    <row r="245" spans="2:25" x14ac:dyDescent="0.3">
      <c r="B245" s="12">
        <v>0.28075739368100194</v>
      </c>
      <c r="C245" s="12">
        <f t="shared" si="29"/>
        <v>0</v>
      </c>
      <c r="D245" s="126">
        <f t="shared" si="30"/>
        <v>4.3164422372594394E-2</v>
      </c>
      <c r="E245" s="12">
        <f t="shared" si="31"/>
        <v>0</v>
      </c>
      <c r="F245" s="12">
        <f t="shared" si="32"/>
        <v>0</v>
      </c>
      <c r="G245" s="122">
        <f t="shared" si="33"/>
        <v>0.28075739368100194</v>
      </c>
      <c r="H245" s="122">
        <f t="shared" si="34"/>
        <v>4.3164422372594394E-2</v>
      </c>
      <c r="I245" s="122">
        <f t="shared" si="35"/>
        <v>0.28075739368100194</v>
      </c>
      <c r="J245" s="122">
        <f t="shared" si="36"/>
        <v>-4.3164422372594394E-2</v>
      </c>
      <c r="K245" s="122"/>
      <c r="Y245" s="126">
        <f t="shared" si="37"/>
        <v>-0.5</v>
      </c>
    </row>
    <row r="246" spans="2:25" x14ac:dyDescent="0.3">
      <c r="B246" s="12">
        <v>0.28294797745587386</v>
      </c>
      <c r="C246" s="12">
        <f t="shared" si="29"/>
        <v>0</v>
      </c>
      <c r="D246" s="126">
        <f t="shared" si="30"/>
        <v>4.3231432589743837E-2</v>
      </c>
      <c r="E246" s="12">
        <f t="shared" si="31"/>
        <v>0</v>
      </c>
      <c r="F246" s="12">
        <f t="shared" si="32"/>
        <v>0</v>
      </c>
      <c r="G246" s="122">
        <f t="shared" si="33"/>
        <v>0.28294797745587386</v>
      </c>
      <c r="H246" s="122">
        <f t="shared" si="34"/>
        <v>4.3231432589743837E-2</v>
      </c>
      <c r="I246" s="122">
        <f t="shared" si="35"/>
        <v>0.28294797745587386</v>
      </c>
      <c r="J246" s="122">
        <f t="shared" si="36"/>
        <v>-4.3231432589743837E-2</v>
      </c>
      <c r="K246" s="122"/>
      <c r="Y246" s="126">
        <f t="shared" si="37"/>
        <v>-0.5</v>
      </c>
    </row>
    <row r="247" spans="2:25" x14ac:dyDescent="0.3">
      <c r="B247" s="12">
        <v>0.28514566663790619</v>
      </c>
      <c r="C247" s="12">
        <f t="shared" si="29"/>
        <v>0</v>
      </c>
      <c r="D247" s="126">
        <f t="shared" si="30"/>
        <v>4.3297367666346086E-2</v>
      </c>
      <c r="E247" s="12">
        <f t="shared" si="31"/>
        <v>0</v>
      </c>
      <c r="F247" s="12">
        <f t="shared" si="32"/>
        <v>0</v>
      </c>
      <c r="G247" s="122">
        <f t="shared" si="33"/>
        <v>0.28514566663790619</v>
      </c>
      <c r="H247" s="122">
        <f t="shared" si="34"/>
        <v>4.3297367666346086E-2</v>
      </c>
      <c r="I247" s="122">
        <f t="shared" si="35"/>
        <v>0.28514566663790619</v>
      </c>
      <c r="J247" s="122">
        <f t="shared" si="36"/>
        <v>-4.3297367666346086E-2</v>
      </c>
      <c r="K247" s="122"/>
      <c r="Y247" s="126">
        <f t="shared" si="37"/>
        <v>-0.5</v>
      </c>
    </row>
    <row r="248" spans="2:25" x14ac:dyDescent="0.3">
      <c r="B248" s="12">
        <v>0.28735043944977212</v>
      </c>
      <c r="C248" s="12">
        <f t="shared" si="29"/>
        <v>0</v>
      </c>
      <c r="D248" s="126">
        <f t="shared" si="30"/>
        <v>4.3362219152647097E-2</v>
      </c>
      <c r="E248" s="12">
        <f t="shared" si="31"/>
        <v>0</v>
      </c>
      <c r="F248" s="12">
        <f t="shared" si="32"/>
        <v>0</v>
      </c>
      <c r="G248" s="122">
        <f t="shared" si="33"/>
        <v>0.28735043944977212</v>
      </c>
      <c r="H248" s="122">
        <f t="shared" si="34"/>
        <v>4.3362219152647097E-2</v>
      </c>
      <c r="I248" s="122">
        <f t="shared" si="35"/>
        <v>0.28735043944977212</v>
      </c>
      <c r="J248" s="122">
        <f t="shared" si="36"/>
        <v>-4.3362219152647097E-2</v>
      </c>
      <c r="K248" s="122"/>
      <c r="Y248" s="126">
        <f t="shared" si="37"/>
        <v>-0.5</v>
      </c>
    </row>
    <row r="249" spans="2:25" x14ac:dyDescent="0.3">
      <c r="B249" s="12">
        <v>0.28956227404395118</v>
      </c>
      <c r="C249" s="12">
        <f t="shared" si="29"/>
        <v>0</v>
      </c>
      <c r="D249" s="126">
        <f t="shared" si="30"/>
        <v>4.34259784595937E-2</v>
      </c>
      <c r="E249" s="12">
        <f t="shared" si="31"/>
        <v>0</v>
      </c>
      <c r="F249" s="12">
        <f t="shared" si="32"/>
        <v>0</v>
      </c>
      <c r="G249" s="122">
        <f t="shared" si="33"/>
        <v>0.28956227404395118</v>
      </c>
      <c r="H249" s="122">
        <f t="shared" si="34"/>
        <v>4.34259784595937E-2</v>
      </c>
      <c r="I249" s="122">
        <f t="shared" si="35"/>
        <v>0.28956227404395118</v>
      </c>
      <c r="J249" s="122">
        <f t="shared" si="36"/>
        <v>-4.34259784595937E-2</v>
      </c>
      <c r="K249" s="122"/>
      <c r="Y249" s="126">
        <f t="shared" si="37"/>
        <v>-0.5</v>
      </c>
    </row>
    <row r="250" spans="2:25" x14ac:dyDescent="0.3">
      <c r="B250" s="12">
        <v>0.2917811485029469</v>
      </c>
      <c r="C250" s="12">
        <f t="shared" si="29"/>
        <v>0</v>
      </c>
      <c r="D250" s="126">
        <f t="shared" si="30"/>
        <v>4.3488636858500247E-2</v>
      </c>
      <c r="E250" s="12">
        <f t="shared" si="31"/>
        <v>0</v>
      </c>
      <c r="F250" s="12">
        <f t="shared" si="32"/>
        <v>0</v>
      </c>
      <c r="G250" s="122">
        <f t="shared" si="33"/>
        <v>0.2917811485029469</v>
      </c>
      <c r="H250" s="122">
        <f t="shared" si="34"/>
        <v>4.3488636858500247E-2</v>
      </c>
      <c r="I250" s="122">
        <f t="shared" si="35"/>
        <v>0.2917811485029469</v>
      </c>
      <c r="J250" s="122">
        <f t="shared" si="36"/>
        <v>-4.3488636858500247E-2</v>
      </c>
      <c r="K250" s="122"/>
      <c r="Y250" s="126">
        <f t="shared" si="37"/>
        <v>-0.5</v>
      </c>
    </row>
    <row r="251" spans="2:25" x14ac:dyDescent="0.3">
      <c r="B251" s="12">
        <v>0.29400704083950302</v>
      </c>
      <c r="C251" s="12">
        <f t="shared" si="29"/>
        <v>0</v>
      </c>
      <c r="D251" s="126">
        <f t="shared" si="30"/>
        <v>4.3550185480729732E-2</v>
      </c>
      <c r="E251" s="12">
        <f t="shared" si="31"/>
        <v>0</v>
      </c>
      <c r="F251" s="12">
        <f t="shared" si="32"/>
        <v>0</v>
      </c>
      <c r="G251" s="122">
        <f t="shared" si="33"/>
        <v>0.29400704083950302</v>
      </c>
      <c r="H251" s="122">
        <f t="shared" si="34"/>
        <v>4.3550185480729732E-2</v>
      </c>
      <c r="I251" s="122">
        <f t="shared" si="35"/>
        <v>0.29400704083950302</v>
      </c>
      <c r="J251" s="122">
        <f t="shared" si="36"/>
        <v>-4.3550185480729732E-2</v>
      </c>
      <c r="K251" s="122"/>
      <c r="Y251" s="126">
        <f t="shared" si="37"/>
        <v>-0.5</v>
      </c>
    </row>
    <row r="252" spans="2:25" x14ac:dyDescent="0.3">
      <c r="B252" s="12">
        <v>0.29623992899682194</v>
      </c>
      <c r="C252" s="12">
        <f t="shared" si="29"/>
        <v>0</v>
      </c>
      <c r="D252" s="126">
        <f t="shared" si="30"/>
        <v>4.3610615317389502E-2</v>
      </c>
      <c r="E252" s="12">
        <f t="shared" si="31"/>
        <v>0</v>
      </c>
      <c r="F252" s="12">
        <f t="shared" si="32"/>
        <v>0</v>
      </c>
      <c r="G252" s="122">
        <f t="shared" si="33"/>
        <v>0.29623992899682194</v>
      </c>
      <c r="H252" s="122">
        <f t="shared" si="34"/>
        <v>4.3610615317389502E-2</v>
      </c>
      <c r="I252" s="122">
        <f t="shared" si="35"/>
        <v>0.29623992899682194</v>
      </c>
      <c r="J252" s="122">
        <f t="shared" si="36"/>
        <v>-4.3610615317389502E-2</v>
      </c>
      <c r="K252" s="122"/>
      <c r="Y252" s="126">
        <f t="shared" si="37"/>
        <v>-0.5</v>
      </c>
    </row>
    <row r="253" spans="2:25" x14ac:dyDescent="0.3">
      <c r="B253" s="12">
        <v>0.29847979084878318</v>
      </c>
      <c r="C253" s="12">
        <f t="shared" si="29"/>
        <v>0</v>
      </c>
      <c r="D253" s="126">
        <f t="shared" si="30"/>
        <v>4.3669917219041739E-2</v>
      </c>
      <c r="E253" s="12">
        <f t="shared" si="31"/>
        <v>0</v>
      </c>
      <c r="F253" s="12">
        <f t="shared" si="32"/>
        <v>0</v>
      </c>
      <c r="G253" s="122">
        <f t="shared" si="33"/>
        <v>0.29847979084878318</v>
      </c>
      <c r="H253" s="122">
        <f t="shared" si="34"/>
        <v>4.3669917219041739E-2</v>
      </c>
      <c r="I253" s="122">
        <f t="shared" si="35"/>
        <v>0.29847979084878318</v>
      </c>
      <c r="J253" s="122">
        <f t="shared" si="36"/>
        <v>-4.3669917219041739E-2</v>
      </c>
      <c r="K253" s="122"/>
      <c r="Y253" s="126">
        <f t="shared" si="37"/>
        <v>-0.5</v>
      </c>
    </row>
    <row r="254" spans="2:25" x14ac:dyDescent="0.3">
      <c r="B254" s="12">
        <v>0.30072660420016228</v>
      </c>
      <c r="C254" s="12">
        <f t="shared" si="29"/>
        <v>0</v>
      </c>
      <c r="D254" s="126">
        <f t="shared" si="30"/>
        <v>4.372808189542892E-2</v>
      </c>
      <c r="E254" s="12">
        <f t="shared" si="31"/>
        <v>0</v>
      </c>
      <c r="F254" s="12">
        <f t="shared" si="32"/>
        <v>0</v>
      </c>
      <c r="G254" s="122">
        <f t="shared" si="33"/>
        <v>0.30072660420016228</v>
      </c>
      <c r="H254" s="122">
        <f t="shared" si="34"/>
        <v>4.372808189542892E-2</v>
      </c>
      <c r="I254" s="122">
        <f t="shared" si="35"/>
        <v>0.30072660420016228</v>
      </c>
      <c r="J254" s="122">
        <f t="shared" si="36"/>
        <v>-4.372808189542892E-2</v>
      </c>
      <c r="K254" s="122"/>
      <c r="Y254" s="126">
        <f t="shared" si="37"/>
        <v>-0.5</v>
      </c>
    </row>
    <row r="255" spans="2:25" x14ac:dyDescent="0.3">
      <c r="B255" s="12">
        <v>0.30298034678685137</v>
      </c>
      <c r="C255" s="12">
        <f t="shared" si="29"/>
        <v>0</v>
      </c>
      <c r="D255" s="126">
        <f t="shared" si="30"/>
        <v>4.3785099915213892E-2</v>
      </c>
      <c r="E255" s="12">
        <f t="shared" si="31"/>
        <v>0</v>
      </c>
      <c r="F255" s="12">
        <f t="shared" si="32"/>
        <v>0</v>
      </c>
      <c r="G255" s="122">
        <f t="shared" si="33"/>
        <v>0.30298034678685137</v>
      </c>
      <c r="H255" s="122">
        <f t="shared" si="34"/>
        <v>4.3785099915213892E-2</v>
      </c>
      <c r="I255" s="122">
        <f t="shared" si="35"/>
        <v>0.30298034678685137</v>
      </c>
      <c r="J255" s="122">
        <f t="shared" si="36"/>
        <v>-4.3785099915213892E-2</v>
      </c>
      <c r="K255" s="122"/>
      <c r="Y255" s="126">
        <f t="shared" si="37"/>
        <v>-0.5</v>
      </c>
    </row>
    <row r="256" spans="2:25" x14ac:dyDescent="0.3">
      <c r="B256" s="12">
        <v>0.30524099627607926</v>
      </c>
      <c r="C256" s="12">
        <f t="shared" si="29"/>
        <v>0</v>
      </c>
      <c r="D256" s="126">
        <f t="shared" si="30"/>
        <v>4.3840961705735176E-2</v>
      </c>
      <c r="E256" s="12">
        <f t="shared" si="31"/>
        <v>0</v>
      </c>
      <c r="F256" s="12">
        <f t="shared" si="32"/>
        <v>0</v>
      </c>
      <c r="G256" s="122">
        <f t="shared" si="33"/>
        <v>0.30524099627607926</v>
      </c>
      <c r="H256" s="122">
        <f t="shared" si="34"/>
        <v>4.3840961705735176E-2</v>
      </c>
      <c r="I256" s="122">
        <f t="shared" si="35"/>
        <v>0.30524099627607926</v>
      </c>
      <c r="J256" s="122">
        <f t="shared" si="36"/>
        <v>-4.3840961705735176E-2</v>
      </c>
      <c r="K256" s="122"/>
      <c r="Y256" s="126">
        <f t="shared" si="37"/>
        <v>-0.5</v>
      </c>
    </row>
    <row r="257" spans="2:25" x14ac:dyDescent="0.3">
      <c r="B257" s="12">
        <v>0.30750853026663305</v>
      </c>
      <c r="C257" s="12">
        <f t="shared" ref="C257:C320" si="38">IF($A$1=0, 0, IF(B257&lt;=$A$2, ($A$1/$A$2^2)*(2*$A$2*B257-B257^2), ($A$1/(1-$A$2)^2)*((1-2*$A$2)+2*$A$2*B257-B257^2)))</f>
        <v>0</v>
      </c>
      <c r="D257" s="126">
        <f t="shared" ref="D257:D320" si="39">IF(B257&lt;$N$1, ($A$3/0.2)*($O$1*SQRT(B257)+$P$1*B257+$Q$1*(B257^2)+$R$1*(B257^3)), ($A$3/0.2)*($S$1+$T$1*(1-B257)+$U$1*((1-B257)^2)+$V$1*((1-B257)^3)))</f>
        <v>4.3895657552777329E-2</v>
      </c>
      <c r="E257" s="12">
        <f t="shared" si="31"/>
        <v>0</v>
      </c>
      <c r="F257" s="12">
        <f t="shared" si="32"/>
        <v>0</v>
      </c>
      <c r="G257" s="122">
        <f t="shared" si="33"/>
        <v>0.30750853026663305</v>
      </c>
      <c r="H257" s="122">
        <f t="shared" si="34"/>
        <v>4.3895657552777329E-2</v>
      </c>
      <c r="I257" s="122">
        <f t="shared" si="35"/>
        <v>0.30750853026663305</v>
      </c>
      <c r="J257" s="122">
        <f t="shared" si="36"/>
        <v>-4.3895657552777329E-2</v>
      </c>
      <c r="K257" s="122"/>
      <c r="Y257" s="126">
        <f t="shared" si="37"/>
        <v>-0.5</v>
      </c>
    </row>
    <row r="258" spans="2:25" x14ac:dyDescent="0.3">
      <c r="B258" s="12">
        <v>0.30978292628908</v>
      </c>
      <c r="C258" s="12">
        <f t="shared" si="38"/>
        <v>0</v>
      </c>
      <c r="D258" s="126">
        <f t="shared" si="39"/>
        <v>4.3949177600356333E-2</v>
      </c>
      <c r="E258" s="12">
        <f t="shared" ref="E258:E321" si="40">IF($A$1=0, 0, IF(B258&lt;=$A$2, ($A$1/$A$2^2) *(2*$A$2-2*B258), ($A$1/(1-$A$2)^2)*(2*$A$2-2*B258)))</f>
        <v>0</v>
      </c>
      <c r="F258" s="12">
        <f t="shared" ref="F258:F321" si="41">IF($A$1=0, 0,  ATAN(E258))</f>
        <v>0</v>
      </c>
      <c r="G258" s="122">
        <f t="shared" ref="G258:G321" si="42">B258-D258*SIN(F258)</f>
        <v>0.30978292628908</v>
      </c>
      <c r="H258" s="122">
        <f t="shared" ref="H258:H321" si="43">C258+D258*COS(F258)</f>
        <v>4.3949177600356333E-2</v>
      </c>
      <c r="I258" s="122">
        <f t="shared" ref="I258:I321" si="44">B258+D258*SIN(F258)</f>
        <v>0.30978292628908</v>
      </c>
      <c r="J258" s="122">
        <f t="shared" ref="J258:J321" si="45">C258-D258*COS(F258)</f>
        <v>-4.3949177600356333E-2</v>
      </c>
      <c r="K258" s="122"/>
      <c r="Y258" s="126">
        <f t="shared" ref="Y258:Y321" si="46">IF($Z$1, C258, -0.5)</f>
        <v>-0.5</v>
      </c>
    </row>
    <row r="259" spans="2:25" x14ac:dyDescent="0.3">
      <c r="B259" s="12">
        <v>0.31206416180598984</v>
      </c>
      <c r="C259" s="12">
        <f t="shared" si="38"/>
        <v>0</v>
      </c>
      <c r="D259" s="126">
        <f t="shared" si="39"/>
        <v>4.4001511850520376E-2</v>
      </c>
      <c r="E259" s="12">
        <f t="shared" si="40"/>
        <v>0</v>
      </c>
      <c r="F259" s="12">
        <f t="shared" si="41"/>
        <v>0</v>
      </c>
      <c r="G259" s="122">
        <f t="shared" si="42"/>
        <v>0.31206416180598984</v>
      </c>
      <c r="H259" s="122">
        <f t="shared" si="43"/>
        <v>4.4001511850520376E-2</v>
      </c>
      <c r="I259" s="122">
        <f t="shared" si="44"/>
        <v>0.31206416180598984</v>
      </c>
      <c r="J259" s="122">
        <f t="shared" si="45"/>
        <v>-4.4001511850520376E-2</v>
      </c>
      <c r="K259" s="122"/>
      <c r="Y259" s="126">
        <f t="shared" si="46"/>
        <v>-0.5</v>
      </c>
    </row>
    <row r="260" spans="2:25" x14ac:dyDescent="0.3">
      <c r="B260" s="12">
        <v>0.31435221421215875</v>
      </c>
      <c r="C260" s="12">
        <f t="shared" si="38"/>
        <v>0</v>
      </c>
      <c r="D260" s="126">
        <f t="shared" si="39"/>
        <v>4.4052650163165917E-2</v>
      </c>
      <c r="E260" s="12">
        <f t="shared" si="40"/>
        <v>0</v>
      </c>
      <c r="F260" s="12">
        <f t="shared" si="41"/>
        <v>0</v>
      </c>
      <c r="G260" s="122">
        <f t="shared" si="42"/>
        <v>0.31435221421215875</v>
      </c>
      <c r="H260" s="122">
        <f t="shared" si="43"/>
        <v>4.4052650163165917E-2</v>
      </c>
      <c r="I260" s="122">
        <f t="shared" si="44"/>
        <v>0.31435221421215875</v>
      </c>
      <c r="J260" s="122">
        <f t="shared" si="45"/>
        <v>-4.4052650163165917E-2</v>
      </c>
      <c r="K260" s="122"/>
      <c r="Y260" s="126">
        <f t="shared" si="46"/>
        <v>-0.5</v>
      </c>
    </row>
    <row r="261" spans="2:25" x14ac:dyDescent="0.3">
      <c r="B261" s="12">
        <v>0.31664706083483307</v>
      </c>
      <c r="C261" s="12">
        <f t="shared" si="38"/>
        <v>0</v>
      </c>
      <c r="D261" s="126">
        <f t="shared" si="39"/>
        <v>4.4102582255869119E-2</v>
      </c>
      <c r="E261" s="12">
        <f t="shared" si="40"/>
        <v>0</v>
      </c>
      <c r="F261" s="12">
        <f t="shared" si="41"/>
        <v>0</v>
      </c>
      <c r="G261" s="122">
        <f t="shared" si="42"/>
        <v>0.31664706083483307</v>
      </c>
      <c r="H261" s="122">
        <f t="shared" si="43"/>
        <v>4.4102582255869119E-2</v>
      </c>
      <c r="I261" s="122">
        <f t="shared" si="44"/>
        <v>0.31664706083483307</v>
      </c>
      <c r="J261" s="122">
        <f t="shared" si="45"/>
        <v>-4.4102582255869119E-2</v>
      </c>
      <c r="K261" s="122"/>
      <c r="Y261" s="126">
        <f t="shared" si="46"/>
        <v>-0.5</v>
      </c>
    </row>
    <row r="262" spans="2:25" x14ac:dyDescent="0.3">
      <c r="B262" s="12">
        <v>0.31894867893393375</v>
      </c>
      <c r="C262" s="12">
        <f t="shared" si="38"/>
        <v>0</v>
      </c>
      <c r="D262" s="126">
        <f t="shared" si="39"/>
        <v>4.415129770373271E-2</v>
      </c>
      <c r="E262" s="12">
        <f t="shared" si="40"/>
        <v>0</v>
      </c>
      <c r="F262" s="12">
        <f t="shared" si="41"/>
        <v>0</v>
      </c>
      <c r="G262" s="122">
        <f t="shared" si="42"/>
        <v>0.31894867893393375</v>
      </c>
      <c r="H262" s="122">
        <f t="shared" si="43"/>
        <v>4.415129770373271E-2</v>
      </c>
      <c r="I262" s="122">
        <f t="shared" si="44"/>
        <v>0.31894867893393375</v>
      </c>
      <c r="J262" s="122">
        <f t="shared" si="45"/>
        <v>-4.415129770373271E-2</v>
      </c>
      <c r="K262" s="122"/>
      <c r="Y262" s="126">
        <f t="shared" si="46"/>
        <v>-0.5</v>
      </c>
    </row>
    <row r="263" spans="2:25" x14ac:dyDescent="0.3">
      <c r="B263" s="12">
        <v>0.3212570457022822</v>
      </c>
      <c r="C263" s="12">
        <f t="shared" si="38"/>
        <v>0</v>
      </c>
      <c r="D263" s="126">
        <f t="shared" si="39"/>
        <v>4.4198785939248635E-2</v>
      </c>
      <c r="E263" s="12">
        <f t="shared" si="40"/>
        <v>0</v>
      </c>
      <c r="F263" s="12">
        <f t="shared" si="41"/>
        <v>0</v>
      </c>
      <c r="G263" s="122">
        <f t="shared" si="42"/>
        <v>0.3212570457022822</v>
      </c>
      <c r="H263" s="122">
        <f t="shared" si="43"/>
        <v>4.4198785939248635E-2</v>
      </c>
      <c r="I263" s="122">
        <f t="shared" si="44"/>
        <v>0.3212570457022822</v>
      </c>
      <c r="J263" s="122">
        <f t="shared" si="45"/>
        <v>-4.4198785939248635E-2</v>
      </c>
      <c r="K263" s="122"/>
      <c r="Y263" s="126">
        <f t="shared" si="46"/>
        <v>-0.5</v>
      </c>
    </row>
    <row r="264" spans="2:25" x14ac:dyDescent="0.3">
      <c r="B264" s="12">
        <v>0.32357213826582509</v>
      </c>
      <c r="C264" s="12">
        <f t="shared" si="38"/>
        <v>0</v>
      </c>
      <c r="D264" s="126">
        <f t="shared" si="39"/>
        <v>4.4245036252175969E-2</v>
      </c>
      <c r="E264" s="12">
        <f t="shared" si="40"/>
        <v>0</v>
      </c>
      <c r="F264" s="12">
        <f t="shared" si="41"/>
        <v>0</v>
      </c>
      <c r="G264" s="122">
        <f t="shared" si="42"/>
        <v>0.32357213826582509</v>
      </c>
      <c r="H264" s="122">
        <f t="shared" si="43"/>
        <v>4.4245036252175969E-2</v>
      </c>
      <c r="I264" s="122">
        <f t="shared" si="44"/>
        <v>0.32357213826582509</v>
      </c>
      <c r="J264" s="122">
        <f t="shared" si="45"/>
        <v>-4.4245036252175969E-2</v>
      </c>
      <c r="K264" s="122"/>
      <c r="Y264" s="126">
        <f t="shared" si="46"/>
        <v>-0.5</v>
      </c>
    </row>
    <row r="265" spans="2:25" x14ac:dyDescent="0.3">
      <c r="B265" s="12">
        <v>0.32589393368386299</v>
      </c>
      <c r="C265" s="12">
        <f t="shared" si="38"/>
        <v>0</v>
      </c>
      <c r="D265" s="126">
        <f t="shared" si="39"/>
        <v>4.4290037789434966E-2</v>
      </c>
      <c r="E265" s="12">
        <f t="shared" si="40"/>
        <v>0</v>
      </c>
      <c r="F265" s="12">
        <f t="shared" si="41"/>
        <v>0</v>
      </c>
      <c r="G265" s="122">
        <f t="shared" si="42"/>
        <v>0.32589393368386299</v>
      </c>
      <c r="H265" s="122">
        <f t="shared" si="43"/>
        <v>4.4290037789434966E-2</v>
      </c>
      <c r="I265" s="122">
        <f t="shared" si="44"/>
        <v>0.32589393368386299</v>
      </c>
      <c r="J265" s="122">
        <f t="shared" si="45"/>
        <v>-4.4290037789434966E-2</v>
      </c>
      <c r="K265" s="122"/>
      <c r="Y265" s="126">
        <f t="shared" si="46"/>
        <v>-0.5</v>
      </c>
    </row>
    <row r="266" spans="2:25" x14ac:dyDescent="0.3">
      <c r="B266" s="12">
        <v>0.3282224089492759</v>
      </c>
      <c r="C266" s="12">
        <f t="shared" si="38"/>
        <v>0</v>
      </c>
      <c r="D266" s="126">
        <f t="shared" si="39"/>
        <v>4.4333779555016467E-2</v>
      </c>
      <c r="E266" s="12">
        <f t="shared" si="40"/>
        <v>0</v>
      </c>
      <c r="F266" s="12">
        <f t="shared" si="41"/>
        <v>0</v>
      </c>
      <c r="G266" s="122">
        <f t="shared" si="42"/>
        <v>0.3282224089492759</v>
      </c>
      <c r="H266" s="122">
        <f t="shared" si="43"/>
        <v>4.4333779555016467E-2</v>
      </c>
      <c r="I266" s="122">
        <f t="shared" si="44"/>
        <v>0.3282224089492759</v>
      </c>
      <c r="J266" s="122">
        <f t="shared" si="45"/>
        <v>-4.4333779555016467E-2</v>
      </c>
      <c r="K266" s="122"/>
      <c r="Y266" s="126">
        <f t="shared" si="46"/>
        <v>-0.5</v>
      </c>
    </row>
    <row r="267" spans="2:25" x14ac:dyDescent="0.3">
      <c r="B267" s="12">
        <v>0.33055754098875223</v>
      </c>
      <c r="C267" s="12">
        <f t="shared" si="38"/>
        <v>0</v>
      </c>
      <c r="D267" s="126">
        <f t="shared" si="39"/>
        <v>4.437625040990735E-2</v>
      </c>
      <c r="E267" s="12">
        <f t="shared" si="40"/>
        <v>0</v>
      </c>
      <c r="F267" s="12">
        <f t="shared" si="41"/>
        <v>0</v>
      </c>
      <c r="G267" s="122">
        <f t="shared" si="42"/>
        <v>0.33055754098875223</v>
      </c>
      <c r="H267" s="122">
        <f t="shared" si="43"/>
        <v>4.437625040990735E-2</v>
      </c>
      <c r="I267" s="122">
        <f t="shared" si="44"/>
        <v>0.33055754098875223</v>
      </c>
      <c r="J267" s="122">
        <f t="shared" si="45"/>
        <v>-4.437625040990735E-2</v>
      </c>
      <c r="K267" s="122"/>
      <c r="Y267" s="126">
        <f t="shared" si="46"/>
        <v>-0.5</v>
      </c>
    </row>
    <row r="268" spans="2:25" x14ac:dyDescent="0.3">
      <c r="B268" s="12">
        <v>0.33289930666301693</v>
      </c>
      <c r="C268" s="12">
        <f t="shared" si="38"/>
        <v>0</v>
      </c>
      <c r="D268" s="126">
        <f t="shared" si="39"/>
        <v>4.4417439072032036E-2</v>
      </c>
      <c r="E268" s="12">
        <f t="shared" si="40"/>
        <v>0</v>
      </c>
      <c r="F268" s="12">
        <f t="shared" si="41"/>
        <v>0</v>
      </c>
      <c r="G268" s="122">
        <f t="shared" si="42"/>
        <v>0.33289930666301693</v>
      </c>
      <c r="H268" s="122">
        <f t="shared" si="43"/>
        <v>4.4417439072032036E-2</v>
      </c>
      <c r="I268" s="122">
        <f t="shared" si="44"/>
        <v>0.33289930666301693</v>
      </c>
      <c r="J268" s="122">
        <f t="shared" si="45"/>
        <v>-4.4417439072032036E-2</v>
      </c>
      <c r="K268" s="122"/>
      <c r="Y268" s="126">
        <f t="shared" si="46"/>
        <v>-0.5</v>
      </c>
    </row>
    <row r="269" spans="2:25" x14ac:dyDescent="0.3">
      <c r="B269" s="12">
        <v>0.33524768276706118</v>
      </c>
      <c r="C269" s="12">
        <f t="shared" si="38"/>
        <v>0</v>
      </c>
      <c r="D269" s="126">
        <f t="shared" si="39"/>
        <v>4.4457334116209599E-2</v>
      </c>
      <c r="E269" s="12">
        <f t="shared" si="40"/>
        <v>0</v>
      </c>
      <c r="F269" s="12">
        <f t="shared" si="41"/>
        <v>0</v>
      </c>
      <c r="G269" s="122">
        <f t="shared" si="42"/>
        <v>0.33524768276706118</v>
      </c>
      <c r="H269" s="122">
        <f t="shared" si="43"/>
        <v>4.4457334116209599E-2</v>
      </c>
      <c r="I269" s="122">
        <f t="shared" si="44"/>
        <v>0.33524768276706118</v>
      </c>
      <c r="J269" s="122">
        <f t="shared" si="45"/>
        <v>-4.4457334116209599E-2</v>
      </c>
      <c r="K269" s="122"/>
      <c r="Y269" s="126">
        <f t="shared" si="46"/>
        <v>-0.5</v>
      </c>
    </row>
    <row r="270" spans="2:25" x14ac:dyDescent="0.3">
      <c r="B270" s="12">
        <v>0.33760264603037182</v>
      </c>
      <c r="C270" s="12">
        <f t="shared" si="38"/>
        <v>0</v>
      </c>
      <c r="D270" s="126">
        <f t="shared" si="39"/>
        <v>4.449592397412732E-2</v>
      </c>
      <c r="E270" s="12">
        <f t="shared" si="40"/>
        <v>0</v>
      </c>
      <c r="F270" s="12">
        <f t="shared" si="41"/>
        <v>0</v>
      </c>
      <c r="G270" s="122">
        <f t="shared" si="42"/>
        <v>0.33760264603037182</v>
      </c>
      <c r="H270" s="122">
        <f t="shared" si="43"/>
        <v>4.449592397412732E-2</v>
      </c>
      <c r="I270" s="122">
        <f t="shared" si="44"/>
        <v>0.33760264603037182</v>
      </c>
      <c r="J270" s="122">
        <f t="shared" si="45"/>
        <v>-4.449592397412732E-2</v>
      </c>
      <c r="K270" s="122"/>
      <c r="Y270" s="126">
        <f t="shared" si="46"/>
        <v>-0.5</v>
      </c>
    </row>
    <row r="271" spans="2:25" x14ac:dyDescent="0.3">
      <c r="B271" s="12">
        <v>0.33996417311716254</v>
      </c>
      <c r="C271" s="12">
        <f t="shared" si="38"/>
        <v>0</v>
      </c>
      <c r="D271" s="126">
        <f t="shared" si="39"/>
        <v>4.4533196934330006E-2</v>
      </c>
      <c r="E271" s="12">
        <f t="shared" si="40"/>
        <v>0</v>
      </c>
      <c r="F271" s="12">
        <f t="shared" si="41"/>
        <v>0</v>
      </c>
      <c r="G271" s="122">
        <f t="shared" si="42"/>
        <v>0.33996417311716254</v>
      </c>
      <c r="H271" s="122">
        <f t="shared" si="43"/>
        <v>4.4533196934330006E-2</v>
      </c>
      <c r="I271" s="122">
        <f t="shared" si="44"/>
        <v>0.33996417311716254</v>
      </c>
      <c r="J271" s="122">
        <f t="shared" si="45"/>
        <v>-4.4533196934330006E-2</v>
      </c>
      <c r="K271" s="122"/>
      <c r="Y271" s="126">
        <f t="shared" si="46"/>
        <v>-0.5</v>
      </c>
    </row>
    <row r="272" spans="2:25" x14ac:dyDescent="0.3">
      <c r="B272" s="12">
        <v>0.34233224062660483</v>
      </c>
      <c r="C272" s="12">
        <f t="shared" si="38"/>
        <v>0</v>
      </c>
      <c r="D272" s="126">
        <f t="shared" si="39"/>
        <v>4.4569141142225745E-2</v>
      </c>
      <c r="E272" s="12">
        <f t="shared" si="40"/>
        <v>0</v>
      </c>
      <c r="F272" s="12">
        <f t="shared" si="41"/>
        <v>0</v>
      </c>
      <c r="G272" s="122">
        <f t="shared" si="42"/>
        <v>0.34233224062660483</v>
      </c>
      <c r="H272" s="122">
        <f t="shared" si="43"/>
        <v>4.4569141142225745E-2</v>
      </c>
      <c r="I272" s="122">
        <f t="shared" si="44"/>
        <v>0.34233224062660483</v>
      </c>
      <c r="J272" s="122">
        <f t="shared" si="45"/>
        <v>-4.4569141142225745E-2</v>
      </c>
      <c r="K272" s="122"/>
      <c r="Y272" s="126">
        <f t="shared" si="46"/>
        <v>-0.5</v>
      </c>
    </row>
    <row r="273" spans="2:25" x14ac:dyDescent="0.3">
      <c r="B273" s="12">
        <v>0.34470682509305983</v>
      </c>
      <c r="C273" s="12">
        <f t="shared" si="38"/>
        <v>0</v>
      </c>
      <c r="D273" s="126">
        <f t="shared" si="39"/>
        <v>4.4603744600107721E-2</v>
      </c>
      <c r="E273" s="12">
        <f t="shared" si="40"/>
        <v>0</v>
      </c>
      <c r="F273" s="12">
        <f t="shared" si="41"/>
        <v>0</v>
      </c>
      <c r="G273" s="122">
        <f t="shared" si="42"/>
        <v>0.34470682509305983</v>
      </c>
      <c r="H273" s="122">
        <f t="shared" si="43"/>
        <v>4.4603744600107721E-2</v>
      </c>
      <c r="I273" s="122">
        <f t="shared" si="44"/>
        <v>0.34470682509305983</v>
      </c>
      <c r="J273" s="122">
        <f t="shared" si="45"/>
        <v>-4.4603744600107721E-2</v>
      </c>
      <c r="K273" s="122"/>
      <c r="Y273" s="126">
        <f t="shared" si="46"/>
        <v>-0.5</v>
      </c>
    </row>
    <row r="274" spans="2:25" x14ac:dyDescent="0.3">
      <c r="B274" s="12">
        <v>0.34708790298631065</v>
      </c>
      <c r="C274" s="12">
        <f t="shared" si="38"/>
        <v>0</v>
      </c>
      <c r="D274" s="126">
        <f t="shared" si="39"/>
        <v>4.4636995167192377E-2</v>
      </c>
      <c r="E274" s="12">
        <f t="shared" si="40"/>
        <v>0</v>
      </c>
      <c r="F274" s="12">
        <f t="shared" si="41"/>
        <v>0</v>
      </c>
      <c r="G274" s="122">
        <f t="shared" si="42"/>
        <v>0.34708790298631065</v>
      </c>
      <c r="H274" s="122">
        <f t="shared" si="43"/>
        <v>4.4636995167192377E-2</v>
      </c>
      <c r="I274" s="122">
        <f t="shared" si="44"/>
        <v>0.34708790298631065</v>
      </c>
      <c r="J274" s="122">
        <f t="shared" si="45"/>
        <v>-4.4636995167192377E-2</v>
      </c>
      <c r="K274" s="122"/>
      <c r="Y274" s="126">
        <f t="shared" si="46"/>
        <v>-0.5</v>
      </c>
    </row>
    <row r="275" spans="2:25" x14ac:dyDescent="0.3">
      <c r="B275" s="12">
        <v>0.34947545071179609</v>
      </c>
      <c r="C275" s="12">
        <f t="shared" si="38"/>
        <v>0</v>
      </c>
      <c r="D275" s="126">
        <f t="shared" si="39"/>
        <v>4.4668880559673961E-2</v>
      </c>
      <c r="E275" s="12">
        <f t="shared" si="40"/>
        <v>0</v>
      </c>
      <c r="F275" s="12">
        <f t="shared" si="41"/>
        <v>0</v>
      </c>
      <c r="G275" s="122">
        <f t="shared" si="42"/>
        <v>0.34947545071179609</v>
      </c>
      <c r="H275" s="122">
        <f t="shared" si="43"/>
        <v>4.4668880559673961E-2</v>
      </c>
      <c r="I275" s="122">
        <f t="shared" si="44"/>
        <v>0.34947545071179609</v>
      </c>
      <c r="J275" s="122">
        <f t="shared" si="45"/>
        <v>-4.4668880559673961E-2</v>
      </c>
      <c r="K275" s="122"/>
      <c r="Y275" s="126">
        <f t="shared" si="46"/>
        <v>-0.5</v>
      </c>
    </row>
    <row r="276" spans="2:25" x14ac:dyDescent="0.3">
      <c r="B276" s="12">
        <v>0.35186944461084391</v>
      </c>
      <c r="C276" s="12">
        <f t="shared" si="38"/>
        <v>0</v>
      </c>
      <c r="D276" s="126">
        <f t="shared" si="39"/>
        <v>4.4699388350795344E-2</v>
      </c>
      <c r="E276" s="12">
        <f t="shared" si="40"/>
        <v>0</v>
      </c>
      <c r="F276" s="12">
        <f t="shared" si="41"/>
        <v>0</v>
      </c>
      <c r="G276" s="122">
        <f t="shared" si="42"/>
        <v>0.35186944461084391</v>
      </c>
      <c r="H276" s="122">
        <f t="shared" si="43"/>
        <v>4.4699388350795344E-2</v>
      </c>
      <c r="I276" s="122">
        <f t="shared" si="44"/>
        <v>0.35186944461084391</v>
      </c>
      <c r="J276" s="122">
        <f t="shared" si="45"/>
        <v>-4.4699388350795344E-2</v>
      </c>
      <c r="K276" s="122"/>
      <c r="Y276" s="126">
        <f t="shared" si="46"/>
        <v>-0.5</v>
      </c>
    </row>
    <row r="277" spans="2:25" x14ac:dyDescent="0.3">
      <c r="B277" s="12">
        <v>0.35426986096090574</v>
      </c>
      <c r="C277" s="12">
        <f t="shared" si="38"/>
        <v>0</v>
      </c>
      <c r="D277" s="126">
        <f t="shared" si="39"/>
        <v>4.4728505970935528E-2</v>
      </c>
      <c r="E277" s="12">
        <f t="shared" si="40"/>
        <v>0</v>
      </c>
      <c r="F277" s="12">
        <f t="shared" si="41"/>
        <v>0</v>
      </c>
      <c r="G277" s="122">
        <f t="shared" si="42"/>
        <v>0.35426986096090574</v>
      </c>
      <c r="H277" s="122">
        <f t="shared" si="43"/>
        <v>4.4728505970935528E-2</v>
      </c>
      <c r="I277" s="122">
        <f t="shared" si="44"/>
        <v>0.35426986096090574</v>
      </c>
      <c r="J277" s="122">
        <f t="shared" si="45"/>
        <v>-4.4728505970935528E-2</v>
      </c>
      <c r="K277" s="122"/>
      <c r="Y277" s="126">
        <f t="shared" si="46"/>
        <v>-0.5</v>
      </c>
    </row>
    <row r="278" spans="2:25" x14ac:dyDescent="0.3">
      <c r="B278" s="12">
        <v>0.35667667597579156</v>
      </c>
      <c r="C278" s="12">
        <f t="shared" si="38"/>
        <v>0</v>
      </c>
      <c r="D278" s="126">
        <f t="shared" si="39"/>
        <v>4.4756220707713366E-2</v>
      </c>
      <c r="E278" s="12">
        <f t="shared" si="40"/>
        <v>0</v>
      </c>
      <c r="F278" s="12">
        <f t="shared" si="41"/>
        <v>0</v>
      </c>
      <c r="G278" s="122">
        <f t="shared" si="42"/>
        <v>0.35667667597579156</v>
      </c>
      <c r="H278" s="122">
        <f t="shared" si="43"/>
        <v>4.4756220707713366E-2</v>
      </c>
      <c r="I278" s="122">
        <f t="shared" si="44"/>
        <v>0.35667667597579156</v>
      </c>
      <c r="J278" s="122">
        <f t="shared" si="45"/>
        <v>-4.4756220707713366E-2</v>
      </c>
      <c r="K278" s="122"/>
      <c r="Y278" s="126">
        <f t="shared" si="46"/>
        <v>-0.5</v>
      </c>
    </row>
    <row r="279" spans="2:25" x14ac:dyDescent="0.3">
      <c r="B279" s="12">
        <v>0.35908986580590629</v>
      </c>
      <c r="C279" s="12">
        <f t="shared" si="38"/>
        <v>0</v>
      </c>
      <c r="D279" s="126">
        <f t="shared" si="39"/>
        <v>4.4782519706108144E-2</v>
      </c>
      <c r="E279" s="12">
        <f t="shared" si="40"/>
        <v>0</v>
      </c>
      <c r="F279" s="12">
        <f t="shared" si="41"/>
        <v>0</v>
      </c>
      <c r="G279" s="122">
        <f t="shared" si="42"/>
        <v>0.35908986580590629</v>
      </c>
      <c r="H279" s="122">
        <f t="shared" si="43"/>
        <v>4.4782519706108144E-2</v>
      </c>
      <c r="I279" s="122">
        <f t="shared" si="44"/>
        <v>0.35908986580590629</v>
      </c>
      <c r="J279" s="122">
        <f t="shared" si="45"/>
        <v>-4.4782519706108144E-2</v>
      </c>
      <c r="K279" s="122"/>
      <c r="Y279" s="126">
        <f t="shared" si="46"/>
        <v>-0.5</v>
      </c>
    </row>
    <row r="280" spans="2:25" x14ac:dyDescent="0.3">
      <c r="B280" s="12">
        <v>0.36150940653848485</v>
      </c>
      <c r="C280" s="12">
        <f t="shared" si="38"/>
        <v>0</v>
      </c>
      <c r="D280" s="126">
        <f t="shared" si="39"/>
        <v>4.4807389968596491E-2</v>
      </c>
      <c r="E280" s="12">
        <f t="shared" si="40"/>
        <v>0</v>
      </c>
      <c r="F280" s="12">
        <f t="shared" si="41"/>
        <v>0</v>
      </c>
      <c r="G280" s="122">
        <f t="shared" si="42"/>
        <v>0.36150940653848485</v>
      </c>
      <c r="H280" s="122">
        <f t="shared" si="43"/>
        <v>4.4807389968596491E-2</v>
      </c>
      <c r="I280" s="122">
        <f t="shared" si="44"/>
        <v>0.36150940653848485</v>
      </c>
      <c r="J280" s="122">
        <f t="shared" si="45"/>
        <v>-4.4807389968596491E-2</v>
      </c>
      <c r="K280" s="122"/>
      <c r="Y280" s="126">
        <f t="shared" si="46"/>
        <v>-0.5</v>
      </c>
    </row>
    <row r="281" spans="2:25" x14ac:dyDescent="0.3">
      <c r="B281" s="12">
        <v>0.36393527419783034</v>
      </c>
      <c r="C281" s="12">
        <f t="shared" si="38"/>
        <v>0</v>
      </c>
      <c r="D281" s="126">
        <f t="shared" si="39"/>
        <v>4.483081835530623E-2</v>
      </c>
      <c r="E281" s="12">
        <f t="shared" si="40"/>
        <v>0</v>
      </c>
      <c r="F281" s="12">
        <f t="shared" si="41"/>
        <v>0</v>
      </c>
      <c r="G281" s="122">
        <f t="shared" si="42"/>
        <v>0.36393527419783034</v>
      </c>
      <c r="H281" s="122">
        <f t="shared" si="43"/>
        <v>4.483081835530623E-2</v>
      </c>
      <c r="I281" s="122">
        <f t="shared" si="44"/>
        <v>0.36393527419783034</v>
      </c>
      <c r="J281" s="122">
        <f t="shared" si="45"/>
        <v>-4.483081835530623E-2</v>
      </c>
      <c r="K281" s="122"/>
      <c r="Y281" s="126">
        <f t="shared" si="46"/>
        <v>-0.5</v>
      </c>
    </row>
    <row r="282" spans="2:25" x14ac:dyDescent="0.3">
      <c r="B282" s="12">
        <v>0.36636744474555105</v>
      </c>
      <c r="C282" s="12">
        <f t="shared" si="38"/>
        <v>0</v>
      </c>
      <c r="D282" s="126">
        <f t="shared" si="39"/>
        <v>4.4852791584186633E-2</v>
      </c>
      <c r="E282" s="12">
        <f t="shared" si="40"/>
        <v>0</v>
      </c>
      <c r="F282" s="12">
        <f t="shared" si="41"/>
        <v>0</v>
      </c>
      <c r="G282" s="122">
        <f t="shared" si="42"/>
        <v>0.36636744474555105</v>
      </c>
      <c r="H282" s="122">
        <f t="shared" si="43"/>
        <v>4.4852791584186633E-2</v>
      </c>
      <c r="I282" s="122">
        <f t="shared" si="44"/>
        <v>0.36636744474555105</v>
      </c>
      <c r="J282" s="122">
        <f t="shared" si="45"/>
        <v>-4.4852791584186633E-2</v>
      </c>
      <c r="K282" s="122"/>
      <c r="Y282" s="126">
        <f t="shared" si="46"/>
        <v>-0.5</v>
      </c>
    </row>
    <row r="283" spans="2:25" x14ac:dyDescent="0.3">
      <c r="B283" s="12">
        <v>0.36880589408079867</v>
      </c>
      <c r="C283" s="12">
        <f t="shared" si="38"/>
        <v>0</v>
      </c>
      <c r="D283" s="126">
        <f t="shared" si="39"/>
        <v>4.487329623119575E-2</v>
      </c>
      <c r="E283" s="12">
        <f t="shared" si="40"/>
        <v>0</v>
      </c>
      <c r="F283" s="12">
        <f t="shared" si="41"/>
        <v>0</v>
      </c>
      <c r="G283" s="122">
        <f t="shared" si="42"/>
        <v>0.36880589408079867</v>
      </c>
      <c r="H283" s="122">
        <f t="shared" si="43"/>
        <v>4.487329623119575E-2</v>
      </c>
      <c r="I283" s="122">
        <f t="shared" si="44"/>
        <v>0.36880589408079867</v>
      </c>
      <c r="J283" s="122">
        <f t="shared" si="45"/>
        <v>-4.487329623119575E-2</v>
      </c>
      <c r="K283" s="122"/>
      <c r="Y283" s="126">
        <f t="shared" si="46"/>
        <v>-0.5</v>
      </c>
    </row>
    <row r="284" spans="2:25" x14ac:dyDescent="0.3">
      <c r="B284" s="12">
        <v>0.3712505980405072</v>
      </c>
      <c r="C284" s="12">
        <f t="shared" si="38"/>
        <v>0</v>
      </c>
      <c r="D284" s="126">
        <f t="shared" si="39"/>
        <v>4.4892318730504248E-2</v>
      </c>
      <c r="E284" s="12">
        <f t="shared" si="40"/>
        <v>0</v>
      </c>
      <c r="F284" s="12">
        <f t="shared" si="41"/>
        <v>0</v>
      </c>
      <c r="G284" s="122">
        <f t="shared" si="42"/>
        <v>0.3712505980405072</v>
      </c>
      <c r="H284" s="122">
        <f t="shared" si="43"/>
        <v>4.4892318730504248E-2</v>
      </c>
      <c r="I284" s="122">
        <f t="shared" si="44"/>
        <v>0.3712505980405072</v>
      </c>
      <c r="J284" s="122">
        <f t="shared" si="45"/>
        <v>-4.4892318730504248E-2</v>
      </c>
      <c r="K284" s="122"/>
      <c r="Y284" s="126">
        <f t="shared" si="46"/>
        <v>-0.5</v>
      </c>
    </row>
    <row r="285" spans="2:25" x14ac:dyDescent="0.3">
      <c r="B285" s="12">
        <v>0.37370153239963222</v>
      </c>
      <c r="C285" s="12">
        <f t="shared" si="38"/>
        <v>0</v>
      </c>
      <c r="D285" s="126">
        <f t="shared" si="39"/>
        <v>4.4909845374716297E-2</v>
      </c>
      <c r="E285" s="12">
        <f t="shared" si="40"/>
        <v>0</v>
      </c>
      <c r="F285" s="12">
        <f t="shared" si="41"/>
        <v>0</v>
      </c>
      <c r="G285" s="122">
        <f t="shared" si="42"/>
        <v>0.37370153239963222</v>
      </c>
      <c r="H285" s="122">
        <f t="shared" si="43"/>
        <v>4.4909845374716297E-2</v>
      </c>
      <c r="I285" s="122">
        <f t="shared" si="44"/>
        <v>0.37370153239963222</v>
      </c>
      <c r="J285" s="122">
        <f t="shared" si="45"/>
        <v>-4.4909845374716297E-2</v>
      </c>
      <c r="K285" s="122"/>
      <c r="Y285" s="126">
        <f t="shared" si="46"/>
        <v>-0.5</v>
      </c>
    </row>
    <row r="286" spans="2:25" x14ac:dyDescent="0.3">
      <c r="B286" s="12">
        <v>0.37615867287139115</v>
      </c>
      <c r="C286" s="12">
        <f t="shared" si="38"/>
        <v>0</v>
      </c>
      <c r="D286" s="126">
        <f t="shared" si="39"/>
        <v>4.492586231510716E-2</v>
      </c>
      <c r="E286" s="12">
        <f t="shared" si="40"/>
        <v>0</v>
      </c>
      <c r="F286" s="12">
        <f t="shared" si="41"/>
        <v>0</v>
      </c>
      <c r="G286" s="122">
        <f t="shared" si="42"/>
        <v>0.37615867287139115</v>
      </c>
      <c r="H286" s="122">
        <f t="shared" si="43"/>
        <v>4.492586231510716E-2</v>
      </c>
      <c r="I286" s="122">
        <f t="shared" si="44"/>
        <v>0.37615867287139115</v>
      </c>
      <c r="J286" s="122">
        <f t="shared" si="45"/>
        <v>-4.492586231510716E-2</v>
      </c>
      <c r="K286" s="122"/>
      <c r="Y286" s="126">
        <f t="shared" si="46"/>
        <v>-0.5</v>
      </c>
    </row>
    <row r="287" spans="2:25" x14ac:dyDescent="0.3">
      <c r="B287" s="12">
        <v>0.37862199510750394</v>
      </c>
      <c r="C287" s="12">
        <f t="shared" si="38"/>
        <v>0</v>
      </c>
      <c r="D287" s="126">
        <f t="shared" si="39"/>
        <v>4.4940355561877851E-2</v>
      </c>
      <c r="E287" s="12">
        <f t="shared" si="40"/>
        <v>0</v>
      </c>
      <c r="F287" s="12">
        <f t="shared" si="41"/>
        <v>0</v>
      </c>
      <c r="G287" s="122">
        <f t="shared" si="42"/>
        <v>0.37862199510750394</v>
      </c>
      <c r="H287" s="122">
        <f t="shared" si="43"/>
        <v>4.4940355561877851E-2</v>
      </c>
      <c r="I287" s="122">
        <f t="shared" si="44"/>
        <v>0.37862199510750394</v>
      </c>
      <c r="J287" s="122">
        <f t="shared" si="45"/>
        <v>-4.4940355561877851E-2</v>
      </c>
      <c r="K287" s="122"/>
      <c r="Y287" s="126">
        <f t="shared" si="46"/>
        <v>-0.5</v>
      </c>
    </row>
    <row r="288" spans="2:25" x14ac:dyDescent="0.3">
      <c r="B288" s="12">
        <v>0.38109147469843418</v>
      </c>
      <c r="C288" s="12">
        <f t="shared" si="38"/>
        <v>0</v>
      </c>
      <c r="D288" s="126">
        <f t="shared" si="39"/>
        <v>4.4953310984426703E-2</v>
      </c>
      <c r="E288" s="12">
        <f t="shared" si="40"/>
        <v>0</v>
      </c>
      <c r="F288" s="12">
        <f t="shared" si="41"/>
        <v>0</v>
      </c>
      <c r="G288" s="122">
        <f t="shared" si="42"/>
        <v>0.38109147469843418</v>
      </c>
      <c r="H288" s="122">
        <f t="shared" si="43"/>
        <v>4.4953310984426703E-2</v>
      </c>
      <c r="I288" s="122">
        <f t="shared" si="44"/>
        <v>0.38109147469843418</v>
      </c>
      <c r="J288" s="122">
        <f t="shared" si="45"/>
        <v>-4.4953310984426703E-2</v>
      </c>
      <c r="K288" s="122"/>
      <c r="Y288" s="126">
        <f t="shared" si="46"/>
        <v>-0.5</v>
      </c>
    </row>
    <row r="289" spans="2:25" x14ac:dyDescent="0.3">
      <c r="B289" s="12">
        <v>0.38356708717363108</v>
      </c>
      <c r="C289" s="12">
        <f t="shared" si="38"/>
        <v>0</v>
      </c>
      <c r="D289" s="126">
        <f t="shared" si="39"/>
        <v>4.4964714311637795E-2</v>
      </c>
      <c r="E289" s="12">
        <f t="shared" si="40"/>
        <v>0</v>
      </c>
      <c r="F289" s="12">
        <f t="shared" si="41"/>
        <v>0</v>
      </c>
      <c r="G289" s="122">
        <f t="shared" si="42"/>
        <v>0.38356708717363108</v>
      </c>
      <c r="H289" s="122">
        <f t="shared" si="43"/>
        <v>4.4964714311637795E-2</v>
      </c>
      <c r="I289" s="122">
        <f t="shared" si="44"/>
        <v>0.38356708717363108</v>
      </c>
      <c r="J289" s="122">
        <f t="shared" si="45"/>
        <v>-4.4964714311637795E-2</v>
      </c>
      <c r="K289" s="122"/>
      <c r="Y289" s="126">
        <f t="shared" si="46"/>
        <v>-0.5</v>
      </c>
    </row>
    <row r="290" spans="2:25" x14ac:dyDescent="0.3">
      <c r="B290" s="12">
        <v>0.38604880800177188</v>
      </c>
      <c r="C290" s="12">
        <f t="shared" si="38"/>
        <v>0</v>
      </c>
      <c r="D290" s="126">
        <f t="shared" si="39"/>
        <v>4.4974551132186631E-2</v>
      </c>
      <c r="E290" s="12">
        <f t="shared" si="40"/>
        <v>0</v>
      </c>
      <c r="F290" s="12">
        <f t="shared" si="41"/>
        <v>0</v>
      </c>
      <c r="G290" s="122">
        <f t="shared" si="42"/>
        <v>0.38604880800177188</v>
      </c>
      <c r="H290" s="122">
        <f t="shared" si="43"/>
        <v>4.4974551132186631E-2</v>
      </c>
      <c r="I290" s="122">
        <f t="shared" si="44"/>
        <v>0.38604880800177188</v>
      </c>
      <c r="J290" s="122">
        <f t="shared" si="45"/>
        <v>-4.4974551132186631E-2</v>
      </c>
      <c r="K290" s="122"/>
      <c r="Y290" s="126">
        <f t="shared" si="46"/>
        <v>-0.5</v>
      </c>
    </row>
    <row r="291" spans="2:25" x14ac:dyDescent="0.3">
      <c r="B291" s="12">
        <v>0.3885366125910048</v>
      </c>
      <c r="C291" s="12">
        <f t="shared" si="38"/>
        <v>0</v>
      </c>
      <c r="D291" s="126">
        <f t="shared" si="39"/>
        <v>4.4982806894862642E-2</v>
      </c>
      <c r="E291" s="12">
        <f t="shared" si="40"/>
        <v>0</v>
      </c>
      <c r="F291" s="12">
        <f t="shared" si="41"/>
        <v>0</v>
      </c>
      <c r="G291" s="122">
        <f t="shared" si="42"/>
        <v>0.3885366125910048</v>
      </c>
      <c r="H291" s="122">
        <f t="shared" si="43"/>
        <v>4.4982806894862642E-2</v>
      </c>
      <c r="I291" s="122">
        <f t="shared" si="44"/>
        <v>0.3885366125910048</v>
      </c>
      <c r="J291" s="122">
        <f t="shared" si="45"/>
        <v>-4.4982806894862642E-2</v>
      </c>
      <c r="K291" s="122"/>
      <c r="Y291" s="126">
        <f t="shared" si="46"/>
        <v>-0.5</v>
      </c>
    </row>
    <row r="292" spans="2:25" x14ac:dyDescent="0.3">
      <c r="B292" s="12">
        <v>0.39103047628919319</v>
      </c>
      <c r="C292" s="12">
        <f t="shared" si="38"/>
        <v>0</v>
      </c>
      <c r="D292" s="126">
        <f t="shared" si="39"/>
        <v>4.4989466908909002E-2</v>
      </c>
      <c r="E292" s="12">
        <f t="shared" si="40"/>
        <v>0</v>
      </c>
      <c r="F292" s="12">
        <f t="shared" si="41"/>
        <v>0</v>
      </c>
      <c r="G292" s="122">
        <f t="shared" si="42"/>
        <v>0.39103047628919319</v>
      </c>
      <c r="H292" s="122">
        <f t="shared" si="43"/>
        <v>4.4989466908909002E-2</v>
      </c>
      <c r="I292" s="122">
        <f t="shared" si="44"/>
        <v>0.39103047628919319</v>
      </c>
      <c r="J292" s="122">
        <f t="shared" si="45"/>
        <v>-4.4989466908909002E-2</v>
      </c>
      <c r="K292" s="122"/>
      <c r="Y292" s="126">
        <f t="shared" si="46"/>
        <v>-0.5</v>
      </c>
    </row>
    <row r="293" spans="2:25" x14ac:dyDescent="0.3">
      <c r="B293" s="12">
        <v>0.39353037438415939</v>
      </c>
      <c r="C293" s="12">
        <f t="shared" si="38"/>
        <v>0</v>
      </c>
      <c r="D293" s="126">
        <f t="shared" si="39"/>
        <v>4.4994516344379336E-2</v>
      </c>
      <c r="E293" s="12">
        <f t="shared" si="40"/>
        <v>0</v>
      </c>
      <c r="F293" s="12">
        <f t="shared" si="41"/>
        <v>0</v>
      </c>
      <c r="G293" s="122">
        <f t="shared" si="42"/>
        <v>0.39353037438415939</v>
      </c>
      <c r="H293" s="122">
        <f t="shared" si="43"/>
        <v>4.4994516344379336E-2</v>
      </c>
      <c r="I293" s="122">
        <f t="shared" si="44"/>
        <v>0.39353037438415939</v>
      </c>
      <c r="J293" s="122">
        <f t="shared" si="45"/>
        <v>-4.4994516344379336E-2</v>
      </c>
      <c r="K293" s="122"/>
      <c r="Y293" s="126">
        <f t="shared" si="46"/>
        <v>-0.5</v>
      </c>
    </row>
    <row r="294" spans="2:25" x14ac:dyDescent="0.3">
      <c r="B294" s="12">
        <v>0.3960362821039296</v>
      </c>
      <c r="C294" s="12">
        <f t="shared" si="38"/>
        <v>0</v>
      </c>
      <c r="D294" s="126">
        <f t="shared" si="39"/>
        <v>4.4997940232511767E-2</v>
      </c>
      <c r="E294" s="12">
        <f t="shared" si="40"/>
        <v>0</v>
      </c>
      <c r="F294" s="12">
        <f t="shared" si="41"/>
        <v>0</v>
      </c>
      <c r="G294" s="122">
        <f t="shared" si="42"/>
        <v>0.3960362821039296</v>
      </c>
      <c r="H294" s="122">
        <f t="shared" si="43"/>
        <v>4.4997940232511767E-2</v>
      </c>
      <c r="I294" s="122">
        <f t="shared" si="44"/>
        <v>0.3960362821039296</v>
      </c>
      <c r="J294" s="122">
        <f t="shared" si="45"/>
        <v>-4.4997940232511767E-2</v>
      </c>
      <c r="K294" s="122"/>
      <c r="Y294" s="126">
        <f t="shared" si="46"/>
        <v>-0.5</v>
      </c>
    </row>
    <row r="295" spans="2:25" x14ac:dyDescent="0.3">
      <c r="B295" s="12">
        <v>0.39854817461698</v>
      </c>
      <c r="C295" s="12">
        <f t="shared" si="38"/>
        <v>0</v>
      </c>
      <c r="D295" s="126">
        <f t="shared" si="39"/>
        <v>4.4999723466119919E-2</v>
      </c>
      <c r="E295" s="12">
        <f t="shared" si="40"/>
        <v>0</v>
      </c>
      <c r="F295" s="12">
        <f t="shared" si="41"/>
        <v>0</v>
      </c>
      <c r="G295" s="122">
        <f t="shared" si="42"/>
        <v>0.39854817461698</v>
      </c>
      <c r="H295" s="122">
        <f t="shared" si="43"/>
        <v>4.4999723466119919E-2</v>
      </c>
      <c r="I295" s="122">
        <f t="shared" si="44"/>
        <v>0.39854817461698</v>
      </c>
      <c r="J295" s="122">
        <f t="shared" si="45"/>
        <v>-4.4999723466119919E-2</v>
      </c>
      <c r="K295" s="122"/>
      <c r="Y295" s="126">
        <f t="shared" si="46"/>
        <v>-0.5</v>
      </c>
    </row>
    <row r="296" spans="2:25" x14ac:dyDescent="0.3">
      <c r="B296" s="12">
        <v>0.4010660270324814</v>
      </c>
      <c r="C296" s="12">
        <f t="shared" si="38"/>
        <v>0</v>
      </c>
      <c r="D296" s="126">
        <f t="shared" si="39"/>
        <v>4.4999850863377495E-2</v>
      </c>
      <c r="E296" s="12">
        <f>IF($A$1=0, 0, IF(B296&lt;=$A$2, ($A$1/$A$2^2) *(2*$A$2-2*B296), ($A$1/(1-$A$2)^2)*(2*$A$2-2*B296)))</f>
        <v>0</v>
      </c>
      <c r="F296" s="12">
        <f>IF($A$1=0, 0,  ATAN(E296))</f>
        <v>0</v>
      </c>
      <c r="G296" s="122">
        <f t="shared" si="42"/>
        <v>0.4010660270324814</v>
      </c>
      <c r="H296" s="122">
        <f t="shared" si="43"/>
        <v>4.4999850863377495E-2</v>
      </c>
      <c r="I296" s="122">
        <f t="shared" si="44"/>
        <v>0.4010660270324814</v>
      </c>
      <c r="J296" s="122">
        <f t="shared" si="45"/>
        <v>-4.4999850863377495E-2</v>
      </c>
      <c r="K296" s="122"/>
      <c r="Y296" s="126">
        <f t="shared" si="46"/>
        <v>-0.5</v>
      </c>
    </row>
    <row r="297" spans="2:25" x14ac:dyDescent="0.3">
      <c r="B297" s="12">
        <v>0.40358981440054742</v>
      </c>
      <c r="C297" s="12">
        <f t="shared" si="38"/>
        <v>0</v>
      </c>
      <c r="D297" s="126">
        <f t="shared" si="39"/>
        <v>4.4998309286415863E-2</v>
      </c>
      <c r="E297" s="12">
        <f t="shared" si="40"/>
        <v>0</v>
      </c>
      <c r="F297" s="12">
        <f t="shared" si="41"/>
        <v>0</v>
      </c>
      <c r="G297" s="122">
        <f t="shared" si="42"/>
        <v>0.40358981440054742</v>
      </c>
      <c r="H297" s="122">
        <f t="shared" si="43"/>
        <v>4.4998309286415863E-2</v>
      </c>
      <c r="I297" s="122">
        <f t="shared" si="44"/>
        <v>0.40358981440054742</v>
      </c>
      <c r="J297" s="122">
        <f t="shared" si="45"/>
        <v>-4.4998309286415863E-2</v>
      </c>
      <c r="K297" s="122"/>
      <c r="Y297" s="126">
        <f t="shared" si="46"/>
        <v>-0.5</v>
      </c>
    </row>
    <row r="298" spans="2:25" x14ac:dyDescent="0.3">
      <c r="B298" s="12">
        <v>0.40611951171248117</v>
      </c>
      <c r="C298" s="12">
        <f t="shared" si="38"/>
        <v>0</v>
      </c>
      <c r="D298" s="126">
        <f t="shared" si="39"/>
        <v>4.4995088236407757E-2</v>
      </c>
      <c r="E298" s="12">
        <f t="shared" si="40"/>
        <v>0</v>
      </c>
      <c r="F298" s="12">
        <f t="shared" si="41"/>
        <v>0</v>
      </c>
      <c r="G298" s="122">
        <f t="shared" si="42"/>
        <v>0.40611951171248117</v>
      </c>
      <c r="H298" s="122">
        <f t="shared" si="43"/>
        <v>4.4995088236407757E-2</v>
      </c>
      <c r="I298" s="122">
        <f t="shared" si="44"/>
        <v>0.40611951171248117</v>
      </c>
      <c r="J298" s="122">
        <f t="shared" si="45"/>
        <v>-4.4995088236407757E-2</v>
      </c>
      <c r="K298" s="122"/>
      <c r="Y298" s="126">
        <f t="shared" si="46"/>
        <v>-0.5</v>
      </c>
    </row>
    <row r="299" spans="2:25" x14ac:dyDescent="0.3">
      <c r="B299" s="12">
        <v>0.4086550939010225</v>
      </c>
      <c r="C299" s="12">
        <f t="shared" si="38"/>
        <v>0</v>
      </c>
      <c r="D299" s="126">
        <f t="shared" si="39"/>
        <v>4.4990177432361583E-2</v>
      </c>
      <c r="E299" s="12">
        <f t="shared" si="40"/>
        <v>0</v>
      </c>
      <c r="F299" s="12">
        <f t="shared" si="41"/>
        <v>0</v>
      </c>
      <c r="G299" s="122">
        <f t="shared" si="42"/>
        <v>0.4086550939010225</v>
      </c>
      <c r="H299" s="122">
        <f t="shared" si="43"/>
        <v>4.4990177432361583E-2</v>
      </c>
      <c r="I299" s="122">
        <f t="shared" si="44"/>
        <v>0.4086550939010225</v>
      </c>
      <c r="J299" s="122">
        <f t="shared" si="45"/>
        <v>-4.4990177432361583E-2</v>
      </c>
      <c r="K299" s="122"/>
      <c r="Y299" s="126">
        <f t="shared" si="46"/>
        <v>-0.5</v>
      </c>
    </row>
    <row r="300" spans="2:25" x14ac:dyDescent="0.3">
      <c r="B300" s="12">
        <v>0.41119653584059757</v>
      </c>
      <c r="C300" s="12">
        <f t="shared" si="38"/>
        <v>0</v>
      </c>
      <c r="D300" s="126">
        <f t="shared" si="39"/>
        <v>4.4983566652581505E-2</v>
      </c>
      <c r="E300" s="12">
        <f t="shared" si="40"/>
        <v>0</v>
      </c>
      <c r="F300" s="12">
        <f t="shared" si="41"/>
        <v>0</v>
      </c>
      <c r="G300" s="122">
        <f t="shared" si="42"/>
        <v>0.41119653584059757</v>
      </c>
      <c r="H300" s="122">
        <f t="shared" si="43"/>
        <v>4.4983566652581505E-2</v>
      </c>
      <c r="I300" s="122">
        <f t="shared" si="44"/>
        <v>0.41119653584059757</v>
      </c>
      <c r="J300" s="122">
        <f t="shared" si="45"/>
        <v>-4.4983566652581505E-2</v>
      </c>
      <c r="K300" s="122"/>
      <c r="Y300" s="126">
        <f t="shared" si="46"/>
        <v>-0.5</v>
      </c>
    </row>
    <row r="301" spans="2:25" x14ac:dyDescent="0.3">
      <c r="B301" s="12">
        <v>0.41374381234756619</v>
      </c>
      <c r="C301" s="12">
        <f t="shared" si="38"/>
        <v>0</v>
      </c>
      <c r="D301" s="126">
        <f t="shared" si="39"/>
        <v>4.4975245735219847E-2</v>
      </c>
      <c r="E301" s="12">
        <f t="shared" si="40"/>
        <v>0</v>
      </c>
      <c r="F301" s="12">
        <f t="shared" si="41"/>
        <v>0</v>
      </c>
      <c r="G301" s="122">
        <f t="shared" si="42"/>
        <v>0.41374381234756619</v>
      </c>
      <c r="H301" s="122">
        <f t="shared" si="43"/>
        <v>4.4975245735219847E-2</v>
      </c>
      <c r="I301" s="122">
        <f t="shared" si="44"/>
        <v>0.41374381234756619</v>
      </c>
      <c r="J301" s="122">
        <f t="shared" si="45"/>
        <v>-4.4975245735219847E-2</v>
      </c>
      <c r="K301" s="122"/>
      <c r="Y301" s="126">
        <f t="shared" si="46"/>
        <v>-0.5</v>
      </c>
    </row>
    <row r="302" spans="2:25" x14ac:dyDescent="0.3">
      <c r="B302" s="12">
        <v>0.41629689818047322</v>
      </c>
      <c r="C302" s="12">
        <f t="shared" si="38"/>
        <v>0</v>
      </c>
      <c r="D302" s="126">
        <f t="shared" si="39"/>
        <v>4.4965204578826093E-2</v>
      </c>
      <c r="E302" s="12">
        <f t="shared" si="40"/>
        <v>0</v>
      </c>
      <c r="F302" s="12">
        <f t="shared" si="41"/>
        <v>0</v>
      </c>
      <c r="G302" s="122">
        <f t="shared" si="42"/>
        <v>0.41629689818047322</v>
      </c>
      <c r="H302" s="122">
        <f t="shared" si="43"/>
        <v>4.4965204578826093E-2</v>
      </c>
      <c r="I302" s="122">
        <f t="shared" si="44"/>
        <v>0.41629689818047322</v>
      </c>
      <c r="J302" s="122">
        <f t="shared" si="45"/>
        <v>-4.4965204578826093E-2</v>
      </c>
      <c r="K302" s="122"/>
      <c r="Y302" s="126">
        <f t="shared" si="46"/>
        <v>-0.5</v>
      </c>
    </row>
    <row r="303" spans="2:25" x14ac:dyDescent="0.3">
      <c r="B303" s="12">
        <v>0.41885576804029723</v>
      </c>
      <c r="C303" s="12">
        <f t="shared" si="38"/>
        <v>0</v>
      </c>
      <c r="D303" s="126">
        <f t="shared" si="39"/>
        <v>4.4953433142892324E-2</v>
      </c>
      <c r="E303" s="12">
        <f t="shared" si="40"/>
        <v>0</v>
      </c>
      <c r="F303" s="12">
        <f t="shared" si="41"/>
        <v>0</v>
      </c>
      <c r="G303" s="122">
        <f t="shared" si="42"/>
        <v>0.41885576804029723</v>
      </c>
      <c r="H303" s="122">
        <f t="shared" si="43"/>
        <v>4.4953433142892324E-2</v>
      </c>
      <c r="I303" s="122">
        <f t="shared" si="44"/>
        <v>0.41885576804029723</v>
      </c>
      <c r="J303" s="122">
        <f t="shared" si="45"/>
        <v>-4.4953433142892324E-2</v>
      </c>
      <c r="K303" s="122"/>
      <c r="Y303" s="126">
        <f t="shared" si="46"/>
        <v>-0.5</v>
      </c>
    </row>
    <row r="304" spans="2:25" x14ac:dyDescent="0.3">
      <c r="B304" s="12">
        <v>0.42142039657070196</v>
      </c>
      <c r="C304" s="12">
        <f t="shared" si="38"/>
        <v>0</v>
      </c>
      <c r="D304" s="126">
        <f t="shared" si="39"/>
        <v>4.4939921448394995E-2</v>
      </c>
      <c r="E304" s="12">
        <f t="shared" si="40"/>
        <v>0</v>
      </c>
      <c r="F304" s="12">
        <f t="shared" si="41"/>
        <v>0</v>
      </c>
      <c r="G304" s="122">
        <f t="shared" si="42"/>
        <v>0.42142039657070196</v>
      </c>
      <c r="H304" s="122">
        <f t="shared" si="43"/>
        <v>4.4939921448394995E-2</v>
      </c>
      <c r="I304" s="122">
        <f t="shared" si="44"/>
        <v>0.42142039657070196</v>
      </c>
      <c r="J304" s="122">
        <f t="shared" si="45"/>
        <v>-4.4939921448394995E-2</v>
      </c>
      <c r="K304" s="122"/>
      <c r="Y304" s="126">
        <f t="shared" si="46"/>
        <v>-0.5</v>
      </c>
    </row>
    <row r="305" spans="2:25" x14ac:dyDescent="0.3">
      <c r="B305" s="12">
        <v>0.42399075835828748</v>
      </c>
      <c r="C305" s="12">
        <f t="shared" si="38"/>
        <v>0</v>
      </c>
      <c r="D305" s="126">
        <f t="shared" si="39"/>
        <v>4.4924659578333304E-2</v>
      </c>
      <c r="E305" s="12">
        <f t="shared" si="40"/>
        <v>0</v>
      </c>
      <c r="F305" s="12">
        <f t="shared" si="41"/>
        <v>0</v>
      </c>
      <c r="G305" s="122">
        <f t="shared" si="42"/>
        <v>0.42399075835828748</v>
      </c>
      <c r="H305" s="122">
        <f t="shared" si="43"/>
        <v>4.4924659578333304E-2</v>
      </c>
      <c r="I305" s="122">
        <f t="shared" si="44"/>
        <v>0.42399075835828748</v>
      </c>
      <c r="J305" s="122">
        <f t="shared" si="45"/>
        <v>-4.4924659578333304E-2</v>
      </c>
      <c r="K305" s="122"/>
      <c r="Y305" s="126">
        <f t="shared" si="46"/>
        <v>-0.5</v>
      </c>
    </row>
    <row r="306" spans="2:25" x14ac:dyDescent="0.3">
      <c r="B306" s="12">
        <v>0.42656682793284162</v>
      </c>
      <c r="C306" s="12">
        <f t="shared" si="38"/>
        <v>0</v>
      </c>
      <c r="D306" s="126">
        <f t="shared" si="39"/>
        <v>4.4907637678263765E-2</v>
      </c>
      <c r="E306" s="12">
        <f t="shared" si="40"/>
        <v>0</v>
      </c>
      <c r="F306" s="12">
        <f t="shared" si="41"/>
        <v>0</v>
      </c>
      <c r="G306" s="122">
        <f t="shared" si="42"/>
        <v>0.42656682793284162</v>
      </c>
      <c r="H306" s="122">
        <f t="shared" si="43"/>
        <v>4.4907637678263765E-2</v>
      </c>
      <c r="I306" s="122">
        <f t="shared" si="44"/>
        <v>0.42656682793284162</v>
      </c>
      <c r="J306" s="122">
        <f t="shared" si="45"/>
        <v>-4.4907637678263765E-2</v>
      </c>
      <c r="K306" s="122"/>
      <c r="Y306" s="126">
        <f t="shared" si="46"/>
        <v>-0.5</v>
      </c>
    </row>
    <row r="307" spans="2:25" x14ac:dyDescent="0.3">
      <c r="B307" s="12">
        <v>0.42914857976759269</v>
      </c>
      <c r="C307" s="12">
        <f t="shared" si="38"/>
        <v>0</v>
      </c>
      <c r="D307" s="126">
        <f t="shared" si="39"/>
        <v>4.4888845956831305E-2</v>
      </c>
      <c r="E307" s="12">
        <f t="shared" si="40"/>
        <v>0</v>
      </c>
      <c r="F307" s="12">
        <f t="shared" si="41"/>
        <v>0</v>
      </c>
      <c r="G307" s="122">
        <f t="shared" si="42"/>
        <v>0.42914857976759269</v>
      </c>
      <c r="H307" s="122">
        <f t="shared" si="43"/>
        <v>4.4888845956831305E-2</v>
      </c>
      <c r="I307" s="122">
        <f t="shared" si="44"/>
        <v>0.42914857976759269</v>
      </c>
      <c r="J307" s="122">
        <f t="shared" si="45"/>
        <v>-4.4888845956831305E-2</v>
      </c>
      <c r="K307" s="122"/>
      <c r="Y307" s="126">
        <f t="shared" si="46"/>
        <v>-0.5</v>
      </c>
    </row>
    <row r="308" spans="2:25" x14ac:dyDescent="0.3">
      <c r="B308" s="12">
        <v>0.43173598827946269</v>
      </c>
      <c r="C308" s="12">
        <f t="shared" si="38"/>
        <v>0</v>
      </c>
      <c r="D308" s="126">
        <f t="shared" si="39"/>
        <v>4.4868274686296554E-2</v>
      </c>
      <c r="E308" s="12">
        <f t="shared" si="40"/>
        <v>0</v>
      </c>
      <c r="F308" s="12">
        <f t="shared" si="41"/>
        <v>0</v>
      </c>
      <c r="G308" s="122">
        <f t="shared" si="42"/>
        <v>0.43173598827946269</v>
      </c>
      <c r="H308" s="122">
        <f t="shared" si="43"/>
        <v>4.4868274686296554E-2</v>
      </c>
      <c r="I308" s="122">
        <f t="shared" si="44"/>
        <v>0.43173598827946269</v>
      </c>
      <c r="J308" s="122">
        <f t="shared" si="45"/>
        <v>-4.4868274686296554E-2</v>
      </c>
      <c r="K308" s="122"/>
      <c r="Y308" s="126">
        <f t="shared" si="46"/>
        <v>-0.5</v>
      </c>
    </row>
    <row r="309" spans="2:25" x14ac:dyDescent="0.3">
      <c r="B309" s="12">
        <v>0.43432902782932004</v>
      </c>
      <c r="C309" s="12">
        <f t="shared" si="38"/>
        <v>0</v>
      </c>
      <c r="D309" s="126">
        <f t="shared" si="39"/>
        <v>4.4845914203059556E-2</v>
      </c>
      <c r="E309" s="12">
        <f t="shared" si="40"/>
        <v>0</v>
      </c>
      <c r="F309" s="12">
        <f t="shared" si="41"/>
        <v>0</v>
      </c>
      <c r="G309" s="122">
        <f t="shared" si="42"/>
        <v>0.43432902782932004</v>
      </c>
      <c r="H309" s="122">
        <f t="shared" si="43"/>
        <v>4.4845914203059556E-2</v>
      </c>
      <c r="I309" s="122">
        <f t="shared" si="44"/>
        <v>0.43432902782932004</v>
      </c>
      <c r="J309" s="122">
        <f t="shared" si="45"/>
        <v>-4.4845914203059556E-2</v>
      </c>
      <c r="K309" s="122"/>
      <c r="Y309" s="126">
        <f t="shared" si="46"/>
        <v>-0.5</v>
      </c>
    </row>
    <row r="310" spans="2:25" x14ac:dyDescent="0.3">
      <c r="B310" s="12">
        <v>0.43692767272223476</v>
      </c>
      <c r="C310" s="12">
        <f t="shared" si="38"/>
        <v>0</v>
      </c>
      <c r="D310" s="126">
        <f t="shared" si="39"/>
        <v>4.4821754908179676E-2</v>
      </c>
      <c r="E310" s="12">
        <f t="shared" si="40"/>
        <v>0</v>
      </c>
      <c r="F310" s="12">
        <f t="shared" si="41"/>
        <v>0</v>
      </c>
      <c r="G310" s="122">
        <f t="shared" si="42"/>
        <v>0.43692767272223476</v>
      </c>
      <c r="H310" s="122">
        <f t="shared" si="43"/>
        <v>4.4821754908179676E-2</v>
      </c>
      <c r="I310" s="122">
        <f t="shared" si="44"/>
        <v>0.43692767272223476</v>
      </c>
      <c r="J310" s="122">
        <f t="shared" si="45"/>
        <v>-4.4821754908179676E-2</v>
      </c>
      <c r="K310" s="122"/>
      <c r="Y310" s="126">
        <f t="shared" si="46"/>
        <v>-0.5</v>
      </c>
    </row>
    <row r="311" spans="2:25" x14ac:dyDescent="0.3">
      <c r="B311" s="12">
        <v>0.43953189720773167</v>
      </c>
      <c r="C311" s="12">
        <f t="shared" si="38"/>
        <v>0</v>
      </c>
      <c r="D311" s="126">
        <f t="shared" si="39"/>
        <v>4.4795787267891844E-2</v>
      </c>
      <c r="E311" s="12">
        <f t="shared" si="40"/>
        <v>0</v>
      </c>
      <c r="F311" s="12">
        <f t="shared" si="41"/>
        <v>0</v>
      </c>
      <c r="G311" s="122">
        <f t="shared" si="42"/>
        <v>0.43953189720773167</v>
      </c>
      <c r="H311" s="122">
        <f t="shared" si="43"/>
        <v>4.4795787267891844E-2</v>
      </c>
      <c r="I311" s="122">
        <f t="shared" si="44"/>
        <v>0.43953189720773167</v>
      </c>
      <c r="J311" s="122">
        <f t="shared" si="45"/>
        <v>-4.4795787267891844E-2</v>
      </c>
      <c r="K311" s="122"/>
      <c r="Y311" s="126">
        <f t="shared" si="46"/>
        <v>-0.5</v>
      </c>
    </row>
    <row r="312" spans="2:25" x14ac:dyDescent="0.3">
      <c r="B312" s="12">
        <v>0.4421416754800469</v>
      </c>
      <c r="C312" s="12">
        <f t="shared" si="38"/>
        <v>0</v>
      </c>
      <c r="D312" s="126">
        <f t="shared" si="39"/>
        <v>4.4768001814118989E-2</v>
      </c>
      <c r="E312" s="12">
        <f t="shared" si="40"/>
        <v>0</v>
      </c>
      <c r="F312" s="12">
        <f t="shared" si="41"/>
        <v>0</v>
      </c>
      <c r="G312" s="122">
        <f t="shared" si="42"/>
        <v>0.4421416754800469</v>
      </c>
      <c r="H312" s="122">
        <f t="shared" si="43"/>
        <v>4.4768001814118989E-2</v>
      </c>
      <c r="I312" s="122">
        <f t="shared" si="44"/>
        <v>0.4421416754800469</v>
      </c>
      <c r="J312" s="122">
        <f t="shared" si="45"/>
        <v>-4.4768001814118989E-2</v>
      </c>
      <c r="K312" s="122"/>
      <c r="Y312" s="126">
        <f t="shared" si="46"/>
        <v>-0.5</v>
      </c>
    </row>
    <row r="313" spans="2:25" x14ac:dyDescent="0.3">
      <c r="B313" s="12">
        <v>0.44475698167838285</v>
      </c>
      <c r="C313" s="12">
        <f t="shared" si="38"/>
        <v>0</v>
      </c>
      <c r="D313" s="126">
        <f t="shared" si="39"/>
        <v>4.4738389144980635E-2</v>
      </c>
      <c r="E313" s="12">
        <f t="shared" si="40"/>
        <v>0</v>
      </c>
      <c r="F313" s="12">
        <f t="shared" si="41"/>
        <v>0</v>
      </c>
      <c r="G313" s="122">
        <f t="shared" si="42"/>
        <v>0.44475698167838285</v>
      </c>
      <c r="H313" s="122">
        <f t="shared" si="43"/>
        <v>4.4738389144980635E-2</v>
      </c>
      <c r="I313" s="122">
        <f t="shared" si="44"/>
        <v>0.44475698167838285</v>
      </c>
      <c r="J313" s="122">
        <f t="shared" si="45"/>
        <v>-4.4738389144980635E-2</v>
      </c>
      <c r="K313" s="122"/>
      <c r="Y313" s="126">
        <f t="shared" si="46"/>
        <v>-0.5</v>
      </c>
    </row>
    <row r="314" spans="2:25" x14ac:dyDescent="0.3">
      <c r="B314" s="12">
        <v>0.44737778988716459</v>
      </c>
      <c r="C314" s="12">
        <f t="shared" si="38"/>
        <v>0</v>
      </c>
      <c r="D314" s="126">
        <f t="shared" si="39"/>
        <v>4.4706939925297867E-2</v>
      </c>
      <c r="E314" s="12">
        <f t="shared" si="40"/>
        <v>0</v>
      </c>
      <c r="F314" s="12">
        <f t="shared" si="41"/>
        <v>0</v>
      </c>
      <c r="G314" s="122">
        <f t="shared" si="42"/>
        <v>0.44737778988716459</v>
      </c>
      <c r="H314" s="122">
        <f t="shared" si="43"/>
        <v>4.4706939925297867E-2</v>
      </c>
      <c r="I314" s="122">
        <f t="shared" si="44"/>
        <v>0.44737778988716459</v>
      </c>
      <c r="J314" s="122">
        <f t="shared" si="45"/>
        <v>-4.4706939925297867E-2</v>
      </c>
      <c r="K314" s="122"/>
      <c r="Y314" s="126">
        <f t="shared" si="46"/>
        <v>-0.5</v>
      </c>
    </row>
    <row r="315" spans="2:25" x14ac:dyDescent="0.3">
      <c r="B315" s="12">
        <v>0.45000407413629695</v>
      </c>
      <c r="C315" s="12">
        <f t="shared" si="38"/>
        <v>0</v>
      </c>
      <c r="D315" s="126">
        <f t="shared" si="39"/>
        <v>4.4673644887094174E-2</v>
      </c>
      <c r="E315" s="12">
        <f t="shared" si="40"/>
        <v>0</v>
      </c>
      <c r="F315" s="12">
        <f t="shared" si="41"/>
        <v>0</v>
      </c>
      <c r="G315" s="122">
        <f t="shared" si="42"/>
        <v>0.45000407413629695</v>
      </c>
      <c r="H315" s="122">
        <f t="shared" si="43"/>
        <v>4.4673644887094174E-2</v>
      </c>
      <c r="I315" s="122">
        <f t="shared" si="44"/>
        <v>0.45000407413629695</v>
      </c>
      <c r="J315" s="122">
        <f t="shared" si="45"/>
        <v>-4.4673644887094174E-2</v>
      </c>
      <c r="K315" s="122"/>
      <c r="Y315" s="126">
        <f t="shared" si="46"/>
        <v>-0.5</v>
      </c>
    </row>
    <row r="316" spans="2:25" x14ac:dyDescent="0.3">
      <c r="B316" s="12">
        <v>0.45263580840142115</v>
      </c>
      <c r="C316" s="12">
        <f t="shared" si="38"/>
        <v>0</v>
      </c>
      <c r="D316" s="126">
        <f t="shared" si="39"/>
        <v>4.4638494830092745E-2</v>
      </c>
      <c r="E316" s="12">
        <f t="shared" si="40"/>
        <v>0</v>
      </c>
      <c r="F316" s="12">
        <f t="shared" si="41"/>
        <v>0</v>
      </c>
      <c r="G316" s="122">
        <f t="shared" si="42"/>
        <v>0.45263580840142115</v>
      </c>
      <c r="H316" s="122">
        <f t="shared" si="43"/>
        <v>4.4638494830092745E-2</v>
      </c>
      <c r="I316" s="122">
        <f t="shared" si="44"/>
        <v>0.45263580840142115</v>
      </c>
      <c r="J316" s="122">
        <f t="shared" si="45"/>
        <v>-4.4638494830092745E-2</v>
      </c>
      <c r="K316" s="122"/>
      <c r="Y316" s="126">
        <f t="shared" si="46"/>
        <v>-0.5</v>
      </c>
    </row>
    <row r="317" spans="2:25" x14ac:dyDescent="0.3">
      <c r="B317" s="12">
        <v>0.45527296660417349</v>
      </c>
      <c r="C317" s="12">
        <f t="shared" si="38"/>
        <v>0</v>
      </c>
      <c r="D317" s="126">
        <f t="shared" si="39"/>
        <v>4.4601480622209588E-2</v>
      </c>
      <c r="E317" s="12">
        <f t="shared" si="40"/>
        <v>0</v>
      </c>
      <c r="F317" s="12">
        <f t="shared" si="41"/>
        <v>0</v>
      </c>
      <c r="G317" s="122">
        <f t="shared" si="42"/>
        <v>0.45527296660417349</v>
      </c>
      <c r="H317" s="122">
        <f t="shared" si="43"/>
        <v>4.4601480622209588E-2</v>
      </c>
      <c r="I317" s="122">
        <f t="shared" si="44"/>
        <v>0.45527296660417349</v>
      </c>
      <c r="J317" s="122">
        <f t="shared" si="45"/>
        <v>-4.4601480622209588E-2</v>
      </c>
      <c r="K317" s="122"/>
      <c r="Y317" s="126">
        <f t="shared" si="46"/>
        <v>-0.5</v>
      </c>
    </row>
    <row r="318" spans="2:25" x14ac:dyDescent="0.3">
      <c r="B318" s="12">
        <v>0.45791552261244328</v>
      </c>
      <c r="C318" s="12">
        <f t="shared" si="38"/>
        <v>0</v>
      </c>
      <c r="D318" s="126">
        <f t="shared" si="39"/>
        <v>4.4562593200042966E-2</v>
      </c>
      <c r="E318" s="12">
        <f t="shared" si="40"/>
        <v>0</v>
      </c>
      <c r="F318" s="12">
        <f t="shared" si="41"/>
        <v>0</v>
      </c>
      <c r="G318" s="122">
        <f t="shared" si="42"/>
        <v>0.45791552261244328</v>
      </c>
      <c r="H318" s="122">
        <f t="shared" si="43"/>
        <v>4.4562593200042966E-2</v>
      </c>
      <c r="I318" s="122">
        <f t="shared" si="44"/>
        <v>0.45791552261244328</v>
      </c>
      <c r="J318" s="122">
        <f t="shared" si="45"/>
        <v>-4.4562593200042966E-2</v>
      </c>
      <c r="K318" s="122"/>
      <c r="Y318" s="126">
        <f t="shared" si="46"/>
        <v>-0.5</v>
      </c>
    </row>
    <row r="319" spans="2:25" x14ac:dyDescent="0.3">
      <c r="B319" s="12">
        <v>0.46056345024063217</v>
      </c>
      <c r="C319" s="12">
        <f t="shared" si="38"/>
        <v>0</v>
      </c>
      <c r="D319" s="126">
        <f t="shared" si="39"/>
        <v>4.4521823569358812E-2</v>
      </c>
      <c r="E319" s="12">
        <f t="shared" si="40"/>
        <v>0</v>
      </c>
      <c r="F319" s="12">
        <f t="shared" si="41"/>
        <v>0</v>
      </c>
      <c r="G319" s="122">
        <f t="shared" si="42"/>
        <v>0.46056345024063217</v>
      </c>
      <c r="H319" s="122">
        <f t="shared" si="43"/>
        <v>4.4521823569358812E-2</v>
      </c>
      <c r="I319" s="122">
        <f t="shared" si="44"/>
        <v>0.46056345024063217</v>
      </c>
      <c r="J319" s="122">
        <f t="shared" si="45"/>
        <v>-4.4521823569358812E-2</v>
      </c>
      <c r="K319" s="122"/>
      <c r="Y319" s="126">
        <f t="shared" si="46"/>
        <v>-0.5</v>
      </c>
    </row>
    <row r="320" spans="2:25" x14ac:dyDescent="0.3">
      <c r="B320" s="12">
        <v>0.46321672324991292</v>
      </c>
      <c r="C320" s="12">
        <f t="shared" si="38"/>
        <v>0</v>
      </c>
      <c r="D320" s="126">
        <f t="shared" si="39"/>
        <v>4.4479162805572139E-2</v>
      </c>
      <c r="E320" s="12">
        <f t="shared" si="40"/>
        <v>0</v>
      </c>
      <c r="F320" s="12">
        <f t="shared" si="41"/>
        <v>0</v>
      </c>
      <c r="G320" s="122">
        <f t="shared" si="42"/>
        <v>0.46321672324991292</v>
      </c>
      <c r="H320" s="122">
        <f t="shared" si="43"/>
        <v>4.4479162805572139E-2</v>
      </c>
      <c r="I320" s="122">
        <f t="shared" si="44"/>
        <v>0.46321672324991292</v>
      </c>
      <c r="J320" s="122">
        <f t="shared" si="45"/>
        <v>-4.4479162805572139E-2</v>
      </c>
      <c r="K320" s="122"/>
      <c r="Y320" s="126">
        <f t="shared" si="46"/>
        <v>-0.5</v>
      </c>
    </row>
    <row r="321" spans="2:25" x14ac:dyDescent="0.3">
      <c r="B321" s="12">
        <v>0.46587531534849058</v>
      </c>
      <c r="C321" s="12">
        <f t="shared" ref="C321:C384" si="47">IF($A$1=0, 0, IF(B321&lt;=$A$2, ($A$1/$A$2^2)*(2*$A$2*B321-B321^2), ($A$1/(1-$A$2)^2)*((1-2*$A$2)+2*$A$2*B321-B321^2)))</f>
        <v>0</v>
      </c>
      <c r="D321" s="126">
        <f t="shared" ref="D321:D384" si="48">IF(B321&lt;$N$1, ($A$3/0.2)*($O$1*SQRT(B321)+$P$1*B321+$Q$1*(B321^2)+$R$1*(B321^3)), ($A$3/0.2)*($S$1+$T$1*(1-B321)+$U$1*((1-B321)^2)+$V$1*((1-B321)^3)))</f>
        <v>4.4434602054224573E-2</v>
      </c>
      <c r="E321" s="12">
        <f t="shared" si="40"/>
        <v>0</v>
      </c>
      <c r="F321" s="12">
        <f t="shared" si="41"/>
        <v>0</v>
      </c>
      <c r="G321" s="122">
        <f t="shared" si="42"/>
        <v>0.46587531534849058</v>
      </c>
      <c r="H321" s="122">
        <f t="shared" si="43"/>
        <v>4.4434602054224573E-2</v>
      </c>
      <c r="I321" s="122">
        <f t="shared" si="44"/>
        <v>0.46587531534849058</v>
      </c>
      <c r="J321" s="122">
        <f t="shared" si="45"/>
        <v>-4.4434602054224573E-2</v>
      </c>
      <c r="K321" s="122"/>
      <c r="Y321" s="126">
        <f t="shared" si="46"/>
        <v>-0.5</v>
      </c>
    </row>
    <row r="322" spans="2:25" x14ac:dyDescent="0.3">
      <c r="B322" s="12">
        <v>0.46853920019186157</v>
      </c>
      <c r="C322" s="12">
        <f t="shared" si="47"/>
        <v>0</v>
      </c>
      <c r="D322" s="126">
        <f t="shared" si="48"/>
        <v>4.4388132531457875E-2</v>
      </c>
      <c r="E322" s="12">
        <f t="shared" ref="E322:E385" si="49">IF($A$1=0, 0, IF(B322&lt;=$A$2, ($A$1/$A$2^2) *(2*$A$2-2*B322), ($A$1/(1-$A$2)^2)*(2*$A$2-2*B322)))</f>
        <v>0</v>
      </c>
      <c r="F322" s="12">
        <f t="shared" ref="F322:F385" si="50">IF($A$1=0, 0,  ATAN(E322))</f>
        <v>0</v>
      </c>
      <c r="G322" s="122">
        <f t="shared" ref="G322:G385" si="51">B322-D322*SIN(F322)</f>
        <v>0.46853920019186157</v>
      </c>
      <c r="H322" s="122">
        <f t="shared" ref="H322:H385" si="52">C322+D322*COS(F322)</f>
        <v>4.4388132531457875E-2</v>
      </c>
      <c r="I322" s="122">
        <f t="shared" ref="I322:I385" si="53">B322+D322*SIN(F322)</f>
        <v>0.46853920019186157</v>
      </c>
      <c r="J322" s="122">
        <f t="shared" ref="J322:J385" si="54">C322-D322*COS(F322)</f>
        <v>-4.4388132531457875E-2</v>
      </c>
      <c r="K322" s="122"/>
      <c r="Y322" s="126">
        <f t="shared" ref="Y322:Y385" si="55">IF($Z$1, C322, -0.5)</f>
        <v>-0.5</v>
      </c>
    </row>
    <row r="323" spans="2:25" x14ac:dyDescent="0.3">
      <c r="B323" s="12">
        <v>0.47120835138307604</v>
      </c>
      <c r="C323" s="12">
        <f t="shared" si="47"/>
        <v>0</v>
      </c>
      <c r="D323" s="126">
        <f t="shared" si="48"/>
        <v>4.4339745524483352E-2</v>
      </c>
      <c r="E323" s="12">
        <f t="shared" si="49"/>
        <v>0</v>
      </c>
      <c r="F323" s="12">
        <f t="shared" si="50"/>
        <v>0</v>
      </c>
      <c r="G323" s="122">
        <f t="shared" si="51"/>
        <v>0.47120835138307604</v>
      </c>
      <c r="H323" s="122">
        <f t="shared" si="52"/>
        <v>4.4339745524483352E-2</v>
      </c>
      <c r="I323" s="122">
        <f t="shared" si="53"/>
        <v>0.47120835138307604</v>
      </c>
      <c r="J323" s="122">
        <f t="shared" si="54"/>
        <v>-4.4339745524483352E-2</v>
      </c>
      <c r="K323" s="122"/>
      <c r="Y323" s="126">
        <f t="shared" si="55"/>
        <v>-0.5</v>
      </c>
    </row>
    <row r="324" spans="2:25" x14ac:dyDescent="0.3">
      <c r="B324" s="12">
        <v>0.47388274247299855</v>
      </c>
      <c r="C324" s="12">
        <f t="shared" si="47"/>
        <v>0</v>
      </c>
      <c r="D324" s="126">
        <f t="shared" si="48"/>
        <v>4.4289432392047322E-2</v>
      </c>
      <c r="E324" s="12">
        <f t="shared" si="49"/>
        <v>0</v>
      </c>
      <c r="F324" s="12">
        <f t="shared" si="50"/>
        <v>0</v>
      </c>
      <c r="G324" s="122">
        <f t="shared" si="51"/>
        <v>0.47388274247299855</v>
      </c>
      <c r="H324" s="122">
        <f t="shared" si="52"/>
        <v>4.4289432392047322E-2</v>
      </c>
      <c r="I324" s="122">
        <f t="shared" si="53"/>
        <v>0.47388274247299855</v>
      </c>
      <c r="J324" s="122">
        <f t="shared" si="54"/>
        <v>-4.4289432392047322E-2</v>
      </c>
      <c r="K324" s="122"/>
      <c r="Y324" s="126">
        <f t="shared" si="55"/>
        <v>-0.5</v>
      </c>
    </row>
    <row r="325" spans="2:25" x14ac:dyDescent="0.3">
      <c r="B325" s="12">
        <v>0.47656234696057043</v>
      </c>
      <c r="C325" s="12">
        <f t="shared" si="47"/>
        <v>0</v>
      </c>
      <c r="D325" s="126">
        <f t="shared" si="48"/>
        <v>4.4237184564892527E-2</v>
      </c>
      <c r="E325" s="12">
        <f t="shared" si="49"/>
        <v>0</v>
      </c>
      <c r="F325" s="12">
        <f t="shared" si="50"/>
        <v>0</v>
      </c>
      <c r="G325" s="122">
        <f t="shared" si="51"/>
        <v>0.47656234696057043</v>
      </c>
      <c r="H325" s="122">
        <f t="shared" si="52"/>
        <v>4.4237184564892527E-2</v>
      </c>
      <c r="I325" s="122">
        <f t="shared" si="53"/>
        <v>0.47656234696057043</v>
      </c>
      <c r="J325" s="122">
        <f t="shared" si="54"/>
        <v>-4.4237184564892527E-2</v>
      </c>
      <c r="K325" s="122"/>
      <c r="Y325" s="126">
        <f t="shared" si="55"/>
        <v>-0.5</v>
      </c>
    </row>
    <row r="326" spans="2:25" x14ac:dyDescent="0.3">
      <c r="B326" s="12">
        <v>0.47924713829307297</v>
      </c>
      <c r="C326" s="12">
        <f t="shared" si="47"/>
        <v>0</v>
      </c>
      <c r="D326" s="126">
        <f t="shared" si="48"/>
        <v>4.4182993546215382E-2</v>
      </c>
      <c r="E326" s="12">
        <f t="shared" si="49"/>
        <v>0</v>
      </c>
      <c r="F326" s="12">
        <f t="shared" si="50"/>
        <v>0</v>
      </c>
      <c r="G326" s="122">
        <f t="shared" si="51"/>
        <v>0.47924713829307297</v>
      </c>
      <c r="H326" s="122">
        <f t="shared" si="52"/>
        <v>4.4182993546215382E-2</v>
      </c>
      <c r="I326" s="122">
        <f t="shared" si="53"/>
        <v>0.47924713829307297</v>
      </c>
      <c r="J326" s="122">
        <f t="shared" si="54"/>
        <v>-4.4182993546215382E-2</v>
      </c>
      <c r="K326" s="122"/>
      <c r="Y326" s="126">
        <f t="shared" si="55"/>
        <v>-0.5</v>
      </c>
    </row>
    <row r="327" spans="2:25" x14ac:dyDescent="0.3">
      <c r="B327" s="12">
        <v>0.48193708986638928</v>
      </c>
      <c r="C327" s="12">
        <f t="shared" si="47"/>
        <v>0</v>
      </c>
      <c r="D327" s="126">
        <f t="shared" si="48"/>
        <v>4.4126850912119174E-2</v>
      </c>
      <c r="E327" s="12">
        <f t="shared" si="49"/>
        <v>0</v>
      </c>
      <c r="F327" s="12">
        <f t="shared" si="50"/>
        <v>0</v>
      </c>
      <c r="G327" s="122">
        <f t="shared" si="51"/>
        <v>0.48193708986638928</v>
      </c>
      <c r="H327" s="122">
        <f t="shared" si="52"/>
        <v>4.4126850912119174E-2</v>
      </c>
      <c r="I327" s="122">
        <f t="shared" si="53"/>
        <v>0.48193708986638928</v>
      </c>
      <c r="J327" s="122">
        <f t="shared" si="54"/>
        <v>-4.4126850912119174E-2</v>
      </c>
      <c r="K327" s="122"/>
      <c r="Y327" s="126">
        <f t="shared" si="55"/>
        <v>-0.5</v>
      </c>
    </row>
    <row r="328" spans="2:25" x14ac:dyDescent="0.3">
      <c r="B328" s="12">
        <v>0.48463217502526945</v>
      </c>
      <c r="C328" s="12">
        <f t="shared" si="47"/>
        <v>0</v>
      </c>
      <c r="D328" s="126">
        <f t="shared" si="48"/>
        <v>4.4068748312063158E-2</v>
      </c>
      <c r="E328" s="12">
        <f t="shared" si="49"/>
        <v>0</v>
      </c>
      <c r="F328" s="12">
        <f t="shared" si="50"/>
        <v>0</v>
      </c>
      <c r="G328" s="122">
        <f t="shared" si="51"/>
        <v>0.48463217502526945</v>
      </c>
      <c r="H328" s="122">
        <f t="shared" si="52"/>
        <v>4.4068748312063158E-2</v>
      </c>
      <c r="I328" s="122">
        <f t="shared" si="53"/>
        <v>0.48463217502526945</v>
      </c>
      <c r="J328" s="122">
        <f t="shared" si="54"/>
        <v>-4.4068748312063158E-2</v>
      </c>
      <c r="K328" s="122"/>
      <c r="Y328" s="126">
        <f t="shared" si="55"/>
        <v>-0.5</v>
      </c>
    </row>
    <row r="329" spans="2:25" x14ac:dyDescent="0.3">
      <c r="B329" s="12">
        <v>0.48733236706359295</v>
      </c>
      <c r="C329" s="12">
        <f t="shared" si="47"/>
        <v>0</v>
      </c>
      <c r="D329" s="126">
        <f t="shared" si="48"/>
        <v>4.4008677469307492E-2</v>
      </c>
      <c r="E329" s="12">
        <f t="shared" si="49"/>
        <v>0</v>
      </c>
      <c r="F329" s="12">
        <f t="shared" si="50"/>
        <v>0</v>
      </c>
      <c r="G329" s="122">
        <f t="shared" si="51"/>
        <v>0.48733236706359295</v>
      </c>
      <c r="H329" s="122">
        <f t="shared" si="52"/>
        <v>4.4008677469307492E-2</v>
      </c>
      <c r="I329" s="122">
        <f t="shared" si="53"/>
        <v>0.48733236706359295</v>
      </c>
      <c r="J329" s="122">
        <f t="shared" si="54"/>
        <v>-4.4008677469307492E-2</v>
      </c>
      <c r="K329" s="122"/>
      <c r="Y329" s="126">
        <f t="shared" si="55"/>
        <v>-0.5</v>
      </c>
    </row>
    <row r="330" spans="2:25" x14ac:dyDescent="0.3">
      <c r="B330" s="12">
        <v>0.49003763922463506</v>
      </c>
      <c r="C330" s="12">
        <f t="shared" si="47"/>
        <v>0</v>
      </c>
      <c r="D330" s="126">
        <f t="shared" si="48"/>
        <v>4.3946630181353953E-2</v>
      </c>
      <c r="E330" s="12">
        <f t="shared" si="49"/>
        <v>0</v>
      </c>
      <c r="F330" s="12">
        <f t="shared" si="50"/>
        <v>0</v>
      </c>
      <c r="G330" s="122">
        <f t="shared" si="51"/>
        <v>0.49003763922463506</v>
      </c>
      <c r="H330" s="122">
        <f t="shared" si="52"/>
        <v>4.3946630181353953E-2</v>
      </c>
      <c r="I330" s="122">
        <f t="shared" si="53"/>
        <v>0.49003763922463506</v>
      </c>
      <c r="J330" s="122">
        <f t="shared" si="54"/>
        <v>-4.3946630181353953E-2</v>
      </c>
      <c r="K330" s="122"/>
      <c r="Y330" s="126">
        <f t="shared" si="55"/>
        <v>-0.5</v>
      </c>
    </row>
    <row r="331" spans="2:25" x14ac:dyDescent="0.3">
      <c r="B331" s="12">
        <v>0.49274796470133042</v>
      </c>
      <c r="C331" s="12">
        <f t="shared" si="47"/>
        <v>0</v>
      </c>
      <c r="D331" s="126">
        <f t="shared" si="48"/>
        <v>4.3882598320382625E-2</v>
      </c>
      <c r="E331" s="12">
        <f t="shared" si="49"/>
        <v>0</v>
      </c>
      <c r="F331" s="12">
        <f t="shared" si="50"/>
        <v>0</v>
      </c>
      <c r="G331" s="122">
        <f t="shared" si="51"/>
        <v>0.49274796470133042</v>
      </c>
      <c r="H331" s="122">
        <f t="shared" si="52"/>
        <v>4.3882598320382625E-2</v>
      </c>
      <c r="I331" s="122">
        <f t="shared" si="53"/>
        <v>0.49274796470133042</v>
      </c>
      <c r="J331" s="122">
        <f t="shared" si="54"/>
        <v>-4.3882598320382625E-2</v>
      </c>
      <c r="K331" s="122"/>
      <c r="Y331" s="126">
        <f t="shared" si="55"/>
        <v>-0.5</v>
      </c>
    </row>
    <row r="332" spans="2:25" x14ac:dyDescent="0.3">
      <c r="B332" s="12">
        <v>0.4954633166365402</v>
      </c>
      <c r="C332" s="12">
        <f t="shared" si="47"/>
        <v>0</v>
      </c>
      <c r="D332" s="126">
        <f t="shared" si="48"/>
        <v>4.3816573833684147E-2</v>
      </c>
      <c r="E332" s="12">
        <f t="shared" si="49"/>
        <v>0</v>
      </c>
      <c r="F332" s="12">
        <f t="shared" si="50"/>
        <v>0</v>
      </c>
      <c r="G332" s="122">
        <f t="shared" si="51"/>
        <v>0.4954633166365402</v>
      </c>
      <c r="H332" s="122">
        <f t="shared" si="52"/>
        <v>4.3816573833684147E-2</v>
      </c>
      <c r="I332" s="122">
        <f t="shared" si="53"/>
        <v>0.4954633166365402</v>
      </c>
      <c r="J332" s="122">
        <f t="shared" si="54"/>
        <v>-4.3816573833684147E-2</v>
      </c>
      <c r="K332" s="122"/>
      <c r="Y332" s="126">
        <f t="shared" si="55"/>
        <v>-0.5</v>
      </c>
    </row>
    <row r="333" spans="2:25" x14ac:dyDescent="0.3">
      <c r="B333" s="12">
        <v>0.4981836681233166</v>
      </c>
      <c r="C333" s="12">
        <f t="shared" si="47"/>
        <v>0</v>
      </c>
      <c r="D333" s="126">
        <f t="shared" si="48"/>
        <v>4.3748548744088039E-2</v>
      </c>
      <c r="E333" s="12">
        <f t="shared" si="49"/>
        <v>0</v>
      </c>
      <c r="F333" s="12">
        <f t="shared" si="50"/>
        <v>0</v>
      </c>
      <c r="G333" s="122">
        <f t="shared" si="51"/>
        <v>0.4981836681233166</v>
      </c>
      <c r="H333" s="122">
        <f t="shared" si="52"/>
        <v>4.3748548744088039E-2</v>
      </c>
      <c r="I333" s="122">
        <f t="shared" si="53"/>
        <v>0.4981836681233166</v>
      </c>
      <c r="J333" s="122">
        <f t="shared" si="54"/>
        <v>-4.3748548744088039E-2</v>
      </c>
      <c r="K333" s="122"/>
      <c r="Y333" s="126">
        <f t="shared" si="55"/>
        <v>-0.5</v>
      </c>
    </row>
    <row r="334" spans="2:25" x14ac:dyDescent="0.3">
      <c r="B334" s="12">
        <v>0.50090899220517071</v>
      </c>
      <c r="C334" s="12">
        <f t="shared" si="47"/>
        <v>0</v>
      </c>
      <c r="D334" s="126">
        <f t="shared" si="48"/>
        <v>4.3678515150386531E-2</v>
      </c>
      <c r="E334" s="12">
        <f t="shared" si="49"/>
        <v>0</v>
      </c>
      <c r="F334" s="12">
        <f t="shared" si="50"/>
        <v>0</v>
      </c>
      <c r="G334" s="122">
        <f t="shared" si="51"/>
        <v>0.50090899220517071</v>
      </c>
      <c r="H334" s="122">
        <f t="shared" si="52"/>
        <v>4.3678515150386531E-2</v>
      </c>
      <c r="I334" s="122">
        <f t="shared" si="53"/>
        <v>0.50090899220517071</v>
      </c>
      <c r="J334" s="122">
        <f t="shared" si="54"/>
        <v>-4.3678515150386531E-2</v>
      </c>
      <c r="K334" s="122"/>
      <c r="Y334" s="126">
        <f t="shared" si="55"/>
        <v>-0.5</v>
      </c>
    </row>
    <row r="335" spans="2:25" x14ac:dyDescent="0.3">
      <c r="B335" s="12">
        <v>0.50363926187633923</v>
      </c>
      <c r="C335" s="12">
        <f t="shared" si="47"/>
        <v>0</v>
      </c>
      <c r="D335" s="126">
        <f t="shared" si="48"/>
        <v>4.3606465227754278E-2</v>
      </c>
      <c r="E335" s="12">
        <f t="shared" si="49"/>
        <v>0</v>
      </c>
      <c r="F335" s="12">
        <f t="shared" si="50"/>
        <v>0</v>
      </c>
      <c r="G335" s="122">
        <f t="shared" si="51"/>
        <v>0.50363926187633923</v>
      </c>
      <c r="H335" s="122">
        <f t="shared" si="52"/>
        <v>4.3606465227754278E-2</v>
      </c>
      <c r="I335" s="122">
        <f t="shared" si="53"/>
        <v>0.50363926187633923</v>
      </c>
      <c r="J335" s="122">
        <f t="shared" si="54"/>
        <v>-4.3606465227754278E-2</v>
      </c>
      <c r="K335" s="122"/>
      <c r="Y335" s="126">
        <f t="shared" si="55"/>
        <v>-0.5</v>
      </c>
    </row>
    <row r="336" spans="2:25" x14ac:dyDescent="0.3">
      <c r="B336" s="12">
        <v>0.50637445008205195</v>
      </c>
      <c r="C336" s="12">
        <f t="shared" si="47"/>
        <v>0</v>
      </c>
      <c r="D336" s="126">
        <f t="shared" si="48"/>
        <v>4.3532391228163748E-2</v>
      </c>
      <c r="E336" s="12">
        <f t="shared" si="49"/>
        <v>0</v>
      </c>
      <c r="F336" s="12">
        <f t="shared" si="50"/>
        <v>0</v>
      </c>
      <c r="G336" s="122">
        <f t="shared" si="51"/>
        <v>0.50637445008205195</v>
      </c>
      <c r="H336" s="122">
        <f t="shared" si="52"/>
        <v>4.3532391228163748E-2</v>
      </c>
      <c r="I336" s="122">
        <f t="shared" si="53"/>
        <v>0.50637445008205195</v>
      </c>
      <c r="J336" s="122">
        <f t="shared" si="54"/>
        <v>-4.3532391228163748E-2</v>
      </c>
      <c r="K336" s="122"/>
      <c r="Y336" s="126">
        <f t="shared" si="55"/>
        <v>-0.5</v>
      </c>
    </row>
    <row r="337" spans="2:25" x14ac:dyDescent="0.3">
      <c r="B337" s="12">
        <v>0.50911452971880011</v>
      </c>
      <c r="C337" s="12">
        <f t="shared" si="47"/>
        <v>0</v>
      </c>
      <c r="D337" s="126">
        <f t="shared" si="48"/>
        <v>4.3456285480796393E-2</v>
      </c>
      <c r="E337" s="12">
        <f t="shared" si="49"/>
        <v>0</v>
      </c>
      <c r="F337" s="12">
        <f t="shared" si="50"/>
        <v>0</v>
      </c>
      <c r="G337" s="122">
        <f t="shared" si="51"/>
        <v>0.50911452971880011</v>
      </c>
      <c r="H337" s="122">
        <f t="shared" si="52"/>
        <v>4.3456285480796393E-2</v>
      </c>
      <c r="I337" s="122">
        <f t="shared" si="53"/>
        <v>0.50911452971880011</v>
      </c>
      <c r="J337" s="122">
        <f t="shared" si="54"/>
        <v>-4.3456285480796393E-2</v>
      </c>
      <c r="K337" s="122"/>
      <c r="Y337" s="126">
        <f t="shared" si="55"/>
        <v>-0.5</v>
      </c>
    </row>
    <row r="338" spans="2:25" x14ac:dyDescent="0.3">
      <c r="B338" s="12">
        <v>0.51185947363460449</v>
      </c>
      <c r="C338" s="12">
        <f t="shared" si="47"/>
        <v>0</v>
      </c>
      <c r="D338" s="126">
        <f t="shared" si="48"/>
        <v>4.3378140392449402E-2</v>
      </c>
      <c r="E338" s="12">
        <f t="shared" si="49"/>
        <v>0</v>
      </c>
      <c r="F338" s="12">
        <f t="shared" si="50"/>
        <v>0</v>
      </c>
      <c r="G338" s="122">
        <f t="shared" si="51"/>
        <v>0.51185947363460449</v>
      </c>
      <c r="H338" s="122">
        <f t="shared" si="52"/>
        <v>4.3378140392449402E-2</v>
      </c>
      <c r="I338" s="122">
        <f t="shared" si="53"/>
        <v>0.51185947363460449</v>
      </c>
      <c r="J338" s="122">
        <f t="shared" si="54"/>
        <v>-4.3378140392449402E-2</v>
      </c>
      <c r="K338" s="122"/>
      <c r="Y338" s="126">
        <f t="shared" si="55"/>
        <v>-0.5</v>
      </c>
    </row>
    <row r="339" spans="2:25" x14ac:dyDescent="0.3">
      <c r="B339" s="12">
        <v>0.51460925462928531</v>
      </c>
      <c r="C339" s="12">
        <f t="shared" si="47"/>
        <v>0</v>
      </c>
      <c r="D339" s="126">
        <f t="shared" si="48"/>
        <v>4.3297948447938203E-2</v>
      </c>
      <c r="E339" s="12">
        <f t="shared" si="49"/>
        <v>0</v>
      </c>
      <c r="F339" s="12">
        <f t="shared" si="50"/>
        <v>0</v>
      </c>
      <c r="G339" s="122">
        <f t="shared" si="51"/>
        <v>0.51460925462928531</v>
      </c>
      <c r="H339" s="122">
        <f t="shared" si="52"/>
        <v>4.3297948447938203E-2</v>
      </c>
      <c r="I339" s="122">
        <f t="shared" si="53"/>
        <v>0.51460925462928531</v>
      </c>
      <c r="J339" s="122">
        <f t="shared" si="54"/>
        <v>-4.3297948447938203E-2</v>
      </c>
      <c r="K339" s="122"/>
      <c r="Y339" s="126">
        <f t="shared" si="55"/>
        <v>-0.5</v>
      </c>
    </row>
    <row r="340" spans="2:25" x14ac:dyDescent="0.3">
      <c r="B340" s="12">
        <v>0.51736384545473046</v>
      </c>
      <c r="C340" s="12">
        <f t="shared" si="47"/>
        <v>0</v>
      </c>
      <c r="D340" s="126">
        <f t="shared" si="48"/>
        <v>4.321570221049463E-2</v>
      </c>
      <c r="E340" s="12">
        <f t="shared" si="49"/>
        <v>0</v>
      </c>
      <c r="F340" s="12">
        <f t="shared" si="50"/>
        <v>0</v>
      </c>
      <c r="G340" s="122">
        <f t="shared" si="51"/>
        <v>0.51736384545473046</v>
      </c>
      <c r="H340" s="122">
        <f t="shared" si="52"/>
        <v>4.321570221049463E-2</v>
      </c>
      <c r="I340" s="122">
        <f t="shared" si="53"/>
        <v>0.51736384545473046</v>
      </c>
      <c r="J340" s="122">
        <f t="shared" si="54"/>
        <v>-4.321570221049463E-2</v>
      </c>
      <c r="K340" s="122"/>
      <c r="Y340" s="126">
        <f t="shared" si="55"/>
        <v>-0.5</v>
      </c>
    </row>
    <row r="341" spans="2:25" x14ac:dyDescent="0.3">
      <c r="B341" s="12">
        <v>0.52012321881516699</v>
      </c>
      <c r="C341" s="12">
        <f t="shared" si="47"/>
        <v>0</v>
      </c>
      <c r="D341" s="126">
        <f t="shared" si="48"/>
        <v>4.3131394322160656E-2</v>
      </c>
      <c r="E341" s="12">
        <f t="shared" si="49"/>
        <v>0</v>
      </c>
      <c r="F341" s="12">
        <f t="shared" si="50"/>
        <v>0</v>
      </c>
      <c r="G341" s="122">
        <f t="shared" si="51"/>
        <v>0.52012321881516699</v>
      </c>
      <c r="H341" s="122">
        <f t="shared" si="52"/>
        <v>4.3131394322160656E-2</v>
      </c>
      <c r="I341" s="122">
        <f t="shared" si="53"/>
        <v>0.52012321881516699</v>
      </c>
      <c r="J341" s="122">
        <f t="shared" si="54"/>
        <v>-4.3131394322160656E-2</v>
      </c>
      <c r="K341" s="122"/>
      <c r="Y341" s="126">
        <f t="shared" si="55"/>
        <v>-0.5</v>
      </c>
    </row>
    <row r="342" spans="2:25" x14ac:dyDescent="0.3">
      <c r="B342" s="12">
        <v>0.52288734736743059</v>
      </c>
      <c r="C342" s="12">
        <f t="shared" si="47"/>
        <v>0</v>
      </c>
      <c r="D342" s="126">
        <f t="shared" si="48"/>
        <v>4.3045017504177892E-2</v>
      </c>
      <c r="E342" s="12">
        <f t="shared" si="49"/>
        <v>0</v>
      </c>
      <c r="F342" s="12">
        <f t="shared" si="50"/>
        <v>0</v>
      </c>
      <c r="G342" s="122">
        <f t="shared" si="51"/>
        <v>0.52288734736743059</v>
      </c>
      <c r="H342" s="122">
        <f t="shared" si="52"/>
        <v>4.3045017504177892E-2</v>
      </c>
      <c r="I342" s="122">
        <f t="shared" si="53"/>
        <v>0.52288734736743059</v>
      </c>
      <c r="J342" s="122">
        <f t="shared" si="54"/>
        <v>-4.3045017504177892E-2</v>
      </c>
      <c r="K342" s="122"/>
      <c r="Y342" s="126">
        <f t="shared" si="55"/>
        <v>-0.5</v>
      </c>
    </row>
    <row r="343" spans="2:25" x14ac:dyDescent="0.3">
      <c r="B343" s="12">
        <v>0.52565620372123711</v>
      </c>
      <c r="C343" s="12">
        <f t="shared" si="47"/>
        <v>0</v>
      </c>
      <c r="D343" s="126">
        <f t="shared" si="48"/>
        <v>4.295656455737254E-2</v>
      </c>
      <c r="E343" s="12">
        <f t="shared" si="49"/>
        <v>0</v>
      </c>
      <c r="F343" s="12">
        <f t="shared" si="50"/>
        <v>0</v>
      </c>
      <c r="G343" s="122">
        <f t="shared" si="51"/>
        <v>0.52565620372123711</v>
      </c>
      <c r="H343" s="122">
        <f t="shared" si="52"/>
        <v>4.295656455737254E-2</v>
      </c>
      <c r="I343" s="122">
        <f t="shared" si="53"/>
        <v>0.52565620372123711</v>
      </c>
      <c r="J343" s="122">
        <f t="shared" si="54"/>
        <v>-4.295656455737254E-2</v>
      </c>
      <c r="K343" s="122"/>
      <c r="Y343" s="126">
        <f t="shared" si="55"/>
        <v>-0.5</v>
      </c>
    </row>
    <row r="344" spans="2:25" x14ac:dyDescent="0.3">
      <c r="B344" s="12">
        <v>0.52842976043945322</v>
      </c>
      <c r="C344" s="12">
        <f t="shared" si="47"/>
        <v>0</v>
      </c>
      <c r="D344" s="126">
        <f t="shared" si="48"/>
        <v>4.2866028362536043E-2</v>
      </c>
      <c r="E344" s="12">
        <f t="shared" si="49"/>
        <v>0</v>
      </c>
      <c r="F344" s="12">
        <f t="shared" si="50"/>
        <v>0</v>
      </c>
      <c r="G344" s="122">
        <f t="shared" si="51"/>
        <v>0.52842976043945322</v>
      </c>
      <c r="H344" s="122">
        <f t="shared" si="52"/>
        <v>4.2866028362536043E-2</v>
      </c>
      <c r="I344" s="122">
        <f t="shared" si="53"/>
        <v>0.52842976043945322</v>
      </c>
      <c r="J344" s="122">
        <f t="shared" si="54"/>
        <v>-4.2866028362536043E-2</v>
      </c>
      <c r="K344" s="122"/>
      <c r="Y344" s="126">
        <f t="shared" si="55"/>
        <v>-0.5</v>
      </c>
    </row>
    <row r="345" spans="2:25" x14ac:dyDescent="0.3">
      <c r="B345" s="12">
        <v>0.53120799003836905</v>
      </c>
      <c r="C345" s="12">
        <f t="shared" si="47"/>
        <v>0</v>
      </c>
      <c r="D345" s="126">
        <f t="shared" si="48"/>
        <v>4.2773401880801282E-2</v>
      </c>
      <c r="E345" s="12">
        <f t="shared" si="49"/>
        <v>0</v>
      </c>
      <c r="F345" s="12">
        <f t="shared" si="50"/>
        <v>0</v>
      </c>
      <c r="G345" s="122">
        <f t="shared" si="51"/>
        <v>0.53120799003836905</v>
      </c>
      <c r="H345" s="122">
        <f t="shared" si="52"/>
        <v>4.2773401880801282E-2</v>
      </c>
      <c r="I345" s="122">
        <f t="shared" si="53"/>
        <v>0.53120799003836905</v>
      </c>
      <c r="J345" s="122">
        <f t="shared" si="54"/>
        <v>-4.2773401880801282E-2</v>
      </c>
      <c r="K345" s="122"/>
      <c r="Y345" s="126">
        <f t="shared" si="55"/>
        <v>-0.5</v>
      </c>
    </row>
    <row r="346" spans="2:25" x14ac:dyDescent="0.3">
      <c r="B346" s="12">
        <v>0.53399086498797033</v>
      </c>
      <c r="C346" s="12">
        <f t="shared" si="47"/>
        <v>0</v>
      </c>
      <c r="D346" s="126">
        <f t="shared" si="48"/>
        <v>4.2678678154014341E-2</v>
      </c>
      <c r="E346" s="12">
        <f t="shared" si="49"/>
        <v>0</v>
      </c>
      <c r="F346" s="12">
        <f t="shared" si="50"/>
        <v>0</v>
      </c>
      <c r="G346" s="122">
        <f t="shared" si="51"/>
        <v>0.53399086498797033</v>
      </c>
      <c r="H346" s="122">
        <f t="shared" si="52"/>
        <v>4.2678678154014341E-2</v>
      </c>
      <c r="I346" s="122">
        <f t="shared" si="53"/>
        <v>0.53399086498797033</v>
      </c>
      <c r="J346" s="122">
        <f t="shared" si="54"/>
        <v>-4.2678678154014341E-2</v>
      </c>
      <c r="K346" s="122"/>
      <c r="Y346" s="126">
        <f t="shared" si="55"/>
        <v>-0.5</v>
      </c>
    </row>
    <row r="347" spans="2:25" x14ac:dyDescent="0.3">
      <c r="B347" s="12">
        <v>0.53677835771221083</v>
      </c>
      <c r="C347" s="12">
        <f t="shared" si="47"/>
        <v>0</v>
      </c>
      <c r="D347" s="126">
        <f t="shared" si="48"/>
        <v>4.2581850305101823E-2</v>
      </c>
      <c r="E347" s="12">
        <f t="shared" si="49"/>
        <v>0</v>
      </c>
      <c r="F347" s="12">
        <f t="shared" si="50"/>
        <v>0</v>
      </c>
      <c r="G347" s="122">
        <f t="shared" si="51"/>
        <v>0.53677835771221083</v>
      </c>
      <c r="H347" s="122">
        <f t="shared" si="52"/>
        <v>4.2581850305101823E-2</v>
      </c>
      <c r="I347" s="122">
        <f t="shared" si="53"/>
        <v>0.53677835771221083</v>
      </c>
      <c r="J347" s="122">
        <f t="shared" si="54"/>
        <v>-4.2581850305101823E-2</v>
      </c>
      <c r="K347" s="122"/>
      <c r="Y347" s="126">
        <f t="shared" si="55"/>
        <v>-0.5</v>
      </c>
    </row>
    <row r="348" spans="2:25" x14ac:dyDescent="0.3">
      <c r="B348" s="12">
        <v>0.53957044058928638</v>
      </c>
      <c r="C348" s="12">
        <f t="shared" si="47"/>
        <v>0</v>
      </c>
      <c r="D348" s="126">
        <f t="shared" si="48"/>
        <v>4.2482911538433719E-2</v>
      </c>
      <c r="E348" s="12">
        <f t="shared" si="49"/>
        <v>0</v>
      </c>
      <c r="F348" s="12">
        <f t="shared" si="50"/>
        <v>0</v>
      </c>
      <c r="G348" s="122">
        <f t="shared" si="51"/>
        <v>0.53957044058928638</v>
      </c>
      <c r="H348" s="122">
        <f t="shared" si="52"/>
        <v>4.2482911538433719E-2</v>
      </c>
      <c r="I348" s="122">
        <f t="shared" si="53"/>
        <v>0.53957044058928638</v>
      </c>
      <c r="J348" s="122">
        <f t="shared" si="54"/>
        <v>-4.2482911538433719E-2</v>
      </c>
      <c r="K348" s="122"/>
      <c r="Y348" s="126">
        <f t="shared" si="55"/>
        <v>-0.5</v>
      </c>
    </row>
    <row r="349" spans="2:25" x14ac:dyDescent="0.3">
      <c r="B349" s="12">
        <v>0.54236708595190763</v>
      </c>
      <c r="C349" s="12">
        <f t="shared" si="47"/>
        <v>0</v>
      </c>
      <c r="D349" s="126">
        <f t="shared" si="48"/>
        <v>4.2381855140181758E-2</v>
      </c>
      <c r="E349" s="12">
        <f t="shared" si="49"/>
        <v>0</v>
      </c>
      <c r="F349" s="12">
        <f t="shared" si="50"/>
        <v>0</v>
      </c>
      <c r="G349" s="122">
        <f t="shared" si="51"/>
        <v>0.54236708595190763</v>
      </c>
      <c r="H349" s="122">
        <f t="shared" si="52"/>
        <v>4.2381855140181758E-2</v>
      </c>
      <c r="I349" s="122">
        <f t="shared" si="53"/>
        <v>0.54236708595190763</v>
      </c>
      <c r="J349" s="122">
        <f t="shared" si="54"/>
        <v>-4.2381855140181758E-2</v>
      </c>
      <c r="K349" s="122"/>
      <c r="Y349" s="126">
        <f t="shared" si="55"/>
        <v>-0.5</v>
      </c>
    </row>
    <row r="350" spans="2:25" x14ac:dyDescent="0.3">
      <c r="B350" s="12">
        <v>0.54516826608757496</v>
      </c>
      <c r="C350" s="12">
        <f t="shared" si="47"/>
        <v>0</v>
      </c>
      <c r="D350" s="126">
        <f t="shared" si="48"/>
        <v>4.2278674478673353E-2</v>
      </c>
      <c r="E350" s="12">
        <f t="shared" si="49"/>
        <v>0</v>
      </c>
      <c r="F350" s="12">
        <f t="shared" si="50"/>
        <v>0</v>
      </c>
      <c r="G350" s="122">
        <f t="shared" si="51"/>
        <v>0.54516826608757496</v>
      </c>
      <c r="H350" s="122">
        <f t="shared" si="52"/>
        <v>4.2278674478673353E-2</v>
      </c>
      <c r="I350" s="122">
        <f t="shared" si="53"/>
        <v>0.54516826608757496</v>
      </c>
      <c r="J350" s="122">
        <f t="shared" si="54"/>
        <v>-4.2278674478673353E-2</v>
      </c>
      <c r="K350" s="122"/>
      <c r="Y350" s="126">
        <f t="shared" si="55"/>
        <v>-0.5</v>
      </c>
    </row>
    <row r="351" spans="2:25" x14ac:dyDescent="0.3">
      <c r="B351" s="12">
        <v>0.54797395323885223</v>
      </c>
      <c r="C351" s="12">
        <f t="shared" si="47"/>
        <v>0</v>
      </c>
      <c r="D351" s="126">
        <f t="shared" si="48"/>
        <v>4.217336300474088E-2</v>
      </c>
      <c r="E351" s="12">
        <f t="shared" si="49"/>
        <v>0</v>
      </c>
      <c r="F351" s="12">
        <f t="shared" si="50"/>
        <v>0</v>
      </c>
      <c r="G351" s="122">
        <f t="shared" si="51"/>
        <v>0.54797395323885223</v>
      </c>
      <c r="H351" s="122">
        <f t="shared" si="52"/>
        <v>4.217336300474088E-2</v>
      </c>
      <c r="I351" s="122">
        <f t="shared" si="53"/>
        <v>0.54797395323885223</v>
      </c>
      <c r="J351" s="122">
        <f t="shared" si="54"/>
        <v>-4.217336300474088E-2</v>
      </c>
      <c r="K351" s="122"/>
      <c r="Y351" s="126">
        <f t="shared" si="55"/>
        <v>-0.5</v>
      </c>
    </row>
    <row r="352" spans="2:25" x14ac:dyDescent="0.3">
      <c r="B352" s="12">
        <v>0.55078411960364337</v>
      </c>
      <c r="C352" s="12">
        <f t="shared" si="47"/>
        <v>0</v>
      </c>
      <c r="D352" s="126">
        <f t="shared" si="48"/>
        <v>4.2065914252066669E-2</v>
      </c>
      <c r="E352" s="12">
        <f t="shared" si="49"/>
        <v>0</v>
      </c>
      <c r="F352" s="12">
        <f t="shared" si="50"/>
        <v>0</v>
      </c>
      <c r="G352" s="122">
        <f t="shared" si="51"/>
        <v>0.55078411960364337</v>
      </c>
      <c r="H352" s="122">
        <f t="shared" si="52"/>
        <v>4.2065914252066669E-2</v>
      </c>
      <c r="I352" s="122">
        <f t="shared" si="53"/>
        <v>0.55078411960364337</v>
      </c>
      <c r="J352" s="122">
        <f t="shared" si="54"/>
        <v>-4.2065914252066669E-2</v>
      </c>
      <c r="K352" s="122"/>
      <c r="Y352" s="126">
        <f t="shared" si="55"/>
        <v>-0.5</v>
      </c>
    </row>
    <row r="353" spans="2:25" x14ac:dyDescent="0.3">
      <c r="B353" s="12">
        <v>0.55359873733546627</v>
      </c>
      <c r="C353" s="12">
        <f t="shared" si="47"/>
        <v>0</v>
      </c>
      <c r="D353" s="126">
        <f t="shared" si="48"/>
        <v>4.1956321837523229E-2</v>
      </c>
      <c r="E353" s="12">
        <f t="shared" si="49"/>
        <v>0</v>
      </c>
      <c r="F353" s="12">
        <f t="shared" si="50"/>
        <v>0</v>
      </c>
      <c r="G353" s="122">
        <f t="shared" si="51"/>
        <v>0.55359873733546627</v>
      </c>
      <c r="H353" s="122">
        <f t="shared" si="52"/>
        <v>4.1956321837523229E-2</v>
      </c>
      <c r="I353" s="122">
        <f t="shared" si="53"/>
        <v>0.55359873733546627</v>
      </c>
      <c r="J353" s="122">
        <f t="shared" si="54"/>
        <v>-4.1956321837523229E-2</v>
      </c>
      <c r="K353" s="122"/>
      <c r="Y353" s="126">
        <f t="shared" si="55"/>
        <v>-0.5</v>
      </c>
    </row>
    <row r="354" spans="2:25" x14ac:dyDescent="0.3">
      <c r="B354" s="12">
        <v>0.55641777854372954</v>
      </c>
      <c r="C354" s="12">
        <f t="shared" si="47"/>
        <v>0</v>
      </c>
      <c r="D354" s="126">
        <f t="shared" si="48"/>
        <v>4.1844579461509102E-2</v>
      </c>
      <c r="E354" s="12">
        <f t="shared" si="49"/>
        <v>0</v>
      </c>
      <c r="F354" s="12">
        <f t="shared" si="50"/>
        <v>0</v>
      </c>
      <c r="G354" s="122">
        <f t="shared" si="51"/>
        <v>0.55641777854372954</v>
      </c>
      <c r="H354" s="122">
        <f t="shared" si="52"/>
        <v>4.1844579461509102E-2</v>
      </c>
      <c r="I354" s="122">
        <f t="shared" si="53"/>
        <v>0.55641777854372954</v>
      </c>
      <c r="J354" s="122">
        <f t="shared" si="54"/>
        <v>-4.1844579461509102E-2</v>
      </c>
      <c r="K354" s="122"/>
      <c r="Y354" s="126">
        <f t="shared" si="55"/>
        <v>-0.5</v>
      </c>
    </row>
    <row r="355" spans="2:25" x14ac:dyDescent="0.3">
      <c r="B355" s="12">
        <v>0.55924121529400872</v>
      </c>
      <c r="C355" s="12">
        <f t="shared" si="47"/>
        <v>0</v>
      </c>
      <c r="D355" s="126">
        <f t="shared" si="48"/>
        <v>4.1730680908280103E-2</v>
      </c>
      <c r="E355" s="12">
        <f t="shared" si="49"/>
        <v>0</v>
      </c>
      <c r="F355" s="12">
        <f t="shared" si="50"/>
        <v>0</v>
      </c>
      <c r="G355" s="122">
        <f t="shared" si="51"/>
        <v>0.55924121529400872</v>
      </c>
      <c r="H355" s="122">
        <f t="shared" si="52"/>
        <v>4.1730680908280103E-2</v>
      </c>
      <c r="I355" s="122">
        <f t="shared" si="53"/>
        <v>0.55924121529400872</v>
      </c>
      <c r="J355" s="122">
        <f t="shared" si="54"/>
        <v>-4.1730680908280103E-2</v>
      </c>
      <c r="K355" s="122"/>
      <c r="Y355" s="126">
        <f t="shared" si="55"/>
        <v>-0.5</v>
      </c>
    </row>
    <row r="356" spans="2:25" x14ac:dyDescent="0.3">
      <c r="B356" s="12">
        <v>0.56206901960832267</v>
      </c>
      <c r="C356" s="12">
        <f t="shared" si="47"/>
        <v>0</v>
      </c>
      <c r="D356" s="126">
        <f t="shared" si="48"/>
        <v>4.1614620046275974E-2</v>
      </c>
      <c r="E356" s="12">
        <f t="shared" si="49"/>
        <v>0</v>
      </c>
      <c r="F356" s="12">
        <f t="shared" si="50"/>
        <v>0</v>
      </c>
      <c r="G356" s="122">
        <f t="shared" si="51"/>
        <v>0.56206901960832267</v>
      </c>
      <c r="H356" s="122">
        <f t="shared" si="52"/>
        <v>4.1614620046275974E-2</v>
      </c>
      <c r="I356" s="122">
        <f t="shared" si="53"/>
        <v>0.56206901960832267</v>
      </c>
      <c r="J356" s="122">
        <f t="shared" si="54"/>
        <v>-4.1614620046275974E-2</v>
      </c>
      <c r="K356" s="122"/>
      <c r="Y356" s="126">
        <f t="shared" si="55"/>
        <v>-0.5</v>
      </c>
    </row>
    <row r="357" spans="2:25" x14ac:dyDescent="0.3">
      <c r="B357" s="12">
        <v>0.56490116346541219</v>
      </c>
      <c r="C357" s="12">
        <f t="shared" si="47"/>
        <v>0</v>
      </c>
      <c r="D357" s="126">
        <f t="shared" si="48"/>
        <v>4.1496390828442455E-2</v>
      </c>
      <c r="E357" s="12">
        <f t="shared" si="49"/>
        <v>0</v>
      </c>
      <c r="F357" s="12">
        <f t="shared" si="50"/>
        <v>0</v>
      </c>
      <c r="G357" s="122">
        <f t="shared" si="51"/>
        <v>0.56490116346541219</v>
      </c>
      <c r="H357" s="122">
        <f t="shared" si="52"/>
        <v>4.1496390828442455E-2</v>
      </c>
      <c r="I357" s="122">
        <f t="shared" si="53"/>
        <v>0.56490116346541219</v>
      </c>
      <c r="J357" s="122">
        <f t="shared" si="54"/>
        <v>-4.1496390828442455E-2</v>
      </c>
      <c r="K357" s="122"/>
      <c r="Y357" s="126">
        <f t="shared" si="55"/>
        <v>-0.5</v>
      </c>
    </row>
    <row r="358" spans="2:25" x14ac:dyDescent="0.3">
      <c r="B358" s="12">
        <v>0.56773761880101548</v>
      </c>
      <c r="C358" s="12">
        <f t="shared" si="47"/>
        <v>0</v>
      </c>
      <c r="D358" s="126">
        <f t="shared" si="48"/>
        <v>4.1375987292548877E-2</v>
      </c>
      <c r="E358" s="12">
        <f t="shared" si="49"/>
        <v>0</v>
      </c>
      <c r="F358" s="12">
        <f t="shared" si="50"/>
        <v>0</v>
      </c>
      <c r="G358" s="122">
        <f t="shared" si="51"/>
        <v>0.56773761880101548</v>
      </c>
      <c r="H358" s="122">
        <f t="shared" si="52"/>
        <v>4.1375987292548877E-2</v>
      </c>
      <c r="I358" s="122">
        <f t="shared" si="53"/>
        <v>0.56773761880101548</v>
      </c>
      <c r="J358" s="122">
        <f t="shared" si="54"/>
        <v>-4.1375987292548877E-2</v>
      </c>
      <c r="K358" s="122"/>
      <c r="Y358" s="126">
        <f t="shared" si="55"/>
        <v>-0.5</v>
      </c>
    </row>
    <row r="359" spans="2:25" x14ac:dyDescent="0.3">
      <c r="B359" s="12">
        <v>0.57057835750814878</v>
      </c>
      <c r="C359" s="12">
        <f t="shared" si="47"/>
        <v>0</v>
      </c>
      <c r="D359" s="126">
        <f t="shared" si="48"/>
        <v>4.1253403561500944E-2</v>
      </c>
      <c r="E359" s="12">
        <f t="shared" si="49"/>
        <v>0</v>
      </c>
      <c r="F359" s="12">
        <f t="shared" si="50"/>
        <v>0</v>
      </c>
      <c r="G359" s="122">
        <f t="shared" si="51"/>
        <v>0.57057835750814878</v>
      </c>
      <c r="H359" s="122">
        <f t="shared" si="52"/>
        <v>4.1253403561500944E-2</v>
      </c>
      <c r="I359" s="122">
        <f t="shared" si="53"/>
        <v>0.57057835750814878</v>
      </c>
      <c r="J359" s="122">
        <f t="shared" si="54"/>
        <v>-4.1253403561500944E-2</v>
      </c>
      <c r="K359" s="122"/>
      <c r="Y359" s="126">
        <f t="shared" si="55"/>
        <v>-0.5</v>
      </c>
    </row>
    <row r="360" spans="2:25" x14ac:dyDescent="0.3">
      <c r="B360" s="12">
        <v>0.5734233514373821</v>
      </c>
      <c r="C360" s="12">
        <f t="shared" si="47"/>
        <v>0</v>
      </c>
      <c r="D360" s="126">
        <f t="shared" si="48"/>
        <v>4.1128633843649169E-2</v>
      </c>
      <c r="E360" s="12">
        <f t="shared" si="49"/>
        <v>0</v>
      </c>
      <c r="F360" s="12">
        <f t="shared" si="50"/>
        <v>0</v>
      </c>
      <c r="G360" s="122">
        <f t="shared" si="51"/>
        <v>0.5734233514373821</v>
      </c>
      <c r="H360" s="122">
        <f t="shared" si="52"/>
        <v>4.1128633843649169E-2</v>
      </c>
      <c r="I360" s="122">
        <f t="shared" si="53"/>
        <v>0.5734233514373821</v>
      </c>
      <c r="J360" s="122">
        <f t="shared" si="54"/>
        <v>-4.1128633843649169E-2</v>
      </c>
      <c r="K360" s="122"/>
      <c r="Y360" s="126">
        <f t="shared" si="55"/>
        <v>-0.5</v>
      </c>
    </row>
    <row r="361" spans="2:25" x14ac:dyDescent="0.3">
      <c r="B361" s="12">
        <v>0.57627257239712093</v>
      </c>
      <c r="C361" s="12">
        <f t="shared" si="47"/>
        <v>0</v>
      </c>
      <c r="D361" s="126">
        <f t="shared" si="48"/>
        <v>4.1001672433092405E-2</v>
      </c>
      <c r="E361" s="12">
        <f t="shared" si="49"/>
        <v>0</v>
      </c>
      <c r="F361" s="12">
        <f t="shared" si="50"/>
        <v>0</v>
      </c>
      <c r="G361" s="122">
        <f t="shared" si="51"/>
        <v>0.57627257239712093</v>
      </c>
      <c r="H361" s="122">
        <f t="shared" si="52"/>
        <v>4.1001672433092405E-2</v>
      </c>
      <c r="I361" s="122">
        <f t="shared" si="53"/>
        <v>0.57627257239712093</v>
      </c>
      <c r="J361" s="122">
        <f t="shared" si="54"/>
        <v>-4.1001672433092405E-2</v>
      </c>
      <c r="K361" s="122"/>
      <c r="Y361" s="126">
        <f t="shared" si="55"/>
        <v>-0.5</v>
      </c>
    </row>
    <row r="362" spans="2:25" x14ac:dyDescent="0.3">
      <c r="B362" s="12">
        <v>0.5791259921538835</v>
      </c>
      <c r="C362" s="12">
        <f t="shared" si="47"/>
        <v>0</v>
      </c>
      <c r="D362" s="126">
        <f t="shared" si="48"/>
        <v>4.0872513709977056E-2</v>
      </c>
      <c r="E362" s="12">
        <f t="shared" si="49"/>
        <v>0</v>
      </c>
      <c r="F362" s="12">
        <f t="shared" si="50"/>
        <v>0</v>
      </c>
      <c r="G362" s="122">
        <f t="shared" si="51"/>
        <v>0.5791259921538835</v>
      </c>
      <c r="H362" s="122">
        <f t="shared" si="52"/>
        <v>4.0872513709977056E-2</v>
      </c>
      <c r="I362" s="122">
        <f t="shared" si="53"/>
        <v>0.5791259921538835</v>
      </c>
      <c r="J362" s="122">
        <f t="shared" si="54"/>
        <v>-4.0872513709977056E-2</v>
      </c>
      <c r="K362" s="122"/>
      <c r="Y362" s="126">
        <f t="shared" si="55"/>
        <v>-0.5</v>
      </c>
    </row>
    <row r="363" spans="2:25" x14ac:dyDescent="0.3">
      <c r="B363" s="12">
        <v>0.58198358243258186</v>
      </c>
      <c r="C363" s="12">
        <f t="shared" si="47"/>
        <v>0</v>
      </c>
      <c r="D363" s="126">
        <f t="shared" si="48"/>
        <v>4.0741152140791263E-2</v>
      </c>
      <c r="E363" s="12">
        <f t="shared" si="49"/>
        <v>0</v>
      </c>
      <c r="F363" s="12">
        <f t="shared" si="50"/>
        <v>0</v>
      </c>
      <c r="G363" s="122">
        <f t="shared" si="51"/>
        <v>0.58198358243258186</v>
      </c>
      <c r="H363" s="122">
        <f t="shared" si="52"/>
        <v>4.0741152140791263E-2</v>
      </c>
      <c r="I363" s="122">
        <f t="shared" si="53"/>
        <v>0.58198358243258186</v>
      </c>
      <c r="J363" s="122">
        <f t="shared" si="54"/>
        <v>-4.0741152140791263E-2</v>
      </c>
      <c r="K363" s="122"/>
      <c r="Y363" s="126">
        <f t="shared" si="55"/>
        <v>-0.5</v>
      </c>
    </row>
    <row r="364" spans="2:25" x14ac:dyDescent="0.3">
      <c r="B364" s="12">
        <v>0.58484531491680136</v>
      </c>
      <c r="C364" s="12">
        <f t="shared" si="47"/>
        <v>0</v>
      </c>
      <c r="D364" s="126">
        <f t="shared" si="48"/>
        <v>4.0607582278654894E-2</v>
      </c>
      <c r="E364" s="12">
        <f t="shared" si="49"/>
        <v>0</v>
      </c>
      <c r="F364" s="12">
        <f t="shared" si="50"/>
        <v>0</v>
      </c>
      <c r="G364" s="122">
        <f t="shared" si="51"/>
        <v>0.58484531491680136</v>
      </c>
      <c r="H364" s="122">
        <f t="shared" si="52"/>
        <v>4.0607582278654894E-2</v>
      </c>
      <c r="I364" s="122">
        <f t="shared" si="53"/>
        <v>0.58484531491680136</v>
      </c>
      <c r="J364" s="122">
        <f t="shared" si="54"/>
        <v>-4.0607582278654894E-2</v>
      </c>
      <c r="K364" s="122"/>
      <c r="Y364" s="126">
        <f t="shared" si="55"/>
        <v>-0.5</v>
      </c>
    </row>
    <row r="365" spans="2:25" x14ac:dyDescent="0.3">
      <c r="B365" s="12">
        <v>0.58771116124908085</v>
      </c>
      <c r="C365" s="12">
        <f t="shared" si="47"/>
        <v>0</v>
      </c>
      <c r="D365" s="126">
        <f t="shared" si="48"/>
        <v>4.0471798763604516E-2</v>
      </c>
      <c r="E365" s="12">
        <f t="shared" si="49"/>
        <v>0</v>
      </c>
      <c r="F365" s="12">
        <f t="shared" si="50"/>
        <v>0</v>
      </c>
      <c r="G365" s="122">
        <f t="shared" si="51"/>
        <v>0.58771116124908085</v>
      </c>
      <c r="H365" s="122">
        <f t="shared" si="52"/>
        <v>4.0471798763604516E-2</v>
      </c>
      <c r="I365" s="122">
        <f t="shared" si="53"/>
        <v>0.58771116124908085</v>
      </c>
      <c r="J365" s="122">
        <f t="shared" si="54"/>
        <v>-4.0471798763604516E-2</v>
      </c>
      <c r="K365" s="122"/>
      <c r="Y365" s="126">
        <f t="shared" si="55"/>
        <v>-0.5</v>
      </c>
    </row>
    <row r="366" spans="2:25" x14ac:dyDescent="0.3">
      <c r="B366" s="12">
        <v>0.59058109303119544</v>
      </c>
      <c r="C366" s="12">
        <f t="shared" si="47"/>
        <v>0</v>
      </c>
      <c r="D366" s="126">
        <f t="shared" si="48"/>
        <v>4.0333796322873788E-2</v>
      </c>
      <c r="E366" s="12">
        <f t="shared" si="49"/>
        <v>0</v>
      </c>
      <c r="F366" s="12">
        <f t="shared" si="50"/>
        <v>0</v>
      </c>
      <c r="G366" s="122">
        <f t="shared" si="51"/>
        <v>0.59058109303119544</v>
      </c>
      <c r="H366" s="122">
        <f t="shared" si="52"/>
        <v>4.0333796322873788E-2</v>
      </c>
      <c r="I366" s="122">
        <f t="shared" si="53"/>
        <v>0.59058109303119544</v>
      </c>
      <c r="J366" s="122">
        <f t="shared" si="54"/>
        <v>-4.0333796322873788E-2</v>
      </c>
      <c r="K366" s="122"/>
      <c r="Y366" s="126">
        <f t="shared" si="55"/>
        <v>-0.5</v>
      </c>
    </row>
    <row r="367" spans="2:25" x14ac:dyDescent="0.3">
      <c r="B367" s="12">
        <v>0.59345508182443574</v>
      </c>
      <c r="C367" s="12">
        <f t="shared" si="47"/>
        <v>0</v>
      </c>
      <c r="D367" s="126">
        <f t="shared" si="48"/>
        <v>4.0193569771169321E-2</v>
      </c>
      <c r="E367" s="12">
        <f t="shared" si="49"/>
        <v>0</v>
      </c>
      <c r="F367" s="12">
        <f t="shared" si="50"/>
        <v>0</v>
      </c>
      <c r="G367" s="122">
        <f t="shared" si="51"/>
        <v>0.59345508182443574</v>
      </c>
      <c r="H367" s="122">
        <f t="shared" si="52"/>
        <v>4.0193569771169321E-2</v>
      </c>
      <c r="I367" s="122">
        <f t="shared" si="53"/>
        <v>0.59345508182443574</v>
      </c>
      <c r="J367" s="122">
        <f t="shared" si="54"/>
        <v>-4.0193569771169321E-2</v>
      </c>
      <c r="K367" s="122"/>
      <c r="Y367" s="126">
        <f t="shared" si="55"/>
        <v>-0.5</v>
      </c>
    </row>
    <row r="368" spans="2:25" x14ac:dyDescent="0.3">
      <c r="B368" s="12">
        <v>0.59633309914989119</v>
      </c>
      <c r="C368" s="12">
        <f t="shared" si="47"/>
        <v>0</v>
      </c>
      <c r="D368" s="126">
        <f t="shared" si="48"/>
        <v>4.005111401094167E-2</v>
      </c>
      <c r="E368" s="12">
        <f t="shared" si="49"/>
        <v>0</v>
      </c>
      <c r="F368" s="12">
        <f t="shared" si="50"/>
        <v>0</v>
      </c>
      <c r="G368" s="122">
        <f t="shared" si="51"/>
        <v>0.59633309914989119</v>
      </c>
      <c r="H368" s="122">
        <f t="shared" si="52"/>
        <v>4.005111401094167E-2</v>
      </c>
      <c r="I368" s="122">
        <f t="shared" si="53"/>
        <v>0.59633309914989119</v>
      </c>
      <c r="J368" s="122">
        <f t="shared" si="54"/>
        <v>-4.005111401094167E-2</v>
      </c>
      <c r="K368" s="122"/>
      <c r="Y368" s="126">
        <f t="shared" si="55"/>
        <v>-0.5</v>
      </c>
    </row>
    <row r="369" spans="2:25" x14ac:dyDescent="0.3">
      <c r="B369" s="12">
        <v>0.59921511648873138</v>
      </c>
      <c r="C369" s="12">
        <f t="shared" si="47"/>
        <v>0</v>
      </c>
      <c r="D369" s="126">
        <f t="shared" si="48"/>
        <v>3.9906424032651738E-2</v>
      </c>
      <c r="E369" s="12">
        <f t="shared" si="49"/>
        <v>0</v>
      </c>
      <c r="F369" s="12">
        <f t="shared" si="50"/>
        <v>0</v>
      </c>
      <c r="G369" s="122">
        <f t="shared" si="51"/>
        <v>0.59921511648873138</v>
      </c>
      <c r="H369" s="122">
        <f t="shared" si="52"/>
        <v>3.9906424032651738E-2</v>
      </c>
      <c r="I369" s="122">
        <f t="shared" si="53"/>
        <v>0.59921511648873138</v>
      </c>
      <c r="J369" s="122">
        <f t="shared" si="54"/>
        <v>-3.9906424032651738E-2</v>
      </c>
      <c r="K369" s="122"/>
      <c r="Y369" s="126">
        <f t="shared" si="55"/>
        <v>-0.5</v>
      </c>
    </row>
    <row r="370" spans="2:25" x14ac:dyDescent="0.3">
      <c r="B370" s="12">
        <v>0.6021011052824895</v>
      </c>
      <c r="C370" s="12">
        <f t="shared" si="47"/>
        <v>0</v>
      </c>
      <c r="D370" s="126">
        <f t="shared" si="48"/>
        <v>3.9759494915032452E-2</v>
      </c>
      <c r="E370" s="12">
        <f t="shared" si="49"/>
        <v>0</v>
      </c>
      <c r="F370" s="12">
        <f t="shared" si="50"/>
        <v>0</v>
      </c>
      <c r="G370" s="122">
        <f t="shared" si="51"/>
        <v>0.6021011052824895</v>
      </c>
      <c r="H370" s="122">
        <f t="shared" si="52"/>
        <v>3.9759494915032452E-2</v>
      </c>
      <c r="I370" s="122">
        <f t="shared" si="53"/>
        <v>0.6021011052824895</v>
      </c>
      <c r="J370" s="122">
        <f t="shared" si="54"/>
        <v>-3.9759494915032452E-2</v>
      </c>
      <c r="K370" s="122"/>
      <c r="Y370" s="126">
        <f t="shared" si="55"/>
        <v>-0.5</v>
      </c>
    </row>
    <row r="371" spans="2:25" x14ac:dyDescent="0.3">
      <c r="B371" s="12">
        <v>0.60499103693334377</v>
      </c>
      <c r="C371" s="12">
        <f t="shared" si="47"/>
        <v>0</v>
      </c>
      <c r="D371" s="126">
        <f t="shared" si="48"/>
        <v>3.9610321825345768E-2</v>
      </c>
      <c r="E371" s="12">
        <f t="shared" si="49"/>
        <v>0</v>
      </c>
      <c r="F371" s="12">
        <f t="shared" si="50"/>
        <v>0</v>
      </c>
      <c r="G371" s="122">
        <f t="shared" si="51"/>
        <v>0.60499103693334377</v>
      </c>
      <c r="H371" s="122">
        <f t="shared" si="52"/>
        <v>3.9610321825345768E-2</v>
      </c>
      <c r="I371" s="122">
        <f t="shared" si="53"/>
        <v>0.60499103693334377</v>
      </c>
      <c r="J371" s="122">
        <f t="shared" si="54"/>
        <v>-3.9610321825345768E-2</v>
      </c>
      <c r="K371" s="122"/>
      <c r="Y371" s="126">
        <f t="shared" si="55"/>
        <v>-0.5</v>
      </c>
    </row>
    <row r="372" spans="2:25" x14ac:dyDescent="0.3">
      <c r="B372" s="12">
        <v>0.60788488280440323</v>
      </c>
      <c r="C372" s="12">
        <f t="shared" si="47"/>
        <v>0</v>
      </c>
      <c r="D372" s="126">
        <f t="shared" si="48"/>
        <v>3.9458900019634861E-2</v>
      </c>
      <c r="E372" s="12">
        <f t="shared" si="49"/>
        <v>0</v>
      </c>
      <c r="F372" s="12">
        <f t="shared" si="50"/>
        <v>0</v>
      </c>
      <c r="G372" s="122">
        <f t="shared" si="51"/>
        <v>0.60788488280440323</v>
      </c>
      <c r="H372" s="122">
        <f t="shared" si="52"/>
        <v>3.9458900019634861E-2</v>
      </c>
      <c r="I372" s="122">
        <f t="shared" si="53"/>
        <v>0.60788488280440323</v>
      </c>
      <c r="J372" s="122">
        <f t="shared" si="54"/>
        <v>-3.9458900019634861E-2</v>
      </c>
      <c r="K372" s="122"/>
      <c r="Y372" s="126">
        <f t="shared" si="55"/>
        <v>-0.5</v>
      </c>
    </row>
    <row r="373" spans="2:25" x14ac:dyDescent="0.3">
      <c r="B373" s="12">
        <v>0.61078261421998925</v>
      </c>
      <c r="C373" s="12">
        <f t="shared" si="47"/>
        <v>0</v>
      </c>
      <c r="D373" s="126">
        <f t="shared" si="48"/>
        <v>3.9305224842971727E-2</v>
      </c>
      <c r="E373" s="12">
        <f t="shared" si="49"/>
        <v>0</v>
      </c>
      <c r="F373" s="12">
        <f t="shared" si="50"/>
        <v>0</v>
      </c>
      <c r="G373" s="122">
        <f t="shared" si="51"/>
        <v>0.61078261421998925</v>
      </c>
      <c r="H373" s="122">
        <f t="shared" si="52"/>
        <v>3.9305224842971727E-2</v>
      </c>
      <c r="I373" s="122">
        <f t="shared" si="53"/>
        <v>0.61078261421998925</v>
      </c>
      <c r="J373" s="122">
        <f t="shared" si="54"/>
        <v>-3.9305224842971727E-2</v>
      </c>
      <c r="K373" s="122"/>
      <c r="Y373" s="126">
        <f t="shared" si="55"/>
        <v>-0.5</v>
      </c>
    </row>
    <row r="374" spans="2:25" x14ac:dyDescent="0.3">
      <c r="B374" s="12">
        <v>0.61368420246592092</v>
      </c>
      <c r="C374" s="12">
        <f t="shared" si="47"/>
        <v>0</v>
      </c>
      <c r="D374" s="126">
        <f t="shared" si="48"/>
        <v>3.9149291729699942E-2</v>
      </c>
      <c r="E374" s="12">
        <f t="shared" si="49"/>
        <v>0</v>
      </c>
      <c r="F374" s="12">
        <f t="shared" si="50"/>
        <v>0</v>
      </c>
      <c r="G374" s="122">
        <f t="shared" si="51"/>
        <v>0.61368420246592092</v>
      </c>
      <c r="H374" s="122">
        <f t="shared" si="52"/>
        <v>3.9149291729699942E-2</v>
      </c>
      <c r="I374" s="122">
        <f t="shared" si="53"/>
        <v>0.61368420246592092</v>
      </c>
      <c r="J374" s="122">
        <f t="shared" si="54"/>
        <v>-3.9149291729699942E-2</v>
      </c>
      <c r="K374" s="122"/>
      <c r="Y374" s="126">
        <f t="shared" si="55"/>
        <v>-0.5</v>
      </c>
    </row>
    <row r="375" spans="2:25" x14ac:dyDescent="0.3">
      <c r="B375" s="12">
        <v>0.61658961878979923</v>
      </c>
      <c r="C375" s="12">
        <f t="shared" si="47"/>
        <v>0</v>
      </c>
      <c r="D375" s="126">
        <f t="shared" si="48"/>
        <v>3.899109620367279E-2</v>
      </c>
      <c r="E375" s="12">
        <f t="shared" si="49"/>
        <v>0</v>
      </c>
      <c r="F375" s="12">
        <f t="shared" si="50"/>
        <v>0</v>
      </c>
      <c r="G375" s="122">
        <f t="shared" si="51"/>
        <v>0.61658961878979923</v>
      </c>
      <c r="H375" s="122">
        <f t="shared" si="52"/>
        <v>3.899109620367279E-2</v>
      </c>
      <c r="I375" s="122">
        <f t="shared" si="53"/>
        <v>0.61658961878979923</v>
      </c>
      <c r="J375" s="122">
        <f t="shared" si="54"/>
        <v>-3.899109620367279E-2</v>
      </c>
      <c r="K375" s="122"/>
      <c r="Y375" s="126">
        <f t="shared" si="55"/>
        <v>-0.5</v>
      </c>
    </row>
    <row r="376" spans="2:25" x14ac:dyDescent="0.3">
      <c r="B376" s="12">
        <v>0.61949883440129161</v>
      </c>
      <c r="C376" s="12">
        <f t="shared" si="47"/>
        <v>0</v>
      </c>
      <c r="D376" s="126">
        <f t="shared" si="48"/>
        <v>3.8830633878486599E-2</v>
      </c>
      <c r="E376" s="12">
        <f t="shared" si="49"/>
        <v>0</v>
      </c>
      <c r="F376" s="12">
        <f t="shared" si="50"/>
        <v>0</v>
      </c>
      <c r="G376" s="122">
        <f t="shared" si="51"/>
        <v>0.61949883440129161</v>
      </c>
      <c r="H376" s="122">
        <f t="shared" si="52"/>
        <v>3.8830633878486599E-2</v>
      </c>
      <c r="I376" s="122">
        <f t="shared" si="53"/>
        <v>0.61949883440129161</v>
      </c>
      <c r="J376" s="122">
        <f t="shared" si="54"/>
        <v>-3.8830633878486599E-2</v>
      </c>
      <c r="K376" s="122"/>
      <c r="Y376" s="126">
        <f t="shared" si="55"/>
        <v>-0.5</v>
      </c>
    </row>
    <row r="377" spans="2:25" x14ac:dyDescent="0.3">
      <c r="B377" s="12">
        <v>0.6224118204724185</v>
      </c>
      <c r="C377" s="12">
        <f t="shared" si="47"/>
        <v>0</v>
      </c>
      <c r="D377" s="126">
        <f t="shared" si="48"/>
        <v>3.8667900457709292E-2</v>
      </c>
      <c r="E377" s="12">
        <f t="shared" si="49"/>
        <v>0</v>
      </c>
      <c r="F377" s="12">
        <f t="shared" si="50"/>
        <v>0</v>
      </c>
      <c r="G377" s="122">
        <f t="shared" si="51"/>
        <v>0.6224118204724185</v>
      </c>
      <c r="H377" s="122">
        <f t="shared" si="52"/>
        <v>3.8667900457709292E-2</v>
      </c>
      <c r="I377" s="122">
        <f t="shared" si="53"/>
        <v>0.6224118204724185</v>
      </c>
      <c r="J377" s="122">
        <f t="shared" si="54"/>
        <v>-3.8667900457709292E-2</v>
      </c>
      <c r="K377" s="122"/>
      <c r="Y377" s="126">
        <f t="shared" si="55"/>
        <v>-0.5</v>
      </c>
    </row>
    <row r="378" spans="2:25" x14ac:dyDescent="0.3">
      <c r="B378" s="12">
        <v>0.625328548137837</v>
      </c>
      <c r="C378" s="12">
        <f t="shared" si="47"/>
        <v>0</v>
      </c>
      <c r="D378" s="126">
        <f t="shared" si="48"/>
        <v>3.8502891735104308E-2</v>
      </c>
      <c r="E378" s="12">
        <f t="shared" si="49"/>
        <v>0</v>
      </c>
      <c r="F378" s="12">
        <f t="shared" si="50"/>
        <v>0</v>
      </c>
      <c r="G378" s="122">
        <f t="shared" si="51"/>
        <v>0.625328548137837</v>
      </c>
      <c r="H378" s="122">
        <f t="shared" si="52"/>
        <v>3.8502891735104308E-2</v>
      </c>
      <c r="I378" s="122">
        <f t="shared" si="53"/>
        <v>0.625328548137837</v>
      </c>
      <c r="J378" s="122">
        <f t="shared" si="54"/>
        <v>-3.8502891735104308E-2</v>
      </c>
      <c r="K378" s="122"/>
      <c r="Y378" s="126">
        <f t="shared" si="55"/>
        <v>-0.5</v>
      </c>
    </row>
    <row r="379" spans="2:25" x14ac:dyDescent="0.3">
      <c r="B379" s="12">
        <v>0.62824898849512922</v>
      </c>
      <c r="C379" s="12">
        <f t="shared" si="47"/>
        <v>0</v>
      </c>
      <c r="D379" s="126">
        <f t="shared" si="48"/>
        <v>3.8335603594849638E-2</v>
      </c>
      <c r="E379" s="12">
        <f t="shared" si="49"/>
        <v>0</v>
      </c>
      <c r="F379" s="12">
        <f t="shared" si="50"/>
        <v>0</v>
      </c>
      <c r="G379" s="122">
        <f t="shared" si="51"/>
        <v>0.62824898849512922</v>
      </c>
      <c r="H379" s="122">
        <f t="shared" si="52"/>
        <v>3.8335603594849638E-2</v>
      </c>
      <c r="I379" s="122">
        <f t="shared" si="53"/>
        <v>0.62824898849512922</v>
      </c>
      <c r="J379" s="122">
        <f t="shared" si="54"/>
        <v>-3.8335603594849638E-2</v>
      </c>
      <c r="K379" s="122"/>
      <c r="Y379" s="126">
        <f t="shared" si="55"/>
        <v>-0.5</v>
      </c>
    </row>
    <row r="380" spans="2:25" x14ac:dyDescent="0.3">
      <c r="B380" s="12">
        <v>0.63117311260508657</v>
      </c>
      <c r="C380" s="12">
        <f t="shared" si="47"/>
        <v>0</v>
      </c>
      <c r="D380" s="126">
        <f t="shared" si="48"/>
        <v>3.8166032011752213E-2</v>
      </c>
      <c r="E380" s="12">
        <f t="shared" si="49"/>
        <v>0</v>
      </c>
      <c r="F380" s="12">
        <f t="shared" si="50"/>
        <v>0</v>
      </c>
      <c r="G380" s="122">
        <f t="shared" si="51"/>
        <v>0.63117311260508657</v>
      </c>
      <c r="H380" s="122">
        <f t="shared" si="52"/>
        <v>3.8166032011752213E-2</v>
      </c>
      <c r="I380" s="122">
        <f t="shared" si="53"/>
        <v>0.63117311260508657</v>
      </c>
      <c r="J380" s="122">
        <f t="shared" si="54"/>
        <v>-3.8166032011752213E-2</v>
      </c>
      <c r="K380" s="122"/>
      <c r="Y380" s="126">
        <f t="shared" si="55"/>
        <v>-0.5</v>
      </c>
    </row>
    <row r="381" spans="2:25" x14ac:dyDescent="0.3">
      <c r="B381" s="12">
        <v>0.63410089149199766</v>
      </c>
      <c r="C381" s="12">
        <f t="shared" si="47"/>
        <v>0</v>
      </c>
      <c r="D381" s="126">
        <f t="shared" si="48"/>
        <v>3.7994173051457449E-2</v>
      </c>
      <c r="E381" s="12">
        <f t="shared" si="49"/>
        <v>0</v>
      </c>
      <c r="F381" s="12">
        <f t="shared" si="50"/>
        <v>0</v>
      </c>
      <c r="G381" s="122">
        <f t="shared" si="51"/>
        <v>0.63410089149199766</v>
      </c>
      <c r="H381" s="122">
        <f t="shared" si="52"/>
        <v>3.7994173051457449E-2</v>
      </c>
      <c r="I381" s="122">
        <f t="shared" si="53"/>
        <v>0.63410089149199766</v>
      </c>
      <c r="J381" s="122">
        <f t="shared" si="54"/>
        <v>-3.7994173051457449E-2</v>
      </c>
      <c r="K381" s="122"/>
      <c r="Y381" s="126">
        <f t="shared" si="55"/>
        <v>-0.5</v>
      </c>
    </row>
    <row r="382" spans="2:25" x14ac:dyDescent="0.3">
      <c r="B382" s="12">
        <v>0.63703229614393531</v>
      </c>
      <c r="C382" s="12">
        <f t="shared" si="47"/>
        <v>0</v>
      </c>
      <c r="D382" s="126">
        <f t="shared" si="48"/>
        <v>3.7820022870654078E-2</v>
      </c>
      <c r="E382" s="12">
        <f t="shared" si="49"/>
        <v>0</v>
      </c>
      <c r="F382" s="12">
        <f t="shared" si="50"/>
        <v>0</v>
      </c>
      <c r="G382" s="122">
        <f t="shared" si="51"/>
        <v>0.63703229614393531</v>
      </c>
      <c r="H382" s="122">
        <f t="shared" si="52"/>
        <v>3.7820022870654078E-2</v>
      </c>
      <c r="I382" s="122">
        <f t="shared" si="53"/>
        <v>0.63703229614393531</v>
      </c>
      <c r="J382" s="122">
        <f t="shared" si="54"/>
        <v>-3.7820022870654078E-2</v>
      </c>
      <c r="K382" s="122"/>
      <c r="Y382" s="126">
        <f t="shared" si="55"/>
        <v>-0.5</v>
      </c>
    </row>
    <row r="383" spans="2:25" x14ac:dyDescent="0.3">
      <c r="B383" s="12">
        <v>0.63996729751304415</v>
      </c>
      <c r="C383" s="12">
        <f t="shared" si="47"/>
        <v>0</v>
      </c>
      <c r="D383" s="126">
        <f t="shared" si="48"/>
        <v>3.7643577717274168E-2</v>
      </c>
      <c r="E383" s="12">
        <f t="shared" si="49"/>
        <v>0</v>
      </c>
      <c r="F383" s="12">
        <f t="shared" si="50"/>
        <v>0</v>
      </c>
      <c r="G383" s="122">
        <f t="shared" si="51"/>
        <v>0.63996729751304415</v>
      </c>
      <c r="H383" s="122">
        <f t="shared" si="52"/>
        <v>3.7643577717274168E-2</v>
      </c>
      <c r="I383" s="122">
        <f t="shared" si="53"/>
        <v>0.63996729751304415</v>
      </c>
      <c r="J383" s="122">
        <f t="shared" si="54"/>
        <v>-3.7643577717274168E-2</v>
      </c>
      <c r="K383" s="122"/>
      <c r="Y383" s="126">
        <f t="shared" si="55"/>
        <v>-0.5</v>
      </c>
    </row>
    <row r="384" spans="2:25" x14ac:dyDescent="0.3">
      <c r="B384" s="12">
        <v>0.64290586651582782</v>
      </c>
      <c r="C384" s="12">
        <f t="shared" si="47"/>
        <v>0</v>
      </c>
      <c r="D384" s="126">
        <f t="shared" si="48"/>
        <v>3.7464833930688432E-2</v>
      </c>
      <c r="E384" s="12">
        <f t="shared" si="49"/>
        <v>0</v>
      </c>
      <c r="F384" s="12">
        <f t="shared" si="50"/>
        <v>0</v>
      </c>
      <c r="G384" s="122">
        <f t="shared" si="51"/>
        <v>0.64290586651582782</v>
      </c>
      <c r="H384" s="122">
        <f t="shared" si="52"/>
        <v>3.7464833930688432E-2</v>
      </c>
      <c r="I384" s="122">
        <f t="shared" si="53"/>
        <v>0.64290586651582782</v>
      </c>
      <c r="J384" s="122">
        <f t="shared" si="54"/>
        <v>-3.7464833930688432E-2</v>
      </c>
      <c r="K384" s="122"/>
      <c r="Y384" s="126">
        <f t="shared" si="55"/>
        <v>-0.5</v>
      </c>
    </row>
    <row r="385" spans="2:25" x14ac:dyDescent="0.3">
      <c r="B385" s="12">
        <v>0.64584797403343797</v>
      </c>
      <c r="C385" s="12">
        <f t="shared" ref="C385:C448" si="56">IF($A$1=0, 0, IF(B385&lt;=$A$2, ($A$1/$A$2^2)*(2*$A$2*B385-B385^2), ($A$1/(1-$A$2)^2)*((1-2*$A$2)+2*$A$2*B385-B385^2)))</f>
        <v>0</v>
      </c>
      <c r="D385" s="126">
        <f t="shared" ref="D385:D448" si="57">IF(B385&lt;$N$1, ($A$3/0.2)*($O$1*SQRT(B385)+$P$1*B385+$Q$1*(B385^2)+$R$1*(B385^3)), ($A$3/0.2)*($S$1+$T$1*(1-B385)+$U$1*((1-B385)^2)+$V$1*((1-B385)^3)))</f>
        <v>3.7283787941896691E-2</v>
      </c>
      <c r="E385" s="12">
        <f t="shared" si="49"/>
        <v>0</v>
      </c>
      <c r="F385" s="12">
        <f t="shared" si="50"/>
        <v>0</v>
      </c>
      <c r="G385" s="122">
        <f t="shared" si="51"/>
        <v>0.64584797403343797</v>
      </c>
      <c r="H385" s="122">
        <f t="shared" si="52"/>
        <v>3.7283787941896691E-2</v>
      </c>
      <c r="I385" s="122">
        <f t="shared" si="53"/>
        <v>0.64584797403343797</v>
      </c>
      <c r="J385" s="122">
        <f t="shared" si="54"/>
        <v>-3.7283787941896691E-2</v>
      </c>
      <c r="K385" s="122"/>
      <c r="Y385" s="126">
        <f t="shared" si="55"/>
        <v>-0.5</v>
      </c>
    </row>
    <row r="386" spans="2:25" x14ac:dyDescent="0.3">
      <c r="B386" s="12">
        <v>0.64879359091196209</v>
      </c>
      <c r="C386" s="12">
        <f t="shared" si="56"/>
        <v>0</v>
      </c>
      <c r="D386" s="126">
        <f t="shared" si="57"/>
        <v>3.7100436273713608E-2</v>
      </c>
      <c r="E386" s="12">
        <f t="shared" ref="E386:E449" si="58">IF($A$1=0, 0, IF(B386&lt;=$A$2, ($A$1/$A$2^2) *(2*$A$2-2*B386), ($A$1/(1-$A$2)^2)*(2*$A$2-2*B386)))</f>
        <v>0</v>
      </c>
      <c r="F386" s="12">
        <f t="shared" ref="F386:F449" si="59">IF($A$1=0, 0,  ATAN(E386))</f>
        <v>0</v>
      </c>
      <c r="G386" s="122">
        <f t="shared" ref="G386:G449" si="60">B386-D386*SIN(F386)</f>
        <v>0.64879359091196209</v>
      </c>
      <c r="H386" s="122">
        <f t="shared" ref="H386:H449" si="61">C386+D386*COS(F386)</f>
        <v>3.7100436273713608E-2</v>
      </c>
      <c r="I386" s="122">
        <f t="shared" ref="I386:I449" si="62">B386+D386*SIN(F386)</f>
        <v>0.64879359091196209</v>
      </c>
      <c r="J386" s="122">
        <f t="shared" ref="J386:J449" si="63">C386-D386*COS(F386)</f>
        <v>-3.7100436273713608E-2</v>
      </c>
      <c r="K386" s="122"/>
      <c r="Y386" s="126">
        <f t="shared" ref="Y386:Y449" si="64">IF($Z$1, C386, -0.5)</f>
        <v>-0.5</v>
      </c>
    </row>
    <row r="387" spans="2:25" x14ac:dyDescent="0.3">
      <c r="B387" s="12">
        <v>0.65174268796271284</v>
      </c>
      <c r="C387" s="12">
        <f t="shared" si="56"/>
        <v>0</v>
      </c>
      <c r="D387" s="126">
        <f t="shared" si="57"/>
        <v>3.6914775540949622E-2</v>
      </c>
      <c r="E387" s="12">
        <f t="shared" si="58"/>
        <v>0</v>
      </c>
      <c r="F387" s="12">
        <f t="shared" si="59"/>
        <v>0</v>
      </c>
      <c r="G387" s="122">
        <f t="shared" si="60"/>
        <v>0.65174268796271284</v>
      </c>
      <c r="H387" s="122">
        <f t="shared" si="61"/>
        <v>3.6914775540949622E-2</v>
      </c>
      <c r="I387" s="122">
        <f t="shared" si="62"/>
        <v>0.65174268796271284</v>
      </c>
      <c r="J387" s="122">
        <f t="shared" si="63"/>
        <v>-3.6914775540949622E-2</v>
      </c>
      <c r="K387" s="122"/>
      <c r="Y387" s="126">
        <f t="shared" si="64"/>
        <v>-0.5</v>
      </c>
    </row>
    <row r="388" spans="2:25" x14ac:dyDescent="0.3">
      <c r="B388" s="12">
        <v>0.65469523596251733</v>
      </c>
      <c r="C388" s="12">
        <f t="shared" si="56"/>
        <v>0</v>
      </c>
      <c r="D388" s="126">
        <f t="shared" si="57"/>
        <v>3.6726802450587112E-2</v>
      </c>
      <c r="E388" s="12">
        <f t="shared" si="58"/>
        <v>0</v>
      </c>
      <c r="F388" s="12">
        <f t="shared" si="59"/>
        <v>0</v>
      </c>
      <c r="G388" s="122">
        <f t="shared" si="60"/>
        <v>0.65469523596251733</v>
      </c>
      <c r="H388" s="122">
        <f t="shared" si="61"/>
        <v>3.6726802450587112E-2</v>
      </c>
      <c r="I388" s="122">
        <f t="shared" si="62"/>
        <v>0.65469523596251733</v>
      </c>
      <c r="J388" s="122">
        <f t="shared" si="63"/>
        <v>-3.6726802450587112E-2</v>
      </c>
      <c r="K388" s="122"/>
      <c r="Y388" s="126">
        <f t="shared" si="64"/>
        <v>-0.5</v>
      </c>
    </row>
    <row r="389" spans="2:25" x14ac:dyDescent="0.3">
      <c r="B389" s="12">
        <v>0.65765120565400648</v>
      </c>
      <c r="C389" s="12">
        <f t="shared" si="56"/>
        <v>0</v>
      </c>
      <c r="D389" s="126">
        <f t="shared" si="57"/>
        <v>3.6536513801951706E-2</v>
      </c>
      <c r="E389" s="12">
        <f t="shared" si="58"/>
        <v>0</v>
      </c>
      <c r="F389" s="12">
        <f t="shared" si="59"/>
        <v>0</v>
      </c>
      <c r="G389" s="122">
        <f t="shared" si="60"/>
        <v>0.65765120565400648</v>
      </c>
      <c r="H389" s="122">
        <f t="shared" si="61"/>
        <v>3.6536513801951706E-2</v>
      </c>
      <c r="I389" s="122">
        <f t="shared" si="62"/>
        <v>0.65765120565400648</v>
      </c>
      <c r="J389" s="122">
        <f t="shared" si="63"/>
        <v>-3.6536513801951706E-2</v>
      </c>
      <c r="K389" s="122"/>
      <c r="Y389" s="126">
        <f t="shared" si="64"/>
        <v>-0.5</v>
      </c>
    </row>
    <row r="390" spans="2:25" x14ac:dyDescent="0.3">
      <c r="B390" s="12">
        <v>0.6606105677459051</v>
      </c>
      <c r="C390" s="12">
        <f t="shared" si="56"/>
        <v>0</v>
      </c>
      <c r="D390" s="126">
        <f t="shared" si="57"/>
        <v>3.6343906486878991E-2</v>
      </c>
      <c r="E390" s="12">
        <f t="shared" si="58"/>
        <v>0</v>
      </c>
      <c r="F390" s="12">
        <f t="shared" si="59"/>
        <v>0</v>
      </c>
      <c r="G390" s="122">
        <f t="shared" si="60"/>
        <v>0.6606105677459051</v>
      </c>
      <c r="H390" s="122">
        <f t="shared" si="61"/>
        <v>3.6343906486878991E-2</v>
      </c>
      <c r="I390" s="122">
        <f t="shared" si="62"/>
        <v>0.6606105677459051</v>
      </c>
      <c r="J390" s="122">
        <f t="shared" si="63"/>
        <v>-3.6343906486878991E-2</v>
      </c>
      <c r="K390" s="122"/>
      <c r="Y390" s="126">
        <f t="shared" si="64"/>
        <v>-0.5</v>
      </c>
    </row>
    <row r="391" spans="2:25" x14ac:dyDescent="0.3">
      <c r="B391" s="12">
        <v>0.66357329291332134</v>
      </c>
      <c r="C391" s="12">
        <f t="shared" si="56"/>
        <v>0</v>
      </c>
      <c r="D391" s="126">
        <f t="shared" si="57"/>
        <v>3.6148977489876229E-2</v>
      </c>
      <c r="E391" s="12">
        <f t="shared" si="58"/>
        <v>0</v>
      </c>
      <c r="F391" s="12">
        <f t="shared" si="59"/>
        <v>0</v>
      </c>
      <c r="G391" s="122">
        <f t="shared" si="60"/>
        <v>0.66357329291332134</v>
      </c>
      <c r="H391" s="122">
        <f t="shared" si="61"/>
        <v>3.6148977489876229E-2</v>
      </c>
      <c r="I391" s="122">
        <f t="shared" si="62"/>
        <v>0.66357329291332134</v>
      </c>
      <c r="J391" s="122">
        <f t="shared" si="63"/>
        <v>-3.6148977489876229E-2</v>
      </c>
      <c r="K391" s="122"/>
      <c r="Y391" s="126">
        <f t="shared" si="64"/>
        <v>-0.5</v>
      </c>
    </row>
    <row r="392" spans="2:25" x14ac:dyDescent="0.3">
      <c r="B392" s="12">
        <v>0.66653935179803925</v>
      </c>
      <c r="C392" s="12">
        <f t="shared" si="56"/>
        <v>0</v>
      </c>
      <c r="D392" s="126">
        <f t="shared" si="57"/>
        <v>3.595172388827933E-2</v>
      </c>
      <c r="E392" s="12">
        <f t="shared" si="58"/>
        <v>0</v>
      </c>
      <c r="F392" s="12">
        <f t="shared" si="59"/>
        <v>0</v>
      </c>
      <c r="G392" s="122">
        <f t="shared" si="60"/>
        <v>0.66653935179803925</v>
      </c>
      <c r="H392" s="122">
        <f t="shared" si="61"/>
        <v>3.595172388827933E-2</v>
      </c>
      <c r="I392" s="122">
        <f t="shared" si="62"/>
        <v>0.66653935179803925</v>
      </c>
      <c r="J392" s="122">
        <f t="shared" si="63"/>
        <v>-3.595172388827933E-2</v>
      </c>
      <c r="K392" s="122"/>
      <c r="Y392" s="126">
        <f t="shared" si="64"/>
        <v>-0.5</v>
      </c>
    </row>
    <row r="393" spans="2:25" x14ac:dyDescent="0.3">
      <c r="B393" s="12">
        <v>0.66950871500880726</v>
      </c>
      <c r="C393" s="12">
        <f t="shared" si="56"/>
        <v>0</v>
      </c>
      <c r="D393" s="126">
        <f t="shared" si="57"/>
        <v>3.5752142852405168E-2</v>
      </c>
      <c r="E393" s="12">
        <f t="shared" si="58"/>
        <v>0</v>
      </c>
      <c r="F393" s="12">
        <f t="shared" si="59"/>
        <v>0</v>
      </c>
      <c r="G393" s="122">
        <f t="shared" si="60"/>
        <v>0.66950871500880726</v>
      </c>
      <c r="H393" s="122">
        <f t="shared" si="61"/>
        <v>3.5752142852405168E-2</v>
      </c>
      <c r="I393" s="122">
        <f t="shared" si="62"/>
        <v>0.66950871500880726</v>
      </c>
      <c r="J393" s="122">
        <f t="shared" si="63"/>
        <v>-3.5752142852405168E-2</v>
      </c>
      <c r="K393" s="122"/>
      <c r="Y393" s="126">
        <f t="shared" si="64"/>
        <v>-0.5</v>
      </c>
    </row>
    <row r="394" spans="2:25" x14ac:dyDescent="0.3">
      <c r="B394" s="12">
        <v>0.67248135312163138</v>
      </c>
      <c r="C394" s="12">
        <f t="shared" si="56"/>
        <v>0</v>
      </c>
      <c r="D394" s="126">
        <f t="shared" si="57"/>
        <v>3.5550231645698968E-2</v>
      </c>
      <c r="E394" s="12">
        <f t="shared" si="58"/>
        <v>0</v>
      </c>
      <c r="F394" s="12">
        <f t="shared" si="59"/>
        <v>0</v>
      </c>
      <c r="G394" s="122">
        <f t="shared" si="60"/>
        <v>0.67248135312163138</v>
      </c>
      <c r="H394" s="122">
        <f t="shared" si="61"/>
        <v>3.5550231645698968E-2</v>
      </c>
      <c r="I394" s="122">
        <f t="shared" si="62"/>
        <v>0.67248135312163138</v>
      </c>
      <c r="J394" s="122">
        <f t="shared" si="63"/>
        <v>-3.5550231645698968E-2</v>
      </c>
      <c r="K394" s="122"/>
      <c r="Y394" s="126">
        <f t="shared" si="64"/>
        <v>-0.5</v>
      </c>
    </row>
    <row r="395" spans="2:25" x14ac:dyDescent="0.3">
      <c r="B395" s="12">
        <v>0.6754572366800653</v>
      </c>
      <c r="C395" s="12">
        <f t="shared" si="56"/>
        <v>0</v>
      </c>
      <c r="D395" s="126">
        <f t="shared" si="57"/>
        <v>3.5345987624876986E-2</v>
      </c>
      <c r="E395" s="12">
        <f t="shared" si="58"/>
        <v>0</v>
      </c>
      <c r="F395" s="12">
        <f t="shared" si="59"/>
        <v>0</v>
      </c>
      <c r="G395" s="122">
        <f t="shared" si="60"/>
        <v>0.6754572366800653</v>
      </c>
      <c r="H395" s="122">
        <f t="shared" si="61"/>
        <v>3.5345987624876986E-2</v>
      </c>
      <c r="I395" s="122">
        <f t="shared" si="62"/>
        <v>0.6754572366800653</v>
      </c>
      <c r="J395" s="122">
        <f t="shared" si="63"/>
        <v>-3.5345987624876986E-2</v>
      </c>
      <c r="K395" s="122"/>
      <c r="Y395" s="126">
        <f t="shared" si="64"/>
        <v>-0.5</v>
      </c>
    </row>
    <row r="396" spans="2:25" x14ac:dyDescent="0.3">
      <c r="B396" s="12">
        <v>0.67843633619550392</v>
      </c>
      <c r="C396" s="12">
        <f t="shared" si="56"/>
        <v>0</v>
      </c>
      <c r="D396" s="126">
        <f t="shared" si="57"/>
        <v>3.5139408240064243E-2</v>
      </c>
      <c r="E396" s="12">
        <f t="shared" si="58"/>
        <v>0</v>
      </c>
      <c r="F396" s="12">
        <f t="shared" si="59"/>
        <v>0</v>
      </c>
      <c r="G396" s="122">
        <f t="shared" si="60"/>
        <v>0.67843633619550392</v>
      </c>
      <c r="H396" s="122">
        <f t="shared" si="61"/>
        <v>3.5139408240064243E-2</v>
      </c>
      <c r="I396" s="122">
        <f t="shared" si="62"/>
        <v>0.67843633619550392</v>
      </c>
      <c r="J396" s="122">
        <f t="shared" si="63"/>
        <v>-3.5139408240064243E-2</v>
      </c>
      <c r="K396" s="122"/>
      <c r="Y396" s="126">
        <f t="shared" si="64"/>
        <v>-0.5</v>
      </c>
    </row>
    <row r="397" spans="2:25" x14ac:dyDescent="0.3">
      <c r="B397" s="12">
        <v>0.68141862214747362</v>
      </c>
      <c r="C397" s="12">
        <f t="shared" si="56"/>
        <v>0</v>
      </c>
      <c r="D397" s="126">
        <f t="shared" si="57"/>
        <v>3.4930491034927832E-2</v>
      </c>
      <c r="E397" s="12">
        <f t="shared" si="58"/>
        <v>0</v>
      </c>
      <c r="F397" s="12">
        <f t="shared" si="59"/>
        <v>0</v>
      </c>
      <c r="G397" s="122">
        <f t="shared" si="60"/>
        <v>0.68141862214747362</v>
      </c>
      <c r="H397" s="122">
        <f t="shared" si="61"/>
        <v>3.4930491034927832E-2</v>
      </c>
      <c r="I397" s="122">
        <f t="shared" si="62"/>
        <v>0.68141862214747362</v>
      </c>
      <c r="J397" s="122">
        <f t="shared" si="63"/>
        <v>-3.4930491034927832E-2</v>
      </c>
      <c r="K397" s="122"/>
      <c r="Y397" s="126">
        <f t="shared" si="64"/>
        <v>-0.5</v>
      </c>
    </row>
    <row r="398" spans="2:25" x14ac:dyDescent="0.3">
      <c r="B398" s="12">
        <v>0.68440406498392603</v>
      </c>
      <c r="C398" s="12">
        <f t="shared" si="56"/>
        <v>0</v>
      </c>
      <c r="D398" s="126">
        <f t="shared" si="57"/>
        <v>3.4719233646804987E-2</v>
      </c>
      <c r="E398" s="12">
        <f t="shared" si="58"/>
        <v>0</v>
      </c>
      <c r="F398" s="12">
        <f t="shared" si="59"/>
        <v>0</v>
      </c>
      <c r="G398" s="122">
        <f t="shared" si="60"/>
        <v>0.68440406498392603</v>
      </c>
      <c r="H398" s="122">
        <f t="shared" si="61"/>
        <v>3.4719233646804987E-2</v>
      </c>
      <c r="I398" s="122">
        <f t="shared" si="62"/>
        <v>0.68440406498392603</v>
      </c>
      <c r="J398" s="122">
        <f t="shared" si="63"/>
        <v>-3.4719233646804987E-2</v>
      </c>
      <c r="K398" s="122"/>
      <c r="Y398" s="126">
        <f t="shared" si="64"/>
        <v>-0.5</v>
      </c>
    </row>
    <row r="399" spans="2:25" x14ac:dyDescent="0.3">
      <c r="B399" s="12">
        <v>0.68739263512153115</v>
      </c>
      <c r="C399" s="12">
        <f t="shared" si="56"/>
        <v>0</v>
      </c>
      <c r="D399" s="126">
        <f t="shared" si="57"/>
        <v>3.450563380682669E-2</v>
      </c>
      <c r="E399" s="12">
        <f t="shared" si="58"/>
        <v>0</v>
      </c>
      <c r="F399" s="12">
        <f t="shared" si="59"/>
        <v>0</v>
      </c>
      <c r="G399" s="122">
        <f t="shared" si="60"/>
        <v>0.68739263512153115</v>
      </c>
      <c r="H399" s="122">
        <f t="shared" si="61"/>
        <v>3.450563380682669E-2</v>
      </c>
      <c r="I399" s="122">
        <f t="shared" si="62"/>
        <v>0.68739263512153115</v>
      </c>
      <c r="J399" s="122">
        <f t="shared" si="63"/>
        <v>-3.450563380682669E-2</v>
      </c>
      <c r="K399" s="122"/>
      <c r="Y399" s="126">
        <f t="shared" si="64"/>
        <v>-0.5</v>
      </c>
    </row>
    <row r="400" spans="2:25" x14ac:dyDescent="0.3">
      <c r="B400" s="12">
        <v>0.6903843029459692</v>
      </c>
      <c r="C400" s="12">
        <f t="shared" si="56"/>
        <v>0</v>
      </c>
      <c r="D400" s="126">
        <f t="shared" si="57"/>
        <v>3.4289689340036365E-2</v>
      </c>
      <c r="E400" s="12">
        <f t="shared" si="58"/>
        <v>0</v>
      </c>
      <c r="F400" s="12">
        <f t="shared" si="59"/>
        <v>0</v>
      </c>
      <c r="G400" s="122">
        <f t="shared" si="60"/>
        <v>0.6903843029459692</v>
      </c>
      <c r="H400" s="122">
        <f t="shared" si="61"/>
        <v>3.4289689340036365E-2</v>
      </c>
      <c r="I400" s="122">
        <f t="shared" si="62"/>
        <v>0.6903843029459692</v>
      </c>
      <c r="J400" s="122">
        <f t="shared" si="63"/>
        <v>-3.4289689340036365E-2</v>
      </c>
      <c r="K400" s="122"/>
      <c r="Y400" s="126">
        <f t="shared" si="64"/>
        <v>-0.5</v>
      </c>
    </row>
    <row r="401" spans="2:25" x14ac:dyDescent="0.3">
      <c r="B401" s="12">
        <v>0.69337903881222562</v>
      </c>
      <c r="C401" s="12">
        <f t="shared" si="56"/>
        <v>0</v>
      </c>
      <c r="D401" s="126">
        <f t="shared" si="57"/>
        <v>3.4071398165503808E-2</v>
      </c>
      <c r="E401" s="12">
        <f t="shared" si="58"/>
        <v>0</v>
      </c>
      <c r="F401" s="12">
        <f t="shared" si="59"/>
        <v>0</v>
      </c>
      <c r="G401" s="122">
        <f t="shared" si="60"/>
        <v>0.69337903881222562</v>
      </c>
      <c r="H401" s="122">
        <f t="shared" si="61"/>
        <v>3.4071398165503808E-2</v>
      </c>
      <c r="I401" s="122">
        <f t="shared" si="62"/>
        <v>0.69337903881222562</v>
      </c>
      <c r="J401" s="122">
        <f t="shared" si="63"/>
        <v>-3.4071398165503808E-2</v>
      </c>
      <c r="K401" s="122"/>
      <c r="Y401" s="126">
        <f t="shared" si="64"/>
        <v>-0.5</v>
      </c>
    </row>
    <row r="402" spans="2:25" x14ac:dyDescent="0.3">
      <c r="B402" s="12">
        <v>0.69637681304488286</v>
      </c>
      <c r="C402" s="12">
        <f t="shared" si="56"/>
        <v>0</v>
      </c>
      <c r="D402" s="126">
        <f t="shared" si="57"/>
        <v>3.3850758296434393E-2</v>
      </c>
      <c r="E402" s="12">
        <f t="shared" si="58"/>
        <v>0</v>
      </c>
      <c r="F402" s="12">
        <f t="shared" si="59"/>
        <v>0</v>
      </c>
      <c r="G402" s="122">
        <f t="shared" si="60"/>
        <v>0.69637681304488286</v>
      </c>
      <c r="H402" s="122">
        <f t="shared" si="61"/>
        <v>3.3850758296434393E-2</v>
      </c>
      <c r="I402" s="122">
        <f t="shared" si="62"/>
        <v>0.69637681304488286</v>
      </c>
      <c r="J402" s="122">
        <f t="shared" si="63"/>
        <v>-3.3850758296434393E-2</v>
      </c>
      <c r="K402" s="122"/>
      <c r="Y402" s="126">
        <f t="shared" si="64"/>
        <v>-0.5</v>
      </c>
    </row>
    <row r="403" spans="2:25" x14ac:dyDescent="0.3">
      <c r="B403" s="12">
        <v>0.69937759593841675</v>
      </c>
      <c r="C403" s="12">
        <f t="shared" si="56"/>
        <v>0</v>
      </c>
      <c r="D403" s="126">
        <f t="shared" si="57"/>
        <v>3.3627767840273375E-2</v>
      </c>
      <c r="E403" s="12">
        <f t="shared" si="58"/>
        <v>0</v>
      </c>
      <c r="F403" s="12">
        <f t="shared" si="59"/>
        <v>0</v>
      </c>
      <c r="G403" s="122">
        <f t="shared" si="60"/>
        <v>0.69937759593841675</v>
      </c>
      <c r="H403" s="122">
        <f t="shared" si="61"/>
        <v>3.3627767840273375E-2</v>
      </c>
      <c r="I403" s="122">
        <f t="shared" si="62"/>
        <v>0.69937759593841675</v>
      </c>
      <c r="J403" s="122">
        <f t="shared" si="63"/>
        <v>-3.3627767840273375E-2</v>
      </c>
      <c r="K403" s="122"/>
      <c r="Y403" s="126">
        <f t="shared" si="64"/>
        <v>-0.5</v>
      </c>
    </row>
    <row r="404" spans="2:25" x14ac:dyDescent="0.3">
      <c r="B404" s="12">
        <v>0.70238135775748911</v>
      </c>
      <c r="C404" s="12">
        <f t="shared" si="56"/>
        <v>0</v>
      </c>
      <c r="D404" s="126">
        <f t="shared" si="57"/>
        <v>3.3402424998805545E-2</v>
      </c>
      <c r="E404" s="12">
        <f t="shared" si="58"/>
        <v>0</v>
      </c>
      <c r="F404" s="12">
        <f t="shared" si="59"/>
        <v>0</v>
      </c>
      <c r="G404" s="122">
        <f t="shared" si="60"/>
        <v>0.70238135775748911</v>
      </c>
      <c r="H404" s="122">
        <f t="shared" si="61"/>
        <v>3.3402424998805545E-2</v>
      </c>
      <c r="I404" s="122">
        <f t="shared" si="62"/>
        <v>0.70238135775748911</v>
      </c>
      <c r="J404" s="122">
        <f t="shared" si="63"/>
        <v>-3.3402424998805545E-2</v>
      </c>
      <c r="K404" s="122"/>
      <c r="Y404" s="126">
        <f t="shared" si="64"/>
        <v>-0.5</v>
      </c>
    </row>
    <row r="405" spans="2:25" x14ac:dyDescent="0.3">
      <c r="B405" s="12">
        <v>0.70538806873724358</v>
      </c>
      <c r="C405" s="12">
        <f t="shared" si="56"/>
        <v>0</v>
      </c>
      <c r="D405" s="126">
        <f t="shared" si="57"/>
        <v>3.3174728068250038E-2</v>
      </c>
      <c r="E405" s="12">
        <f t="shared" si="58"/>
        <v>0</v>
      </c>
      <c r="F405" s="12">
        <f t="shared" si="59"/>
        <v>0</v>
      </c>
      <c r="G405" s="122">
        <f t="shared" si="60"/>
        <v>0.70538806873724358</v>
      </c>
      <c r="H405" s="122">
        <f t="shared" si="61"/>
        <v>3.3174728068250038E-2</v>
      </c>
      <c r="I405" s="122">
        <f t="shared" si="62"/>
        <v>0.70538806873724358</v>
      </c>
      <c r="J405" s="122">
        <f t="shared" si="63"/>
        <v>-3.3174728068250038E-2</v>
      </c>
      <c r="K405" s="122"/>
      <c r="Y405" s="126">
        <f t="shared" si="64"/>
        <v>-0.5</v>
      </c>
    </row>
    <row r="406" spans="2:25" x14ac:dyDescent="0.3">
      <c r="B406" s="12">
        <v>0.70839769908359895</v>
      </c>
      <c r="C406" s="12">
        <f t="shared" si="56"/>
        <v>0</v>
      </c>
      <c r="D406" s="126">
        <f t="shared" si="57"/>
        <v>3.2944675439350479E-2</v>
      </c>
      <c r="E406" s="12">
        <f t="shared" si="58"/>
        <v>0</v>
      </c>
      <c r="F406" s="12">
        <f t="shared" si="59"/>
        <v>0</v>
      </c>
      <c r="G406" s="122">
        <f t="shared" si="60"/>
        <v>0.70839769908359895</v>
      </c>
      <c r="H406" s="122">
        <f t="shared" si="61"/>
        <v>3.2944675439350479E-2</v>
      </c>
      <c r="I406" s="122">
        <f t="shared" si="62"/>
        <v>0.70839769908359895</v>
      </c>
      <c r="J406" s="122">
        <f t="shared" si="63"/>
        <v>-3.2944675439350479E-2</v>
      </c>
      <c r="K406" s="122"/>
      <c r="Y406" s="126">
        <f t="shared" si="64"/>
        <v>-0.5</v>
      </c>
    </row>
    <row r="407" spans="2:25" x14ac:dyDescent="0.3">
      <c r="B407" s="12">
        <v>0.71141021897354673</v>
      </c>
      <c r="C407" s="12">
        <f t="shared" si="56"/>
        <v>0</v>
      </c>
      <c r="D407" s="126">
        <f t="shared" si="57"/>
        <v>3.2712265597460169E-2</v>
      </c>
      <c r="E407" s="12">
        <f t="shared" si="58"/>
        <v>0</v>
      </c>
      <c r="F407" s="12">
        <f t="shared" si="59"/>
        <v>0</v>
      </c>
      <c r="G407" s="122">
        <f t="shared" si="60"/>
        <v>0.71141021897354673</v>
      </c>
      <c r="H407" s="122">
        <f t="shared" si="61"/>
        <v>3.2712265597460169E-2</v>
      </c>
      <c r="I407" s="122">
        <f t="shared" si="62"/>
        <v>0.71141021897354673</v>
      </c>
      <c r="J407" s="122">
        <f t="shared" si="63"/>
        <v>-3.2712265597460169E-2</v>
      </c>
      <c r="K407" s="122"/>
      <c r="Y407" s="126">
        <f t="shared" si="64"/>
        <v>-0.5</v>
      </c>
    </row>
    <row r="408" spans="2:25" x14ac:dyDescent="0.3">
      <c r="B408" s="12">
        <v>0.71442559855544452</v>
      </c>
      <c r="C408" s="12">
        <f t="shared" si="56"/>
        <v>0</v>
      </c>
      <c r="D408" s="126">
        <f t="shared" si="57"/>
        <v>3.2477497122622691E-2</v>
      </c>
      <c r="E408" s="12">
        <f t="shared" si="58"/>
        <v>0</v>
      </c>
      <c r="F408" s="12">
        <f t="shared" si="59"/>
        <v>0</v>
      </c>
      <c r="G408" s="122">
        <f t="shared" si="60"/>
        <v>0.71442559855544452</v>
      </c>
      <c r="H408" s="122">
        <f t="shared" si="61"/>
        <v>3.2477497122622691E-2</v>
      </c>
      <c r="I408" s="122">
        <f t="shared" si="62"/>
        <v>0.71442559855544452</v>
      </c>
      <c r="J408" s="122">
        <f t="shared" si="63"/>
        <v>-3.2477497122622691E-2</v>
      </c>
      <c r="K408" s="122"/>
      <c r="Y408" s="126">
        <f t="shared" si="64"/>
        <v>-0.5</v>
      </c>
    </row>
    <row r="409" spans="2:25" x14ac:dyDescent="0.3">
      <c r="B409" s="12">
        <v>0.71744380794931262</v>
      </c>
      <c r="C409" s="12">
        <f t="shared" si="56"/>
        <v>0</v>
      </c>
      <c r="D409" s="126">
        <f t="shared" si="57"/>
        <v>3.224036868964774E-2</v>
      </c>
      <c r="E409" s="12">
        <f t="shared" si="58"/>
        <v>0</v>
      </c>
      <c r="F409" s="12">
        <f t="shared" si="59"/>
        <v>0</v>
      </c>
      <c r="G409" s="122">
        <f t="shared" si="60"/>
        <v>0.71744380794931262</v>
      </c>
      <c r="H409" s="122">
        <f t="shared" si="61"/>
        <v>3.224036868964774E-2</v>
      </c>
      <c r="I409" s="122">
        <f t="shared" si="62"/>
        <v>0.71744380794931262</v>
      </c>
      <c r="J409" s="122">
        <f t="shared" si="63"/>
        <v>-3.224036868964774E-2</v>
      </c>
      <c r="K409" s="122"/>
      <c r="Y409" s="126">
        <f t="shared" si="64"/>
        <v>-0.5</v>
      </c>
    </row>
    <row r="410" spans="2:25" x14ac:dyDescent="0.3">
      <c r="B410" s="12">
        <v>0.72046481724713085</v>
      </c>
      <c r="C410" s="12">
        <f t="shared" si="56"/>
        <v>0</v>
      </c>
      <c r="D410" s="126">
        <f t="shared" si="57"/>
        <v>3.2000879068182039E-2</v>
      </c>
      <c r="E410" s="12">
        <f t="shared" si="58"/>
        <v>0</v>
      </c>
      <c r="F410" s="12">
        <f t="shared" si="59"/>
        <v>0</v>
      </c>
      <c r="G410" s="122">
        <f t="shared" si="60"/>
        <v>0.72046481724713085</v>
      </c>
      <c r="H410" s="122">
        <f t="shared" si="61"/>
        <v>3.2000879068182039E-2</v>
      </c>
      <c r="I410" s="122">
        <f t="shared" si="62"/>
        <v>0.72046481724713085</v>
      </c>
      <c r="J410" s="122">
        <f t="shared" si="63"/>
        <v>-3.2000879068182039E-2</v>
      </c>
      <c r="K410" s="122"/>
      <c r="Y410" s="126">
        <f t="shared" si="64"/>
        <v>-0.5</v>
      </c>
    </row>
    <row r="411" spans="2:25" x14ac:dyDescent="0.3">
      <c r="B411" s="12">
        <v>0.72348859651313369</v>
      </c>
      <c r="C411" s="12">
        <f t="shared" si="56"/>
        <v>0</v>
      </c>
      <c r="D411" s="126">
        <f t="shared" si="57"/>
        <v>3.1759027122775736E-2</v>
      </c>
      <c r="E411" s="12">
        <f t="shared" si="58"/>
        <v>0</v>
      </c>
      <c r="F411" s="12">
        <f t="shared" si="59"/>
        <v>0</v>
      </c>
      <c r="G411" s="122">
        <f t="shared" si="60"/>
        <v>0.72348859651313369</v>
      </c>
      <c r="H411" s="122">
        <f t="shared" si="61"/>
        <v>3.1759027122775736E-2</v>
      </c>
      <c r="I411" s="122">
        <f t="shared" si="62"/>
        <v>0.72348859651313369</v>
      </c>
      <c r="J411" s="122">
        <f t="shared" si="63"/>
        <v>-3.1759027122775736E-2</v>
      </c>
      <c r="K411" s="122"/>
      <c r="Y411" s="126">
        <f t="shared" si="64"/>
        <v>-0.5</v>
      </c>
    </row>
    <row r="412" spans="2:25" x14ac:dyDescent="0.3">
      <c r="B412" s="12">
        <v>0.72651511578410766</v>
      </c>
      <c r="C412" s="12">
        <f t="shared" si="56"/>
        <v>0</v>
      </c>
      <c r="D412" s="126">
        <f t="shared" si="57"/>
        <v>3.1514811812943938E-2</v>
      </c>
      <c r="E412" s="12">
        <f t="shared" si="58"/>
        <v>0</v>
      </c>
      <c r="F412" s="12">
        <f t="shared" si="59"/>
        <v>0</v>
      </c>
      <c r="G412" s="122">
        <f t="shared" si="60"/>
        <v>0.72651511578410766</v>
      </c>
      <c r="H412" s="122">
        <f t="shared" si="61"/>
        <v>3.1514811812943938E-2</v>
      </c>
      <c r="I412" s="122">
        <f t="shared" si="62"/>
        <v>0.72651511578410766</v>
      </c>
      <c r="J412" s="122">
        <f t="shared" si="63"/>
        <v>-3.1514811812943938E-2</v>
      </c>
      <c r="K412" s="122"/>
      <c r="Y412" s="126">
        <f t="shared" si="64"/>
        <v>-0.5</v>
      </c>
    </row>
    <row r="413" spans="2:25" x14ac:dyDescent="0.3">
      <c r="B413" s="12">
        <v>0.72954434506968779</v>
      </c>
      <c r="C413" s="12">
        <f t="shared" si="56"/>
        <v>0</v>
      </c>
      <c r="D413" s="126">
        <f t="shared" si="57"/>
        <v>3.1268232193223444E-2</v>
      </c>
      <c r="E413" s="12">
        <f t="shared" si="58"/>
        <v>0</v>
      </c>
      <c r="F413" s="12">
        <f t="shared" si="59"/>
        <v>0</v>
      </c>
      <c r="G413" s="122">
        <f t="shared" si="60"/>
        <v>0.72954434506968779</v>
      </c>
      <c r="H413" s="122">
        <f t="shared" si="61"/>
        <v>3.1268232193223444E-2</v>
      </c>
      <c r="I413" s="122">
        <f t="shared" si="62"/>
        <v>0.72954434506968779</v>
      </c>
      <c r="J413" s="122">
        <f t="shared" si="63"/>
        <v>-3.1268232193223444E-2</v>
      </c>
      <c r="K413" s="122"/>
      <c r="Y413" s="126">
        <f t="shared" si="64"/>
        <v>-0.5</v>
      </c>
    </row>
    <row r="414" spans="2:25" x14ac:dyDescent="0.3">
      <c r="B414" s="12">
        <v>0.73257625435265572</v>
      </c>
      <c r="C414" s="12">
        <f t="shared" si="56"/>
        <v>0</v>
      </c>
      <c r="D414" s="126">
        <f t="shared" si="57"/>
        <v>3.1019287413224905E-2</v>
      </c>
      <c r="E414" s="12">
        <f t="shared" si="58"/>
        <v>0</v>
      </c>
      <c r="F414" s="12">
        <f t="shared" si="59"/>
        <v>0</v>
      </c>
      <c r="G414" s="122">
        <f t="shared" si="60"/>
        <v>0.73257625435265572</v>
      </c>
      <c r="H414" s="122">
        <f t="shared" si="61"/>
        <v>3.1019287413224905E-2</v>
      </c>
      <c r="I414" s="122">
        <f t="shared" si="62"/>
        <v>0.73257625435265572</v>
      </c>
      <c r="J414" s="122">
        <f t="shared" si="63"/>
        <v>-3.1019287413224905E-2</v>
      </c>
      <c r="K414" s="122"/>
      <c r="Y414" s="126">
        <f t="shared" si="64"/>
        <v>-0.5</v>
      </c>
    </row>
    <row r="415" spans="2:25" x14ac:dyDescent="0.3">
      <c r="B415" s="12">
        <v>0.73561081358923541</v>
      </c>
      <c r="C415" s="12">
        <f t="shared" si="56"/>
        <v>0</v>
      </c>
      <c r="D415" s="126">
        <f t="shared" si="57"/>
        <v>3.0767976717680154E-2</v>
      </c>
      <c r="E415" s="12">
        <f t="shared" si="58"/>
        <v>0</v>
      </c>
      <c r="F415" s="12">
        <f t="shared" si="59"/>
        <v>0</v>
      </c>
      <c r="G415" s="122">
        <f t="shared" si="60"/>
        <v>0.73561081358923541</v>
      </c>
      <c r="H415" s="122">
        <f t="shared" si="61"/>
        <v>3.0767976717680154E-2</v>
      </c>
      <c r="I415" s="122">
        <f t="shared" si="62"/>
        <v>0.73561081358923541</v>
      </c>
      <c r="J415" s="122">
        <f t="shared" si="63"/>
        <v>-3.0767976717680154E-2</v>
      </c>
      <c r="K415" s="122"/>
      <c r="Y415" s="126">
        <f t="shared" si="64"/>
        <v>-0.5</v>
      </c>
    </row>
    <row r="416" spans="2:25" x14ac:dyDescent="0.3">
      <c r="B416" s="12">
        <v>0.7386479927093933</v>
      </c>
      <c r="C416" s="12">
        <f t="shared" si="56"/>
        <v>0</v>
      </c>
      <c r="D416" s="126">
        <f t="shared" si="57"/>
        <v>3.0514299446484781E-2</v>
      </c>
      <c r="E416" s="12">
        <f t="shared" si="58"/>
        <v>0</v>
      </c>
      <c r="F416" s="12">
        <f t="shared" si="59"/>
        <v>0</v>
      </c>
      <c r="G416" s="122">
        <f t="shared" si="60"/>
        <v>0.7386479927093933</v>
      </c>
      <c r="H416" s="122">
        <f t="shared" si="61"/>
        <v>3.0514299446484781E-2</v>
      </c>
      <c r="I416" s="122">
        <f t="shared" si="62"/>
        <v>0.7386479927093933</v>
      </c>
      <c r="J416" s="122">
        <f t="shared" si="63"/>
        <v>-3.0514299446484781E-2</v>
      </c>
      <c r="K416" s="122"/>
      <c r="Y416" s="126">
        <f t="shared" si="64"/>
        <v>-0.5</v>
      </c>
    </row>
    <row r="417" spans="2:25" x14ac:dyDescent="0.3">
      <c r="B417" s="12">
        <v>0.74168776161713368</v>
      </c>
      <c r="C417" s="12">
        <f t="shared" si="56"/>
        <v>0</v>
      </c>
      <c r="D417" s="126">
        <f t="shared" si="57"/>
        <v>3.0258255034736167E-2</v>
      </c>
      <c r="E417" s="12">
        <f t="shared" si="58"/>
        <v>0</v>
      </c>
      <c r="F417" s="12">
        <f t="shared" si="59"/>
        <v>0</v>
      </c>
      <c r="G417" s="122">
        <f t="shared" si="60"/>
        <v>0.74168776161713368</v>
      </c>
      <c r="H417" s="122">
        <f t="shared" si="61"/>
        <v>3.0258255034736167E-2</v>
      </c>
      <c r="I417" s="122">
        <f t="shared" si="62"/>
        <v>0.74168776161713368</v>
      </c>
      <c r="J417" s="122">
        <f t="shared" si="63"/>
        <v>-3.0258255034736167E-2</v>
      </c>
      <c r="K417" s="122"/>
      <c r="Y417" s="126">
        <f t="shared" si="64"/>
        <v>-0.5</v>
      </c>
    </row>
    <row r="418" spans="2:25" x14ac:dyDescent="0.3">
      <c r="B418" s="12">
        <v>0.7447300901907985</v>
      </c>
      <c r="C418" s="12">
        <f t="shared" si="56"/>
        <v>0</v>
      </c>
      <c r="D418" s="126">
        <f t="shared" si="57"/>
        <v>2.999984301276664E-2</v>
      </c>
      <c r="E418" s="12">
        <f t="shared" si="58"/>
        <v>0</v>
      </c>
      <c r="F418" s="12">
        <f t="shared" si="59"/>
        <v>0</v>
      </c>
      <c r="G418" s="122">
        <f t="shared" si="60"/>
        <v>0.7447300901907985</v>
      </c>
      <c r="H418" s="122">
        <f t="shared" si="61"/>
        <v>2.999984301276664E-2</v>
      </c>
      <c r="I418" s="122">
        <f t="shared" si="62"/>
        <v>0.7447300901907985</v>
      </c>
      <c r="J418" s="122">
        <f t="shared" si="63"/>
        <v>-2.999984301276664E-2</v>
      </c>
      <c r="K418" s="122"/>
      <c r="Y418" s="126">
        <f t="shared" si="64"/>
        <v>-0.5</v>
      </c>
    </row>
    <row r="419" spans="2:25" x14ac:dyDescent="0.3">
      <c r="B419" s="12">
        <v>0.74777494828336577</v>
      </c>
      <c r="C419" s="12">
        <f t="shared" si="56"/>
        <v>0</v>
      </c>
      <c r="D419" s="126">
        <f t="shared" si="57"/>
        <v>2.9739063006171948E-2</v>
      </c>
      <c r="E419" s="12">
        <f t="shared" si="58"/>
        <v>0</v>
      </c>
      <c r="F419" s="12">
        <f t="shared" si="59"/>
        <v>0</v>
      </c>
      <c r="G419" s="122">
        <f t="shared" si="60"/>
        <v>0.74777494828336577</v>
      </c>
      <c r="H419" s="122">
        <f t="shared" si="61"/>
        <v>2.9739063006171948E-2</v>
      </c>
      <c r="I419" s="122">
        <f t="shared" si="62"/>
        <v>0.74777494828336577</v>
      </c>
      <c r="J419" s="122">
        <f t="shared" si="63"/>
        <v>-2.9739063006171948E-2</v>
      </c>
      <c r="K419" s="122"/>
      <c r="Y419" s="126">
        <f t="shared" si="64"/>
        <v>-0.5</v>
      </c>
    </row>
    <row r="420" spans="2:25" x14ac:dyDescent="0.3">
      <c r="B420" s="12">
        <v>0.75082230572274766</v>
      </c>
      <c r="C420" s="12">
        <f t="shared" si="56"/>
        <v>0</v>
      </c>
      <c r="D420" s="126">
        <f t="shared" si="57"/>
        <v>2.9475914735835159E-2</v>
      </c>
      <c r="E420" s="12">
        <f t="shared" si="58"/>
        <v>0</v>
      </c>
      <c r="F420" s="12">
        <f t="shared" si="59"/>
        <v>0</v>
      </c>
      <c r="G420" s="122">
        <f t="shared" si="60"/>
        <v>0.75082230572274766</v>
      </c>
      <c r="H420" s="122">
        <f t="shared" si="61"/>
        <v>2.9475914735835159E-2</v>
      </c>
      <c r="I420" s="122">
        <f t="shared" si="62"/>
        <v>0.75082230572274766</v>
      </c>
      <c r="J420" s="122">
        <f t="shared" si="63"/>
        <v>-2.9475914735835159E-2</v>
      </c>
      <c r="K420" s="122"/>
      <c r="Y420" s="126">
        <f t="shared" si="64"/>
        <v>-0.5</v>
      </c>
    </row>
    <row r="421" spans="2:25" x14ac:dyDescent="0.3">
      <c r="B421" s="12">
        <v>0.75387213231209049</v>
      </c>
      <c r="C421" s="12">
        <f t="shared" si="56"/>
        <v>0</v>
      </c>
      <c r="D421" s="126">
        <f t="shared" si="57"/>
        <v>2.921039801794573E-2</v>
      </c>
      <c r="E421" s="12">
        <f t="shared" si="58"/>
        <v>0</v>
      </c>
      <c r="F421" s="12">
        <f t="shared" si="59"/>
        <v>0</v>
      </c>
      <c r="G421" s="122">
        <f t="shared" si="60"/>
        <v>0.75387213231209049</v>
      </c>
      <c r="H421" s="122">
        <f t="shared" si="61"/>
        <v>2.921039801794573E-2</v>
      </c>
      <c r="I421" s="122">
        <f t="shared" si="62"/>
        <v>0.75387213231209049</v>
      </c>
      <c r="J421" s="122">
        <f t="shared" si="63"/>
        <v>-2.921039801794573E-2</v>
      </c>
      <c r="K421" s="122"/>
      <c r="Y421" s="126">
        <f t="shared" si="64"/>
        <v>-0.5</v>
      </c>
    </row>
    <row r="422" spans="2:25" x14ac:dyDescent="0.3">
      <c r="B422" s="12">
        <v>0.75692439783007204</v>
      </c>
      <c r="C422" s="12">
        <f t="shared" si="56"/>
        <v>0</v>
      </c>
      <c r="D422" s="126">
        <f t="shared" si="57"/>
        <v>2.8942512764014126E-2</v>
      </c>
      <c r="E422" s="12">
        <f t="shared" si="58"/>
        <v>0</v>
      </c>
      <c r="F422" s="12">
        <f t="shared" si="59"/>
        <v>0</v>
      </c>
      <c r="G422" s="122">
        <f t="shared" si="60"/>
        <v>0.75692439783007204</v>
      </c>
      <c r="H422" s="122">
        <f t="shared" si="61"/>
        <v>2.8942512764014126E-2</v>
      </c>
      <c r="I422" s="122">
        <f t="shared" si="62"/>
        <v>0.75692439783007204</v>
      </c>
      <c r="J422" s="122">
        <f t="shared" si="63"/>
        <v>-2.8942512764014126E-2</v>
      </c>
      <c r="K422" s="122"/>
      <c r="Y422" s="126">
        <f t="shared" si="64"/>
        <v>-0.5</v>
      </c>
    </row>
    <row r="423" spans="2:25" x14ac:dyDescent="0.3">
      <c r="B423" s="12">
        <v>0.75997907203120352</v>
      </c>
      <c r="C423" s="12">
        <f t="shared" si="56"/>
        <v>0</v>
      </c>
      <c r="D423" s="126">
        <f t="shared" si="57"/>
        <v>2.8672258980881379E-2</v>
      </c>
      <c r="E423" s="12">
        <f t="shared" si="58"/>
        <v>0</v>
      </c>
      <c r="F423" s="12">
        <f t="shared" si="59"/>
        <v>0</v>
      </c>
      <c r="G423" s="122">
        <f t="shared" si="60"/>
        <v>0.75997907203120352</v>
      </c>
      <c r="H423" s="122">
        <f t="shared" si="61"/>
        <v>2.8672258980881379E-2</v>
      </c>
      <c r="I423" s="122">
        <f t="shared" si="62"/>
        <v>0.75997907203120352</v>
      </c>
      <c r="J423" s="122">
        <f t="shared" si="63"/>
        <v>-2.8672258980881379E-2</v>
      </c>
      <c r="K423" s="122"/>
      <c r="Y423" s="126">
        <f t="shared" si="64"/>
        <v>-0.5</v>
      </c>
    </row>
    <row r="424" spans="2:25" x14ac:dyDescent="0.3">
      <c r="B424" s="12">
        <v>0.76303612464612713</v>
      </c>
      <c r="C424" s="12">
        <f t="shared" si="56"/>
        <v>0</v>
      </c>
      <c r="D424" s="126">
        <f t="shared" si="57"/>
        <v>2.8399636770724448E-2</v>
      </c>
      <c r="E424" s="12">
        <f t="shared" si="58"/>
        <v>0</v>
      </c>
      <c r="F424" s="12">
        <f t="shared" si="59"/>
        <v>0</v>
      </c>
      <c r="G424" s="122">
        <f t="shared" si="60"/>
        <v>0.76303612464612713</v>
      </c>
      <c r="H424" s="122">
        <f t="shared" si="61"/>
        <v>2.8399636770724448E-2</v>
      </c>
      <c r="I424" s="122">
        <f t="shared" si="62"/>
        <v>0.76303612464612713</v>
      </c>
      <c r="J424" s="122">
        <f t="shared" si="63"/>
        <v>-2.8399636770724448E-2</v>
      </c>
      <c r="K424" s="122"/>
      <c r="Y424" s="126">
        <f t="shared" si="64"/>
        <v>-0.5</v>
      </c>
    </row>
    <row r="425" spans="2:25" x14ac:dyDescent="0.3">
      <c r="B425" s="12">
        <v>0.76609552538191783</v>
      </c>
      <c r="C425" s="12">
        <f t="shared" si="56"/>
        <v>0</v>
      </c>
      <c r="D425" s="126">
        <f t="shared" si="57"/>
        <v>2.8124646331056539E-2</v>
      </c>
      <c r="E425" s="12">
        <f t="shared" si="58"/>
        <v>0</v>
      </c>
      <c r="F425" s="12">
        <f t="shared" si="59"/>
        <v>0</v>
      </c>
      <c r="G425" s="122">
        <f t="shared" si="60"/>
        <v>0.76609552538191783</v>
      </c>
      <c r="H425" s="122">
        <f t="shared" si="61"/>
        <v>2.8124646331056539E-2</v>
      </c>
      <c r="I425" s="122">
        <f t="shared" si="62"/>
        <v>0.76609552538191783</v>
      </c>
      <c r="J425" s="122">
        <f t="shared" si="63"/>
        <v>-2.8124646331056539E-2</v>
      </c>
      <c r="K425" s="122"/>
      <c r="Y425" s="126">
        <f t="shared" si="64"/>
        <v>-0.5</v>
      </c>
    </row>
    <row r="426" spans="2:25" x14ac:dyDescent="0.3">
      <c r="B426" s="12">
        <v>0.76915724392238149</v>
      </c>
      <c r="C426" s="12">
        <f t="shared" si="56"/>
        <v>0</v>
      </c>
      <c r="D426" s="126">
        <f t="shared" si="57"/>
        <v>2.7847287954723091E-2</v>
      </c>
      <c r="E426" s="12">
        <f t="shared" si="58"/>
        <v>0</v>
      </c>
      <c r="F426" s="12">
        <f t="shared" si="59"/>
        <v>0</v>
      </c>
      <c r="G426" s="122">
        <f t="shared" si="60"/>
        <v>0.76915724392238149</v>
      </c>
      <c r="H426" s="122">
        <f t="shared" si="61"/>
        <v>2.7847287954723091E-2</v>
      </c>
      <c r="I426" s="122">
        <f t="shared" si="62"/>
        <v>0.76915724392238149</v>
      </c>
      <c r="J426" s="122">
        <f t="shared" si="63"/>
        <v>-2.7847287954723091E-2</v>
      </c>
      <c r="K426" s="122"/>
      <c r="Y426" s="126">
        <f t="shared" si="64"/>
        <v>-0.5</v>
      </c>
    </row>
    <row r="427" spans="2:25" x14ac:dyDescent="0.3">
      <c r="B427" s="12">
        <v>0.77222124992835761</v>
      </c>
      <c r="C427" s="12">
        <f t="shared" si="56"/>
        <v>0</v>
      </c>
      <c r="D427" s="126">
        <f t="shared" si="57"/>
        <v>2.7567562029892828E-2</v>
      </c>
      <c r="E427" s="12">
        <f t="shared" si="58"/>
        <v>0</v>
      </c>
      <c r="F427" s="12">
        <f t="shared" si="59"/>
        <v>0</v>
      </c>
      <c r="G427" s="122">
        <f t="shared" si="60"/>
        <v>0.77222124992835761</v>
      </c>
      <c r="H427" s="122">
        <f t="shared" si="61"/>
        <v>2.7567562029892828E-2</v>
      </c>
      <c r="I427" s="122">
        <f t="shared" si="62"/>
        <v>0.77222124992835761</v>
      </c>
      <c r="J427" s="122">
        <f t="shared" si="63"/>
        <v>-2.7567562029892828E-2</v>
      </c>
      <c r="K427" s="122"/>
      <c r="Y427" s="126">
        <f t="shared" si="64"/>
        <v>-0.5</v>
      </c>
    </row>
    <row r="428" spans="2:25" x14ac:dyDescent="0.3">
      <c r="B428" s="12">
        <v>0.77528751303801791</v>
      </c>
      <c r="C428" s="12">
        <f t="shared" si="56"/>
        <v>0</v>
      </c>
      <c r="D428" s="126">
        <f t="shared" si="57"/>
        <v>2.7285469040044509E-2</v>
      </c>
      <c r="E428" s="12">
        <f t="shared" si="58"/>
        <v>0</v>
      </c>
      <c r="F428" s="12">
        <f t="shared" si="59"/>
        <v>0</v>
      </c>
      <c r="G428" s="122">
        <f t="shared" si="60"/>
        <v>0.77528751303801791</v>
      </c>
      <c r="H428" s="122">
        <f t="shared" si="61"/>
        <v>2.7285469040044509E-2</v>
      </c>
      <c r="I428" s="122">
        <f t="shared" si="62"/>
        <v>0.77528751303801791</v>
      </c>
      <c r="J428" s="122">
        <f t="shared" si="63"/>
        <v>-2.7285469040044509E-2</v>
      </c>
      <c r="K428" s="122"/>
      <c r="Y428" s="126">
        <f t="shared" si="64"/>
        <v>-0.5</v>
      </c>
    </row>
    <row r="429" spans="2:25" x14ac:dyDescent="0.3">
      <c r="B429" s="12">
        <v>0.77835600286716788</v>
      </c>
      <c r="C429" s="12">
        <f t="shared" si="56"/>
        <v>0</v>
      </c>
      <c r="D429" s="126">
        <f t="shared" si="57"/>
        <v>2.7001009563948845E-2</v>
      </c>
      <c r="E429" s="12">
        <f t="shared" si="58"/>
        <v>0</v>
      </c>
      <c r="F429" s="12">
        <f t="shared" si="59"/>
        <v>0</v>
      </c>
      <c r="G429" s="122">
        <f t="shared" si="60"/>
        <v>0.77835600286716788</v>
      </c>
      <c r="H429" s="122">
        <f t="shared" si="61"/>
        <v>2.7001009563948845E-2</v>
      </c>
      <c r="I429" s="122">
        <f t="shared" si="62"/>
        <v>0.77835600286716788</v>
      </c>
      <c r="J429" s="122">
        <f t="shared" si="63"/>
        <v>-2.7001009563948845E-2</v>
      </c>
      <c r="K429" s="122"/>
      <c r="Y429" s="126">
        <f t="shared" si="64"/>
        <v>-0.5</v>
      </c>
    </row>
    <row r="430" spans="2:25" x14ac:dyDescent="0.3">
      <c r="B430" s="12">
        <v>0.78142668900954892</v>
      </c>
      <c r="C430" s="12">
        <f t="shared" si="56"/>
        <v>0</v>
      </c>
      <c r="D430" s="126">
        <f t="shared" si="57"/>
        <v>2.6714184275645769E-2</v>
      </c>
      <c r="E430" s="12">
        <f t="shared" si="58"/>
        <v>0</v>
      </c>
      <c r="F430" s="12">
        <f t="shared" si="59"/>
        <v>0</v>
      </c>
      <c r="G430" s="122">
        <f t="shared" si="60"/>
        <v>0.78142668900954892</v>
      </c>
      <c r="H430" s="122">
        <f t="shared" si="61"/>
        <v>2.6714184275645769E-2</v>
      </c>
      <c r="I430" s="122">
        <f t="shared" si="62"/>
        <v>0.78142668900954892</v>
      </c>
      <c r="J430" s="122">
        <f t="shared" si="63"/>
        <v>-2.6714184275645769E-2</v>
      </c>
      <c r="K430" s="122"/>
      <c r="Y430" s="126">
        <f t="shared" si="64"/>
        <v>-0.5</v>
      </c>
    </row>
    <row r="431" spans="2:25" x14ac:dyDescent="0.3">
      <c r="B431" s="12">
        <v>0.78449954103713782</v>
      </c>
      <c r="C431" s="12">
        <f t="shared" si="56"/>
        <v>0</v>
      </c>
      <c r="D431" s="126">
        <f t="shared" si="57"/>
        <v>2.6424993944417385E-2</v>
      </c>
      <c r="E431" s="12">
        <f t="shared" si="58"/>
        <v>0</v>
      </c>
      <c r="F431" s="12">
        <f t="shared" si="59"/>
        <v>0</v>
      </c>
      <c r="G431" s="122">
        <f t="shared" si="60"/>
        <v>0.78449954103713782</v>
      </c>
      <c r="H431" s="122">
        <f t="shared" si="61"/>
        <v>2.6424993944417385E-2</v>
      </c>
      <c r="I431" s="122">
        <f t="shared" si="62"/>
        <v>0.78449954103713782</v>
      </c>
      <c r="J431" s="122">
        <f t="shared" si="63"/>
        <v>-2.6424993944417385E-2</v>
      </c>
      <c r="K431" s="122"/>
      <c r="Y431" s="126">
        <f t="shared" si="64"/>
        <v>-0.5</v>
      </c>
    </row>
    <row r="432" spans="2:25" x14ac:dyDescent="0.3">
      <c r="B432" s="12">
        <v>0.78757452850045018</v>
      </c>
      <c r="C432" s="12">
        <f t="shared" si="56"/>
        <v>0</v>
      </c>
      <c r="D432" s="126">
        <f t="shared" si="57"/>
        <v>2.6133439434755972E-2</v>
      </c>
      <c r="E432" s="12">
        <f t="shared" si="58"/>
        <v>0</v>
      </c>
      <c r="F432" s="12">
        <f t="shared" si="59"/>
        <v>0</v>
      </c>
      <c r="G432" s="122">
        <f t="shared" si="60"/>
        <v>0.78757452850045018</v>
      </c>
      <c r="H432" s="122">
        <f t="shared" si="61"/>
        <v>2.6133439434755972E-2</v>
      </c>
      <c r="I432" s="122">
        <f t="shared" si="62"/>
        <v>0.78757452850045018</v>
      </c>
      <c r="J432" s="122">
        <f t="shared" si="63"/>
        <v>-2.6133439434755972E-2</v>
      </c>
      <c r="K432" s="122"/>
      <c r="Y432" s="126">
        <f t="shared" si="64"/>
        <v>-0.5</v>
      </c>
    </row>
    <row r="433" spans="2:25" x14ac:dyDescent="0.3">
      <c r="B433" s="12">
        <v>0.79065162092883967</v>
      </c>
      <c r="C433" s="12">
        <f t="shared" si="56"/>
        <v>0</v>
      </c>
      <c r="D433" s="126">
        <f t="shared" si="57"/>
        <v>2.5839521706327848E-2</v>
      </c>
      <c r="E433" s="12">
        <f t="shared" si="58"/>
        <v>0</v>
      </c>
      <c r="F433" s="12">
        <f t="shared" si="59"/>
        <v>0</v>
      </c>
      <c r="G433" s="122">
        <f t="shared" si="60"/>
        <v>0.79065162092883967</v>
      </c>
      <c r="H433" s="122">
        <f t="shared" si="61"/>
        <v>2.5839521706327848E-2</v>
      </c>
      <c r="I433" s="122">
        <f t="shared" si="62"/>
        <v>0.79065162092883967</v>
      </c>
      <c r="J433" s="122">
        <f t="shared" si="63"/>
        <v>-2.5839521706327848E-2</v>
      </c>
      <c r="K433" s="122"/>
      <c r="Y433" s="126">
        <f t="shared" si="64"/>
        <v>-0.5</v>
      </c>
    </row>
    <row r="434" spans="2:25" x14ac:dyDescent="0.3">
      <c r="B434" s="12">
        <v>0.79373078783080309</v>
      </c>
      <c r="C434" s="12">
        <f t="shared" si="56"/>
        <v>0</v>
      </c>
      <c r="D434" s="126">
        <f t="shared" si="57"/>
        <v>2.5543241813932138E-2</v>
      </c>
      <c r="E434" s="12">
        <f t="shared" si="58"/>
        <v>0</v>
      </c>
      <c r="F434" s="12">
        <f t="shared" si="59"/>
        <v>0</v>
      </c>
      <c r="G434" s="122">
        <f t="shared" si="60"/>
        <v>0.79373078783080309</v>
      </c>
      <c r="H434" s="122">
        <f t="shared" si="61"/>
        <v>2.5543241813932138E-2</v>
      </c>
      <c r="I434" s="122">
        <f t="shared" si="62"/>
        <v>0.79373078783080309</v>
      </c>
      <c r="J434" s="122">
        <f t="shared" si="63"/>
        <v>-2.5543241813932138E-2</v>
      </c>
      <c r="K434" s="122"/>
      <c r="Y434" s="126">
        <f t="shared" si="64"/>
        <v>-0.5</v>
      </c>
    </row>
    <row r="435" spans="2:25" x14ac:dyDescent="0.3">
      <c r="B435" s="12">
        <v>0.79681199869427966</v>
      </c>
      <c r="C435" s="12">
        <f t="shared" si="56"/>
        <v>0</v>
      </c>
      <c r="D435" s="126">
        <f t="shared" si="57"/>
        <v>2.5244600907455544E-2</v>
      </c>
      <c r="E435" s="12">
        <f t="shared" si="58"/>
        <v>0</v>
      </c>
      <c r="F435" s="12">
        <f t="shared" si="59"/>
        <v>0</v>
      </c>
      <c r="G435" s="122">
        <f t="shared" si="60"/>
        <v>0.79681199869427966</v>
      </c>
      <c r="H435" s="122">
        <f t="shared" si="61"/>
        <v>2.5244600907455544E-2</v>
      </c>
      <c r="I435" s="122">
        <f t="shared" si="62"/>
        <v>0.79681199869427966</v>
      </c>
      <c r="J435" s="122">
        <f t="shared" si="63"/>
        <v>-2.5244600907455544E-2</v>
      </c>
      <c r="K435" s="122"/>
      <c r="Y435" s="126">
        <f t="shared" si="64"/>
        <v>-0.5</v>
      </c>
    </row>
    <row r="436" spans="2:25" x14ac:dyDescent="0.3">
      <c r="B436" s="12">
        <v>0.79989522298695537</v>
      </c>
      <c r="C436" s="12">
        <f t="shared" si="56"/>
        <v>0</v>
      </c>
      <c r="D436" s="126">
        <f t="shared" si="57"/>
        <v>2.4943600231822127E-2</v>
      </c>
      <c r="E436" s="12">
        <f t="shared" si="58"/>
        <v>0</v>
      </c>
      <c r="F436" s="12">
        <f t="shared" si="59"/>
        <v>0</v>
      </c>
      <c r="G436" s="122">
        <f t="shared" si="60"/>
        <v>0.79989522298695537</v>
      </c>
      <c r="H436" s="122">
        <f t="shared" si="61"/>
        <v>2.4943600231822127E-2</v>
      </c>
      <c r="I436" s="122">
        <f t="shared" si="62"/>
        <v>0.79989522298695537</v>
      </c>
      <c r="J436" s="122">
        <f t="shared" si="63"/>
        <v>-2.4943600231822127E-2</v>
      </c>
      <c r="K436" s="122"/>
      <c r="Y436" s="126">
        <f t="shared" si="64"/>
        <v>-0.5</v>
      </c>
    </row>
    <row r="437" spans="2:25" x14ac:dyDescent="0.3">
      <c r="B437" s="12">
        <v>0.80298043015656417</v>
      </c>
      <c r="C437" s="12">
        <f t="shared" si="56"/>
        <v>0</v>
      </c>
      <c r="D437" s="126">
        <f t="shared" si="57"/>
        <v>2.4640241126938887E-2</v>
      </c>
      <c r="E437" s="12">
        <f t="shared" si="58"/>
        <v>0</v>
      </c>
      <c r="F437" s="12">
        <f t="shared" si="59"/>
        <v>0</v>
      </c>
      <c r="G437" s="122">
        <f t="shared" si="60"/>
        <v>0.80298043015656417</v>
      </c>
      <c r="H437" s="122">
        <f t="shared" si="61"/>
        <v>2.4640241126938887E-2</v>
      </c>
      <c r="I437" s="122">
        <f t="shared" si="62"/>
        <v>0.80298043015656417</v>
      </c>
      <c r="J437" s="122">
        <f t="shared" si="63"/>
        <v>-2.4640241126938887E-2</v>
      </c>
      <c r="K437" s="122"/>
      <c r="Y437" s="126">
        <f t="shared" si="64"/>
        <v>-0.5</v>
      </c>
    </row>
    <row r="438" spans="2:25" x14ac:dyDescent="0.3">
      <c r="B438" s="12">
        <v>0.80606758963119207</v>
      </c>
      <c r="C438" s="12">
        <f t="shared" si="56"/>
        <v>0</v>
      </c>
      <c r="D438" s="126">
        <f t="shared" si="57"/>
        <v>2.4334525027636542E-2</v>
      </c>
      <c r="E438" s="12">
        <f t="shared" si="58"/>
        <v>0</v>
      </c>
      <c r="F438" s="12">
        <f t="shared" si="59"/>
        <v>0</v>
      </c>
      <c r="G438" s="122">
        <f t="shared" si="60"/>
        <v>0.80606758963119207</v>
      </c>
      <c r="H438" s="122">
        <f t="shared" si="61"/>
        <v>2.4334525027636542E-2</v>
      </c>
      <c r="I438" s="122">
        <f t="shared" si="62"/>
        <v>0.80606758963119207</v>
      </c>
      <c r="J438" s="122">
        <f t="shared" si="63"/>
        <v>-2.4334525027636542E-2</v>
      </c>
      <c r="K438" s="122"/>
      <c r="Y438" s="126">
        <f t="shared" si="64"/>
        <v>-0.5</v>
      </c>
    </row>
    <row r="439" spans="2:25" x14ac:dyDescent="0.3">
      <c r="B439" s="12">
        <v>0.80915667081957843</v>
      </c>
      <c r="C439" s="12">
        <f t="shared" si="56"/>
        <v>0</v>
      </c>
      <c r="D439" s="126">
        <f t="shared" si="57"/>
        <v>2.4026453463606171E-2</v>
      </c>
      <c r="E439" s="12">
        <f t="shared" si="58"/>
        <v>0</v>
      </c>
      <c r="F439" s="12">
        <f t="shared" si="59"/>
        <v>0</v>
      </c>
      <c r="G439" s="122">
        <f t="shared" si="60"/>
        <v>0.80915667081957843</v>
      </c>
      <c r="H439" s="122">
        <f t="shared" si="61"/>
        <v>2.4026453463606171E-2</v>
      </c>
      <c r="I439" s="122">
        <f t="shared" si="62"/>
        <v>0.80915667081957843</v>
      </c>
      <c r="J439" s="122">
        <f t="shared" si="63"/>
        <v>-2.4026453463606171E-2</v>
      </c>
      <c r="K439" s="122"/>
      <c r="Y439" s="126">
        <f t="shared" si="64"/>
        <v>-0.5</v>
      </c>
    </row>
    <row r="440" spans="2:25" x14ac:dyDescent="0.3">
      <c r="B440" s="12">
        <v>0.81224764311142017</v>
      </c>
      <c r="C440" s="12">
        <f t="shared" si="56"/>
        <v>0</v>
      </c>
      <c r="D440" s="126">
        <f t="shared" si="57"/>
        <v>2.3716028059330957E-2</v>
      </c>
      <c r="E440" s="12">
        <f t="shared" si="58"/>
        <v>0</v>
      </c>
      <c r="F440" s="12">
        <f t="shared" si="59"/>
        <v>0</v>
      </c>
      <c r="G440" s="122">
        <f t="shared" si="60"/>
        <v>0.81224764311142017</v>
      </c>
      <c r="H440" s="122">
        <f t="shared" si="61"/>
        <v>2.3716028059330957E-2</v>
      </c>
      <c r="I440" s="122">
        <f t="shared" si="62"/>
        <v>0.81224764311142017</v>
      </c>
      <c r="J440" s="122">
        <f t="shared" si="63"/>
        <v>-2.3716028059330957E-2</v>
      </c>
      <c r="K440" s="122"/>
      <c r="Y440" s="126">
        <f t="shared" si="64"/>
        <v>-0.5</v>
      </c>
    </row>
    <row r="441" spans="2:25" x14ac:dyDescent="0.3">
      <c r="B441" s="12">
        <v>0.81534047587767555</v>
      </c>
      <c r="C441" s="12">
        <f t="shared" si="56"/>
        <v>0</v>
      </c>
      <c r="D441" s="126">
        <f t="shared" si="57"/>
        <v>2.3403250534013684E-2</v>
      </c>
      <c r="E441" s="12">
        <f t="shared" si="58"/>
        <v>0</v>
      </c>
      <c r="F441" s="12">
        <f t="shared" si="59"/>
        <v>0</v>
      </c>
      <c r="G441" s="122">
        <f t="shared" si="60"/>
        <v>0.81534047587767555</v>
      </c>
      <c r="H441" s="122">
        <f t="shared" si="61"/>
        <v>2.3403250534013684E-2</v>
      </c>
      <c r="I441" s="122">
        <f t="shared" si="62"/>
        <v>0.81534047587767555</v>
      </c>
      <c r="J441" s="122">
        <f t="shared" si="63"/>
        <v>-2.3403250534013684E-2</v>
      </c>
      <c r="K441" s="122"/>
      <c r="Y441" s="126">
        <f t="shared" si="64"/>
        <v>-0.5</v>
      </c>
    </row>
    <row r="442" spans="2:25" x14ac:dyDescent="0.3">
      <c r="B442" s="12">
        <v>0.81843513847086635</v>
      </c>
      <c r="C442" s="12">
        <f t="shared" si="56"/>
        <v>0</v>
      </c>
      <c r="D442" s="126">
        <f t="shared" si="57"/>
        <v>2.3088122701499819E-2</v>
      </c>
      <c r="E442" s="12">
        <f t="shared" si="58"/>
        <v>0</v>
      </c>
      <c r="F442" s="12">
        <f t="shared" si="59"/>
        <v>0</v>
      </c>
      <c r="G442" s="122">
        <f t="shared" si="60"/>
        <v>0.81843513847086635</v>
      </c>
      <c r="H442" s="122">
        <f t="shared" si="61"/>
        <v>2.3088122701499819E-2</v>
      </c>
      <c r="I442" s="122">
        <f t="shared" si="62"/>
        <v>0.81843513847086635</v>
      </c>
      <c r="J442" s="122">
        <f t="shared" si="63"/>
        <v>-2.3088122701499819E-2</v>
      </c>
      <c r="K442" s="122"/>
      <c r="Y442" s="126">
        <f t="shared" si="64"/>
        <v>-0.5</v>
      </c>
    </row>
    <row r="443" spans="2:25" x14ac:dyDescent="0.3">
      <c r="B443" s="12">
        <v>0.82153160022538252</v>
      </c>
      <c r="C443" s="12">
        <f t="shared" si="56"/>
        <v>0</v>
      </c>
      <c r="D443" s="126">
        <f t="shared" si="57"/>
        <v>2.2770646470195968E-2</v>
      </c>
      <c r="E443" s="12">
        <f t="shared" si="58"/>
        <v>0</v>
      </c>
      <c r="F443" s="12">
        <f t="shared" si="59"/>
        <v>0</v>
      </c>
      <c r="G443" s="122">
        <f t="shared" si="60"/>
        <v>0.82153160022538252</v>
      </c>
      <c r="H443" s="122">
        <f t="shared" si="61"/>
        <v>2.2770646470195968E-2</v>
      </c>
      <c r="I443" s="122">
        <f t="shared" si="62"/>
        <v>0.82153160022538252</v>
      </c>
      <c r="J443" s="122">
        <f t="shared" si="63"/>
        <v>-2.2770646470195968E-2</v>
      </c>
      <c r="K443" s="122"/>
      <c r="Y443" s="126">
        <f t="shared" si="64"/>
        <v>-0.5</v>
      </c>
    </row>
    <row r="444" spans="2:25" x14ac:dyDescent="0.3">
      <c r="B444" s="12">
        <v>0.82462983045778548</v>
      </c>
      <c r="C444" s="12">
        <f t="shared" si="56"/>
        <v>0</v>
      </c>
      <c r="D444" s="126">
        <f t="shared" si="57"/>
        <v>2.2450823842984052E-2</v>
      </c>
      <c r="E444" s="12">
        <f t="shared" si="58"/>
        <v>0</v>
      </c>
      <c r="F444" s="12">
        <f t="shared" si="59"/>
        <v>0</v>
      </c>
      <c r="G444" s="122">
        <f t="shared" si="60"/>
        <v>0.82462983045778548</v>
      </c>
      <c r="H444" s="122">
        <f t="shared" si="61"/>
        <v>2.2450823842984052E-2</v>
      </c>
      <c r="I444" s="122">
        <f t="shared" si="62"/>
        <v>0.82462983045778548</v>
      </c>
      <c r="J444" s="122">
        <f t="shared" si="63"/>
        <v>-2.2450823842984052E-2</v>
      </c>
      <c r="K444" s="122"/>
      <c r="Y444" s="126">
        <f t="shared" si="64"/>
        <v>-0.5</v>
      </c>
    </row>
    <row r="445" spans="2:25" x14ac:dyDescent="0.3">
      <c r="B445" s="12">
        <v>0.82772979846711325</v>
      </c>
      <c r="C445" s="12">
        <f t="shared" si="56"/>
        <v>0</v>
      </c>
      <c r="D445" s="126">
        <f t="shared" si="57"/>
        <v>2.2128656917130878E-2</v>
      </c>
      <c r="E445" s="12">
        <f t="shared" si="58"/>
        <v>0</v>
      </c>
      <c r="F445" s="12">
        <f t="shared" si="59"/>
        <v>0</v>
      </c>
      <c r="G445" s="122">
        <f t="shared" si="60"/>
        <v>0.82772979846711325</v>
      </c>
      <c r="H445" s="122">
        <f t="shared" si="61"/>
        <v>2.2128656917130878E-2</v>
      </c>
      <c r="I445" s="122">
        <f t="shared" si="62"/>
        <v>0.82772979846711325</v>
      </c>
      <c r="J445" s="122">
        <f t="shared" si="63"/>
        <v>-2.2128656917130878E-2</v>
      </c>
      <c r="K445" s="122"/>
      <c r="Y445" s="126">
        <f t="shared" si="64"/>
        <v>-0.5</v>
      </c>
    </row>
    <row r="446" spans="2:25" x14ac:dyDescent="0.3">
      <c r="B446" s="12">
        <v>0.8308314735351825</v>
      </c>
      <c r="C446" s="12">
        <f t="shared" si="56"/>
        <v>0</v>
      </c>
      <c r="D446" s="126">
        <f t="shared" si="57"/>
        <v>2.1804147884193624E-2</v>
      </c>
      <c r="E446" s="12">
        <f t="shared" si="58"/>
        <v>0</v>
      </c>
      <c r="F446" s="12">
        <f t="shared" si="59"/>
        <v>0</v>
      </c>
      <c r="G446" s="122">
        <f t="shared" si="60"/>
        <v>0.8308314735351825</v>
      </c>
      <c r="H446" s="122">
        <f t="shared" si="61"/>
        <v>2.1804147884193624E-2</v>
      </c>
      <c r="I446" s="122">
        <f t="shared" si="62"/>
        <v>0.8308314735351825</v>
      </c>
      <c r="J446" s="122">
        <f t="shared" si="63"/>
        <v>-2.1804147884193624E-2</v>
      </c>
      <c r="K446" s="122"/>
      <c r="Y446" s="126">
        <f t="shared" si="64"/>
        <v>-0.5</v>
      </c>
    </row>
    <row r="447" spans="2:25" x14ac:dyDescent="0.3">
      <c r="B447" s="12">
        <v>0.83393482492689608</v>
      </c>
      <c r="C447" s="12">
        <f t="shared" si="56"/>
        <v>0</v>
      </c>
      <c r="D447" s="126">
        <f t="shared" si="57"/>
        <v>2.1477299029920408E-2</v>
      </c>
      <c r="E447" s="12">
        <f t="shared" si="58"/>
        <v>0</v>
      </c>
      <c r="F447" s="12">
        <f t="shared" si="59"/>
        <v>0</v>
      </c>
      <c r="G447" s="122">
        <f t="shared" si="60"/>
        <v>0.83393482492689608</v>
      </c>
      <c r="H447" s="122">
        <f t="shared" si="61"/>
        <v>2.1477299029920408E-2</v>
      </c>
      <c r="I447" s="122">
        <f t="shared" si="62"/>
        <v>0.83393482492689608</v>
      </c>
      <c r="J447" s="122">
        <f t="shared" si="63"/>
        <v>-2.1477299029920408E-2</v>
      </c>
      <c r="K447" s="122"/>
      <c r="Y447" s="126">
        <f t="shared" si="64"/>
        <v>-0.5</v>
      </c>
    </row>
    <row r="448" spans="2:25" x14ac:dyDescent="0.3">
      <c r="B448" s="12">
        <v>0.83703982189054416</v>
      </c>
      <c r="C448" s="12">
        <f t="shared" si="56"/>
        <v>0</v>
      </c>
      <c r="D448" s="126">
        <f t="shared" si="57"/>
        <v>2.1148112734147136E-2</v>
      </c>
      <c r="E448" s="12">
        <f t="shared" si="58"/>
        <v>0</v>
      </c>
      <c r="F448" s="12">
        <f t="shared" si="59"/>
        <v>0</v>
      </c>
      <c r="G448" s="122">
        <f t="shared" si="60"/>
        <v>0.83703982189054416</v>
      </c>
      <c r="H448" s="122">
        <f t="shared" si="61"/>
        <v>2.1148112734147136E-2</v>
      </c>
      <c r="I448" s="122">
        <f t="shared" si="62"/>
        <v>0.83703982189054416</v>
      </c>
      <c r="J448" s="122">
        <f t="shared" si="63"/>
        <v>-2.1148112734147136E-2</v>
      </c>
      <c r="K448" s="122"/>
      <c r="Y448" s="126">
        <f t="shared" si="64"/>
        <v>-0.5</v>
      </c>
    </row>
    <row r="449" spans="2:25" x14ac:dyDescent="0.3">
      <c r="B449" s="12">
        <v>0.8401464336581117</v>
      </c>
      <c r="C449" s="12">
        <f t="shared" ref="C449:C500" si="65">IF($A$1=0, 0, IF(B449&lt;=$A$2, ($A$1/$A$2^2)*(2*$A$2*B449-B449^2), ($A$1/(1-$A$2)^2)*((1-2*$A$2)+2*$A$2*B449-B449^2)))</f>
        <v>0</v>
      </c>
      <c r="D449" s="126">
        <f t="shared" ref="D449:D500" si="66">IF(B449&lt;$N$1, ($A$3/0.2)*($O$1*SQRT(B449)+$P$1*B449+$Q$1*(B449^2)+$R$1*(B449^3)), ($A$3/0.2)*($S$1+$T$1*(1-B449)+$U$1*((1-B449)^2)+$V$1*((1-B449)^3)))</f>
        <v>2.0816591470689344E-2</v>
      </c>
      <c r="E449" s="12">
        <f t="shared" si="58"/>
        <v>0</v>
      </c>
      <c r="F449" s="12">
        <f t="shared" si="59"/>
        <v>0</v>
      </c>
      <c r="G449" s="122">
        <f t="shared" si="60"/>
        <v>0.8401464336581117</v>
      </c>
      <c r="H449" s="122">
        <f t="shared" si="61"/>
        <v>2.0816591470689344E-2</v>
      </c>
      <c r="I449" s="122">
        <f t="shared" si="62"/>
        <v>0.8401464336581117</v>
      </c>
      <c r="J449" s="122">
        <f t="shared" si="63"/>
        <v>-2.0816591470689344E-2</v>
      </c>
      <c r="K449" s="122"/>
      <c r="Y449" s="126">
        <f t="shared" si="64"/>
        <v>-0.5</v>
      </c>
    </row>
    <row r="450" spans="2:25" x14ac:dyDescent="0.3">
      <c r="B450" s="12">
        <v>0.84325462944558205</v>
      </c>
      <c r="C450" s="12">
        <f t="shared" si="65"/>
        <v>0</v>
      </c>
      <c r="D450" s="126">
        <f t="shared" si="66"/>
        <v>2.0482737807230127E-2</v>
      </c>
      <c r="E450" s="12">
        <f t="shared" ref="E450:E500" si="67">IF($A$1=0, 0, IF(B450&lt;=$A$2, ($A$1/$A$2^2) *(2*$A$2-2*B450), ($A$1/(1-$A$2)^2)*(2*$A$2-2*B450)))</f>
        <v>0</v>
      </c>
      <c r="F450" s="12">
        <f t="shared" ref="F450:F500" si="68">IF($A$1=0, 0,  ATAN(E450))</f>
        <v>0</v>
      </c>
      <c r="G450" s="122">
        <f t="shared" ref="G450:G500" si="69">B450-D450*SIN(F450)</f>
        <v>0.84325462944558205</v>
      </c>
      <c r="H450" s="122">
        <f t="shared" ref="H450:H500" si="70">C450+D450*COS(F450)</f>
        <v>2.0482737807230127E-2</v>
      </c>
      <c r="I450" s="122">
        <f t="shared" ref="I450:I500" si="71">B450+D450*SIN(F450)</f>
        <v>0.84325462944558205</v>
      </c>
      <c r="J450" s="122">
        <f t="shared" ref="J450:J500" si="72">C450-D450*COS(F450)</f>
        <v>-2.0482737807230127E-2</v>
      </c>
      <c r="K450" s="122"/>
      <c r="Y450" s="126">
        <f t="shared" ref="Y450:Y500" si="73">IF($Z$1, C450, -0.5)</f>
        <v>-0.5</v>
      </c>
    </row>
    <row r="451" spans="2:25" x14ac:dyDescent="0.3">
      <c r="B451" s="12">
        <v>0.84636437845324164</v>
      </c>
      <c r="C451" s="12">
        <f t="shared" si="65"/>
        <v>0</v>
      </c>
      <c r="D451" s="126">
        <f t="shared" si="66"/>
        <v>2.0146554405203604E-2</v>
      </c>
      <c r="E451" s="12">
        <f t="shared" si="67"/>
        <v>0</v>
      </c>
      <c r="F451" s="12">
        <f t="shared" si="68"/>
        <v>0</v>
      </c>
      <c r="G451" s="122">
        <f t="shared" si="69"/>
        <v>0.84636437845324164</v>
      </c>
      <c r="H451" s="122">
        <f t="shared" si="70"/>
        <v>2.0146554405203604E-2</v>
      </c>
      <c r="I451" s="122">
        <f t="shared" si="71"/>
        <v>0.84636437845324164</v>
      </c>
      <c r="J451" s="122">
        <f t="shared" si="72"/>
        <v>-2.0146554405203604E-2</v>
      </c>
      <c r="K451" s="122"/>
      <c r="Y451" s="126">
        <f t="shared" si="73"/>
        <v>-0.5</v>
      </c>
    </row>
    <row r="452" spans="2:25" x14ac:dyDescent="0.3">
      <c r="B452" s="12">
        <v>0.84947564986598656</v>
      </c>
      <c r="C452" s="12">
        <f t="shared" si="65"/>
        <v>0</v>
      </c>
      <c r="D452" s="126">
        <f t="shared" si="66"/>
        <v>1.9808044019673916E-2</v>
      </c>
      <c r="E452" s="12">
        <f t="shared" si="67"/>
        <v>0</v>
      </c>
      <c r="F452" s="12">
        <f t="shared" si="68"/>
        <v>0</v>
      </c>
      <c r="G452" s="122">
        <f t="shared" si="69"/>
        <v>0.84947564986598656</v>
      </c>
      <c r="H452" s="122">
        <f t="shared" si="70"/>
        <v>1.9808044019673916E-2</v>
      </c>
      <c r="I452" s="122">
        <f t="shared" si="71"/>
        <v>0.84947564986598656</v>
      </c>
      <c r="J452" s="122">
        <f t="shared" si="72"/>
        <v>-1.9808044019673916E-2</v>
      </c>
      <c r="K452" s="122"/>
      <c r="Y452" s="126">
        <f t="shared" si="73"/>
        <v>-0.5</v>
      </c>
    </row>
    <row r="453" spans="2:25" x14ac:dyDescent="0.3">
      <c r="B453" s="12">
        <v>0.85258841285362663</v>
      </c>
      <c r="C453" s="12">
        <f t="shared" si="65"/>
        <v>0</v>
      </c>
      <c r="D453" s="126">
        <f t="shared" si="66"/>
        <v>1.9467209499210159E-2</v>
      </c>
      <c r="E453" s="12">
        <f t="shared" si="67"/>
        <v>0</v>
      </c>
      <c r="F453" s="12">
        <f t="shared" si="68"/>
        <v>0</v>
      </c>
      <c r="G453" s="122">
        <f t="shared" si="69"/>
        <v>0.85258841285362663</v>
      </c>
      <c r="H453" s="122">
        <f t="shared" si="70"/>
        <v>1.9467209499210159E-2</v>
      </c>
      <c r="I453" s="122">
        <f t="shared" si="71"/>
        <v>0.85258841285362663</v>
      </c>
      <c r="J453" s="122">
        <f t="shared" si="72"/>
        <v>-1.9467209499210159E-2</v>
      </c>
      <c r="K453" s="122"/>
      <c r="Y453" s="126">
        <f t="shared" si="73"/>
        <v>-0.5</v>
      </c>
    </row>
    <row r="454" spans="2:25" x14ac:dyDescent="0.3">
      <c r="B454" s="12">
        <v>0.85570263657119128</v>
      </c>
      <c r="C454" s="12">
        <f t="shared" si="65"/>
        <v>0</v>
      </c>
      <c r="D454" s="126">
        <f t="shared" si="66"/>
        <v>1.9124053785756906E-2</v>
      </c>
      <c r="E454" s="12">
        <f t="shared" si="67"/>
        <v>0</v>
      </c>
      <c r="F454" s="12">
        <f t="shared" si="68"/>
        <v>0</v>
      </c>
      <c r="G454" s="122">
        <f t="shared" si="69"/>
        <v>0.85570263657119128</v>
      </c>
      <c r="H454" s="122">
        <f t="shared" si="70"/>
        <v>1.9124053785756906E-2</v>
      </c>
      <c r="I454" s="122">
        <f t="shared" si="71"/>
        <v>0.85570263657119128</v>
      </c>
      <c r="J454" s="122">
        <f t="shared" si="72"/>
        <v>-1.9124053785756906E-2</v>
      </c>
      <c r="K454" s="122"/>
      <c r="Y454" s="126">
        <f t="shared" si="73"/>
        <v>-0.5</v>
      </c>
    </row>
    <row r="455" spans="2:25" x14ac:dyDescent="0.3">
      <c r="B455" s="12">
        <v>0.85881829015923528</v>
      </c>
      <c r="C455" s="12">
        <f t="shared" si="65"/>
        <v>0</v>
      </c>
      <c r="D455" s="126">
        <f t="shared" si="66"/>
        <v>1.877857991450043E-2</v>
      </c>
      <c r="E455" s="12">
        <f t="shared" si="67"/>
        <v>0</v>
      </c>
      <c r="F455" s="12">
        <f t="shared" si="68"/>
        <v>0</v>
      </c>
      <c r="G455" s="122">
        <f t="shared" si="69"/>
        <v>0.85881829015923528</v>
      </c>
      <c r="H455" s="122">
        <f t="shared" si="70"/>
        <v>1.877857991450043E-2</v>
      </c>
      <c r="I455" s="122">
        <f t="shared" si="71"/>
        <v>0.85881829015923528</v>
      </c>
      <c r="J455" s="122">
        <f t="shared" si="72"/>
        <v>-1.877857991450043E-2</v>
      </c>
      <c r="K455" s="122"/>
      <c r="Y455" s="126">
        <f t="shared" si="73"/>
        <v>-0.5</v>
      </c>
    </row>
    <row r="456" spans="2:25" x14ac:dyDescent="0.3">
      <c r="B456" s="12">
        <v>0.86193534274414518</v>
      </c>
      <c r="C456" s="12">
        <f t="shared" si="65"/>
        <v>0</v>
      </c>
      <c r="D456" s="126">
        <f t="shared" si="66"/>
        <v>1.8430791013730644E-2</v>
      </c>
      <c r="E456" s="12">
        <f t="shared" si="67"/>
        <v>0</v>
      </c>
      <c r="F456" s="12">
        <f t="shared" si="68"/>
        <v>0</v>
      </c>
      <c r="G456" s="122">
        <f t="shared" si="69"/>
        <v>0.86193534274414518</v>
      </c>
      <c r="H456" s="122">
        <f t="shared" si="70"/>
        <v>1.8430791013730644E-2</v>
      </c>
      <c r="I456" s="122">
        <f t="shared" si="71"/>
        <v>0.86193534274414518</v>
      </c>
      <c r="J456" s="122">
        <f t="shared" si="72"/>
        <v>-1.8430791013730644E-2</v>
      </c>
      <c r="K456" s="122"/>
      <c r="Y456" s="126">
        <f t="shared" si="73"/>
        <v>-0.5</v>
      </c>
    </row>
    <row r="457" spans="2:25" x14ac:dyDescent="0.3">
      <c r="B457" s="12">
        <v>0.86505376343844365</v>
      </c>
      <c r="C457" s="12">
        <f t="shared" si="65"/>
        <v>0</v>
      </c>
      <c r="D457" s="126">
        <f t="shared" si="66"/>
        <v>1.8080690304699051E-2</v>
      </c>
      <c r="E457" s="12">
        <f t="shared" si="67"/>
        <v>0</v>
      </c>
      <c r="F457" s="12">
        <f t="shared" si="68"/>
        <v>0</v>
      </c>
      <c r="G457" s="122">
        <f t="shared" si="69"/>
        <v>0.86505376343844365</v>
      </c>
      <c r="H457" s="122">
        <f t="shared" si="70"/>
        <v>1.8080690304699051E-2</v>
      </c>
      <c r="I457" s="122">
        <f t="shared" si="71"/>
        <v>0.86505376343844365</v>
      </c>
      <c r="J457" s="122">
        <f t="shared" si="72"/>
        <v>-1.8080690304699051E-2</v>
      </c>
      <c r="K457" s="122"/>
      <c r="Y457" s="126">
        <f t="shared" si="73"/>
        <v>-0.5</v>
      </c>
    </row>
    <row r="458" spans="2:25" x14ac:dyDescent="0.3">
      <c r="B458" s="12">
        <v>0.86817352134109738</v>
      </c>
      <c r="C458" s="12">
        <f t="shared" si="65"/>
        <v>0</v>
      </c>
      <c r="D458" s="126">
        <f t="shared" si="66"/>
        <v>1.7728281101472055E-2</v>
      </c>
      <c r="E458" s="12">
        <f t="shared" si="67"/>
        <v>0</v>
      </c>
      <c r="F458" s="12">
        <f t="shared" si="68"/>
        <v>0</v>
      </c>
      <c r="G458" s="122">
        <f t="shared" si="69"/>
        <v>0.86817352134109738</v>
      </c>
      <c r="H458" s="122">
        <f t="shared" si="70"/>
        <v>1.7728281101472055E-2</v>
      </c>
      <c r="I458" s="122">
        <f t="shared" si="71"/>
        <v>0.86817352134109738</v>
      </c>
      <c r="J458" s="122">
        <f t="shared" si="72"/>
        <v>-1.7728281101472055E-2</v>
      </c>
      <c r="K458" s="122"/>
      <c r="Y458" s="126">
        <f t="shared" si="73"/>
        <v>-0.5</v>
      </c>
    </row>
    <row r="459" spans="2:25" x14ac:dyDescent="0.3">
      <c r="B459" s="12">
        <v>0.87129458553782158</v>
      </c>
      <c r="C459" s="12">
        <f t="shared" si="65"/>
        <v>0</v>
      </c>
      <c r="D459" s="126">
        <f t="shared" si="66"/>
        <v>1.7373566810780505E-2</v>
      </c>
      <c r="E459" s="12">
        <f t="shared" si="67"/>
        <v>0</v>
      </c>
      <c r="F459" s="12">
        <f t="shared" si="68"/>
        <v>0</v>
      </c>
      <c r="G459" s="122">
        <f t="shared" si="69"/>
        <v>0.87129458553782158</v>
      </c>
      <c r="H459" s="122">
        <f t="shared" si="70"/>
        <v>1.7373566810780505E-2</v>
      </c>
      <c r="I459" s="122">
        <f t="shared" si="71"/>
        <v>0.87129458553782158</v>
      </c>
      <c r="J459" s="122">
        <f t="shared" si="72"/>
        <v>-1.7373566810780505E-2</v>
      </c>
      <c r="K459" s="122"/>
      <c r="Y459" s="126">
        <f t="shared" si="73"/>
        <v>-0.5</v>
      </c>
    </row>
    <row r="460" spans="2:25" x14ac:dyDescent="0.3">
      <c r="B460" s="12">
        <v>0.87441692510138791</v>
      </c>
      <c r="C460" s="12">
        <f t="shared" si="65"/>
        <v>0</v>
      </c>
      <c r="D460" s="126">
        <f t="shared" si="66"/>
        <v>1.7016550931864653E-2</v>
      </c>
      <c r="E460" s="12">
        <f t="shared" si="67"/>
        <v>0</v>
      </c>
      <c r="F460" s="12">
        <f t="shared" si="68"/>
        <v>0</v>
      </c>
      <c r="G460" s="122">
        <f t="shared" si="69"/>
        <v>0.87441692510138791</v>
      </c>
      <c r="H460" s="122">
        <f t="shared" si="70"/>
        <v>1.7016550931864653E-2</v>
      </c>
      <c r="I460" s="122">
        <f t="shared" si="71"/>
        <v>0.87441692510138791</v>
      </c>
      <c r="J460" s="122">
        <f t="shared" si="72"/>
        <v>-1.7016550931864653E-2</v>
      </c>
      <c r="K460" s="122"/>
      <c r="Y460" s="126">
        <f t="shared" si="73"/>
        <v>-0.5</v>
      </c>
    </row>
    <row r="461" spans="2:25" x14ac:dyDescent="0.3">
      <c r="B461" s="12">
        <v>0.87754050909192971</v>
      </c>
      <c r="C461" s="12">
        <f t="shared" si="65"/>
        <v>0</v>
      </c>
      <c r="D461" s="126">
        <f t="shared" si="66"/>
        <v>1.6657237056315277E-2</v>
      </c>
      <c r="E461" s="12">
        <f t="shared" si="67"/>
        <v>0</v>
      </c>
      <c r="F461" s="12">
        <f t="shared" si="68"/>
        <v>0</v>
      </c>
      <c r="G461" s="122">
        <f t="shared" si="69"/>
        <v>0.87754050909192971</v>
      </c>
      <c r="H461" s="122">
        <f t="shared" si="70"/>
        <v>1.6657237056315277E-2</v>
      </c>
      <c r="I461" s="122">
        <f t="shared" si="71"/>
        <v>0.87754050909192971</v>
      </c>
      <c r="J461" s="122">
        <f t="shared" si="72"/>
        <v>-1.6657237056315277E-2</v>
      </c>
      <c r="K461" s="122"/>
      <c r="Y461" s="126">
        <f t="shared" si="73"/>
        <v>-0.5</v>
      </c>
    </row>
    <row r="462" spans="2:25" x14ac:dyDescent="0.3">
      <c r="B462" s="12">
        <v>0.88066530655724884</v>
      </c>
      <c r="C462" s="12">
        <f t="shared" si="65"/>
        <v>0</v>
      </c>
      <c r="D462" s="126">
        <f t="shared" si="66"/>
        <v>1.6295628867910444E-2</v>
      </c>
      <c r="E462" s="12">
        <f t="shared" si="67"/>
        <v>0</v>
      </c>
      <c r="F462" s="12">
        <f t="shared" si="68"/>
        <v>0</v>
      </c>
      <c r="G462" s="122">
        <f t="shared" si="69"/>
        <v>0.88066530655724884</v>
      </c>
      <c r="H462" s="122">
        <f t="shared" si="70"/>
        <v>1.6295628867910444E-2</v>
      </c>
      <c r="I462" s="122">
        <f t="shared" si="71"/>
        <v>0.88066530655724884</v>
      </c>
      <c r="J462" s="122">
        <f t="shared" si="72"/>
        <v>-1.6295628867910444E-2</v>
      </c>
      <c r="K462" s="122"/>
      <c r="Y462" s="126">
        <f t="shared" si="73"/>
        <v>-0.5</v>
      </c>
    </row>
    <row r="463" spans="2:25" x14ac:dyDescent="0.3">
      <c r="B463" s="12">
        <v>0.88379128653312367</v>
      </c>
      <c r="C463" s="12">
        <f t="shared" si="65"/>
        <v>0</v>
      </c>
      <c r="D463" s="126">
        <f t="shared" si="66"/>
        <v>1.5931730142448069E-2</v>
      </c>
      <c r="E463" s="12">
        <f t="shared" si="67"/>
        <v>0</v>
      </c>
      <c r="F463" s="12">
        <f t="shared" si="68"/>
        <v>0</v>
      </c>
      <c r="G463" s="122">
        <f t="shared" si="69"/>
        <v>0.88379128653312367</v>
      </c>
      <c r="H463" s="122">
        <f t="shared" si="70"/>
        <v>1.5931730142448069E-2</v>
      </c>
      <c r="I463" s="122">
        <f t="shared" si="71"/>
        <v>0.88379128653312367</v>
      </c>
      <c r="J463" s="122">
        <f t="shared" si="72"/>
        <v>-1.5931730142448069E-2</v>
      </c>
      <c r="K463" s="122"/>
      <c r="Y463" s="126">
        <f t="shared" si="73"/>
        <v>-0.5</v>
      </c>
    </row>
    <row r="464" spans="2:25" x14ac:dyDescent="0.3">
      <c r="B464" s="12">
        <v>0.88691841804361304</v>
      </c>
      <c r="C464" s="12">
        <f t="shared" si="65"/>
        <v>0</v>
      </c>
      <c r="D464" s="126">
        <f t="shared" si="66"/>
        <v>1.5565544747574813E-2</v>
      </c>
      <c r="E464" s="12">
        <f t="shared" si="67"/>
        <v>0</v>
      </c>
      <c r="F464" s="12">
        <f t="shared" si="68"/>
        <v>0</v>
      </c>
      <c r="G464" s="122">
        <f t="shared" si="69"/>
        <v>0.88691841804361304</v>
      </c>
      <c r="H464" s="122">
        <f t="shared" si="70"/>
        <v>1.5565544747574813E-2</v>
      </c>
      <c r="I464" s="122">
        <f t="shared" si="71"/>
        <v>0.88691841804361304</v>
      </c>
      <c r="J464" s="122">
        <f t="shared" si="72"/>
        <v>-1.5565544747574813E-2</v>
      </c>
      <c r="K464" s="122"/>
      <c r="Y464" s="126">
        <f t="shared" si="73"/>
        <v>-0.5</v>
      </c>
    </row>
    <row r="465" spans="2:25" x14ac:dyDescent="0.3">
      <c r="B465" s="12">
        <v>0.89004667010136695</v>
      </c>
      <c r="C465" s="12">
        <f t="shared" si="65"/>
        <v>0</v>
      </c>
      <c r="D465" s="126">
        <f t="shared" si="66"/>
        <v>1.5197076642610108E-2</v>
      </c>
      <c r="E465" s="12">
        <f t="shared" si="67"/>
        <v>0</v>
      </c>
      <c r="F465" s="12">
        <f t="shared" si="68"/>
        <v>0</v>
      </c>
      <c r="G465" s="122">
        <f t="shared" si="69"/>
        <v>0.89004667010136695</v>
      </c>
      <c r="H465" s="122">
        <f t="shared" si="70"/>
        <v>1.5197076642610108E-2</v>
      </c>
      <c r="I465" s="122">
        <f t="shared" si="71"/>
        <v>0.89004667010136695</v>
      </c>
      <c r="J465" s="122">
        <f t="shared" si="72"/>
        <v>-1.5197076642610108E-2</v>
      </c>
      <c r="K465" s="122"/>
      <c r="Y465" s="126">
        <f t="shared" si="73"/>
        <v>-0.5</v>
      </c>
    </row>
    <row r="466" spans="2:25" x14ac:dyDescent="0.3">
      <c r="B466" s="12">
        <v>0.89317601170793026</v>
      </c>
      <c r="C466" s="12">
        <f t="shared" si="65"/>
        <v>0</v>
      </c>
      <c r="D466" s="126">
        <f t="shared" si="66"/>
        <v>1.482632987836693E-2</v>
      </c>
      <c r="E466" s="12">
        <f t="shared" si="67"/>
        <v>0</v>
      </c>
      <c r="F466" s="12">
        <f t="shared" si="68"/>
        <v>0</v>
      </c>
      <c r="G466" s="122">
        <f t="shared" si="69"/>
        <v>0.89317601170793026</v>
      </c>
      <c r="H466" s="122">
        <f t="shared" si="70"/>
        <v>1.482632987836693E-2</v>
      </c>
      <c r="I466" s="122">
        <f t="shared" si="71"/>
        <v>0.89317601170793026</v>
      </c>
      <c r="J466" s="122">
        <f t="shared" si="72"/>
        <v>-1.482632987836693E-2</v>
      </c>
      <c r="K466" s="122"/>
      <c r="Y466" s="126">
        <f t="shared" si="73"/>
        <v>-0.5</v>
      </c>
    </row>
    <row r="467" spans="2:25" x14ac:dyDescent="0.3">
      <c r="B467" s="12">
        <v>0.89630641185405224</v>
      </c>
      <c r="C467" s="12">
        <f t="shared" si="65"/>
        <v>0</v>
      </c>
      <c r="D467" s="126">
        <f t="shared" si="66"/>
        <v>1.4453308596967836E-2</v>
      </c>
      <c r="E467" s="12">
        <f t="shared" si="67"/>
        <v>0</v>
      </c>
      <c r="F467" s="12">
        <f t="shared" si="68"/>
        <v>0</v>
      </c>
      <c r="G467" s="122">
        <f t="shared" si="69"/>
        <v>0.89630641185405224</v>
      </c>
      <c r="H467" s="122">
        <f t="shared" si="70"/>
        <v>1.4453308596967836E-2</v>
      </c>
      <c r="I467" s="122">
        <f t="shared" si="71"/>
        <v>0.89630641185405224</v>
      </c>
      <c r="J467" s="122">
        <f t="shared" si="72"/>
        <v>-1.4453308596967836E-2</v>
      </c>
      <c r="K467" s="122"/>
      <c r="Y467" s="126">
        <f t="shared" si="73"/>
        <v>-0.5</v>
      </c>
    </row>
    <row r="468" spans="2:25" x14ac:dyDescent="0.3">
      <c r="B468" s="12">
        <v>0.8994378395199919</v>
      </c>
      <c r="C468" s="12">
        <f t="shared" si="65"/>
        <v>0</v>
      </c>
      <c r="D468" s="126">
        <f t="shared" si="66"/>
        <v>1.4078017031657491E-2</v>
      </c>
      <c r="E468" s="12">
        <f t="shared" si="67"/>
        <v>0</v>
      </c>
      <c r="F468" s="12">
        <f t="shared" si="68"/>
        <v>0</v>
      </c>
      <c r="G468" s="122">
        <f t="shared" si="69"/>
        <v>0.8994378395199919</v>
      </c>
      <c r="H468" s="122">
        <f t="shared" si="70"/>
        <v>1.4078017031657491E-2</v>
      </c>
      <c r="I468" s="122">
        <f t="shared" si="71"/>
        <v>0.8994378395199919</v>
      </c>
      <c r="J468" s="122">
        <f t="shared" si="72"/>
        <v>-1.4078017031657491E-2</v>
      </c>
      <c r="K468" s="122"/>
      <c r="Y468" s="126">
        <f t="shared" si="73"/>
        <v>-0.5</v>
      </c>
    </row>
    <row r="469" spans="2:25" x14ac:dyDescent="0.3">
      <c r="B469" s="12">
        <v>0.9025702636758276</v>
      </c>
      <c r="C469" s="12">
        <f t="shared" si="65"/>
        <v>0</v>
      </c>
      <c r="D469" s="126">
        <f t="shared" si="66"/>
        <v>1.3700459506610649E-2</v>
      </c>
      <c r="E469" s="12">
        <f t="shared" si="67"/>
        <v>0</v>
      </c>
      <c r="F469" s="12">
        <f t="shared" si="68"/>
        <v>0</v>
      </c>
      <c r="G469" s="122">
        <f t="shared" si="69"/>
        <v>0.9025702636758276</v>
      </c>
      <c r="H469" s="122">
        <f t="shared" si="70"/>
        <v>1.3700459506610649E-2</v>
      </c>
      <c r="I469" s="122">
        <f t="shared" si="71"/>
        <v>0.9025702636758276</v>
      </c>
      <c r="J469" s="122">
        <f t="shared" si="72"/>
        <v>-1.3700459506610649E-2</v>
      </c>
      <c r="K469" s="122"/>
      <c r="Y469" s="126">
        <f t="shared" si="73"/>
        <v>-0.5</v>
      </c>
    </row>
    <row r="470" spans="2:25" x14ac:dyDescent="0.3">
      <c r="B470" s="12">
        <v>0.90570365328176206</v>
      </c>
      <c r="C470" s="12">
        <f t="shared" si="65"/>
        <v>0</v>
      </c>
      <c r="D470" s="126">
        <f t="shared" si="66"/>
        <v>1.3320640436736692E-2</v>
      </c>
      <c r="E470" s="12">
        <f t="shared" si="67"/>
        <v>0</v>
      </c>
      <c r="F470" s="12">
        <f t="shared" si="68"/>
        <v>0</v>
      </c>
      <c r="G470" s="122">
        <f t="shared" si="69"/>
        <v>0.90570365328176206</v>
      </c>
      <c r="H470" s="122">
        <f t="shared" si="70"/>
        <v>1.3320640436736692E-2</v>
      </c>
      <c r="I470" s="122">
        <f t="shared" si="71"/>
        <v>0.90570365328176206</v>
      </c>
      <c r="J470" s="122">
        <f t="shared" si="72"/>
        <v>-1.3320640436736692E-2</v>
      </c>
      <c r="K470" s="122"/>
      <c r="Y470" s="126">
        <f t="shared" si="73"/>
        <v>-0.5</v>
      </c>
    </row>
    <row r="471" spans="2:25" x14ac:dyDescent="0.3">
      <c r="B471" s="12">
        <v>0.90883797728843208</v>
      </c>
      <c r="C471" s="12">
        <f t="shared" si="65"/>
        <v>0</v>
      </c>
      <c r="D471" s="126">
        <f t="shared" si="66"/>
        <v>1.2938564327479644E-2</v>
      </c>
      <c r="E471" s="12">
        <f t="shared" si="67"/>
        <v>0</v>
      </c>
      <c r="F471" s="12">
        <f t="shared" si="68"/>
        <v>0</v>
      </c>
      <c r="G471" s="122">
        <f t="shared" si="69"/>
        <v>0.90883797728843208</v>
      </c>
      <c r="H471" s="122">
        <f t="shared" si="70"/>
        <v>1.2938564327479644E-2</v>
      </c>
      <c r="I471" s="122">
        <f t="shared" si="71"/>
        <v>0.90883797728843208</v>
      </c>
      <c r="J471" s="122">
        <f t="shared" si="72"/>
        <v>-1.2938564327479644E-2</v>
      </c>
      <c r="K471" s="122"/>
      <c r="Y471" s="126">
        <f t="shared" si="73"/>
        <v>-0.5</v>
      </c>
    </row>
    <row r="472" spans="2:25" x14ac:dyDescent="0.3">
      <c r="B472" s="12">
        <v>0.91197320463721476</v>
      </c>
      <c r="C472" s="12">
        <f t="shared" si="65"/>
        <v>0</v>
      </c>
      <c r="D472" s="126">
        <f t="shared" si="66"/>
        <v>1.2554235774614637E-2</v>
      </c>
      <c r="E472" s="12">
        <f t="shared" si="67"/>
        <v>0</v>
      </c>
      <c r="F472" s="12">
        <f t="shared" si="68"/>
        <v>0</v>
      </c>
      <c r="G472" s="122">
        <f t="shared" si="69"/>
        <v>0.91197320463721476</v>
      </c>
      <c r="H472" s="122">
        <f t="shared" si="70"/>
        <v>1.2554235774614637E-2</v>
      </c>
      <c r="I472" s="122">
        <f t="shared" si="71"/>
        <v>0.91197320463721476</v>
      </c>
      <c r="J472" s="122">
        <f t="shared" si="72"/>
        <v>-1.2554235774614637E-2</v>
      </c>
      <c r="K472" s="122"/>
      <c r="Y472" s="126">
        <f t="shared" si="73"/>
        <v>-0.5</v>
      </c>
    </row>
    <row r="473" spans="2:25" x14ac:dyDescent="0.3">
      <c r="B473" s="12">
        <v>0.91510930426053605</v>
      </c>
      <c r="C473" s="12">
        <f t="shared" si="65"/>
        <v>0</v>
      </c>
      <c r="D473" s="126">
        <f t="shared" si="66"/>
        <v>1.2167659464040182E-2</v>
      </c>
      <c r="E473" s="12">
        <f t="shared" si="67"/>
        <v>0</v>
      </c>
      <c r="F473" s="12">
        <f t="shared" si="68"/>
        <v>0</v>
      </c>
      <c r="G473" s="122">
        <f t="shared" si="69"/>
        <v>0.91510930426053605</v>
      </c>
      <c r="H473" s="122">
        <f t="shared" si="70"/>
        <v>1.2167659464040182E-2</v>
      </c>
      <c r="I473" s="122">
        <f t="shared" si="71"/>
        <v>0.91510930426053605</v>
      </c>
      <c r="J473" s="122">
        <f t="shared" si="72"/>
        <v>-1.2167659464040182E-2</v>
      </c>
      <c r="K473" s="122"/>
      <c r="Y473" s="126">
        <f t="shared" si="73"/>
        <v>-0.5</v>
      </c>
    </row>
    <row r="474" spans="2:25" x14ac:dyDescent="0.3">
      <c r="B474" s="12">
        <v>0.91824624508217823</v>
      </c>
      <c r="C474" s="12">
        <f t="shared" si="65"/>
        <v>0</v>
      </c>
      <c r="D474" s="126">
        <f t="shared" si="66"/>
        <v>1.1778840171566612E-2</v>
      </c>
      <c r="E474" s="12">
        <f t="shared" si="67"/>
        <v>0</v>
      </c>
      <c r="F474" s="12">
        <f t="shared" si="68"/>
        <v>0</v>
      </c>
      <c r="G474" s="122">
        <f t="shared" si="69"/>
        <v>0.91824624508217823</v>
      </c>
      <c r="H474" s="122">
        <f t="shared" si="70"/>
        <v>1.1778840171566612E-2</v>
      </c>
      <c r="I474" s="122">
        <f t="shared" si="71"/>
        <v>0.91824624508217823</v>
      </c>
      <c r="J474" s="122">
        <f t="shared" si="72"/>
        <v>-1.1778840171566612E-2</v>
      </c>
      <c r="K474" s="122"/>
      <c r="Y474" s="126">
        <f t="shared" si="73"/>
        <v>-0.5</v>
      </c>
    </row>
    <row r="475" spans="2:25" x14ac:dyDescent="0.3">
      <c r="B475" s="12">
        <v>0.92138399601758791</v>
      </c>
      <c r="C475" s="12">
        <f t="shared" si="65"/>
        <v>0</v>
      </c>
      <c r="D475" s="126">
        <f t="shared" si="66"/>
        <v>1.1387782762700631E-2</v>
      </c>
      <c r="E475" s="12">
        <f t="shared" si="67"/>
        <v>0</v>
      </c>
      <c r="F475" s="12">
        <f t="shared" si="68"/>
        <v>0</v>
      </c>
      <c r="G475" s="122">
        <f t="shared" si="69"/>
        <v>0.92138399601758791</v>
      </c>
      <c r="H475" s="122">
        <f t="shared" si="70"/>
        <v>1.1387782762700631E-2</v>
      </c>
      <c r="I475" s="122">
        <f t="shared" si="71"/>
        <v>0.92138399601758791</v>
      </c>
      <c r="J475" s="122">
        <f t="shared" si="72"/>
        <v>-1.1387782762700631E-2</v>
      </c>
      <c r="K475" s="122"/>
      <c r="Y475" s="126">
        <f t="shared" si="73"/>
        <v>-0.5</v>
      </c>
    </row>
    <row r="476" spans="2:25" x14ac:dyDescent="0.3">
      <c r="B476" s="12">
        <v>0.92452252597418461</v>
      </c>
      <c r="C476" s="12">
        <f t="shared" si="65"/>
        <v>0</v>
      </c>
      <c r="D476" s="126">
        <f t="shared" si="66"/>
        <v>1.0994492192425849E-2</v>
      </c>
      <c r="E476" s="12">
        <f t="shared" si="67"/>
        <v>0</v>
      </c>
      <c r="F476" s="12">
        <f t="shared" si="68"/>
        <v>0</v>
      </c>
      <c r="G476" s="122">
        <f t="shared" si="69"/>
        <v>0.92452252597418461</v>
      </c>
      <c r="H476" s="122">
        <f t="shared" si="70"/>
        <v>1.0994492192425849E-2</v>
      </c>
      <c r="I476" s="122">
        <f t="shared" si="71"/>
        <v>0.92452252597418461</v>
      </c>
      <c r="J476" s="122">
        <f t="shared" si="72"/>
        <v>-1.0994492192425849E-2</v>
      </c>
      <c r="K476" s="122"/>
      <c r="Y476" s="126">
        <f t="shared" si="73"/>
        <v>-0.5</v>
      </c>
    </row>
    <row r="477" spans="2:25" x14ac:dyDescent="0.3">
      <c r="B477" s="12">
        <v>0.92766180385166763</v>
      </c>
      <c r="C477" s="12">
        <f t="shared" si="65"/>
        <v>0</v>
      </c>
      <c r="D477" s="126">
        <f t="shared" si="66"/>
        <v>1.0598973504979728E-2</v>
      </c>
      <c r="E477" s="12">
        <f t="shared" si="67"/>
        <v>0</v>
      </c>
      <c r="F477" s="12">
        <f t="shared" si="68"/>
        <v>0</v>
      </c>
      <c r="G477" s="122">
        <f t="shared" si="69"/>
        <v>0.92766180385166763</v>
      </c>
      <c r="H477" s="122">
        <f t="shared" si="70"/>
        <v>1.0598973504979728E-2</v>
      </c>
      <c r="I477" s="122">
        <f t="shared" si="71"/>
        <v>0.92766180385166763</v>
      </c>
      <c r="J477" s="122">
        <f t="shared" si="72"/>
        <v>-1.0598973504979728E-2</v>
      </c>
      <c r="K477" s="122"/>
      <c r="Y477" s="126">
        <f t="shared" si="73"/>
        <v>-0.5</v>
      </c>
    </row>
    <row r="478" spans="2:25" x14ac:dyDescent="0.3">
      <c r="B478" s="12">
        <v>0.93080179854232581</v>
      </c>
      <c r="C478" s="12">
        <f t="shared" si="65"/>
        <v>0</v>
      </c>
      <c r="D478" s="126">
        <f t="shared" si="66"/>
        <v>1.0201231833626298E-2</v>
      </c>
      <c r="E478" s="12">
        <f t="shared" si="67"/>
        <v>0</v>
      </c>
      <c r="F478" s="12">
        <f t="shared" si="68"/>
        <v>0</v>
      </c>
      <c r="G478" s="122">
        <f t="shared" si="69"/>
        <v>0.93080179854232581</v>
      </c>
      <c r="H478" s="122">
        <f t="shared" si="70"/>
        <v>1.0201231833626298E-2</v>
      </c>
      <c r="I478" s="122">
        <f t="shared" si="71"/>
        <v>0.93080179854232581</v>
      </c>
      <c r="J478" s="122">
        <f t="shared" si="72"/>
        <v>-1.0201231833626298E-2</v>
      </c>
      <c r="K478" s="122"/>
      <c r="Y478" s="126">
        <f t="shared" si="73"/>
        <v>-0.5</v>
      </c>
    </row>
    <row r="479" spans="2:25" x14ac:dyDescent="0.3">
      <c r="B479" s="12">
        <v>0.93394247893134419</v>
      </c>
      <c r="C479" s="12">
        <f t="shared" si="65"/>
        <v>0</v>
      </c>
      <c r="D479" s="126">
        <f t="shared" si="66"/>
        <v>9.8012724004254616E-3</v>
      </c>
      <c r="E479" s="12">
        <f t="shared" si="67"/>
        <v>0</v>
      </c>
      <c r="F479" s="12">
        <f t="shared" si="68"/>
        <v>0</v>
      </c>
      <c r="G479" s="122">
        <f t="shared" si="69"/>
        <v>0.93394247893134419</v>
      </c>
      <c r="H479" s="122">
        <f t="shared" si="70"/>
        <v>9.8012724004254616E-3</v>
      </c>
      <c r="I479" s="122">
        <f t="shared" si="71"/>
        <v>0.93394247893134419</v>
      </c>
      <c r="J479" s="122">
        <f t="shared" si="72"/>
        <v>-9.8012724004254616E-3</v>
      </c>
      <c r="K479" s="122"/>
      <c r="Y479" s="126">
        <f t="shared" si="73"/>
        <v>-0.5</v>
      </c>
    </row>
    <row r="480" spans="2:25" x14ac:dyDescent="0.3">
      <c r="B480" s="12">
        <v>0.9370838138971137</v>
      </c>
      <c r="C480" s="12">
        <f t="shared" si="65"/>
        <v>0</v>
      </c>
      <c r="D480" s="126">
        <f t="shared" si="66"/>
        <v>9.3991005159981267E-3</v>
      </c>
      <c r="E480" s="12">
        <f t="shared" si="67"/>
        <v>0</v>
      </c>
      <c r="F480" s="12">
        <f t="shared" si="68"/>
        <v>0</v>
      </c>
      <c r="G480" s="122">
        <f t="shared" si="69"/>
        <v>0.9370838138971137</v>
      </c>
      <c r="H480" s="122">
        <f t="shared" si="70"/>
        <v>9.3991005159981267E-3</v>
      </c>
      <c r="I480" s="122">
        <f t="shared" si="71"/>
        <v>0.9370838138971137</v>
      </c>
      <c r="J480" s="122">
        <f t="shared" si="72"/>
        <v>-9.3991005159981267E-3</v>
      </c>
      <c r="K480" s="122"/>
      <c r="Y480" s="126">
        <f t="shared" si="73"/>
        <v>-0.5</v>
      </c>
    </row>
    <row r="481" spans="2:25" x14ac:dyDescent="0.3">
      <c r="B481" s="12">
        <v>0.94022577231153837</v>
      </c>
      <c r="C481" s="12">
        <f t="shared" si="65"/>
        <v>0</v>
      </c>
      <c r="D481" s="126">
        <f t="shared" si="66"/>
        <v>8.9947215792878822E-3</v>
      </c>
      <c r="E481" s="12">
        <f t="shared" si="67"/>
        <v>0</v>
      </c>
      <c r="F481" s="12">
        <f t="shared" si="68"/>
        <v>0</v>
      </c>
      <c r="G481" s="122">
        <f t="shared" si="69"/>
        <v>0.94022577231153837</v>
      </c>
      <c r="H481" s="122">
        <f t="shared" si="70"/>
        <v>8.9947215792878822E-3</v>
      </c>
      <c r="I481" s="122">
        <f t="shared" si="71"/>
        <v>0.94022577231153837</v>
      </c>
      <c r="J481" s="122">
        <f t="shared" si="72"/>
        <v>-8.9947215792878822E-3</v>
      </c>
      <c r="K481" s="122"/>
      <c r="Y481" s="126">
        <f t="shared" si="73"/>
        <v>-0.5</v>
      </c>
    </row>
    <row r="482" spans="2:25" x14ac:dyDescent="0.3">
      <c r="B482" s="12">
        <v>0.94336832304034501</v>
      </c>
      <c r="C482" s="12">
        <f t="shared" si="65"/>
        <v>0</v>
      </c>
      <c r="D482" s="126">
        <f t="shared" si="66"/>
        <v>8.5881410773185965E-3</v>
      </c>
      <c r="E482" s="12">
        <f t="shared" si="67"/>
        <v>0</v>
      </c>
      <c r="F482" s="12">
        <f t="shared" si="68"/>
        <v>0</v>
      </c>
      <c r="G482" s="122">
        <f t="shared" si="69"/>
        <v>0.94336832304034501</v>
      </c>
      <c r="H482" s="122">
        <f t="shared" si="70"/>
        <v>8.5881410773185965E-3</v>
      </c>
      <c r="I482" s="122">
        <f t="shared" si="71"/>
        <v>0.94336832304034501</v>
      </c>
      <c r="J482" s="122">
        <f t="shared" si="72"/>
        <v>-8.5881410773185965E-3</v>
      </c>
      <c r="K482" s="122"/>
      <c r="Y482" s="126">
        <f t="shared" si="73"/>
        <v>-0.5</v>
      </c>
    </row>
    <row r="483" spans="2:25" x14ac:dyDescent="0.3">
      <c r="B483" s="12">
        <v>0.94651143494339052</v>
      </c>
      <c r="C483" s="12">
        <f t="shared" si="65"/>
        <v>0</v>
      </c>
      <c r="D483" s="126">
        <f t="shared" si="66"/>
        <v>8.1793645849486049E-3</v>
      </c>
      <c r="E483" s="12">
        <f t="shared" si="67"/>
        <v>0</v>
      </c>
      <c r="F483" s="12">
        <f t="shared" si="68"/>
        <v>0</v>
      </c>
      <c r="G483" s="122">
        <f t="shared" si="69"/>
        <v>0.94651143494339052</v>
      </c>
      <c r="H483" s="122">
        <f t="shared" si="70"/>
        <v>8.1793645849486049E-3</v>
      </c>
      <c r="I483" s="122">
        <f t="shared" si="71"/>
        <v>0.94651143494339052</v>
      </c>
      <c r="J483" s="122">
        <f t="shared" si="72"/>
        <v>-8.1793645849486049E-3</v>
      </c>
      <c r="K483" s="122"/>
      <c r="Y483" s="126">
        <f t="shared" si="73"/>
        <v>-0.5</v>
      </c>
    </row>
    <row r="484" spans="2:25" x14ac:dyDescent="0.3">
      <c r="B484" s="12">
        <v>0.9496550768749713</v>
      </c>
      <c r="C484" s="12">
        <f t="shared" si="65"/>
        <v>0</v>
      </c>
      <c r="D484" s="126">
        <f t="shared" si="66"/>
        <v>7.7683977646209081E-3</v>
      </c>
      <c r="E484" s="12">
        <f t="shared" si="67"/>
        <v>0</v>
      </c>
      <c r="F484" s="12">
        <f t="shared" si="68"/>
        <v>0</v>
      </c>
      <c r="G484" s="122">
        <f t="shared" si="69"/>
        <v>0.9496550768749713</v>
      </c>
      <c r="H484" s="122">
        <f t="shared" si="70"/>
        <v>7.7683977646209081E-3</v>
      </c>
      <c r="I484" s="122">
        <f t="shared" si="71"/>
        <v>0.9496550768749713</v>
      </c>
      <c r="J484" s="122">
        <f t="shared" si="72"/>
        <v>-7.7683977646209081E-3</v>
      </c>
      <c r="K484" s="122"/>
      <c r="Y484" s="126">
        <f t="shared" si="73"/>
        <v>-0.5</v>
      </c>
    </row>
    <row r="485" spans="2:25" x14ac:dyDescent="0.3">
      <c r="B485" s="12">
        <v>0.95279921768413134</v>
      </c>
      <c r="C485" s="12">
        <f t="shared" si="65"/>
        <v>0</v>
      </c>
      <c r="D485" s="126">
        <f t="shared" si="66"/>
        <v>7.3552463661098692E-3</v>
      </c>
      <c r="E485" s="12">
        <f t="shared" si="67"/>
        <v>0</v>
      </c>
      <c r="F485" s="12">
        <f t="shared" si="68"/>
        <v>0</v>
      </c>
      <c r="G485" s="122">
        <f t="shared" si="69"/>
        <v>0.95279921768413134</v>
      </c>
      <c r="H485" s="122">
        <f t="shared" si="70"/>
        <v>7.3552463661098692E-3</v>
      </c>
      <c r="I485" s="122">
        <f t="shared" si="71"/>
        <v>0.95279921768413134</v>
      </c>
      <c r="J485" s="122">
        <f t="shared" si="72"/>
        <v>-7.3552463661098692E-3</v>
      </c>
      <c r="K485" s="122"/>
      <c r="Y485" s="126">
        <f t="shared" si="73"/>
        <v>-0.5</v>
      </c>
    </row>
    <row r="486" spans="2:25" x14ac:dyDescent="0.3">
      <c r="B486" s="12">
        <v>0.9559438262149712</v>
      </c>
      <c r="C486" s="12">
        <f t="shared" si="65"/>
        <v>0</v>
      </c>
      <c r="D486" s="126">
        <f t="shared" si="66"/>
        <v>6.9399162262641133E-3</v>
      </c>
      <c r="E486" s="12">
        <f t="shared" si="67"/>
        <v>0</v>
      </c>
      <c r="F486" s="12">
        <f t="shared" si="68"/>
        <v>0</v>
      </c>
      <c r="G486" s="122">
        <f t="shared" si="69"/>
        <v>0.9559438262149712</v>
      </c>
      <c r="H486" s="122">
        <f t="shared" si="70"/>
        <v>6.9399162262641133E-3</v>
      </c>
      <c r="I486" s="122">
        <f t="shared" si="71"/>
        <v>0.9559438262149712</v>
      </c>
      <c r="J486" s="122">
        <f t="shared" si="72"/>
        <v>-6.9399162262641133E-3</v>
      </c>
      <c r="K486" s="122"/>
      <c r="Y486" s="126">
        <f t="shared" si="73"/>
        <v>-0.5</v>
      </c>
    </row>
    <row r="487" spans="2:25" x14ac:dyDescent="0.3">
      <c r="B487" s="12">
        <v>0.95908887130695719</v>
      </c>
      <c r="C487" s="12">
        <f t="shared" si="65"/>
        <v>0</v>
      </c>
      <c r="D487" s="126">
        <f t="shared" si="66"/>
        <v>6.5224132687457708E-3</v>
      </c>
      <c r="E487" s="12">
        <f t="shared" si="67"/>
        <v>0</v>
      </c>
      <c r="F487" s="12">
        <f t="shared" si="68"/>
        <v>0</v>
      </c>
      <c r="G487" s="122">
        <f t="shared" si="69"/>
        <v>0.95908887130695719</v>
      </c>
      <c r="H487" s="122">
        <f t="shared" si="70"/>
        <v>6.5224132687457708E-3</v>
      </c>
      <c r="I487" s="122">
        <f t="shared" si="71"/>
        <v>0.95908887130695719</v>
      </c>
      <c r="J487" s="122">
        <f t="shared" si="72"/>
        <v>-6.5224132687457708E-3</v>
      </c>
      <c r="K487" s="122"/>
      <c r="Y487" s="126">
        <f t="shared" si="73"/>
        <v>-0.5</v>
      </c>
    </row>
    <row r="488" spans="2:25" x14ac:dyDescent="0.3">
      <c r="B488" s="12">
        <v>0.96223432179522894</v>
      </c>
      <c r="C488" s="12">
        <f t="shared" si="65"/>
        <v>0</v>
      </c>
      <c r="D488" s="126">
        <f t="shared" si="66"/>
        <v>6.1027435037663124E-3</v>
      </c>
      <c r="E488" s="12">
        <f t="shared" si="67"/>
        <v>0</v>
      </c>
      <c r="F488" s="12">
        <f t="shared" si="68"/>
        <v>0</v>
      </c>
      <c r="G488" s="122">
        <f t="shared" si="69"/>
        <v>0.96223432179522894</v>
      </c>
      <c r="H488" s="122">
        <f t="shared" si="70"/>
        <v>6.1027435037663124E-3</v>
      </c>
      <c r="I488" s="122">
        <f t="shared" si="71"/>
        <v>0.96223432179522894</v>
      </c>
      <c r="J488" s="122">
        <f t="shared" si="72"/>
        <v>-6.1027435037663124E-3</v>
      </c>
      <c r="K488" s="122"/>
      <c r="Y488" s="126">
        <f t="shared" si="73"/>
        <v>-0.5</v>
      </c>
    </row>
    <row r="489" spans="2:25" x14ac:dyDescent="0.3">
      <c r="B489" s="12">
        <v>0.96538014651090975</v>
      </c>
      <c r="C489" s="12">
        <f t="shared" si="65"/>
        <v>0</v>
      </c>
      <c r="D489" s="126">
        <f t="shared" si="66"/>
        <v>5.6809130278184143E-3</v>
      </c>
      <c r="E489" s="12">
        <f t="shared" si="67"/>
        <v>0</v>
      </c>
      <c r="F489" s="12">
        <f t="shared" si="68"/>
        <v>0</v>
      </c>
      <c r="G489" s="122">
        <f t="shared" si="69"/>
        <v>0.96538014651090975</v>
      </c>
      <c r="H489" s="122">
        <f t="shared" si="70"/>
        <v>5.6809130278184143E-3</v>
      </c>
      <c r="I489" s="122">
        <f t="shared" si="71"/>
        <v>0.96538014651090975</v>
      </c>
      <c r="J489" s="122">
        <f t="shared" si="72"/>
        <v>-5.6809130278184143E-3</v>
      </c>
      <c r="K489" s="122"/>
      <c r="Y489" s="126">
        <f t="shared" si="73"/>
        <v>-0.5</v>
      </c>
    </row>
    <row r="490" spans="2:25" x14ac:dyDescent="0.3">
      <c r="B490" s="12">
        <v>0.96852631428141356</v>
      </c>
      <c r="C490" s="12">
        <f t="shared" si="65"/>
        <v>0</v>
      </c>
      <c r="D490" s="126">
        <f t="shared" si="66"/>
        <v>5.2569280234047019E-3</v>
      </c>
      <c r="E490" s="12">
        <f t="shared" si="67"/>
        <v>0</v>
      </c>
      <c r="F490" s="12">
        <f t="shared" si="68"/>
        <v>0</v>
      </c>
      <c r="G490" s="122">
        <f t="shared" si="69"/>
        <v>0.96852631428141356</v>
      </c>
      <c r="H490" s="122">
        <f t="shared" si="70"/>
        <v>5.2569280234047019E-3</v>
      </c>
      <c r="I490" s="122">
        <f t="shared" si="71"/>
        <v>0.96852631428141356</v>
      </c>
      <c r="J490" s="122">
        <f t="shared" si="72"/>
        <v>-5.2569280234047019E-3</v>
      </c>
      <c r="K490" s="122"/>
      <c r="Y490" s="126">
        <f t="shared" si="73"/>
        <v>-0.5</v>
      </c>
    </row>
    <row r="491" spans="2:25" x14ac:dyDescent="0.3">
      <c r="B491" s="12">
        <v>0.9716727939307559</v>
      </c>
      <c r="C491" s="12">
        <f t="shared" si="65"/>
        <v>0</v>
      </c>
      <c r="D491" s="126">
        <f t="shared" si="66"/>
        <v>4.8307947587624021E-3</v>
      </c>
      <c r="E491" s="12">
        <f t="shared" si="67"/>
        <v>0</v>
      </c>
      <c r="F491" s="12">
        <f t="shared" si="68"/>
        <v>0</v>
      </c>
      <c r="G491" s="122">
        <f t="shared" si="69"/>
        <v>0.9716727939307559</v>
      </c>
      <c r="H491" s="122">
        <f t="shared" si="70"/>
        <v>4.8307947587624021E-3</v>
      </c>
      <c r="I491" s="122">
        <f t="shared" si="71"/>
        <v>0.9716727939307559</v>
      </c>
      <c r="J491" s="122">
        <f t="shared" si="72"/>
        <v>-4.8307947587624021E-3</v>
      </c>
      <c r="K491" s="122"/>
      <c r="Y491" s="126">
        <f t="shared" si="73"/>
        <v>-0.5</v>
      </c>
    </row>
    <row r="492" spans="2:25" x14ac:dyDescent="0.3">
      <c r="B492" s="12">
        <v>0.97481955427986144</v>
      </c>
      <c r="C492" s="12">
        <f t="shared" si="65"/>
        <v>0</v>
      </c>
      <c r="D492" s="126">
        <f t="shared" si="66"/>
        <v>4.4025195875849353E-3</v>
      </c>
      <c r="E492" s="12">
        <f t="shared" si="67"/>
        <v>0</v>
      </c>
      <c r="F492" s="12">
        <f t="shared" si="68"/>
        <v>0</v>
      </c>
      <c r="G492" s="122">
        <f t="shared" si="69"/>
        <v>0.97481955427986144</v>
      </c>
      <c r="H492" s="122">
        <f t="shared" si="70"/>
        <v>4.4025195875849353E-3</v>
      </c>
      <c r="I492" s="122">
        <f t="shared" si="71"/>
        <v>0.97481955427986144</v>
      </c>
      <c r="J492" s="122">
        <f t="shared" si="72"/>
        <v>-4.4025195875849353E-3</v>
      </c>
      <c r="K492" s="122"/>
      <c r="Y492" s="126">
        <f t="shared" si="73"/>
        <v>-0.5</v>
      </c>
    </row>
    <row r="493" spans="2:25" x14ac:dyDescent="0.3">
      <c r="B493" s="12">
        <v>0.977966564146873</v>
      </c>
      <c r="C493" s="12">
        <f t="shared" si="65"/>
        <v>0</v>
      </c>
      <c r="D493" s="126">
        <f t="shared" si="66"/>
        <v>3.9721089487397953E-3</v>
      </c>
      <c r="E493" s="12">
        <f t="shared" si="67"/>
        <v>0</v>
      </c>
      <c r="F493" s="12">
        <f t="shared" si="68"/>
        <v>0</v>
      </c>
      <c r="G493" s="122">
        <f t="shared" si="69"/>
        <v>0.977966564146873</v>
      </c>
      <c r="H493" s="122">
        <f t="shared" si="70"/>
        <v>3.9721089487397953E-3</v>
      </c>
      <c r="I493" s="122">
        <f t="shared" si="71"/>
        <v>0.977966564146873</v>
      </c>
      <c r="J493" s="122">
        <f t="shared" si="72"/>
        <v>-3.9721089487397953E-3</v>
      </c>
      <c r="K493" s="122"/>
      <c r="Y493" s="126">
        <f t="shared" si="73"/>
        <v>-0.5</v>
      </c>
    </row>
    <row r="494" spans="2:25" x14ac:dyDescent="0.3">
      <c r="B494" s="12">
        <v>0.98111379234746177</v>
      </c>
      <c r="C494" s="12">
        <f t="shared" si="65"/>
        <v>0</v>
      </c>
      <c r="D494" s="126">
        <f t="shared" si="66"/>
        <v>3.5395693659827782E-3</v>
      </c>
      <c r="E494" s="12">
        <f t="shared" si="67"/>
        <v>0</v>
      </c>
      <c r="F494" s="12">
        <f t="shared" si="68"/>
        <v>0</v>
      </c>
      <c r="G494" s="122">
        <f t="shared" si="69"/>
        <v>0.98111379234746177</v>
      </c>
      <c r="H494" s="122">
        <f t="shared" si="70"/>
        <v>3.5395693659827782E-3</v>
      </c>
      <c r="I494" s="122">
        <f t="shared" si="71"/>
        <v>0.98111379234746177</v>
      </c>
      <c r="J494" s="122">
        <f t="shared" si="72"/>
        <v>-3.5395693659827782E-3</v>
      </c>
      <c r="K494" s="122"/>
      <c r="Y494" s="126">
        <f t="shared" si="73"/>
        <v>-0.5</v>
      </c>
    </row>
    <row r="495" spans="2:25" x14ac:dyDescent="0.3">
      <c r="B495" s="12">
        <v>0.98426120769513414</v>
      </c>
      <c r="C495" s="12">
        <f t="shared" si="65"/>
        <v>0</v>
      </c>
      <c r="D495" s="126">
        <f t="shared" si="66"/>
        <v>3.1049074476692212E-3</v>
      </c>
      <c r="E495" s="12">
        <f t="shared" si="67"/>
        <v>0</v>
      </c>
      <c r="F495" s="12">
        <f t="shared" si="68"/>
        <v>0</v>
      </c>
      <c r="G495" s="122">
        <f t="shared" si="69"/>
        <v>0.98426120769513414</v>
      </c>
      <c r="H495" s="122">
        <f t="shared" si="70"/>
        <v>3.1049074476692212E-3</v>
      </c>
      <c r="I495" s="122">
        <f t="shared" si="71"/>
        <v>0.98426120769513414</v>
      </c>
      <c r="J495" s="122">
        <f t="shared" si="72"/>
        <v>-3.1049074476692212E-3</v>
      </c>
      <c r="K495" s="122"/>
      <c r="Y495" s="126">
        <f t="shared" si="73"/>
        <v>-0.5</v>
      </c>
    </row>
    <row r="496" spans="2:25" x14ac:dyDescent="0.3">
      <c r="B496" s="12">
        <v>0.98740877900154345</v>
      </c>
      <c r="C496" s="12">
        <f t="shared" si="65"/>
        <v>0</v>
      </c>
      <c r="D496" s="126">
        <f t="shared" si="66"/>
        <v>2.6681298864611337E-3</v>
      </c>
      <c r="E496" s="12">
        <f t="shared" si="67"/>
        <v>0</v>
      </c>
      <c r="F496" s="12">
        <f t="shared" si="68"/>
        <v>0</v>
      </c>
      <c r="G496" s="122">
        <f t="shared" si="69"/>
        <v>0.98740877900154345</v>
      </c>
      <c r="H496" s="122">
        <f t="shared" si="70"/>
        <v>2.6681298864611337E-3</v>
      </c>
      <c r="I496" s="122">
        <f t="shared" si="71"/>
        <v>0.98740877900154345</v>
      </c>
      <c r="J496" s="122">
        <f t="shared" si="72"/>
        <v>-2.6681298864611337E-3</v>
      </c>
      <c r="K496" s="122"/>
      <c r="Y496" s="126">
        <f t="shared" si="73"/>
        <v>-0.5</v>
      </c>
    </row>
    <row r="497" spans="2:25" x14ac:dyDescent="0.3">
      <c r="B497" s="12">
        <v>0.99055647507679634</v>
      </c>
      <c r="C497" s="12">
        <f t="shared" si="65"/>
        <v>0</v>
      </c>
      <c r="D497" s="126">
        <f t="shared" si="66"/>
        <v>2.2292434590316383E-3</v>
      </c>
      <c r="E497" s="12">
        <f t="shared" si="67"/>
        <v>0</v>
      </c>
      <c r="F497" s="12">
        <f t="shared" si="68"/>
        <v>0</v>
      </c>
      <c r="G497" s="122">
        <f t="shared" si="69"/>
        <v>0.99055647507679634</v>
      </c>
      <c r="H497" s="122">
        <f t="shared" si="70"/>
        <v>2.2292434590316383E-3</v>
      </c>
      <c r="I497" s="122">
        <f t="shared" si="71"/>
        <v>0.99055647507679634</v>
      </c>
      <c r="J497" s="122">
        <f t="shared" si="72"/>
        <v>-2.2292434590316383E-3</v>
      </c>
      <c r="K497" s="122"/>
      <c r="Y497" s="126">
        <f t="shared" si="73"/>
        <v>-0.5</v>
      </c>
    </row>
    <row r="498" spans="2:25" x14ac:dyDescent="0.3">
      <c r="B498" s="12">
        <v>0.99370426472976414</v>
      </c>
      <c r="C498" s="12">
        <f t="shared" si="65"/>
        <v>0</v>
      </c>
      <c r="D498" s="126">
        <f t="shared" si="66"/>
        <v>1.7882550257653541E-3</v>
      </c>
      <c r="E498" s="12">
        <f t="shared" si="67"/>
        <v>0</v>
      </c>
      <c r="F498" s="12">
        <f t="shared" si="68"/>
        <v>0</v>
      </c>
      <c r="G498" s="122">
        <f t="shared" si="69"/>
        <v>0.99370426472976414</v>
      </c>
      <c r="H498" s="122">
        <f t="shared" si="70"/>
        <v>1.7882550257653541E-3</v>
      </c>
      <c r="I498" s="122">
        <f t="shared" si="71"/>
        <v>0.99370426472976414</v>
      </c>
      <c r="J498" s="122">
        <f t="shared" si="72"/>
        <v>-1.7882550257653541E-3</v>
      </c>
      <c r="K498" s="122"/>
      <c r="Y498" s="126">
        <f t="shared" si="73"/>
        <v>-0.5</v>
      </c>
    </row>
    <row r="499" spans="2:25" x14ac:dyDescent="0.3">
      <c r="B499" s="12">
        <v>0.99685211676839014</v>
      </c>
      <c r="C499" s="12">
        <f t="shared" si="65"/>
        <v>0</v>
      </c>
      <c r="D499" s="126">
        <f t="shared" si="66"/>
        <v>1.3451715304559613E-3</v>
      </c>
      <c r="E499" s="12">
        <f t="shared" si="67"/>
        <v>0</v>
      </c>
      <c r="F499" s="12">
        <f t="shared" si="68"/>
        <v>0</v>
      </c>
      <c r="G499" s="122">
        <f t="shared" si="69"/>
        <v>0.99685211676839014</v>
      </c>
      <c r="H499" s="122">
        <f t="shared" si="70"/>
        <v>1.3451715304559613E-3</v>
      </c>
      <c r="I499" s="122">
        <f t="shared" si="71"/>
        <v>0.99685211676839014</v>
      </c>
      <c r="J499" s="122">
        <f t="shared" si="72"/>
        <v>-1.3451715304559613E-3</v>
      </c>
      <c r="K499" s="122"/>
      <c r="Y499" s="126">
        <f t="shared" si="73"/>
        <v>-0.5</v>
      </c>
    </row>
    <row r="500" spans="2:25" x14ac:dyDescent="0.3">
      <c r="B500" s="12">
        <v>0.99999999999999989</v>
      </c>
      <c r="C500" s="12">
        <f t="shared" si="65"/>
        <v>0</v>
      </c>
      <c r="D500" s="126">
        <f t="shared" si="66"/>
        <v>9.000000000000157E-4</v>
      </c>
      <c r="E500" s="12">
        <f t="shared" si="67"/>
        <v>0</v>
      </c>
      <c r="F500" s="12">
        <f t="shared" si="68"/>
        <v>0</v>
      </c>
      <c r="G500" s="122">
        <f t="shared" si="69"/>
        <v>0.99999999999999989</v>
      </c>
      <c r="H500" s="122">
        <f t="shared" si="70"/>
        <v>9.000000000000157E-4</v>
      </c>
      <c r="I500" s="122">
        <f t="shared" si="71"/>
        <v>0.99999999999999989</v>
      </c>
      <c r="J500" s="122">
        <f t="shared" si="72"/>
        <v>-9.000000000000157E-4</v>
      </c>
      <c r="K500" s="122"/>
      <c r="Y500" s="126">
        <f t="shared" si="73"/>
        <v>-0.5</v>
      </c>
    </row>
    <row r="501" spans="2:25" x14ac:dyDescent="0.3">
      <c r="C501" s="12"/>
      <c r="E501" s="12"/>
      <c r="F501" s="12"/>
      <c r="G501" s="122">
        <v>1</v>
      </c>
      <c r="H501" s="122">
        <v>0</v>
      </c>
      <c r="I501" s="122">
        <v>1</v>
      </c>
      <c r="J501" s="122">
        <v>0</v>
      </c>
      <c r="K501" s="122"/>
    </row>
    <row r="502" spans="2:25" x14ac:dyDescent="0.3">
      <c r="C502" s="12"/>
      <c r="E502" s="12"/>
      <c r="F502" s="12"/>
      <c r="G502" s="122"/>
      <c r="H502" s="122"/>
      <c r="I502" s="122"/>
      <c r="J502" s="122"/>
      <c r="K502" s="122"/>
    </row>
    <row r="503" spans="2:25" x14ac:dyDescent="0.3">
      <c r="C503" s="12"/>
      <c r="E503" s="12"/>
      <c r="F503" s="12"/>
      <c r="G503" s="122"/>
      <c r="H503" s="122"/>
      <c r="I503" s="122"/>
      <c r="J503" s="122"/>
      <c r="K503" s="122"/>
    </row>
    <row r="504" spans="2:25" x14ac:dyDescent="0.3">
      <c r="C504" s="12"/>
      <c r="E504" s="12"/>
      <c r="F504" s="12"/>
      <c r="G504" s="122"/>
      <c r="H504" s="122"/>
      <c r="I504" s="122"/>
      <c r="J504" s="122"/>
      <c r="K504" s="122"/>
    </row>
    <row r="505" spans="2:25" x14ac:dyDescent="0.3">
      <c r="C505" s="12"/>
      <c r="E505" s="12"/>
      <c r="F505" s="12"/>
      <c r="G505" s="122"/>
      <c r="H505" s="122"/>
      <c r="I505" s="122"/>
      <c r="J505" s="122"/>
      <c r="K505" s="122"/>
    </row>
    <row r="506" spans="2:25" x14ac:dyDescent="0.3">
      <c r="C506" s="12"/>
      <c r="E506" s="12"/>
      <c r="F506" s="12"/>
      <c r="G506" s="122"/>
      <c r="H506" s="122"/>
      <c r="I506" s="122"/>
      <c r="J506" s="122"/>
      <c r="K506" s="122"/>
    </row>
    <row r="507" spans="2:25" x14ac:dyDescent="0.3">
      <c r="C507" s="12"/>
      <c r="E507" s="12"/>
      <c r="F507" s="12"/>
      <c r="G507" s="122"/>
      <c r="H507" s="122"/>
      <c r="I507" s="122"/>
      <c r="J507" s="122"/>
      <c r="K507" s="122"/>
    </row>
    <row r="508" spans="2:25" x14ac:dyDescent="0.3">
      <c r="C508" s="12"/>
      <c r="E508" s="12"/>
      <c r="F508" s="12"/>
      <c r="G508" s="122"/>
      <c r="H508" s="122"/>
      <c r="I508" s="122"/>
      <c r="J508" s="122"/>
      <c r="K508" s="122"/>
    </row>
    <row r="509" spans="2:25" x14ac:dyDescent="0.3">
      <c r="C509" s="12"/>
      <c r="E509" s="12"/>
      <c r="F509" s="12"/>
      <c r="G509" s="122"/>
      <c r="H509" s="122"/>
      <c r="I509" s="122"/>
      <c r="J509" s="122"/>
      <c r="K509" s="122"/>
    </row>
    <row r="510" spans="2:25" x14ac:dyDescent="0.3">
      <c r="C510" s="12"/>
      <c r="E510" s="12"/>
      <c r="F510" s="12"/>
      <c r="G510" s="122"/>
      <c r="H510" s="122"/>
      <c r="I510" s="122"/>
      <c r="J510" s="122"/>
      <c r="K510" s="122"/>
    </row>
    <row r="511" spans="2:25" x14ac:dyDescent="0.3">
      <c r="C511" s="12"/>
      <c r="E511" s="12"/>
      <c r="F511" s="12"/>
      <c r="G511" s="122"/>
      <c r="H511" s="122"/>
      <c r="I511" s="122"/>
      <c r="J511" s="122"/>
      <c r="K511" s="122"/>
    </row>
    <row r="512" spans="2:25" x14ac:dyDescent="0.3">
      <c r="C512" s="12"/>
      <c r="E512" s="12"/>
      <c r="F512" s="12"/>
      <c r="G512" s="122"/>
      <c r="H512" s="122"/>
      <c r="I512" s="122"/>
      <c r="J512" s="122"/>
      <c r="K512" s="122"/>
    </row>
    <row r="513" spans="3:11" x14ac:dyDescent="0.3">
      <c r="C513" s="12"/>
      <c r="E513" s="12"/>
      <c r="F513" s="12"/>
      <c r="G513" s="122"/>
      <c r="H513" s="122"/>
      <c r="I513" s="122"/>
      <c r="J513" s="122"/>
      <c r="K513" s="122"/>
    </row>
    <row r="514" spans="3:11" x14ac:dyDescent="0.3">
      <c r="C514" s="12"/>
      <c r="E514" s="12"/>
      <c r="F514" s="12"/>
      <c r="G514" s="122"/>
      <c r="H514" s="122"/>
      <c r="I514" s="122"/>
      <c r="J514" s="122"/>
      <c r="K514" s="122"/>
    </row>
    <row r="515" spans="3:11" x14ac:dyDescent="0.3">
      <c r="C515" s="12"/>
      <c r="E515" s="12"/>
      <c r="F515" s="12"/>
      <c r="G515" s="122"/>
      <c r="H515" s="122"/>
      <c r="I515" s="122"/>
      <c r="J515" s="122"/>
      <c r="K515" s="122"/>
    </row>
    <row r="516" spans="3:11" x14ac:dyDescent="0.3">
      <c r="C516" s="12"/>
      <c r="E516" s="12"/>
      <c r="F516" s="12"/>
      <c r="G516" s="122"/>
      <c r="H516" s="122"/>
      <c r="I516" s="122"/>
      <c r="J516" s="122"/>
      <c r="K516" s="122"/>
    </row>
    <row r="517" spans="3:11" x14ac:dyDescent="0.3">
      <c r="C517" s="12"/>
      <c r="E517" s="12"/>
      <c r="F517" s="12"/>
      <c r="G517" s="122"/>
      <c r="H517" s="122"/>
      <c r="I517" s="122"/>
      <c r="J517" s="122"/>
      <c r="K517" s="122"/>
    </row>
    <row r="518" spans="3:11" x14ac:dyDescent="0.3">
      <c r="C518" s="12"/>
      <c r="E518" s="12"/>
      <c r="F518" s="12"/>
      <c r="G518" s="122"/>
      <c r="H518" s="122"/>
      <c r="I518" s="122"/>
      <c r="J518" s="122"/>
      <c r="K518" s="122"/>
    </row>
    <row r="519" spans="3:11" x14ac:dyDescent="0.3">
      <c r="C519" s="12"/>
      <c r="E519" s="12"/>
      <c r="F519" s="12"/>
      <c r="G519" s="122"/>
      <c r="H519" s="122"/>
      <c r="I519" s="122"/>
      <c r="J519" s="122"/>
      <c r="K519" s="122"/>
    </row>
    <row r="520" spans="3:11" x14ac:dyDescent="0.3">
      <c r="C520" s="12"/>
      <c r="E520" s="12"/>
      <c r="F520" s="12"/>
      <c r="G520" s="122"/>
      <c r="H520" s="122"/>
      <c r="I520" s="122"/>
      <c r="J520" s="122"/>
      <c r="K520" s="122"/>
    </row>
    <row r="521" spans="3:11" x14ac:dyDescent="0.3">
      <c r="C521" s="12"/>
      <c r="E521" s="12"/>
      <c r="F521" s="12"/>
      <c r="G521" s="122"/>
      <c r="H521" s="122"/>
      <c r="I521" s="122"/>
      <c r="J521" s="122"/>
      <c r="K521" s="122"/>
    </row>
    <row r="522" spans="3:11" x14ac:dyDescent="0.3">
      <c r="C522" s="12"/>
      <c r="E522" s="12"/>
      <c r="F522" s="12"/>
      <c r="G522" s="122"/>
      <c r="H522" s="122"/>
      <c r="I522" s="122"/>
      <c r="J522" s="122"/>
      <c r="K522" s="122"/>
    </row>
    <row r="523" spans="3:11" x14ac:dyDescent="0.3">
      <c r="C523" s="12"/>
      <c r="E523" s="12"/>
      <c r="F523" s="12"/>
      <c r="G523" s="122"/>
      <c r="H523" s="122"/>
      <c r="I523" s="122"/>
      <c r="J523" s="122"/>
      <c r="K523" s="122"/>
    </row>
    <row r="524" spans="3:11" x14ac:dyDescent="0.3">
      <c r="C524" s="12"/>
      <c r="E524" s="12"/>
      <c r="F524" s="12"/>
      <c r="G524" s="122"/>
      <c r="H524" s="122"/>
      <c r="I524" s="122"/>
      <c r="J524" s="122"/>
      <c r="K524" s="122"/>
    </row>
    <row r="525" spans="3:11" x14ac:dyDescent="0.3">
      <c r="C525" s="12"/>
      <c r="E525" s="12"/>
      <c r="F525" s="12"/>
      <c r="G525" s="122"/>
      <c r="H525" s="122"/>
      <c r="I525" s="122"/>
      <c r="J525" s="122"/>
      <c r="K525" s="122"/>
    </row>
    <row r="526" spans="3:11" x14ac:dyDescent="0.3">
      <c r="C526" s="12"/>
      <c r="E526" s="12"/>
      <c r="F526" s="12"/>
      <c r="G526" s="122"/>
      <c r="H526" s="122"/>
      <c r="I526" s="122"/>
      <c r="J526" s="122"/>
      <c r="K526" s="122"/>
    </row>
    <row r="527" spans="3:11" x14ac:dyDescent="0.3">
      <c r="C527" s="12"/>
      <c r="E527" s="12"/>
      <c r="F527" s="12"/>
      <c r="G527" s="122"/>
      <c r="H527" s="122"/>
      <c r="I527" s="122"/>
      <c r="J527" s="122"/>
      <c r="K527" s="122"/>
    </row>
    <row r="528" spans="3:11" x14ac:dyDescent="0.3">
      <c r="C528" s="12"/>
      <c r="E528" s="12"/>
      <c r="F528" s="12"/>
      <c r="G528" s="122"/>
      <c r="H528" s="122"/>
      <c r="I528" s="122"/>
      <c r="J528" s="122"/>
      <c r="K528" s="122"/>
    </row>
    <row r="529" spans="3:11" x14ac:dyDescent="0.3">
      <c r="C529" s="12"/>
      <c r="E529" s="12"/>
      <c r="F529" s="12"/>
      <c r="G529" s="122"/>
      <c r="H529" s="122"/>
      <c r="I529" s="122"/>
      <c r="J529" s="122"/>
      <c r="K529" s="122"/>
    </row>
    <row r="530" spans="3:11" x14ac:dyDescent="0.3">
      <c r="C530" s="12"/>
      <c r="E530" s="12"/>
      <c r="F530" s="12"/>
      <c r="G530" s="122"/>
      <c r="H530" s="122"/>
      <c r="I530" s="122"/>
      <c r="J530" s="122"/>
      <c r="K530" s="122"/>
    </row>
    <row r="531" spans="3:11" x14ac:dyDescent="0.3">
      <c r="C531" s="12"/>
      <c r="E531" s="12"/>
      <c r="F531" s="12"/>
      <c r="G531" s="122"/>
      <c r="H531" s="122"/>
      <c r="I531" s="122"/>
      <c r="J531" s="122"/>
      <c r="K531" s="122"/>
    </row>
    <row r="532" spans="3:11" x14ac:dyDescent="0.3">
      <c r="C532" s="12"/>
      <c r="E532" s="12"/>
      <c r="F532" s="12"/>
      <c r="G532" s="122"/>
      <c r="H532" s="122"/>
      <c r="I532" s="122"/>
      <c r="J532" s="122"/>
      <c r="K532" s="122"/>
    </row>
    <row r="533" spans="3:11" x14ac:dyDescent="0.3">
      <c r="C533" s="12"/>
      <c r="E533" s="12"/>
      <c r="F533" s="12"/>
      <c r="G533" s="122"/>
      <c r="H533" s="122"/>
      <c r="I533" s="122"/>
      <c r="J533" s="122"/>
      <c r="K533" s="122"/>
    </row>
    <row r="534" spans="3:11" x14ac:dyDescent="0.3">
      <c r="C534" s="12"/>
      <c r="E534" s="12"/>
      <c r="F534" s="12"/>
      <c r="G534" s="122"/>
      <c r="H534" s="122"/>
      <c r="I534" s="122"/>
      <c r="J534" s="122"/>
      <c r="K534" s="122"/>
    </row>
    <row r="535" spans="3:11" x14ac:dyDescent="0.3">
      <c r="C535" s="12"/>
      <c r="E535" s="12"/>
      <c r="F535" s="12"/>
      <c r="G535" s="122"/>
      <c r="H535" s="122"/>
      <c r="I535" s="122"/>
      <c r="J535" s="122"/>
      <c r="K535" s="122"/>
    </row>
    <row r="536" spans="3:11" x14ac:dyDescent="0.3">
      <c r="C536" s="12"/>
      <c r="E536" s="12"/>
      <c r="F536" s="12"/>
      <c r="G536" s="122"/>
      <c r="H536" s="122"/>
      <c r="I536" s="122"/>
      <c r="J536" s="122"/>
      <c r="K536" s="122"/>
    </row>
    <row r="537" spans="3:11" x14ac:dyDescent="0.3">
      <c r="C537" s="12"/>
      <c r="E537" s="12"/>
      <c r="F537" s="12"/>
      <c r="G537" s="122"/>
      <c r="H537" s="122"/>
      <c r="I537" s="122"/>
      <c r="J537" s="122"/>
      <c r="K537" s="122"/>
    </row>
    <row r="538" spans="3:11" x14ac:dyDescent="0.3">
      <c r="C538" s="12"/>
      <c r="E538" s="12"/>
      <c r="F538" s="12"/>
      <c r="G538" s="122"/>
      <c r="H538" s="122"/>
      <c r="I538" s="122"/>
      <c r="J538" s="122"/>
      <c r="K538" s="122"/>
    </row>
    <row r="539" spans="3:11" x14ac:dyDescent="0.3">
      <c r="C539" s="12"/>
      <c r="E539" s="12"/>
      <c r="F539" s="12"/>
      <c r="G539" s="122"/>
      <c r="H539" s="122"/>
      <c r="I539" s="122"/>
      <c r="J539" s="122"/>
      <c r="K539" s="122"/>
    </row>
    <row r="540" spans="3:11" x14ac:dyDescent="0.3">
      <c r="C540" s="12"/>
      <c r="E540" s="12"/>
      <c r="F540" s="12"/>
      <c r="G540" s="122"/>
      <c r="H540" s="122"/>
      <c r="I540" s="122"/>
      <c r="J540" s="122"/>
      <c r="K540" s="122"/>
    </row>
    <row r="541" spans="3:11" x14ac:dyDescent="0.3">
      <c r="C541" s="12"/>
      <c r="E541" s="12"/>
      <c r="F541" s="12"/>
      <c r="G541" s="122"/>
      <c r="H541" s="122"/>
      <c r="I541" s="122"/>
      <c r="J541" s="122"/>
      <c r="K541" s="122"/>
    </row>
    <row r="542" spans="3:11" x14ac:dyDescent="0.3">
      <c r="C542" s="12"/>
      <c r="E542" s="12"/>
      <c r="F542" s="12"/>
      <c r="G542" s="122"/>
      <c r="H542" s="122"/>
      <c r="I542" s="122"/>
      <c r="J542" s="122"/>
      <c r="K542" s="122"/>
    </row>
    <row r="543" spans="3:11" x14ac:dyDescent="0.3">
      <c r="C543" s="12"/>
      <c r="E543" s="12"/>
      <c r="F543" s="12"/>
      <c r="G543" s="122"/>
      <c r="H543" s="122"/>
      <c r="I543" s="122"/>
      <c r="J543" s="122"/>
      <c r="K543" s="122"/>
    </row>
    <row r="544" spans="3:11" x14ac:dyDescent="0.3">
      <c r="C544" s="12"/>
      <c r="E544" s="12"/>
      <c r="F544" s="12"/>
      <c r="G544" s="122"/>
      <c r="H544" s="122"/>
      <c r="I544" s="122"/>
      <c r="J544" s="122"/>
      <c r="K544" s="122"/>
    </row>
    <row r="545" spans="3:11" x14ac:dyDescent="0.3">
      <c r="C545" s="12"/>
      <c r="E545" s="12"/>
      <c r="F545" s="12"/>
      <c r="G545" s="122"/>
      <c r="H545" s="122"/>
      <c r="I545" s="122"/>
      <c r="J545" s="122"/>
      <c r="K545" s="122"/>
    </row>
    <row r="546" spans="3:11" x14ac:dyDescent="0.3">
      <c r="C546" s="12"/>
      <c r="E546" s="12"/>
      <c r="F546" s="12"/>
      <c r="G546" s="122"/>
      <c r="H546" s="122"/>
      <c r="I546" s="122"/>
      <c r="J546" s="122"/>
      <c r="K546" s="122"/>
    </row>
    <row r="547" spans="3:11" x14ac:dyDescent="0.3">
      <c r="C547" s="12"/>
      <c r="E547" s="12"/>
      <c r="F547" s="12"/>
      <c r="G547" s="122"/>
      <c r="H547" s="122"/>
      <c r="I547" s="122"/>
      <c r="J547" s="122"/>
      <c r="K547" s="122"/>
    </row>
    <row r="548" spans="3:11" x14ac:dyDescent="0.3">
      <c r="C548" s="12"/>
      <c r="E548" s="12"/>
      <c r="F548" s="12"/>
      <c r="G548" s="122"/>
      <c r="H548" s="122"/>
      <c r="I548" s="122"/>
      <c r="J548" s="122"/>
      <c r="K548" s="122"/>
    </row>
    <row r="549" spans="3:11" x14ac:dyDescent="0.3">
      <c r="C549" s="12"/>
      <c r="E549" s="12"/>
      <c r="F549" s="12"/>
      <c r="G549" s="122"/>
      <c r="H549" s="122"/>
      <c r="I549" s="122"/>
      <c r="J549" s="122"/>
      <c r="K549" s="122"/>
    </row>
    <row r="550" spans="3:11" x14ac:dyDescent="0.3">
      <c r="C550" s="12"/>
      <c r="E550" s="12"/>
      <c r="F550" s="12"/>
      <c r="G550" s="122"/>
      <c r="H550" s="122"/>
      <c r="I550" s="122"/>
      <c r="J550" s="122"/>
      <c r="K550" s="122"/>
    </row>
    <row r="551" spans="3:11" x14ac:dyDescent="0.3">
      <c r="C551" s="12"/>
      <c r="E551" s="12"/>
      <c r="F551" s="12"/>
      <c r="G551" s="122"/>
      <c r="H551" s="122"/>
      <c r="I551" s="122"/>
      <c r="J551" s="122"/>
      <c r="K551" s="122"/>
    </row>
    <row r="552" spans="3:11" x14ac:dyDescent="0.3">
      <c r="C552" s="12"/>
      <c r="E552" s="12"/>
      <c r="F552" s="12"/>
      <c r="G552" s="122"/>
      <c r="H552" s="122"/>
      <c r="I552" s="122"/>
      <c r="J552" s="122"/>
      <c r="K552" s="122"/>
    </row>
    <row r="553" spans="3:11" x14ac:dyDescent="0.3">
      <c r="C553" s="12"/>
      <c r="E553" s="12"/>
      <c r="F553" s="12"/>
      <c r="G553" s="122"/>
      <c r="H553" s="122"/>
      <c r="I553" s="122"/>
      <c r="J553" s="122"/>
      <c r="K553" s="122"/>
    </row>
    <row r="554" spans="3:11" x14ac:dyDescent="0.3">
      <c r="C554" s="12"/>
      <c r="E554" s="12"/>
      <c r="F554" s="12"/>
      <c r="G554" s="122"/>
      <c r="H554" s="122"/>
      <c r="I554" s="122"/>
      <c r="J554" s="122"/>
      <c r="K554" s="122"/>
    </row>
    <row r="555" spans="3:11" x14ac:dyDescent="0.3">
      <c r="C555" s="12"/>
      <c r="E555" s="12"/>
      <c r="F555" s="12"/>
      <c r="G555" s="122"/>
      <c r="H555" s="122"/>
      <c r="I555" s="122"/>
      <c r="J555" s="122"/>
      <c r="K555" s="122"/>
    </row>
    <row r="556" spans="3:11" x14ac:dyDescent="0.3">
      <c r="C556" s="12"/>
      <c r="E556" s="12"/>
      <c r="F556" s="12"/>
      <c r="G556" s="122"/>
      <c r="H556" s="122"/>
      <c r="I556" s="122"/>
      <c r="J556" s="122"/>
      <c r="K556" s="122"/>
    </row>
    <row r="557" spans="3:11" x14ac:dyDescent="0.3">
      <c r="C557" s="12"/>
      <c r="E557" s="12"/>
      <c r="F557" s="12"/>
      <c r="G557" s="122"/>
      <c r="H557" s="122"/>
      <c r="I557" s="122"/>
      <c r="J557" s="122"/>
      <c r="K557" s="122"/>
    </row>
    <row r="558" spans="3:11" x14ac:dyDescent="0.3">
      <c r="C558" s="12"/>
      <c r="E558" s="12"/>
      <c r="F558" s="12"/>
      <c r="G558" s="122"/>
      <c r="H558" s="122"/>
      <c r="I558" s="122"/>
      <c r="J558" s="122"/>
      <c r="K558" s="122"/>
    </row>
    <row r="559" spans="3:11" x14ac:dyDescent="0.3">
      <c r="C559" s="12"/>
      <c r="E559" s="12"/>
      <c r="F559" s="12"/>
      <c r="G559" s="122"/>
      <c r="H559" s="122"/>
      <c r="I559" s="122"/>
      <c r="J559" s="122"/>
      <c r="K559" s="122"/>
    </row>
    <row r="560" spans="3:11" x14ac:dyDescent="0.3">
      <c r="C560" s="12"/>
      <c r="E560" s="12"/>
      <c r="F560" s="12"/>
      <c r="G560" s="122"/>
      <c r="H560" s="122"/>
      <c r="I560" s="122"/>
      <c r="J560" s="122"/>
      <c r="K560" s="122"/>
    </row>
    <row r="561" spans="3:11" x14ac:dyDescent="0.3">
      <c r="C561" s="12"/>
      <c r="E561" s="12"/>
      <c r="F561" s="12"/>
      <c r="G561" s="122"/>
      <c r="H561" s="122"/>
      <c r="I561" s="122"/>
      <c r="J561" s="122"/>
      <c r="K561" s="122"/>
    </row>
    <row r="562" spans="3:11" x14ac:dyDescent="0.3">
      <c r="C562" s="12"/>
      <c r="E562" s="12"/>
      <c r="F562" s="12"/>
      <c r="G562" s="122"/>
      <c r="H562" s="122"/>
      <c r="I562" s="122"/>
      <c r="J562" s="122"/>
      <c r="K562" s="122"/>
    </row>
    <row r="563" spans="3:11" x14ac:dyDescent="0.3">
      <c r="C563" s="12"/>
      <c r="E563" s="12"/>
      <c r="F563" s="12"/>
      <c r="G563" s="122"/>
      <c r="H563" s="122"/>
      <c r="I563" s="122"/>
      <c r="J563" s="122"/>
      <c r="K563" s="122"/>
    </row>
    <row r="564" spans="3:11" x14ac:dyDescent="0.3">
      <c r="C564" s="12"/>
      <c r="E564" s="12"/>
      <c r="F564" s="12"/>
      <c r="G564" s="122"/>
      <c r="H564" s="122"/>
      <c r="I564" s="122"/>
      <c r="J564" s="122"/>
      <c r="K564" s="122"/>
    </row>
    <row r="565" spans="3:11" x14ac:dyDescent="0.3">
      <c r="C565" s="12"/>
      <c r="E565" s="12"/>
      <c r="F565" s="12"/>
      <c r="G565" s="122"/>
      <c r="H565" s="122"/>
      <c r="I565" s="122"/>
      <c r="J565" s="122"/>
      <c r="K565" s="122"/>
    </row>
    <row r="566" spans="3:11" x14ac:dyDescent="0.3">
      <c r="C566" s="12"/>
      <c r="E566" s="12"/>
      <c r="F566" s="12"/>
      <c r="G566" s="122"/>
      <c r="H566" s="122"/>
      <c r="I566" s="122"/>
      <c r="J566" s="122"/>
      <c r="K566" s="122"/>
    </row>
    <row r="567" spans="3:11" x14ac:dyDescent="0.3">
      <c r="C567" s="12"/>
      <c r="E567" s="12"/>
      <c r="F567" s="12"/>
      <c r="G567" s="122"/>
      <c r="H567" s="122"/>
      <c r="I567" s="122"/>
      <c r="J567" s="122"/>
      <c r="K567" s="122"/>
    </row>
    <row r="568" spans="3:11" x14ac:dyDescent="0.3">
      <c r="C568" s="12"/>
      <c r="E568" s="12"/>
      <c r="F568" s="12"/>
      <c r="G568" s="122"/>
      <c r="H568" s="122"/>
      <c r="I568" s="122"/>
      <c r="J568" s="122"/>
      <c r="K568" s="122"/>
    </row>
    <row r="569" spans="3:11" x14ac:dyDescent="0.3">
      <c r="C569" s="12"/>
      <c r="E569" s="12"/>
      <c r="F569" s="12"/>
      <c r="G569" s="122"/>
      <c r="H569" s="122"/>
      <c r="I569" s="122"/>
      <c r="J569" s="122"/>
      <c r="K569" s="122"/>
    </row>
    <row r="570" spans="3:11" x14ac:dyDescent="0.3">
      <c r="C570" s="12"/>
      <c r="E570" s="12"/>
      <c r="F570" s="12"/>
      <c r="G570" s="122"/>
      <c r="H570" s="122"/>
      <c r="I570" s="122"/>
      <c r="J570" s="122"/>
      <c r="K570" s="122"/>
    </row>
    <row r="571" spans="3:11" x14ac:dyDescent="0.3">
      <c r="C571" s="12"/>
      <c r="E571" s="12"/>
      <c r="F571" s="12"/>
      <c r="G571" s="122"/>
      <c r="H571" s="122"/>
      <c r="I571" s="122"/>
      <c r="J571" s="122"/>
      <c r="K571" s="122"/>
    </row>
    <row r="572" spans="3:11" x14ac:dyDescent="0.3">
      <c r="C572" s="12"/>
      <c r="E572" s="12"/>
      <c r="F572" s="12"/>
      <c r="G572" s="122"/>
      <c r="H572" s="122"/>
      <c r="I572" s="122"/>
      <c r="J572" s="122"/>
      <c r="K572" s="122"/>
    </row>
    <row r="573" spans="3:11" x14ac:dyDescent="0.3">
      <c r="C573" s="12"/>
      <c r="E573" s="12"/>
      <c r="F573" s="12"/>
      <c r="G573" s="122"/>
      <c r="H573" s="122"/>
      <c r="I573" s="122"/>
      <c r="J573" s="122"/>
      <c r="K573" s="122"/>
    </row>
    <row r="574" spans="3:11" x14ac:dyDescent="0.3">
      <c r="C574" s="12"/>
      <c r="E574" s="12"/>
      <c r="F574" s="12"/>
      <c r="G574" s="122"/>
      <c r="H574" s="122"/>
      <c r="I574" s="122"/>
      <c r="J574" s="122"/>
      <c r="K574" s="122"/>
    </row>
    <row r="575" spans="3:11" x14ac:dyDescent="0.3">
      <c r="C575" s="12"/>
      <c r="E575" s="12"/>
      <c r="F575" s="12"/>
      <c r="G575" s="122"/>
      <c r="H575" s="122"/>
      <c r="I575" s="122"/>
      <c r="J575" s="122"/>
      <c r="K575" s="122"/>
    </row>
    <row r="576" spans="3:11" x14ac:dyDescent="0.3">
      <c r="C576" s="12"/>
      <c r="E576" s="12"/>
      <c r="F576" s="12"/>
      <c r="G576" s="122"/>
      <c r="H576" s="122"/>
      <c r="I576" s="122"/>
      <c r="J576" s="122"/>
      <c r="K576" s="122"/>
    </row>
    <row r="577" spans="3:11" x14ac:dyDescent="0.3">
      <c r="C577" s="12"/>
      <c r="E577" s="12"/>
      <c r="F577" s="12"/>
      <c r="G577" s="122"/>
      <c r="H577" s="122"/>
      <c r="I577" s="122"/>
      <c r="J577" s="122"/>
      <c r="K577" s="122"/>
    </row>
    <row r="578" spans="3:11" x14ac:dyDescent="0.3">
      <c r="C578" s="12"/>
      <c r="E578" s="12"/>
      <c r="F578" s="12"/>
      <c r="G578" s="122"/>
      <c r="H578" s="122"/>
      <c r="I578" s="122"/>
      <c r="J578" s="122"/>
      <c r="K578" s="122"/>
    </row>
    <row r="579" spans="3:11" x14ac:dyDescent="0.3">
      <c r="C579" s="12"/>
      <c r="E579" s="12"/>
      <c r="F579" s="12"/>
      <c r="G579" s="122"/>
      <c r="H579" s="122"/>
      <c r="I579" s="122"/>
      <c r="J579" s="122"/>
      <c r="K579" s="122"/>
    </row>
    <row r="580" spans="3:11" x14ac:dyDescent="0.3">
      <c r="C580" s="12"/>
      <c r="E580" s="12"/>
      <c r="F580" s="12"/>
      <c r="G580" s="122"/>
      <c r="H580" s="122"/>
      <c r="I580" s="122"/>
      <c r="J580" s="122"/>
      <c r="K580" s="122"/>
    </row>
    <row r="581" spans="3:11" x14ac:dyDescent="0.3">
      <c r="C581" s="12"/>
      <c r="E581" s="12"/>
      <c r="F581" s="12"/>
      <c r="G581" s="122"/>
      <c r="H581" s="122"/>
      <c r="I581" s="122"/>
      <c r="J581" s="122"/>
      <c r="K581" s="122"/>
    </row>
    <row r="582" spans="3:11" x14ac:dyDescent="0.3">
      <c r="C582" s="12"/>
      <c r="E582" s="12"/>
      <c r="F582" s="12"/>
      <c r="G582" s="122"/>
      <c r="H582" s="122"/>
      <c r="I582" s="122"/>
      <c r="J582" s="122"/>
      <c r="K582" s="122"/>
    </row>
    <row r="583" spans="3:11" x14ac:dyDescent="0.3">
      <c r="C583" s="12"/>
      <c r="E583" s="12"/>
      <c r="F583" s="12"/>
      <c r="G583" s="122"/>
      <c r="H583" s="122"/>
      <c r="I583" s="122"/>
      <c r="J583" s="122"/>
      <c r="K583" s="122"/>
    </row>
    <row r="584" spans="3:11" x14ac:dyDescent="0.3">
      <c r="C584" s="12"/>
      <c r="E584" s="12"/>
      <c r="F584" s="12"/>
      <c r="G584" s="122"/>
      <c r="H584" s="122"/>
      <c r="I584" s="122"/>
      <c r="J584" s="122"/>
      <c r="K584" s="122"/>
    </row>
    <row r="585" spans="3:11" x14ac:dyDescent="0.3">
      <c r="C585" s="12"/>
      <c r="E585" s="12"/>
      <c r="F585" s="12"/>
      <c r="G585" s="122"/>
      <c r="H585" s="122"/>
      <c r="I585" s="122"/>
      <c r="J585" s="122"/>
      <c r="K585" s="122"/>
    </row>
    <row r="586" spans="3:11" x14ac:dyDescent="0.3">
      <c r="C586" s="12"/>
      <c r="E586" s="12"/>
      <c r="F586" s="12"/>
      <c r="G586" s="122"/>
      <c r="H586" s="122"/>
      <c r="I586" s="122"/>
      <c r="J586" s="122"/>
      <c r="K586" s="122"/>
    </row>
    <row r="587" spans="3:11" x14ac:dyDescent="0.3">
      <c r="C587" s="12"/>
      <c r="E587" s="12"/>
      <c r="F587" s="12"/>
      <c r="G587" s="122"/>
      <c r="H587" s="122"/>
      <c r="I587" s="122"/>
      <c r="J587" s="122"/>
      <c r="K587" s="122"/>
    </row>
    <row r="588" spans="3:11" x14ac:dyDescent="0.3">
      <c r="C588" s="12"/>
      <c r="E588" s="12"/>
      <c r="F588" s="12"/>
      <c r="G588" s="122"/>
      <c r="H588" s="122"/>
      <c r="I588" s="122"/>
      <c r="J588" s="122"/>
      <c r="K588" s="122"/>
    </row>
    <row r="589" spans="3:11" x14ac:dyDescent="0.3">
      <c r="C589" s="12"/>
      <c r="E589" s="12"/>
      <c r="F589" s="12"/>
      <c r="G589" s="122"/>
      <c r="H589" s="122"/>
      <c r="I589" s="122"/>
      <c r="J589" s="122"/>
      <c r="K589" s="122"/>
    </row>
    <row r="590" spans="3:11" x14ac:dyDescent="0.3">
      <c r="C590" s="12"/>
      <c r="E590" s="12"/>
      <c r="F590" s="12"/>
      <c r="G590" s="122"/>
      <c r="H590" s="122"/>
      <c r="I590" s="122"/>
      <c r="J590" s="122"/>
      <c r="K590" s="122"/>
    </row>
    <row r="591" spans="3:11" x14ac:dyDescent="0.3">
      <c r="C591" s="12"/>
      <c r="E591" s="12"/>
      <c r="F591" s="12"/>
      <c r="G591" s="122"/>
      <c r="H591" s="122"/>
      <c r="I591" s="122"/>
      <c r="J591" s="122"/>
      <c r="K591" s="122"/>
    </row>
    <row r="592" spans="3:11" x14ac:dyDescent="0.3">
      <c r="C592" s="12"/>
      <c r="E592" s="12"/>
      <c r="F592" s="12"/>
      <c r="G592" s="122"/>
      <c r="H592" s="122"/>
      <c r="I592" s="122"/>
      <c r="J592" s="122"/>
      <c r="K592" s="122"/>
    </row>
    <row r="593" spans="3:11" x14ac:dyDescent="0.3">
      <c r="C593" s="12"/>
      <c r="E593" s="12"/>
      <c r="F593" s="12"/>
      <c r="G593" s="122"/>
      <c r="H593" s="122"/>
      <c r="I593" s="122"/>
      <c r="J593" s="122"/>
      <c r="K593" s="122"/>
    </row>
    <row r="594" spans="3:11" x14ac:dyDescent="0.3">
      <c r="C594" s="12"/>
      <c r="E594" s="12"/>
      <c r="F594" s="12"/>
      <c r="G594" s="122"/>
      <c r="H594" s="122"/>
      <c r="I594" s="122"/>
      <c r="J594" s="122"/>
      <c r="K594" s="122"/>
    </row>
    <row r="595" spans="3:11" x14ac:dyDescent="0.3">
      <c r="C595" s="12"/>
      <c r="E595" s="12"/>
      <c r="F595" s="12"/>
      <c r="G595" s="122"/>
      <c r="H595" s="122"/>
      <c r="I595" s="122"/>
      <c r="J595" s="122"/>
      <c r="K595" s="122"/>
    </row>
    <row r="596" spans="3:11" x14ac:dyDescent="0.3">
      <c r="C596" s="12"/>
      <c r="E596" s="12"/>
      <c r="F596" s="12"/>
      <c r="G596" s="122"/>
      <c r="H596" s="122"/>
      <c r="I596" s="122"/>
      <c r="J596" s="122"/>
      <c r="K596" s="122"/>
    </row>
    <row r="597" spans="3:11" x14ac:dyDescent="0.3">
      <c r="C597" s="12"/>
      <c r="E597" s="12"/>
      <c r="F597" s="12"/>
      <c r="G597" s="122"/>
      <c r="H597" s="122"/>
      <c r="I597" s="122"/>
      <c r="J597" s="122"/>
      <c r="K597" s="122"/>
    </row>
    <row r="598" spans="3:11" x14ac:dyDescent="0.3">
      <c r="C598" s="12"/>
      <c r="E598" s="12"/>
      <c r="F598" s="12"/>
      <c r="G598" s="122"/>
      <c r="H598" s="122"/>
      <c r="I598" s="122"/>
      <c r="J598" s="122"/>
      <c r="K598" s="122"/>
    </row>
    <row r="599" spans="3:11" x14ac:dyDescent="0.3">
      <c r="C599" s="12"/>
      <c r="E599" s="12"/>
      <c r="F599" s="12"/>
      <c r="G599" s="122"/>
      <c r="H599" s="122"/>
      <c r="I599" s="122"/>
      <c r="J599" s="122"/>
      <c r="K599" s="122"/>
    </row>
    <row r="600" spans="3:11" x14ac:dyDescent="0.3">
      <c r="C600" s="12"/>
      <c r="E600" s="12"/>
      <c r="F600" s="12"/>
      <c r="G600" s="122"/>
      <c r="H600" s="122"/>
      <c r="I600" s="122"/>
      <c r="J600" s="122"/>
      <c r="K600" s="122"/>
    </row>
    <row r="601" spans="3:11" x14ac:dyDescent="0.3">
      <c r="C601" s="12"/>
      <c r="E601" s="12"/>
      <c r="F601" s="12"/>
      <c r="G601" s="122"/>
      <c r="H601" s="122"/>
      <c r="I601" s="122"/>
      <c r="J601" s="122"/>
      <c r="K601" s="122"/>
    </row>
    <row r="602" spans="3:11" x14ac:dyDescent="0.3">
      <c r="C602" s="12"/>
      <c r="E602" s="12"/>
      <c r="F602" s="12"/>
      <c r="G602" s="122"/>
      <c r="H602" s="122"/>
      <c r="I602" s="122"/>
      <c r="J602" s="122"/>
      <c r="K602" s="122"/>
    </row>
    <row r="603" spans="3:11" x14ac:dyDescent="0.3">
      <c r="C603" s="12"/>
      <c r="E603" s="12"/>
      <c r="F603" s="12"/>
      <c r="G603" s="122"/>
      <c r="H603" s="122"/>
      <c r="I603" s="122"/>
      <c r="J603" s="122"/>
      <c r="K603" s="122"/>
    </row>
    <row r="604" spans="3:11" x14ac:dyDescent="0.3">
      <c r="C604" s="12"/>
      <c r="E604" s="12"/>
      <c r="F604" s="12"/>
      <c r="G604" s="122"/>
      <c r="H604" s="122"/>
      <c r="I604" s="122"/>
      <c r="J604" s="122"/>
      <c r="K604" s="122"/>
    </row>
    <row r="605" spans="3:11" x14ac:dyDescent="0.3">
      <c r="C605" s="12"/>
      <c r="E605" s="12"/>
      <c r="F605" s="12"/>
      <c r="G605" s="122"/>
      <c r="H605" s="122"/>
      <c r="I605" s="122"/>
      <c r="J605" s="122"/>
      <c r="K605" s="122"/>
    </row>
    <row r="606" spans="3:11" x14ac:dyDescent="0.3">
      <c r="C606" s="12"/>
      <c r="E606" s="12"/>
      <c r="F606" s="12"/>
      <c r="G606" s="122"/>
      <c r="H606" s="122"/>
      <c r="I606" s="122"/>
      <c r="J606" s="122"/>
      <c r="K606" s="122"/>
    </row>
    <row r="607" spans="3:11" x14ac:dyDescent="0.3">
      <c r="C607" s="12"/>
      <c r="E607" s="12"/>
      <c r="F607" s="12"/>
      <c r="G607" s="122"/>
      <c r="H607" s="122"/>
      <c r="I607" s="122"/>
      <c r="J607" s="122"/>
      <c r="K607" s="122"/>
    </row>
    <row r="608" spans="3:11" x14ac:dyDescent="0.3">
      <c r="C608" s="12"/>
      <c r="E608" s="12"/>
      <c r="F608" s="12"/>
      <c r="G608" s="122"/>
      <c r="H608" s="122"/>
      <c r="I608" s="122"/>
      <c r="J608" s="122"/>
      <c r="K608" s="122"/>
    </row>
    <row r="609" spans="3:11" x14ac:dyDescent="0.3">
      <c r="C609" s="12"/>
      <c r="E609" s="12"/>
      <c r="F609" s="12"/>
      <c r="G609" s="122"/>
      <c r="H609" s="122"/>
      <c r="I609" s="122"/>
      <c r="J609" s="122"/>
      <c r="K609" s="122"/>
    </row>
    <row r="610" spans="3:11" x14ac:dyDescent="0.3">
      <c r="C610" s="12"/>
      <c r="E610" s="12"/>
      <c r="F610" s="12"/>
      <c r="G610" s="122"/>
      <c r="H610" s="122"/>
      <c r="I610" s="122"/>
      <c r="J610" s="122"/>
      <c r="K610" s="122"/>
    </row>
    <row r="611" spans="3:11" x14ac:dyDescent="0.3">
      <c r="C611" s="12"/>
      <c r="E611" s="12"/>
      <c r="F611" s="12"/>
      <c r="G611" s="122"/>
      <c r="H611" s="122"/>
      <c r="I611" s="122"/>
      <c r="J611" s="122"/>
      <c r="K611" s="122"/>
    </row>
    <row r="612" spans="3:11" x14ac:dyDescent="0.3">
      <c r="C612" s="12"/>
      <c r="E612" s="12"/>
      <c r="F612" s="12"/>
      <c r="G612" s="122"/>
      <c r="H612" s="122"/>
      <c r="I612" s="122"/>
      <c r="J612" s="122"/>
      <c r="K612" s="122"/>
    </row>
    <row r="613" spans="3:11" x14ac:dyDescent="0.3">
      <c r="C613" s="12"/>
      <c r="E613" s="12"/>
      <c r="F613" s="12"/>
      <c r="G613" s="122"/>
      <c r="H613" s="122"/>
      <c r="I613" s="122"/>
      <c r="J613" s="122"/>
      <c r="K613" s="122"/>
    </row>
    <row r="614" spans="3:11" x14ac:dyDescent="0.3">
      <c r="C614" s="12"/>
      <c r="E614" s="12"/>
      <c r="F614" s="12"/>
      <c r="G614" s="122"/>
      <c r="H614" s="122"/>
      <c r="I614" s="122"/>
      <c r="J614" s="122"/>
      <c r="K614" s="122"/>
    </row>
    <row r="615" spans="3:11" x14ac:dyDescent="0.3">
      <c r="C615" s="12"/>
      <c r="E615" s="12"/>
      <c r="F615" s="12"/>
      <c r="G615" s="122"/>
      <c r="H615" s="122"/>
      <c r="I615" s="122"/>
      <c r="J615" s="122"/>
      <c r="K615" s="122"/>
    </row>
    <row r="616" spans="3:11" x14ac:dyDescent="0.3">
      <c r="C616" s="12"/>
      <c r="E616" s="12"/>
      <c r="F616" s="12"/>
      <c r="G616" s="122"/>
      <c r="H616" s="122"/>
      <c r="I616" s="122"/>
      <c r="J616" s="122"/>
      <c r="K616" s="122"/>
    </row>
    <row r="617" spans="3:11" x14ac:dyDescent="0.3">
      <c r="C617" s="12"/>
      <c r="E617" s="12"/>
      <c r="F617" s="12"/>
      <c r="G617" s="122"/>
      <c r="H617" s="122"/>
      <c r="I617" s="122"/>
      <c r="J617" s="122"/>
      <c r="K617" s="122"/>
    </row>
    <row r="618" spans="3:11" x14ac:dyDescent="0.3">
      <c r="C618" s="12"/>
      <c r="E618" s="12"/>
      <c r="F618" s="12"/>
      <c r="G618" s="122"/>
      <c r="H618" s="122"/>
      <c r="I618" s="122"/>
      <c r="J618" s="122"/>
      <c r="K618" s="122"/>
    </row>
    <row r="619" spans="3:11" x14ac:dyDescent="0.3">
      <c r="C619" s="12"/>
      <c r="E619" s="12"/>
      <c r="F619" s="12"/>
      <c r="G619" s="122"/>
      <c r="H619" s="122"/>
      <c r="I619" s="122"/>
      <c r="J619" s="122"/>
      <c r="K619" s="122"/>
    </row>
    <row r="620" spans="3:11" x14ac:dyDescent="0.3">
      <c r="C620" s="12"/>
      <c r="E620" s="12"/>
      <c r="F620" s="12"/>
      <c r="G620" s="122"/>
      <c r="H620" s="122"/>
      <c r="I620" s="122"/>
      <c r="J620" s="122"/>
      <c r="K620" s="122"/>
    </row>
    <row r="621" spans="3:11" x14ac:dyDescent="0.3">
      <c r="C621" s="12"/>
      <c r="E621" s="12"/>
      <c r="F621" s="12"/>
      <c r="G621" s="122"/>
      <c r="H621" s="122"/>
      <c r="I621" s="122"/>
      <c r="J621" s="122"/>
      <c r="K621" s="122"/>
    </row>
    <row r="622" spans="3:11" x14ac:dyDescent="0.3">
      <c r="C622" s="12"/>
      <c r="E622" s="12"/>
      <c r="F622" s="12"/>
      <c r="G622" s="122"/>
      <c r="H622" s="122"/>
      <c r="I622" s="122"/>
      <c r="J622" s="122"/>
      <c r="K622" s="122"/>
    </row>
    <row r="623" spans="3:11" x14ac:dyDescent="0.3">
      <c r="C623" s="12"/>
      <c r="E623" s="12"/>
      <c r="F623" s="12"/>
      <c r="G623" s="122"/>
      <c r="H623" s="122"/>
      <c r="I623" s="122"/>
      <c r="J623" s="122"/>
      <c r="K623" s="122"/>
    </row>
    <row r="624" spans="3:11" x14ac:dyDescent="0.3">
      <c r="C624" s="12"/>
      <c r="E624" s="12"/>
      <c r="F624" s="12"/>
      <c r="G624" s="122"/>
      <c r="H624" s="122"/>
      <c r="I624" s="122"/>
      <c r="J624" s="122"/>
      <c r="K624" s="122"/>
    </row>
    <row r="625" spans="3:11" x14ac:dyDescent="0.3">
      <c r="C625" s="12"/>
      <c r="E625" s="12"/>
      <c r="F625" s="12"/>
      <c r="G625" s="122"/>
      <c r="H625" s="122"/>
      <c r="I625" s="122"/>
      <c r="J625" s="122"/>
      <c r="K625" s="122"/>
    </row>
    <row r="626" spans="3:11" x14ac:dyDescent="0.3">
      <c r="C626" s="12"/>
      <c r="E626" s="12"/>
      <c r="F626" s="12"/>
      <c r="G626" s="122"/>
      <c r="H626" s="122"/>
      <c r="I626" s="122"/>
      <c r="J626" s="122"/>
      <c r="K626" s="122"/>
    </row>
    <row r="627" spans="3:11" x14ac:dyDescent="0.3">
      <c r="C627" s="12"/>
      <c r="E627" s="12"/>
      <c r="F627" s="12"/>
      <c r="G627" s="122"/>
      <c r="H627" s="122"/>
      <c r="I627" s="122"/>
      <c r="J627" s="122"/>
      <c r="K627" s="122"/>
    </row>
    <row r="628" spans="3:11" x14ac:dyDescent="0.3">
      <c r="C628" s="12"/>
      <c r="E628" s="12"/>
      <c r="F628" s="12"/>
      <c r="G628" s="122"/>
      <c r="H628" s="122"/>
      <c r="I628" s="122"/>
      <c r="J628" s="122"/>
      <c r="K628" s="122"/>
    </row>
    <row r="629" spans="3:11" x14ac:dyDescent="0.3">
      <c r="C629" s="12"/>
      <c r="E629" s="12"/>
      <c r="F629" s="12"/>
      <c r="G629" s="122"/>
      <c r="H629" s="122"/>
      <c r="I629" s="122"/>
      <c r="J629" s="122"/>
      <c r="K629" s="122"/>
    </row>
    <row r="630" spans="3:11" x14ac:dyDescent="0.3">
      <c r="C630" s="12"/>
      <c r="E630" s="12"/>
      <c r="F630" s="12"/>
      <c r="G630" s="122"/>
      <c r="H630" s="122"/>
      <c r="I630" s="122"/>
      <c r="J630" s="122"/>
      <c r="K630" s="122"/>
    </row>
    <row r="631" spans="3:11" x14ac:dyDescent="0.3">
      <c r="C631" s="12"/>
      <c r="E631" s="12"/>
      <c r="F631" s="12"/>
      <c r="G631" s="122"/>
      <c r="H631" s="122"/>
      <c r="I631" s="122"/>
      <c r="J631" s="122"/>
      <c r="K631" s="122"/>
    </row>
    <row r="632" spans="3:11" x14ac:dyDescent="0.3">
      <c r="C632" s="12"/>
      <c r="E632" s="12"/>
      <c r="F632" s="12"/>
      <c r="G632" s="122"/>
      <c r="H632" s="122"/>
      <c r="I632" s="122"/>
      <c r="J632" s="122"/>
      <c r="K632" s="122"/>
    </row>
    <row r="633" spans="3:11" x14ac:dyDescent="0.3">
      <c r="C633" s="12"/>
      <c r="E633" s="12"/>
      <c r="F633" s="12"/>
      <c r="G633" s="122"/>
      <c r="H633" s="122"/>
      <c r="I633" s="122"/>
      <c r="J633" s="122"/>
      <c r="K633" s="122"/>
    </row>
    <row r="634" spans="3:11" x14ac:dyDescent="0.3">
      <c r="C634" s="12"/>
      <c r="E634" s="12"/>
      <c r="F634" s="12"/>
      <c r="G634" s="122"/>
      <c r="H634" s="122"/>
      <c r="I634" s="122"/>
      <c r="J634" s="122"/>
      <c r="K634" s="122"/>
    </row>
    <row r="635" spans="3:11" x14ac:dyDescent="0.3">
      <c r="C635" s="12"/>
      <c r="E635" s="12"/>
      <c r="F635" s="12"/>
      <c r="G635" s="122"/>
      <c r="H635" s="122"/>
      <c r="I635" s="122"/>
      <c r="J635" s="122"/>
      <c r="K635" s="122"/>
    </row>
    <row r="636" spans="3:11" x14ac:dyDescent="0.3">
      <c r="C636" s="12"/>
      <c r="E636" s="12"/>
      <c r="F636" s="12"/>
      <c r="G636" s="122"/>
      <c r="H636" s="122"/>
      <c r="I636" s="122"/>
      <c r="J636" s="122"/>
      <c r="K636" s="122"/>
    </row>
    <row r="637" spans="3:11" x14ac:dyDescent="0.3">
      <c r="C637" s="12"/>
      <c r="E637" s="12"/>
      <c r="F637" s="12"/>
      <c r="G637" s="122"/>
      <c r="H637" s="122"/>
      <c r="I637" s="122"/>
      <c r="J637" s="122"/>
      <c r="K637" s="122"/>
    </row>
    <row r="638" spans="3:11" x14ac:dyDescent="0.3">
      <c r="C638" s="12"/>
      <c r="E638" s="12"/>
      <c r="F638" s="12"/>
      <c r="G638" s="122"/>
      <c r="H638" s="122"/>
      <c r="I638" s="122"/>
      <c r="J638" s="122"/>
      <c r="K638" s="122"/>
    </row>
    <row r="639" spans="3:11" x14ac:dyDescent="0.3">
      <c r="C639" s="12"/>
      <c r="E639" s="12"/>
      <c r="F639" s="12"/>
      <c r="G639" s="122"/>
      <c r="H639" s="122"/>
      <c r="I639" s="122"/>
      <c r="J639" s="122"/>
      <c r="K639" s="122"/>
    </row>
    <row r="640" spans="3:11" x14ac:dyDescent="0.3">
      <c r="C640" s="12"/>
      <c r="E640" s="12"/>
      <c r="F640" s="12"/>
      <c r="G640" s="122"/>
      <c r="H640" s="122"/>
      <c r="I640" s="122"/>
      <c r="J640" s="122"/>
      <c r="K640" s="122"/>
    </row>
    <row r="641" spans="3:11" x14ac:dyDescent="0.3">
      <c r="C641" s="12"/>
      <c r="E641" s="12"/>
      <c r="F641" s="12"/>
      <c r="G641" s="122"/>
      <c r="H641" s="122"/>
      <c r="I641" s="122"/>
      <c r="J641" s="122"/>
      <c r="K641" s="122"/>
    </row>
    <row r="642" spans="3:11" x14ac:dyDescent="0.3">
      <c r="C642" s="12"/>
      <c r="E642" s="12"/>
      <c r="F642" s="12"/>
      <c r="G642" s="122"/>
      <c r="H642" s="122"/>
      <c r="I642" s="122"/>
      <c r="J642" s="122"/>
      <c r="K642" s="122"/>
    </row>
    <row r="643" spans="3:11" x14ac:dyDescent="0.3">
      <c r="C643" s="12"/>
      <c r="E643" s="12"/>
      <c r="F643" s="12"/>
      <c r="G643" s="122"/>
      <c r="H643" s="122"/>
      <c r="I643" s="122"/>
      <c r="J643" s="122"/>
      <c r="K643" s="122"/>
    </row>
    <row r="644" spans="3:11" x14ac:dyDescent="0.3">
      <c r="C644" s="12"/>
      <c r="E644" s="12"/>
      <c r="F644" s="12"/>
      <c r="G644" s="122"/>
      <c r="H644" s="122"/>
      <c r="I644" s="122"/>
      <c r="J644" s="122"/>
      <c r="K644" s="122"/>
    </row>
    <row r="645" spans="3:11" x14ac:dyDescent="0.3">
      <c r="C645" s="12"/>
      <c r="E645" s="12"/>
      <c r="F645" s="12"/>
      <c r="G645" s="122"/>
      <c r="H645" s="122"/>
      <c r="I645" s="122"/>
      <c r="J645" s="122"/>
      <c r="K645" s="122"/>
    </row>
    <row r="646" spans="3:11" x14ac:dyDescent="0.3">
      <c r="C646" s="12"/>
      <c r="E646" s="12"/>
      <c r="F646" s="12"/>
      <c r="G646" s="122"/>
      <c r="H646" s="122"/>
      <c r="I646" s="122"/>
      <c r="J646" s="122"/>
      <c r="K646" s="122"/>
    </row>
    <row r="647" spans="3:11" x14ac:dyDescent="0.3">
      <c r="C647" s="12"/>
      <c r="E647" s="12"/>
      <c r="F647" s="12"/>
      <c r="G647" s="122"/>
      <c r="H647" s="122"/>
      <c r="I647" s="122"/>
      <c r="J647" s="122"/>
      <c r="K647" s="122"/>
    </row>
    <row r="648" spans="3:11" x14ac:dyDescent="0.3">
      <c r="C648" s="12"/>
      <c r="E648" s="12"/>
      <c r="F648" s="12"/>
      <c r="G648" s="122"/>
      <c r="H648" s="122"/>
      <c r="I648" s="122"/>
      <c r="J648" s="122"/>
      <c r="K648" s="122"/>
    </row>
    <row r="649" spans="3:11" x14ac:dyDescent="0.3">
      <c r="C649" s="12"/>
      <c r="E649" s="12"/>
      <c r="F649" s="12"/>
      <c r="G649" s="122"/>
      <c r="H649" s="122"/>
      <c r="I649" s="122"/>
      <c r="J649" s="122"/>
      <c r="K649" s="122"/>
    </row>
    <row r="650" spans="3:11" x14ac:dyDescent="0.3">
      <c r="C650" s="12"/>
      <c r="E650" s="12"/>
      <c r="F650" s="12"/>
      <c r="G650" s="122"/>
      <c r="H650" s="122"/>
      <c r="I650" s="122"/>
      <c r="J650" s="122"/>
      <c r="K650" s="122"/>
    </row>
    <row r="651" spans="3:11" x14ac:dyDescent="0.3">
      <c r="C651" s="12"/>
      <c r="E651" s="12"/>
      <c r="F651" s="12"/>
      <c r="G651" s="122"/>
      <c r="H651" s="122"/>
      <c r="I651" s="122"/>
      <c r="J651" s="122"/>
      <c r="K651" s="122"/>
    </row>
    <row r="652" spans="3:11" x14ac:dyDescent="0.3">
      <c r="C652" s="12"/>
      <c r="E652" s="12"/>
      <c r="F652" s="12"/>
      <c r="G652" s="122"/>
      <c r="H652" s="122"/>
      <c r="I652" s="122"/>
      <c r="J652" s="122"/>
      <c r="K652" s="122"/>
    </row>
    <row r="653" spans="3:11" x14ac:dyDescent="0.3">
      <c r="C653" s="12"/>
      <c r="E653" s="12"/>
      <c r="F653" s="12"/>
      <c r="G653" s="122"/>
      <c r="H653" s="122"/>
      <c r="I653" s="122"/>
      <c r="J653" s="122"/>
      <c r="K653" s="122"/>
    </row>
    <row r="654" spans="3:11" x14ac:dyDescent="0.3">
      <c r="C654" s="12"/>
      <c r="E654" s="12"/>
      <c r="F654" s="12"/>
      <c r="G654" s="122"/>
      <c r="H654" s="122"/>
      <c r="I654" s="122"/>
      <c r="J654" s="122"/>
      <c r="K654" s="122"/>
    </row>
    <row r="655" spans="3:11" x14ac:dyDescent="0.3">
      <c r="C655" s="12"/>
      <c r="E655" s="12"/>
      <c r="F655" s="12"/>
      <c r="G655" s="122"/>
      <c r="H655" s="122"/>
      <c r="I655" s="122"/>
      <c r="J655" s="122"/>
      <c r="K655" s="122"/>
    </row>
    <row r="656" spans="3:11" x14ac:dyDescent="0.3">
      <c r="C656" s="12"/>
      <c r="E656" s="12"/>
      <c r="F656" s="12"/>
      <c r="G656" s="122"/>
      <c r="H656" s="122"/>
      <c r="I656" s="122"/>
      <c r="J656" s="122"/>
      <c r="K656" s="122"/>
    </row>
    <row r="657" spans="3:11" x14ac:dyDescent="0.3">
      <c r="C657" s="12"/>
      <c r="E657" s="12"/>
      <c r="F657" s="12"/>
      <c r="G657" s="122"/>
      <c r="H657" s="122"/>
      <c r="I657" s="122"/>
      <c r="J657" s="122"/>
      <c r="K657" s="122"/>
    </row>
    <row r="658" spans="3:11" x14ac:dyDescent="0.3">
      <c r="C658" s="12"/>
      <c r="E658" s="12"/>
      <c r="F658" s="12"/>
      <c r="G658" s="122"/>
      <c r="H658" s="122"/>
      <c r="I658" s="122"/>
      <c r="J658" s="122"/>
      <c r="K658" s="122"/>
    </row>
    <row r="659" spans="3:11" x14ac:dyDescent="0.3">
      <c r="C659" s="12"/>
      <c r="E659" s="12"/>
      <c r="F659" s="12"/>
      <c r="G659" s="122"/>
      <c r="H659" s="122"/>
      <c r="I659" s="122"/>
      <c r="J659" s="122"/>
      <c r="K659" s="122"/>
    </row>
    <row r="660" spans="3:11" x14ac:dyDescent="0.3">
      <c r="C660" s="12"/>
      <c r="E660" s="12"/>
      <c r="F660" s="12"/>
      <c r="G660" s="122"/>
      <c r="H660" s="122"/>
      <c r="I660" s="122"/>
      <c r="J660" s="122"/>
      <c r="K660" s="122"/>
    </row>
    <row r="661" spans="3:11" x14ac:dyDescent="0.3">
      <c r="C661" s="12"/>
      <c r="E661" s="12"/>
      <c r="F661" s="12"/>
      <c r="G661" s="122"/>
      <c r="H661" s="122"/>
      <c r="I661" s="122"/>
      <c r="J661" s="122"/>
      <c r="K661" s="122"/>
    </row>
    <row r="662" spans="3:11" x14ac:dyDescent="0.3">
      <c r="C662" s="12"/>
      <c r="E662" s="12"/>
      <c r="F662" s="12"/>
      <c r="G662" s="122"/>
      <c r="H662" s="122"/>
      <c r="I662" s="122"/>
      <c r="J662" s="122"/>
      <c r="K662" s="122"/>
    </row>
    <row r="663" spans="3:11" x14ac:dyDescent="0.3">
      <c r="C663" s="12"/>
      <c r="E663" s="12"/>
      <c r="F663" s="12"/>
      <c r="G663" s="122"/>
      <c r="H663" s="122"/>
      <c r="I663" s="122"/>
      <c r="J663" s="122"/>
      <c r="K663" s="122"/>
    </row>
    <row r="664" spans="3:11" x14ac:dyDescent="0.3">
      <c r="C664" s="12"/>
      <c r="E664" s="12"/>
      <c r="F664" s="12"/>
      <c r="G664" s="122"/>
      <c r="H664" s="122"/>
      <c r="I664" s="122"/>
      <c r="J664" s="122"/>
      <c r="K664" s="122"/>
    </row>
    <row r="665" spans="3:11" x14ac:dyDescent="0.3">
      <c r="C665" s="12"/>
      <c r="E665" s="12"/>
      <c r="F665" s="12"/>
      <c r="G665" s="122"/>
      <c r="H665" s="122"/>
      <c r="I665" s="122"/>
      <c r="J665" s="122"/>
      <c r="K665" s="122"/>
    </row>
    <row r="666" spans="3:11" x14ac:dyDescent="0.3">
      <c r="C666" s="12"/>
      <c r="E666" s="12"/>
      <c r="F666" s="12"/>
      <c r="G666" s="122"/>
      <c r="H666" s="122"/>
      <c r="I666" s="122"/>
      <c r="J666" s="122"/>
      <c r="K666" s="122"/>
    </row>
    <row r="667" spans="3:11" x14ac:dyDescent="0.3">
      <c r="C667" s="12"/>
      <c r="E667" s="12"/>
      <c r="F667" s="12"/>
      <c r="G667" s="122"/>
      <c r="H667" s="122"/>
      <c r="I667" s="122"/>
      <c r="J667" s="122"/>
      <c r="K667" s="122"/>
    </row>
    <row r="668" spans="3:11" x14ac:dyDescent="0.3">
      <c r="C668" s="12"/>
      <c r="E668" s="12"/>
      <c r="F668" s="12"/>
      <c r="G668" s="122"/>
      <c r="H668" s="122"/>
      <c r="I668" s="122"/>
      <c r="J668" s="122"/>
      <c r="K668" s="122"/>
    </row>
    <row r="669" spans="3:11" x14ac:dyDescent="0.3">
      <c r="C669" s="12"/>
      <c r="E669" s="12"/>
      <c r="F669" s="12"/>
      <c r="G669" s="122"/>
      <c r="H669" s="122"/>
      <c r="I669" s="122"/>
      <c r="J669" s="122"/>
      <c r="K669" s="122"/>
    </row>
    <row r="670" spans="3:11" x14ac:dyDescent="0.3">
      <c r="C670" s="12"/>
      <c r="E670" s="12"/>
      <c r="F670" s="12"/>
      <c r="G670" s="122"/>
      <c r="H670" s="122"/>
      <c r="I670" s="122"/>
      <c r="J670" s="122"/>
      <c r="K670" s="122"/>
    </row>
    <row r="671" spans="3:11" x14ac:dyDescent="0.3">
      <c r="C671" s="12"/>
      <c r="E671" s="12"/>
      <c r="F671" s="12"/>
      <c r="G671" s="122"/>
      <c r="H671" s="122"/>
      <c r="I671" s="122"/>
      <c r="J671" s="122"/>
      <c r="K671" s="122"/>
    </row>
    <row r="672" spans="3:11" x14ac:dyDescent="0.3">
      <c r="C672" s="12"/>
      <c r="E672" s="12"/>
      <c r="F672" s="12"/>
      <c r="G672" s="122"/>
      <c r="H672" s="122"/>
      <c r="I672" s="122"/>
      <c r="J672" s="122"/>
      <c r="K672" s="122"/>
    </row>
    <row r="673" spans="3:11" x14ac:dyDescent="0.3">
      <c r="C673" s="12"/>
      <c r="E673" s="12"/>
      <c r="F673" s="12"/>
      <c r="G673" s="122"/>
      <c r="H673" s="122"/>
      <c r="I673" s="122"/>
      <c r="J673" s="122"/>
      <c r="K673" s="122"/>
    </row>
    <row r="674" spans="3:11" x14ac:dyDescent="0.3">
      <c r="C674" s="12"/>
      <c r="E674" s="12"/>
      <c r="F674" s="12"/>
      <c r="G674" s="122"/>
      <c r="H674" s="122"/>
      <c r="I674" s="122"/>
      <c r="J674" s="122"/>
      <c r="K674" s="122"/>
    </row>
    <row r="675" spans="3:11" x14ac:dyDescent="0.3">
      <c r="C675" s="12"/>
      <c r="E675" s="12"/>
      <c r="F675" s="12"/>
      <c r="G675" s="122"/>
      <c r="H675" s="122"/>
      <c r="I675" s="122"/>
      <c r="J675" s="122"/>
      <c r="K675" s="122"/>
    </row>
    <row r="676" spans="3:11" x14ac:dyDescent="0.3">
      <c r="C676" s="12"/>
      <c r="E676" s="12"/>
      <c r="F676" s="12"/>
      <c r="G676" s="122"/>
      <c r="H676" s="122"/>
      <c r="I676" s="122"/>
      <c r="J676" s="122"/>
      <c r="K676" s="122"/>
    </row>
    <row r="677" spans="3:11" x14ac:dyDescent="0.3">
      <c r="C677" s="12"/>
      <c r="E677" s="12"/>
      <c r="F677" s="12"/>
      <c r="G677" s="122"/>
      <c r="H677" s="122"/>
      <c r="I677" s="122"/>
      <c r="J677" s="122"/>
      <c r="K677" s="122"/>
    </row>
    <row r="678" spans="3:11" x14ac:dyDescent="0.3">
      <c r="C678" s="12"/>
      <c r="E678" s="12"/>
      <c r="F678" s="12"/>
      <c r="G678" s="122"/>
      <c r="H678" s="122"/>
      <c r="I678" s="122"/>
      <c r="J678" s="122"/>
      <c r="K678" s="122"/>
    </row>
    <row r="679" spans="3:11" x14ac:dyDescent="0.3">
      <c r="C679" s="12"/>
      <c r="E679" s="12"/>
      <c r="F679" s="12"/>
      <c r="G679" s="122"/>
      <c r="H679" s="122"/>
      <c r="I679" s="122"/>
      <c r="J679" s="122"/>
      <c r="K679" s="122"/>
    </row>
    <row r="680" spans="3:11" x14ac:dyDescent="0.3">
      <c r="C680" s="12"/>
      <c r="E680" s="12"/>
      <c r="F680" s="12"/>
      <c r="G680" s="122"/>
      <c r="H680" s="122"/>
      <c r="I680" s="122"/>
      <c r="J680" s="122"/>
      <c r="K680" s="122"/>
    </row>
    <row r="681" spans="3:11" x14ac:dyDescent="0.3">
      <c r="C681" s="12"/>
      <c r="E681" s="12"/>
      <c r="F681" s="12"/>
      <c r="G681" s="122"/>
      <c r="H681" s="122"/>
      <c r="I681" s="122"/>
      <c r="J681" s="122"/>
      <c r="K681" s="122"/>
    </row>
    <row r="682" spans="3:11" x14ac:dyDescent="0.3">
      <c r="C682" s="12"/>
      <c r="E682" s="12"/>
      <c r="F682" s="12"/>
      <c r="G682" s="122"/>
      <c r="H682" s="122"/>
      <c r="I682" s="122"/>
      <c r="J682" s="122"/>
      <c r="K682" s="122"/>
    </row>
    <row r="683" spans="3:11" x14ac:dyDescent="0.3">
      <c r="C683" s="12"/>
      <c r="E683" s="12"/>
      <c r="F683" s="12"/>
      <c r="G683" s="122"/>
      <c r="H683" s="122"/>
      <c r="I683" s="122"/>
      <c r="J683" s="122"/>
      <c r="K683" s="122"/>
    </row>
    <row r="684" spans="3:11" x14ac:dyDescent="0.3">
      <c r="C684" s="12"/>
      <c r="E684" s="12"/>
      <c r="F684" s="12"/>
      <c r="G684" s="122"/>
      <c r="H684" s="122"/>
      <c r="I684" s="122"/>
      <c r="J684" s="122"/>
      <c r="K684" s="122"/>
    </row>
    <row r="685" spans="3:11" x14ac:dyDescent="0.3">
      <c r="C685" s="12"/>
      <c r="E685" s="12"/>
      <c r="F685" s="12"/>
      <c r="G685" s="122"/>
      <c r="H685" s="122"/>
      <c r="I685" s="122"/>
      <c r="J685" s="122"/>
      <c r="K685" s="122"/>
    </row>
    <row r="686" spans="3:11" x14ac:dyDescent="0.3">
      <c r="C686" s="12"/>
      <c r="E686" s="12"/>
      <c r="F686" s="12"/>
      <c r="G686" s="122"/>
      <c r="H686" s="122"/>
      <c r="I686" s="122"/>
      <c r="J686" s="122"/>
      <c r="K686" s="122"/>
    </row>
    <row r="687" spans="3:11" x14ac:dyDescent="0.3">
      <c r="C687" s="12"/>
      <c r="E687" s="12"/>
      <c r="F687" s="12"/>
      <c r="G687" s="122"/>
      <c r="H687" s="122"/>
      <c r="I687" s="122"/>
      <c r="J687" s="122"/>
      <c r="K687" s="122"/>
    </row>
    <row r="688" spans="3:11" x14ac:dyDescent="0.3">
      <c r="C688" s="12"/>
      <c r="E688" s="12"/>
      <c r="F688" s="12"/>
      <c r="G688" s="122"/>
      <c r="H688" s="122"/>
      <c r="I688" s="122"/>
      <c r="J688" s="122"/>
      <c r="K688" s="122"/>
    </row>
    <row r="689" spans="3:11" x14ac:dyDescent="0.3">
      <c r="C689" s="12"/>
      <c r="E689" s="12"/>
      <c r="F689" s="12"/>
      <c r="G689" s="122"/>
      <c r="H689" s="122"/>
      <c r="I689" s="122"/>
      <c r="J689" s="122"/>
      <c r="K689" s="122"/>
    </row>
    <row r="690" spans="3:11" x14ac:dyDescent="0.3">
      <c r="C690" s="12"/>
      <c r="E690" s="12"/>
      <c r="F690" s="12"/>
      <c r="G690" s="122"/>
      <c r="H690" s="122"/>
      <c r="I690" s="122"/>
      <c r="J690" s="122"/>
      <c r="K690" s="122"/>
    </row>
    <row r="691" spans="3:11" x14ac:dyDescent="0.3">
      <c r="C691" s="12"/>
      <c r="E691" s="12"/>
      <c r="F691" s="12"/>
      <c r="G691" s="122"/>
      <c r="H691" s="122"/>
      <c r="I691" s="122"/>
      <c r="J691" s="122"/>
      <c r="K691" s="122"/>
    </row>
    <row r="692" spans="3:11" x14ac:dyDescent="0.3">
      <c r="C692" s="12"/>
      <c r="E692" s="12"/>
      <c r="F692" s="12"/>
      <c r="G692" s="122"/>
      <c r="H692" s="122"/>
      <c r="I692" s="122"/>
      <c r="J692" s="122"/>
      <c r="K692" s="122"/>
    </row>
    <row r="693" spans="3:11" x14ac:dyDescent="0.3">
      <c r="C693" s="12"/>
      <c r="E693" s="12"/>
      <c r="F693" s="12"/>
      <c r="G693" s="122"/>
      <c r="H693" s="122"/>
      <c r="I693" s="122"/>
      <c r="J693" s="122"/>
      <c r="K693" s="122"/>
    </row>
    <row r="694" spans="3:11" x14ac:dyDescent="0.3">
      <c r="C694" s="12"/>
      <c r="E694" s="12"/>
      <c r="F694" s="12"/>
      <c r="G694" s="122"/>
      <c r="H694" s="122"/>
      <c r="I694" s="122"/>
      <c r="J694" s="122"/>
      <c r="K694" s="122"/>
    </row>
    <row r="695" spans="3:11" x14ac:dyDescent="0.3">
      <c r="C695" s="12"/>
      <c r="E695" s="12"/>
      <c r="F695" s="12"/>
      <c r="G695" s="122"/>
      <c r="H695" s="122"/>
      <c r="I695" s="122"/>
      <c r="J695" s="122"/>
      <c r="K695" s="122"/>
    </row>
    <row r="696" spans="3:11" x14ac:dyDescent="0.3">
      <c r="C696" s="12"/>
      <c r="E696" s="12"/>
      <c r="F696" s="12"/>
      <c r="G696" s="122"/>
      <c r="H696" s="122"/>
      <c r="I696" s="122"/>
      <c r="J696" s="122"/>
      <c r="K696" s="122"/>
    </row>
    <row r="697" spans="3:11" x14ac:dyDescent="0.3">
      <c r="C697" s="12"/>
      <c r="E697" s="12"/>
      <c r="F697" s="12"/>
      <c r="G697" s="122"/>
      <c r="H697" s="122"/>
      <c r="I697" s="122"/>
      <c r="J697" s="122"/>
      <c r="K697" s="122"/>
    </row>
    <row r="698" spans="3:11" x14ac:dyDescent="0.3">
      <c r="C698" s="12"/>
      <c r="E698" s="12"/>
      <c r="F698" s="12"/>
      <c r="G698" s="122"/>
      <c r="H698" s="122"/>
      <c r="I698" s="122"/>
      <c r="J698" s="122"/>
      <c r="K698" s="122"/>
    </row>
    <row r="699" spans="3:11" x14ac:dyDescent="0.3">
      <c r="C699" s="12"/>
      <c r="E699" s="12"/>
      <c r="F699" s="12"/>
      <c r="G699" s="122"/>
      <c r="H699" s="122"/>
      <c r="I699" s="122"/>
      <c r="J699" s="122"/>
      <c r="K699" s="122"/>
    </row>
    <row r="700" spans="3:11" x14ac:dyDescent="0.3">
      <c r="C700" s="12"/>
      <c r="E700" s="12"/>
      <c r="F700" s="12"/>
      <c r="G700" s="122"/>
      <c r="H700" s="122"/>
      <c r="I700" s="122"/>
      <c r="J700" s="122"/>
      <c r="K700" s="122"/>
    </row>
    <row r="701" spans="3:11" x14ac:dyDescent="0.3">
      <c r="C701" s="12"/>
      <c r="E701" s="12"/>
      <c r="F701" s="12"/>
      <c r="G701" s="122"/>
      <c r="H701" s="122"/>
      <c r="I701" s="122"/>
      <c r="J701" s="122"/>
      <c r="K701" s="122"/>
    </row>
    <row r="702" spans="3:11" x14ac:dyDescent="0.3">
      <c r="C702" s="12"/>
      <c r="E702" s="12"/>
      <c r="F702" s="12"/>
      <c r="G702" s="122"/>
      <c r="H702" s="122"/>
      <c r="I702" s="122"/>
      <c r="J702" s="122"/>
      <c r="K702" s="122"/>
    </row>
    <row r="703" spans="3:11" x14ac:dyDescent="0.3">
      <c r="C703" s="12"/>
      <c r="E703" s="12"/>
      <c r="F703" s="12"/>
      <c r="G703" s="122"/>
      <c r="H703" s="122"/>
      <c r="I703" s="122"/>
      <c r="J703" s="122"/>
      <c r="K703" s="122"/>
    </row>
    <row r="704" spans="3:11" x14ac:dyDescent="0.3">
      <c r="C704" s="12"/>
      <c r="E704" s="12"/>
      <c r="F704" s="12"/>
      <c r="G704" s="122"/>
      <c r="H704" s="122"/>
      <c r="I704" s="122"/>
      <c r="J704" s="122"/>
      <c r="K704" s="122"/>
    </row>
    <row r="705" spans="3:11" x14ac:dyDescent="0.3">
      <c r="C705" s="12"/>
      <c r="E705" s="12"/>
      <c r="F705" s="12"/>
      <c r="G705" s="122"/>
      <c r="H705" s="122"/>
      <c r="I705" s="122"/>
      <c r="J705" s="122"/>
      <c r="K705" s="122"/>
    </row>
    <row r="706" spans="3:11" x14ac:dyDescent="0.3">
      <c r="C706" s="12"/>
      <c r="E706" s="12"/>
      <c r="F706" s="12"/>
      <c r="G706" s="122"/>
      <c r="H706" s="122"/>
      <c r="I706" s="122"/>
      <c r="J706" s="122"/>
      <c r="K706" s="122"/>
    </row>
    <row r="707" spans="3:11" x14ac:dyDescent="0.3">
      <c r="C707" s="12"/>
      <c r="E707" s="12"/>
      <c r="F707" s="12"/>
      <c r="G707" s="122"/>
      <c r="H707" s="122"/>
      <c r="I707" s="122"/>
      <c r="J707" s="122"/>
      <c r="K707" s="122"/>
    </row>
    <row r="708" spans="3:11" x14ac:dyDescent="0.3">
      <c r="C708" s="12"/>
      <c r="E708" s="12"/>
      <c r="F708" s="12"/>
      <c r="G708" s="122"/>
      <c r="H708" s="122"/>
      <c r="I708" s="122"/>
      <c r="J708" s="122"/>
      <c r="K708" s="122"/>
    </row>
    <row r="709" spans="3:11" x14ac:dyDescent="0.3">
      <c r="C709" s="12"/>
      <c r="E709" s="12"/>
      <c r="F709" s="12"/>
      <c r="G709" s="122"/>
      <c r="H709" s="122"/>
      <c r="I709" s="122"/>
      <c r="J709" s="122"/>
      <c r="K709" s="122"/>
    </row>
    <row r="710" spans="3:11" x14ac:dyDescent="0.3">
      <c r="C710" s="12"/>
      <c r="E710" s="12"/>
      <c r="F710" s="12"/>
      <c r="G710" s="122"/>
      <c r="H710" s="122"/>
      <c r="I710" s="122"/>
      <c r="J710" s="122"/>
      <c r="K710" s="122"/>
    </row>
    <row r="711" spans="3:11" x14ac:dyDescent="0.3">
      <c r="C711" s="12"/>
      <c r="E711" s="12"/>
      <c r="F711" s="12"/>
      <c r="G711" s="122"/>
      <c r="H711" s="122"/>
      <c r="I711" s="122"/>
      <c r="J711" s="122"/>
      <c r="K711" s="122"/>
    </row>
    <row r="712" spans="3:11" x14ac:dyDescent="0.3">
      <c r="C712" s="12"/>
      <c r="E712" s="12"/>
      <c r="F712" s="12"/>
      <c r="G712" s="122"/>
      <c r="H712" s="122"/>
      <c r="I712" s="122"/>
      <c r="J712" s="122"/>
      <c r="K712" s="122"/>
    </row>
    <row r="713" spans="3:11" x14ac:dyDescent="0.3">
      <c r="C713" s="12"/>
      <c r="E713" s="12"/>
      <c r="F713" s="12"/>
      <c r="G713" s="122"/>
      <c r="H713" s="122"/>
      <c r="I713" s="122"/>
      <c r="J713" s="122"/>
      <c r="K713" s="122"/>
    </row>
    <row r="714" spans="3:11" x14ac:dyDescent="0.3">
      <c r="C714" s="12"/>
      <c r="E714" s="12"/>
      <c r="F714" s="12"/>
      <c r="G714" s="122"/>
      <c r="H714" s="122"/>
      <c r="I714" s="122"/>
      <c r="J714" s="122"/>
      <c r="K714" s="122"/>
    </row>
    <row r="715" spans="3:11" x14ac:dyDescent="0.3">
      <c r="C715" s="12"/>
      <c r="E715" s="12"/>
      <c r="F715" s="12"/>
      <c r="G715" s="122"/>
      <c r="H715" s="122"/>
      <c r="I715" s="122"/>
      <c r="J715" s="122"/>
      <c r="K715" s="122"/>
    </row>
    <row r="716" spans="3:11" x14ac:dyDescent="0.3">
      <c r="C716" s="12"/>
      <c r="E716" s="12"/>
      <c r="F716" s="12"/>
      <c r="G716" s="122"/>
      <c r="H716" s="122"/>
      <c r="I716" s="122"/>
      <c r="J716" s="122"/>
      <c r="K716" s="122"/>
    </row>
    <row r="717" spans="3:11" x14ac:dyDescent="0.3">
      <c r="C717" s="12"/>
      <c r="E717" s="12"/>
      <c r="F717" s="12"/>
      <c r="G717" s="122"/>
      <c r="H717" s="122"/>
      <c r="I717" s="122"/>
      <c r="J717" s="122"/>
      <c r="K717" s="122"/>
    </row>
    <row r="718" spans="3:11" x14ac:dyDescent="0.3">
      <c r="C718" s="12"/>
      <c r="E718" s="12"/>
      <c r="F718" s="12"/>
      <c r="G718" s="122"/>
      <c r="H718" s="122"/>
      <c r="I718" s="122"/>
      <c r="J718" s="122"/>
      <c r="K718" s="122"/>
    </row>
    <row r="719" spans="3:11" x14ac:dyDescent="0.3">
      <c r="C719" s="12"/>
      <c r="E719" s="12"/>
      <c r="F719" s="12"/>
      <c r="G719" s="122"/>
      <c r="H719" s="122"/>
      <c r="I719" s="122"/>
      <c r="J719" s="122"/>
      <c r="K719" s="122"/>
    </row>
    <row r="720" spans="3:11" x14ac:dyDescent="0.3">
      <c r="C720" s="12"/>
      <c r="E720" s="12"/>
      <c r="F720" s="12"/>
      <c r="G720" s="122"/>
      <c r="H720" s="122"/>
      <c r="I720" s="122"/>
      <c r="J720" s="122"/>
      <c r="K720" s="122"/>
    </row>
    <row r="721" spans="3:11" x14ac:dyDescent="0.3">
      <c r="C721" s="12"/>
      <c r="E721" s="12"/>
      <c r="F721" s="12"/>
      <c r="G721" s="122"/>
      <c r="H721" s="122"/>
      <c r="I721" s="122"/>
      <c r="J721" s="122"/>
      <c r="K721" s="122"/>
    </row>
    <row r="722" spans="3:11" x14ac:dyDescent="0.3">
      <c r="C722" s="12"/>
      <c r="E722" s="12"/>
      <c r="F722" s="12"/>
      <c r="G722" s="122"/>
      <c r="H722" s="122"/>
      <c r="I722" s="122"/>
      <c r="J722" s="122"/>
      <c r="K722" s="122"/>
    </row>
    <row r="723" spans="3:11" x14ac:dyDescent="0.3">
      <c r="C723" s="12"/>
      <c r="E723" s="12"/>
      <c r="F723" s="12"/>
      <c r="G723" s="122"/>
      <c r="H723" s="122"/>
      <c r="I723" s="122"/>
      <c r="J723" s="122"/>
      <c r="K723" s="122"/>
    </row>
    <row r="724" spans="3:11" x14ac:dyDescent="0.3">
      <c r="C724" s="12"/>
      <c r="E724" s="12"/>
      <c r="F724" s="12"/>
      <c r="G724" s="122"/>
      <c r="H724" s="122"/>
      <c r="I724" s="122"/>
      <c r="J724" s="122"/>
      <c r="K724" s="122"/>
    </row>
    <row r="725" spans="3:11" x14ac:dyDescent="0.3">
      <c r="C725" s="12"/>
      <c r="E725" s="12"/>
      <c r="F725" s="12"/>
      <c r="G725" s="122"/>
      <c r="H725" s="122"/>
      <c r="I725" s="122"/>
      <c r="J725" s="122"/>
      <c r="K725" s="122"/>
    </row>
    <row r="726" spans="3:11" x14ac:dyDescent="0.3">
      <c r="C726" s="12"/>
      <c r="E726" s="12"/>
      <c r="F726" s="12"/>
      <c r="G726" s="122"/>
      <c r="H726" s="122"/>
      <c r="I726" s="122"/>
      <c r="J726" s="122"/>
      <c r="K726" s="122"/>
    </row>
    <row r="727" spans="3:11" x14ac:dyDescent="0.3">
      <c r="C727" s="12"/>
      <c r="E727" s="12"/>
      <c r="F727" s="12"/>
      <c r="G727" s="122"/>
      <c r="H727" s="122"/>
      <c r="I727" s="122"/>
      <c r="J727" s="122"/>
      <c r="K727" s="122"/>
    </row>
    <row r="728" spans="3:11" x14ac:dyDescent="0.3">
      <c r="C728" s="12"/>
      <c r="E728" s="12"/>
      <c r="F728" s="12"/>
      <c r="G728" s="122"/>
      <c r="H728" s="122"/>
      <c r="I728" s="122"/>
      <c r="J728" s="122"/>
      <c r="K728" s="122"/>
    </row>
    <row r="729" spans="3:11" x14ac:dyDescent="0.3">
      <c r="C729" s="12"/>
      <c r="E729" s="12"/>
      <c r="F729" s="12"/>
      <c r="G729" s="122"/>
      <c r="H729" s="122"/>
      <c r="I729" s="122"/>
      <c r="J729" s="122"/>
      <c r="K729" s="122"/>
    </row>
    <row r="730" spans="3:11" x14ac:dyDescent="0.3">
      <c r="C730" s="12"/>
      <c r="E730" s="12"/>
      <c r="F730" s="12"/>
      <c r="G730" s="122"/>
      <c r="H730" s="122"/>
      <c r="I730" s="122"/>
      <c r="J730" s="122"/>
      <c r="K730" s="122"/>
    </row>
    <row r="731" spans="3:11" x14ac:dyDescent="0.3">
      <c r="C731" s="12"/>
      <c r="E731" s="12"/>
      <c r="F731" s="12"/>
      <c r="G731" s="122"/>
      <c r="H731" s="122"/>
      <c r="I731" s="122"/>
      <c r="J731" s="122"/>
      <c r="K731" s="122"/>
    </row>
    <row r="732" spans="3:11" x14ac:dyDescent="0.3">
      <c r="C732" s="12"/>
      <c r="E732" s="12"/>
      <c r="F732" s="12"/>
      <c r="G732" s="122"/>
      <c r="H732" s="122"/>
      <c r="I732" s="122"/>
      <c r="J732" s="122"/>
      <c r="K732" s="122"/>
    </row>
    <row r="733" spans="3:11" x14ac:dyDescent="0.3">
      <c r="C733" s="12"/>
      <c r="E733" s="12"/>
      <c r="F733" s="12"/>
      <c r="G733" s="122"/>
      <c r="H733" s="122"/>
      <c r="I733" s="122"/>
      <c r="J733" s="122"/>
      <c r="K733" s="122"/>
    </row>
    <row r="734" spans="3:11" x14ac:dyDescent="0.3">
      <c r="C734" s="12"/>
      <c r="E734" s="12"/>
      <c r="F734" s="12"/>
      <c r="G734" s="122"/>
      <c r="H734" s="122"/>
      <c r="I734" s="122"/>
      <c r="J734" s="122"/>
      <c r="K734" s="122"/>
    </row>
    <row r="735" spans="3:11" x14ac:dyDescent="0.3">
      <c r="C735" s="12"/>
      <c r="E735" s="12"/>
      <c r="F735" s="12"/>
      <c r="G735" s="122"/>
      <c r="H735" s="122"/>
      <c r="I735" s="122"/>
      <c r="J735" s="122"/>
      <c r="K735" s="122"/>
    </row>
    <row r="736" spans="3:11" x14ac:dyDescent="0.3">
      <c r="C736" s="12"/>
      <c r="E736" s="12"/>
      <c r="F736" s="12"/>
      <c r="G736" s="122"/>
      <c r="H736" s="122"/>
      <c r="I736" s="122"/>
      <c r="J736" s="122"/>
      <c r="K736" s="122"/>
    </row>
    <row r="737" spans="3:11" x14ac:dyDescent="0.3">
      <c r="C737" s="12"/>
      <c r="E737" s="12"/>
      <c r="F737" s="12"/>
      <c r="G737" s="122"/>
      <c r="H737" s="122"/>
      <c r="I737" s="122"/>
      <c r="J737" s="122"/>
      <c r="K737" s="122"/>
    </row>
    <row r="738" spans="3:11" x14ac:dyDescent="0.3">
      <c r="C738" s="12"/>
      <c r="E738" s="12"/>
      <c r="F738" s="12"/>
      <c r="G738" s="122"/>
      <c r="H738" s="122"/>
      <c r="I738" s="122"/>
      <c r="J738" s="122"/>
      <c r="K738" s="122"/>
    </row>
    <row r="739" spans="3:11" x14ac:dyDescent="0.3">
      <c r="C739" s="12"/>
      <c r="E739" s="12"/>
      <c r="F739" s="12"/>
      <c r="G739" s="122"/>
      <c r="H739" s="122"/>
      <c r="I739" s="122"/>
      <c r="J739" s="122"/>
      <c r="K739" s="122"/>
    </row>
    <row r="740" spans="3:11" x14ac:dyDescent="0.3">
      <c r="C740" s="12"/>
      <c r="E740" s="12"/>
      <c r="F740" s="12"/>
      <c r="G740" s="122"/>
      <c r="H740" s="122"/>
      <c r="I740" s="122"/>
      <c r="J740" s="122"/>
      <c r="K740" s="122"/>
    </row>
    <row r="741" spans="3:11" x14ac:dyDescent="0.3">
      <c r="C741" s="12"/>
      <c r="E741" s="12"/>
      <c r="F741" s="12"/>
      <c r="G741" s="122"/>
      <c r="H741" s="122"/>
      <c r="I741" s="122"/>
      <c r="J741" s="122"/>
      <c r="K741" s="122"/>
    </row>
    <row r="742" spans="3:11" x14ac:dyDescent="0.3">
      <c r="C742" s="12"/>
      <c r="E742" s="12"/>
      <c r="F742" s="12"/>
      <c r="G742" s="122"/>
      <c r="H742" s="122"/>
      <c r="I742" s="122"/>
      <c r="J742" s="122"/>
      <c r="K742" s="122"/>
    </row>
    <row r="743" spans="3:11" x14ac:dyDescent="0.3">
      <c r="C743" s="12"/>
      <c r="E743" s="12"/>
      <c r="F743" s="12"/>
      <c r="G743" s="122"/>
      <c r="H743" s="122"/>
      <c r="I743" s="122"/>
      <c r="J743" s="122"/>
      <c r="K743" s="122"/>
    </row>
    <row r="744" spans="3:11" x14ac:dyDescent="0.3">
      <c r="C744" s="12"/>
      <c r="E744" s="12"/>
      <c r="F744" s="12"/>
      <c r="G744" s="122"/>
      <c r="H744" s="122"/>
      <c r="I744" s="122"/>
      <c r="J744" s="122"/>
      <c r="K744" s="122"/>
    </row>
    <row r="745" spans="3:11" x14ac:dyDescent="0.3">
      <c r="C745" s="12"/>
      <c r="E745" s="12"/>
      <c r="F745" s="12"/>
      <c r="G745" s="122"/>
      <c r="H745" s="122"/>
      <c r="I745" s="122"/>
      <c r="J745" s="122"/>
      <c r="K745" s="122"/>
    </row>
    <row r="746" spans="3:11" x14ac:dyDescent="0.3">
      <c r="C746" s="12"/>
      <c r="E746" s="12"/>
      <c r="F746" s="12"/>
      <c r="G746" s="122"/>
      <c r="H746" s="122"/>
      <c r="I746" s="122"/>
      <c r="J746" s="122"/>
      <c r="K746" s="122"/>
    </row>
    <row r="747" spans="3:11" x14ac:dyDescent="0.3">
      <c r="C747" s="12"/>
      <c r="E747" s="12"/>
      <c r="F747" s="12"/>
      <c r="G747" s="122"/>
      <c r="H747" s="122"/>
      <c r="I747" s="122"/>
      <c r="J747" s="122"/>
      <c r="K747" s="122"/>
    </row>
    <row r="748" spans="3:11" x14ac:dyDescent="0.3">
      <c r="C748" s="12"/>
      <c r="E748" s="12"/>
      <c r="F748" s="12"/>
      <c r="G748" s="122"/>
      <c r="H748" s="122"/>
      <c r="I748" s="122"/>
      <c r="J748" s="122"/>
      <c r="K748" s="122"/>
    </row>
    <row r="749" spans="3:11" x14ac:dyDescent="0.3">
      <c r="C749" s="12"/>
      <c r="E749" s="12"/>
      <c r="F749" s="12"/>
      <c r="G749" s="122"/>
      <c r="H749" s="122"/>
      <c r="I749" s="122"/>
      <c r="J749" s="122"/>
      <c r="K749" s="122"/>
    </row>
    <row r="750" spans="3:11" x14ac:dyDescent="0.3">
      <c r="C750" s="12"/>
      <c r="E750" s="12"/>
      <c r="F750" s="12"/>
      <c r="G750" s="122"/>
      <c r="H750" s="122"/>
      <c r="I750" s="122"/>
      <c r="J750" s="122"/>
      <c r="K750" s="122"/>
    </row>
    <row r="751" spans="3:11" x14ac:dyDescent="0.3">
      <c r="C751" s="12"/>
      <c r="E751" s="12"/>
      <c r="F751" s="12"/>
      <c r="G751" s="122"/>
      <c r="H751" s="122"/>
      <c r="I751" s="122"/>
      <c r="J751" s="122"/>
      <c r="K751" s="122"/>
    </row>
    <row r="752" spans="3:11" x14ac:dyDescent="0.3">
      <c r="C752" s="12"/>
      <c r="E752" s="12"/>
      <c r="F752" s="12"/>
      <c r="G752" s="122"/>
      <c r="H752" s="122"/>
      <c r="I752" s="122"/>
      <c r="J752" s="122"/>
      <c r="K752" s="122"/>
    </row>
    <row r="753" spans="3:11" x14ac:dyDescent="0.3">
      <c r="C753" s="12"/>
      <c r="E753" s="12"/>
      <c r="F753" s="12"/>
      <c r="G753" s="122"/>
      <c r="H753" s="122"/>
      <c r="I753" s="122"/>
      <c r="J753" s="122"/>
      <c r="K753" s="122"/>
    </row>
    <row r="754" spans="3:11" x14ac:dyDescent="0.3">
      <c r="C754" s="12"/>
      <c r="E754" s="12"/>
      <c r="F754" s="12"/>
      <c r="G754" s="122"/>
      <c r="H754" s="122"/>
      <c r="I754" s="122"/>
      <c r="J754" s="122"/>
      <c r="K754" s="122"/>
    </row>
    <row r="755" spans="3:11" x14ac:dyDescent="0.3">
      <c r="C755" s="12"/>
      <c r="E755" s="12"/>
      <c r="F755" s="12"/>
      <c r="G755" s="122"/>
      <c r="H755" s="122"/>
      <c r="I755" s="122"/>
      <c r="J755" s="122"/>
      <c r="K755" s="122"/>
    </row>
    <row r="756" spans="3:11" x14ac:dyDescent="0.3">
      <c r="C756" s="12"/>
      <c r="E756" s="12"/>
      <c r="F756" s="12"/>
      <c r="G756" s="122"/>
      <c r="H756" s="122"/>
      <c r="I756" s="122"/>
      <c r="J756" s="122"/>
      <c r="K756" s="122"/>
    </row>
    <row r="757" spans="3:11" x14ac:dyDescent="0.3">
      <c r="C757" s="12"/>
      <c r="E757" s="12"/>
      <c r="F757" s="12"/>
      <c r="G757" s="122"/>
      <c r="H757" s="122"/>
      <c r="I757" s="122"/>
      <c r="J757" s="122"/>
      <c r="K757" s="122"/>
    </row>
    <row r="758" spans="3:11" x14ac:dyDescent="0.3">
      <c r="C758" s="12"/>
      <c r="E758" s="12"/>
      <c r="F758" s="12"/>
      <c r="G758" s="122"/>
      <c r="H758" s="122"/>
      <c r="I758" s="122"/>
      <c r="J758" s="122"/>
      <c r="K758" s="122"/>
    </row>
    <row r="759" spans="3:11" x14ac:dyDescent="0.3">
      <c r="C759" s="12"/>
      <c r="E759" s="12"/>
      <c r="F759" s="12"/>
      <c r="G759" s="122"/>
      <c r="H759" s="122"/>
      <c r="I759" s="122"/>
      <c r="J759" s="122"/>
      <c r="K759" s="122"/>
    </row>
    <row r="760" spans="3:11" x14ac:dyDescent="0.3">
      <c r="C760" s="12"/>
      <c r="E760" s="12"/>
      <c r="F760" s="12"/>
      <c r="G760" s="122"/>
      <c r="H760" s="122"/>
      <c r="I760" s="122"/>
      <c r="J760" s="122"/>
      <c r="K760" s="122"/>
    </row>
    <row r="761" spans="3:11" x14ac:dyDescent="0.3">
      <c r="C761" s="12"/>
      <c r="E761" s="12"/>
      <c r="F761" s="12"/>
      <c r="G761" s="122"/>
      <c r="H761" s="122"/>
      <c r="I761" s="122"/>
      <c r="J761" s="122"/>
      <c r="K761" s="122"/>
    </row>
    <row r="762" spans="3:11" x14ac:dyDescent="0.3">
      <c r="C762" s="12"/>
      <c r="E762" s="12"/>
      <c r="F762" s="12"/>
      <c r="G762" s="122"/>
      <c r="H762" s="122"/>
      <c r="I762" s="122"/>
      <c r="J762" s="122"/>
      <c r="K762" s="122"/>
    </row>
    <row r="763" spans="3:11" x14ac:dyDescent="0.3">
      <c r="C763" s="12"/>
      <c r="E763" s="12"/>
      <c r="F763" s="12"/>
      <c r="G763" s="122"/>
      <c r="H763" s="122"/>
      <c r="I763" s="122"/>
      <c r="J763" s="122"/>
      <c r="K763" s="122"/>
    </row>
    <row r="764" spans="3:11" x14ac:dyDescent="0.3">
      <c r="C764" s="12"/>
      <c r="E764" s="12"/>
      <c r="F764" s="12"/>
      <c r="G764" s="122"/>
      <c r="H764" s="122"/>
      <c r="I764" s="122"/>
      <c r="J764" s="122"/>
      <c r="K764" s="122"/>
    </row>
    <row r="765" spans="3:11" x14ac:dyDescent="0.3">
      <c r="C765" s="12"/>
      <c r="E765" s="12"/>
      <c r="F765" s="12"/>
      <c r="G765" s="122"/>
      <c r="H765" s="122"/>
      <c r="I765" s="122"/>
      <c r="J765" s="122"/>
      <c r="K765" s="122"/>
    </row>
    <row r="766" spans="3:11" x14ac:dyDescent="0.3">
      <c r="C766" s="12"/>
      <c r="E766" s="12"/>
      <c r="F766" s="12"/>
      <c r="G766" s="122"/>
      <c r="H766" s="122"/>
      <c r="I766" s="122"/>
      <c r="J766" s="122"/>
      <c r="K766" s="122"/>
    </row>
    <row r="767" spans="3:11" x14ac:dyDescent="0.3">
      <c r="C767" s="12"/>
      <c r="E767" s="12"/>
      <c r="F767" s="12"/>
      <c r="G767" s="122"/>
      <c r="H767" s="122"/>
      <c r="I767" s="122"/>
      <c r="J767" s="122"/>
      <c r="K767" s="122"/>
    </row>
    <row r="768" spans="3:11" x14ac:dyDescent="0.3">
      <c r="C768" s="12"/>
      <c r="E768" s="12"/>
      <c r="F768" s="12"/>
      <c r="G768" s="122"/>
      <c r="H768" s="122"/>
      <c r="I768" s="122"/>
      <c r="J768" s="122"/>
      <c r="K768" s="122"/>
    </row>
    <row r="769" spans="3:11" x14ac:dyDescent="0.3">
      <c r="C769" s="12"/>
      <c r="E769" s="12"/>
      <c r="F769" s="12"/>
      <c r="G769" s="122"/>
      <c r="H769" s="122"/>
      <c r="I769" s="122"/>
      <c r="J769" s="122"/>
      <c r="K769" s="122"/>
    </row>
    <row r="770" spans="3:11" x14ac:dyDescent="0.3">
      <c r="C770" s="12"/>
      <c r="E770" s="12"/>
      <c r="F770" s="12"/>
      <c r="G770" s="122"/>
      <c r="H770" s="122"/>
      <c r="I770" s="122"/>
      <c r="J770" s="122"/>
      <c r="K770" s="122"/>
    </row>
    <row r="771" spans="3:11" x14ac:dyDescent="0.3">
      <c r="C771" s="12"/>
      <c r="E771" s="12"/>
      <c r="F771" s="12"/>
      <c r="G771" s="122"/>
      <c r="H771" s="122"/>
      <c r="I771" s="122"/>
      <c r="J771" s="122"/>
      <c r="K771" s="122"/>
    </row>
    <row r="772" spans="3:11" x14ac:dyDescent="0.3">
      <c r="C772" s="12"/>
      <c r="E772" s="12"/>
      <c r="F772" s="12"/>
      <c r="G772" s="122"/>
      <c r="H772" s="122"/>
      <c r="I772" s="122"/>
      <c r="J772" s="122"/>
      <c r="K772" s="122"/>
    </row>
    <row r="773" spans="3:11" x14ac:dyDescent="0.3">
      <c r="C773" s="12"/>
      <c r="E773" s="12"/>
      <c r="F773" s="12"/>
      <c r="G773" s="122"/>
      <c r="H773" s="122"/>
      <c r="I773" s="122"/>
      <c r="J773" s="122"/>
      <c r="K773" s="122"/>
    </row>
    <row r="774" spans="3:11" x14ac:dyDescent="0.3">
      <c r="C774" s="12"/>
      <c r="E774" s="12"/>
      <c r="F774" s="12"/>
      <c r="G774" s="122"/>
      <c r="H774" s="122"/>
      <c r="I774" s="122"/>
      <c r="J774" s="122"/>
      <c r="K774" s="122"/>
    </row>
    <row r="775" spans="3:11" x14ac:dyDescent="0.3">
      <c r="C775" s="12"/>
      <c r="E775" s="12"/>
      <c r="F775" s="12"/>
      <c r="G775" s="122"/>
      <c r="H775" s="122"/>
      <c r="I775" s="122"/>
      <c r="J775" s="122"/>
      <c r="K775" s="122"/>
    </row>
    <row r="776" spans="3:11" x14ac:dyDescent="0.3">
      <c r="C776" s="12"/>
      <c r="E776" s="12"/>
      <c r="F776" s="12"/>
      <c r="G776" s="122"/>
      <c r="H776" s="122"/>
      <c r="I776" s="122"/>
      <c r="J776" s="122"/>
      <c r="K776" s="122"/>
    </row>
    <row r="777" spans="3:11" x14ac:dyDescent="0.3">
      <c r="C777" s="12"/>
      <c r="E777" s="12"/>
      <c r="F777" s="12"/>
      <c r="G777" s="122"/>
      <c r="H777" s="122"/>
      <c r="I777" s="122"/>
      <c r="J777" s="122"/>
      <c r="K777" s="122"/>
    </row>
    <row r="778" spans="3:11" x14ac:dyDescent="0.3">
      <c r="C778" s="12"/>
      <c r="E778" s="12"/>
      <c r="F778" s="12"/>
      <c r="G778" s="122"/>
      <c r="H778" s="122"/>
      <c r="I778" s="122"/>
      <c r="J778" s="122"/>
      <c r="K778" s="122"/>
    </row>
    <row r="779" spans="3:11" x14ac:dyDescent="0.3">
      <c r="C779" s="12"/>
      <c r="E779" s="12"/>
      <c r="F779" s="12"/>
      <c r="G779" s="122"/>
      <c r="H779" s="122"/>
      <c r="I779" s="122"/>
      <c r="J779" s="122"/>
      <c r="K779" s="122"/>
    </row>
    <row r="780" spans="3:11" x14ac:dyDescent="0.3">
      <c r="C780" s="12"/>
      <c r="E780" s="12"/>
      <c r="F780" s="12"/>
      <c r="G780" s="122"/>
      <c r="H780" s="122"/>
      <c r="I780" s="122"/>
      <c r="J780" s="122"/>
      <c r="K780" s="122"/>
    </row>
    <row r="781" spans="3:11" x14ac:dyDescent="0.3">
      <c r="C781" s="12"/>
      <c r="E781" s="12"/>
      <c r="F781" s="12"/>
      <c r="G781" s="122"/>
      <c r="H781" s="122"/>
      <c r="I781" s="122"/>
      <c r="J781" s="122"/>
      <c r="K781" s="122"/>
    </row>
    <row r="782" spans="3:11" x14ac:dyDescent="0.3">
      <c r="C782" s="12"/>
      <c r="E782" s="12"/>
      <c r="F782" s="12"/>
      <c r="G782" s="122"/>
      <c r="H782" s="122"/>
      <c r="I782" s="122"/>
      <c r="J782" s="122"/>
      <c r="K782" s="122"/>
    </row>
    <row r="783" spans="3:11" x14ac:dyDescent="0.3">
      <c r="C783" s="12"/>
      <c r="E783" s="12"/>
      <c r="F783" s="12"/>
      <c r="G783" s="122"/>
      <c r="H783" s="122"/>
      <c r="I783" s="122"/>
      <c r="J783" s="122"/>
      <c r="K783" s="122"/>
    </row>
    <row r="784" spans="3:11" x14ac:dyDescent="0.3">
      <c r="C784" s="12"/>
      <c r="E784" s="12"/>
      <c r="F784" s="12"/>
      <c r="G784" s="122"/>
      <c r="H784" s="122"/>
      <c r="I784" s="122"/>
      <c r="J784" s="122"/>
      <c r="K784" s="122"/>
    </row>
    <row r="785" spans="3:11" x14ac:dyDescent="0.3">
      <c r="C785" s="12"/>
      <c r="E785" s="12"/>
      <c r="F785" s="12"/>
      <c r="G785" s="122"/>
      <c r="H785" s="122"/>
      <c r="I785" s="122"/>
      <c r="J785" s="122"/>
      <c r="K785" s="122"/>
    </row>
    <row r="786" spans="3:11" x14ac:dyDescent="0.3">
      <c r="C786" s="12"/>
      <c r="E786" s="12"/>
      <c r="F786" s="12"/>
      <c r="G786" s="122"/>
      <c r="H786" s="122"/>
      <c r="I786" s="122"/>
      <c r="J786" s="122"/>
      <c r="K786" s="122"/>
    </row>
    <row r="787" spans="3:11" x14ac:dyDescent="0.3">
      <c r="C787" s="12"/>
      <c r="E787" s="12"/>
      <c r="F787" s="12"/>
      <c r="G787" s="122"/>
      <c r="H787" s="122"/>
      <c r="I787" s="122"/>
      <c r="J787" s="122"/>
      <c r="K787" s="122"/>
    </row>
    <row r="788" spans="3:11" x14ac:dyDescent="0.3">
      <c r="C788" s="12"/>
      <c r="E788" s="12"/>
      <c r="F788" s="12"/>
      <c r="G788" s="122"/>
      <c r="H788" s="122"/>
      <c r="I788" s="122"/>
      <c r="J788" s="122"/>
      <c r="K788" s="122"/>
    </row>
    <row r="789" spans="3:11" x14ac:dyDescent="0.3">
      <c r="C789" s="12"/>
      <c r="E789" s="12"/>
      <c r="F789" s="12"/>
      <c r="G789" s="122"/>
      <c r="H789" s="122"/>
      <c r="I789" s="122"/>
      <c r="J789" s="122"/>
      <c r="K789" s="122"/>
    </row>
    <row r="790" spans="3:11" x14ac:dyDescent="0.3">
      <c r="C790" s="12"/>
      <c r="E790" s="12"/>
      <c r="F790" s="12"/>
      <c r="G790" s="122"/>
      <c r="H790" s="122"/>
      <c r="I790" s="122"/>
      <c r="J790" s="122"/>
      <c r="K790" s="122"/>
    </row>
    <row r="791" spans="3:11" x14ac:dyDescent="0.3">
      <c r="C791" s="12"/>
      <c r="E791" s="12"/>
      <c r="F791" s="12"/>
      <c r="G791" s="122"/>
      <c r="H791" s="122"/>
      <c r="I791" s="122"/>
      <c r="J791" s="122"/>
      <c r="K791" s="122"/>
    </row>
    <row r="792" spans="3:11" x14ac:dyDescent="0.3">
      <c r="C792" s="12"/>
      <c r="E792" s="12"/>
      <c r="F792" s="12"/>
      <c r="G792" s="122"/>
      <c r="H792" s="122"/>
      <c r="I792" s="122"/>
      <c r="J792" s="122"/>
      <c r="K792" s="122"/>
    </row>
    <row r="793" spans="3:11" x14ac:dyDescent="0.3">
      <c r="C793" s="12"/>
      <c r="E793" s="12"/>
      <c r="F793" s="12"/>
      <c r="G793" s="122"/>
      <c r="H793" s="122"/>
      <c r="I793" s="122"/>
      <c r="J793" s="122"/>
      <c r="K793" s="122"/>
    </row>
    <row r="794" spans="3:11" x14ac:dyDescent="0.3">
      <c r="C794" s="12"/>
      <c r="E794" s="12"/>
      <c r="F794" s="12"/>
      <c r="G794" s="122"/>
      <c r="H794" s="122"/>
      <c r="I794" s="122"/>
      <c r="J794" s="122"/>
      <c r="K794" s="122"/>
    </row>
    <row r="795" spans="3:11" x14ac:dyDescent="0.3">
      <c r="C795" s="12"/>
      <c r="E795" s="12"/>
      <c r="F795" s="12"/>
      <c r="G795" s="122"/>
      <c r="H795" s="122"/>
      <c r="I795" s="122"/>
      <c r="J795" s="122"/>
      <c r="K795" s="122"/>
    </row>
    <row r="796" spans="3:11" x14ac:dyDescent="0.3">
      <c r="C796" s="12"/>
      <c r="E796" s="12"/>
      <c r="F796" s="12"/>
      <c r="G796" s="122"/>
      <c r="H796" s="122"/>
      <c r="I796" s="122"/>
      <c r="J796" s="122"/>
      <c r="K796" s="122"/>
    </row>
    <row r="797" spans="3:11" x14ac:dyDescent="0.3">
      <c r="C797" s="12"/>
      <c r="E797" s="12"/>
      <c r="F797" s="12"/>
      <c r="G797" s="122"/>
      <c r="H797" s="122"/>
      <c r="I797" s="122"/>
      <c r="J797" s="122"/>
      <c r="K797" s="122"/>
    </row>
    <row r="798" spans="3:11" x14ac:dyDescent="0.3">
      <c r="C798" s="12"/>
      <c r="E798" s="12"/>
      <c r="F798" s="12"/>
      <c r="G798" s="122"/>
      <c r="H798" s="122"/>
      <c r="I798" s="122"/>
      <c r="J798" s="122"/>
      <c r="K798" s="122"/>
    </row>
    <row r="799" spans="3:11" x14ac:dyDescent="0.3">
      <c r="C799" s="12"/>
      <c r="E799" s="12"/>
      <c r="F799" s="12"/>
      <c r="G799" s="122"/>
      <c r="H799" s="122"/>
      <c r="I799" s="122"/>
      <c r="J799" s="122"/>
      <c r="K799" s="122"/>
    </row>
    <row r="800" spans="3:11" x14ac:dyDescent="0.3">
      <c r="C800" s="12"/>
      <c r="E800" s="12"/>
      <c r="F800" s="12"/>
      <c r="G800" s="122"/>
      <c r="H800" s="122"/>
      <c r="I800" s="122"/>
      <c r="J800" s="122"/>
      <c r="K800" s="122"/>
    </row>
    <row r="801" spans="3:11" x14ac:dyDescent="0.3">
      <c r="C801" s="12"/>
      <c r="E801" s="12"/>
      <c r="F801" s="12"/>
      <c r="G801" s="122"/>
      <c r="H801" s="122"/>
      <c r="I801" s="122"/>
      <c r="J801" s="122"/>
      <c r="K801" s="122"/>
    </row>
    <row r="802" spans="3:11" x14ac:dyDescent="0.3">
      <c r="C802" s="12"/>
      <c r="E802" s="12"/>
      <c r="F802" s="12"/>
      <c r="G802" s="122"/>
      <c r="H802" s="122"/>
      <c r="I802" s="122"/>
      <c r="J802" s="122"/>
      <c r="K802" s="122"/>
    </row>
    <row r="803" spans="3:11" x14ac:dyDescent="0.3">
      <c r="C803" s="12"/>
      <c r="E803" s="12"/>
      <c r="F803" s="12"/>
      <c r="G803" s="122"/>
      <c r="H803" s="122"/>
      <c r="I803" s="122"/>
      <c r="J803" s="122"/>
      <c r="K803" s="122"/>
    </row>
    <row r="804" spans="3:11" x14ac:dyDescent="0.3">
      <c r="C804" s="12"/>
      <c r="E804" s="12"/>
      <c r="F804" s="12"/>
      <c r="G804" s="122"/>
      <c r="H804" s="122"/>
      <c r="I804" s="122"/>
      <c r="J804" s="122"/>
      <c r="K804" s="122"/>
    </row>
    <row r="805" spans="3:11" x14ac:dyDescent="0.3">
      <c r="C805" s="12"/>
      <c r="E805" s="12"/>
      <c r="F805" s="12"/>
      <c r="G805" s="122"/>
      <c r="H805" s="122"/>
      <c r="I805" s="122"/>
      <c r="J805" s="122"/>
      <c r="K805" s="122"/>
    </row>
    <row r="806" spans="3:11" x14ac:dyDescent="0.3">
      <c r="C806" s="12"/>
      <c r="E806" s="12"/>
      <c r="F806" s="12"/>
      <c r="G806" s="122"/>
      <c r="H806" s="122"/>
      <c r="I806" s="122"/>
      <c r="J806" s="122"/>
      <c r="K806" s="122"/>
    </row>
    <row r="807" spans="3:11" x14ac:dyDescent="0.3">
      <c r="C807" s="12"/>
      <c r="E807" s="12"/>
      <c r="F807" s="12"/>
      <c r="G807" s="122"/>
      <c r="H807" s="122"/>
      <c r="I807" s="122"/>
      <c r="J807" s="122"/>
      <c r="K807" s="122"/>
    </row>
    <row r="808" spans="3:11" x14ac:dyDescent="0.3">
      <c r="C808" s="12"/>
      <c r="E808" s="12"/>
      <c r="F808" s="12"/>
      <c r="G808" s="122"/>
      <c r="H808" s="122"/>
      <c r="I808" s="122"/>
      <c r="J808" s="122"/>
      <c r="K808" s="122"/>
    </row>
    <row r="809" spans="3:11" x14ac:dyDescent="0.3">
      <c r="C809" s="12"/>
      <c r="E809" s="12"/>
      <c r="F809" s="12"/>
      <c r="G809" s="122"/>
      <c r="H809" s="122"/>
      <c r="I809" s="122"/>
      <c r="J809" s="122"/>
      <c r="K809" s="122"/>
    </row>
    <row r="810" spans="3:11" x14ac:dyDescent="0.3">
      <c r="C810" s="12"/>
      <c r="E810" s="12"/>
      <c r="F810" s="12"/>
      <c r="G810" s="122"/>
      <c r="H810" s="122"/>
      <c r="I810" s="122"/>
      <c r="J810" s="122"/>
      <c r="K810" s="122"/>
    </row>
    <row r="811" spans="3:11" x14ac:dyDescent="0.3">
      <c r="C811" s="12"/>
      <c r="E811" s="12"/>
      <c r="F811" s="12"/>
      <c r="G811" s="122"/>
      <c r="H811" s="122"/>
      <c r="I811" s="122"/>
      <c r="J811" s="122"/>
      <c r="K811" s="122"/>
    </row>
    <row r="812" spans="3:11" x14ac:dyDescent="0.3">
      <c r="C812" s="12"/>
      <c r="E812" s="12"/>
      <c r="F812" s="12"/>
      <c r="G812" s="122"/>
      <c r="H812" s="122"/>
      <c r="I812" s="122"/>
      <c r="J812" s="122"/>
      <c r="K812" s="122"/>
    </row>
    <row r="813" spans="3:11" x14ac:dyDescent="0.3">
      <c r="C813" s="12"/>
      <c r="E813" s="12"/>
      <c r="F813" s="12"/>
      <c r="G813" s="122"/>
      <c r="H813" s="122"/>
      <c r="I813" s="122"/>
      <c r="J813" s="122"/>
      <c r="K813" s="122"/>
    </row>
    <row r="814" spans="3:11" x14ac:dyDescent="0.3">
      <c r="C814" s="12"/>
      <c r="E814" s="12"/>
      <c r="F814" s="12"/>
      <c r="G814" s="122"/>
      <c r="H814" s="122"/>
      <c r="I814" s="122"/>
      <c r="J814" s="122"/>
      <c r="K814" s="122"/>
    </row>
    <row r="815" spans="3:11" x14ac:dyDescent="0.3">
      <c r="C815" s="12"/>
      <c r="E815" s="12"/>
      <c r="F815" s="12"/>
      <c r="G815" s="122"/>
      <c r="H815" s="122"/>
      <c r="I815" s="122"/>
      <c r="J815" s="122"/>
      <c r="K815" s="122"/>
    </row>
    <row r="816" spans="3:11" x14ac:dyDescent="0.3">
      <c r="C816" s="12"/>
      <c r="E816" s="12"/>
      <c r="F816" s="12"/>
      <c r="G816" s="122"/>
      <c r="H816" s="122"/>
      <c r="I816" s="122"/>
      <c r="J816" s="122"/>
      <c r="K816" s="122"/>
    </row>
    <row r="817" spans="3:11" x14ac:dyDescent="0.3">
      <c r="C817" s="12"/>
      <c r="E817" s="12"/>
      <c r="F817" s="12"/>
      <c r="G817" s="122"/>
      <c r="H817" s="122"/>
      <c r="I817" s="122"/>
      <c r="J817" s="122"/>
      <c r="K817" s="122"/>
    </row>
    <row r="818" spans="3:11" x14ac:dyDescent="0.3">
      <c r="C818" s="12"/>
      <c r="E818" s="12"/>
      <c r="F818" s="12"/>
      <c r="G818" s="122"/>
      <c r="H818" s="122"/>
      <c r="I818" s="122"/>
      <c r="J818" s="122"/>
      <c r="K818" s="122"/>
    </row>
    <row r="819" spans="3:11" x14ac:dyDescent="0.3">
      <c r="C819" s="12"/>
      <c r="E819" s="12"/>
      <c r="F819" s="12"/>
      <c r="G819" s="122"/>
      <c r="H819" s="122"/>
      <c r="I819" s="122"/>
      <c r="J819" s="122"/>
      <c r="K819" s="122"/>
    </row>
    <row r="820" spans="3:11" x14ac:dyDescent="0.3">
      <c r="C820" s="12"/>
      <c r="E820" s="12"/>
      <c r="F820" s="12"/>
      <c r="G820" s="122"/>
      <c r="H820" s="122"/>
      <c r="I820" s="122"/>
      <c r="J820" s="122"/>
      <c r="K820" s="122"/>
    </row>
    <row r="821" spans="3:11" x14ac:dyDescent="0.3">
      <c r="C821" s="12"/>
      <c r="E821" s="12"/>
      <c r="F821" s="12"/>
      <c r="G821" s="122"/>
      <c r="H821" s="122"/>
      <c r="I821" s="122"/>
      <c r="J821" s="122"/>
      <c r="K821" s="122"/>
    </row>
    <row r="822" spans="3:11" x14ac:dyDescent="0.3">
      <c r="C822" s="12"/>
      <c r="E822" s="12"/>
      <c r="F822" s="12"/>
      <c r="G822" s="122"/>
      <c r="H822" s="122"/>
      <c r="I822" s="122"/>
      <c r="J822" s="122"/>
      <c r="K822" s="122"/>
    </row>
    <row r="823" spans="3:11" x14ac:dyDescent="0.3">
      <c r="C823" s="12"/>
      <c r="E823" s="12"/>
      <c r="F823" s="12"/>
      <c r="G823" s="122"/>
      <c r="H823" s="122"/>
      <c r="I823" s="122"/>
      <c r="J823" s="122"/>
      <c r="K823" s="122"/>
    </row>
    <row r="824" spans="3:11" x14ac:dyDescent="0.3">
      <c r="C824" s="12"/>
      <c r="E824" s="12"/>
      <c r="F824" s="12"/>
      <c r="G824" s="122"/>
      <c r="H824" s="122"/>
      <c r="I824" s="122"/>
      <c r="J824" s="122"/>
      <c r="K824" s="122"/>
    </row>
    <row r="825" spans="3:11" x14ac:dyDescent="0.3">
      <c r="C825" s="12"/>
      <c r="E825" s="12"/>
      <c r="F825" s="12"/>
      <c r="G825" s="122"/>
      <c r="H825" s="122"/>
      <c r="I825" s="122"/>
      <c r="J825" s="122"/>
      <c r="K825" s="122"/>
    </row>
    <row r="826" spans="3:11" x14ac:dyDescent="0.3">
      <c r="C826" s="12"/>
      <c r="E826" s="12"/>
      <c r="F826" s="12"/>
      <c r="G826" s="122"/>
      <c r="H826" s="122"/>
      <c r="I826" s="122"/>
      <c r="J826" s="122"/>
      <c r="K826" s="122"/>
    </row>
    <row r="827" spans="3:11" x14ac:dyDescent="0.3">
      <c r="C827" s="12"/>
      <c r="E827" s="12"/>
      <c r="F827" s="12"/>
      <c r="G827" s="122"/>
      <c r="H827" s="122"/>
      <c r="I827" s="122"/>
      <c r="J827" s="122"/>
      <c r="K827" s="122"/>
    </row>
    <row r="828" spans="3:11" x14ac:dyDescent="0.3">
      <c r="C828" s="12"/>
      <c r="E828" s="12"/>
      <c r="F828" s="12"/>
      <c r="G828" s="122"/>
      <c r="H828" s="122"/>
      <c r="I828" s="122"/>
      <c r="J828" s="122"/>
      <c r="K828" s="122"/>
    </row>
    <row r="829" spans="3:11" x14ac:dyDescent="0.3">
      <c r="C829" s="12"/>
      <c r="E829" s="12"/>
      <c r="F829" s="12"/>
      <c r="G829" s="122"/>
      <c r="H829" s="122"/>
      <c r="I829" s="122"/>
      <c r="J829" s="122"/>
      <c r="K829" s="122"/>
    </row>
    <row r="830" spans="3:11" x14ac:dyDescent="0.3">
      <c r="C830" s="12"/>
      <c r="E830" s="12"/>
      <c r="F830" s="12"/>
      <c r="G830" s="122"/>
      <c r="H830" s="122"/>
      <c r="I830" s="122"/>
      <c r="J830" s="122"/>
      <c r="K830" s="122"/>
    </row>
    <row r="831" spans="3:11" x14ac:dyDescent="0.3">
      <c r="C831" s="12"/>
      <c r="E831" s="12"/>
      <c r="F831" s="12"/>
      <c r="G831" s="122"/>
      <c r="H831" s="122"/>
      <c r="I831" s="122"/>
      <c r="J831" s="122"/>
      <c r="K831" s="122"/>
    </row>
    <row r="832" spans="3:11" x14ac:dyDescent="0.3">
      <c r="C832" s="12"/>
      <c r="E832" s="12"/>
      <c r="F832" s="12"/>
      <c r="G832" s="122"/>
      <c r="H832" s="122"/>
      <c r="I832" s="122"/>
      <c r="J832" s="122"/>
      <c r="K832" s="122"/>
    </row>
    <row r="833" spans="3:11" x14ac:dyDescent="0.3">
      <c r="C833" s="12"/>
      <c r="E833" s="12"/>
      <c r="F833" s="12"/>
      <c r="G833" s="122"/>
      <c r="H833" s="122"/>
      <c r="I833" s="122"/>
      <c r="J833" s="122"/>
      <c r="K833" s="122"/>
    </row>
    <row r="834" spans="3:11" x14ac:dyDescent="0.3">
      <c r="C834" s="12"/>
      <c r="E834" s="12"/>
      <c r="F834" s="12"/>
      <c r="G834" s="122"/>
      <c r="H834" s="122"/>
      <c r="I834" s="122"/>
      <c r="J834" s="122"/>
      <c r="K834" s="122"/>
    </row>
    <row r="835" spans="3:11" x14ac:dyDescent="0.3">
      <c r="C835" s="12"/>
      <c r="E835" s="12"/>
      <c r="F835" s="12"/>
      <c r="G835" s="122"/>
      <c r="H835" s="122"/>
      <c r="I835" s="122"/>
      <c r="J835" s="122"/>
      <c r="K835" s="122"/>
    </row>
    <row r="836" spans="3:11" x14ac:dyDescent="0.3">
      <c r="C836" s="12"/>
      <c r="E836" s="12"/>
      <c r="F836" s="12"/>
      <c r="G836" s="122"/>
      <c r="H836" s="122"/>
      <c r="I836" s="122"/>
      <c r="J836" s="122"/>
      <c r="K836" s="122"/>
    </row>
    <row r="837" spans="3:11" x14ac:dyDescent="0.3">
      <c r="C837" s="12"/>
      <c r="E837" s="12"/>
      <c r="F837" s="12"/>
      <c r="G837" s="122"/>
      <c r="H837" s="122"/>
      <c r="I837" s="122"/>
      <c r="J837" s="122"/>
      <c r="K837" s="122"/>
    </row>
    <row r="838" spans="3:11" x14ac:dyDescent="0.3">
      <c r="C838" s="12"/>
      <c r="E838" s="12"/>
      <c r="F838" s="12"/>
      <c r="G838" s="122"/>
      <c r="H838" s="122"/>
      <c r="I838" s="122"/>
      <c r="J838" s="122"/>
      <c r="K838" s="122"/>
    </row>
    <row r="839" spans="3:11" x14ac:dyDescent="0.3">
      <c r="C839" s="12"/>
      <c r="E839" s="12"/>
      <c r="F839" s="12"/>
      <c r="G839" s="122"/>
      <c r="H839" s="122"/>
      <c r="I839" s="122"/>
      <c r="J839" s="122"/>
      <c r="K839" s="122"/>
    </row>
    <row r="840" spans="3:11" x14ac:dyDescent="0.3">
      <c r="C840" s="12"/>
      <c r="E840" s="12"/>
      <c r="F840" s="12"/>
      <c r="G840" s="122"/>
      <c r="H840" s="122"/>
      <c r="I840" s="122"/>
      <c r="J840" s="122"/>
      <c r="K840" s="122"/>
    </row>
    <row r="841" spans="3:11" x14ac:dyDescent="0.3">
      <c r="C841" s="12"/>
      <c r="E841" s="12"/>
      <c r="F841" s="12"/>
      <c r="G841" s="122"/>
      <c r="H841" s="122"/>
      <c r="I841" s="122"/>
      <c r="J841" s="122"/>
      <c r="K841" s="122"/>
    </row>
    <row r="842" spans="3:11" x14ac:dyDescent="0.3">
      <c r="C842" s="12"/>
      <c r="E842" s="12"/>
      <c r="F842" s="12"/>
      <c r="G842" s="122"/>
      <c r="H842" s="122"/>
      <c r="I842" s="122"/>
      <c r="J842" s="122"/>
      <c r="K842" s="122"/>
    </row>
    <row r="843" spans="3:11" x14ac:dyDescent="0.3">
      <c r="C843" s="12"/>
      <c r="E843" s="12"/>
      <c r="F843" s="12"/>
      <c r="G843" s="122"/>
      <c r="H843" s="122"/>
      <c r="I843" s="122"/>
      <c r="J843" s="122"/>
      <c r="K843" s="122"/>
    </row>
    <row r="844" spans="3:11" x14ac:dyDescent="0.3">
      <c r="C844" s="12"/>
      <c r="E844" s="12"/>
      <c r="F844" s="12"/>
      <c r="G844" s="122"/>
      <c r="H844" s="122"/>
      <c r="I844" s="122"/>
      <c r="J844" s="122"/>
      <c r="K844" s="122"/>
    </row>
    <row r="845" spans="3:11" x14ac:dyDescent="0.3">
      <c r="C845" s="12"/>
      <c r="E845" s="12"/>
      <c r="F845" s="12"/>
      <c r="G845" s="122"/>
      <c r="H845" s="122"/>
      <c r="I845" s="122"/>
      <c r="J845" s="122"/>
      <c r="K845" s="122"/>
    </row>
    <row r="846" spans="3:11" x14ac:dyDescent="0.3">
      <c r="C846" s="12"/>
      <c r="E846" s="12"/>
      <c r="F846" s="12"/>
      <c r="G846" s="122"/>
      <c r="H846" s="122"/>
      <c r="I846" s="122"/>
      <c r="J846" s="122"/>
      <c r="K846" s="122"/>
    </row>
    <row r="847" spans="3:11" x14ac:dyDescent="0.3">
      <c r="C847" s="12"/>
      <c r="E847" s="12"/>
      <c r="F847" s="12"/>
      <c r="G847" s="122"/>
      <c r="H847" s="122"/>
      <c r="I847" s="122"/>
      <c r="J847" s="122"/>
      <c r="K847" s="122"/>
    </row>
    <row r="848" spans="3:11" x14ac:dyDescent="0.3">
      <c r="C848" s="12"/>
      <c r="E848" s="12"/>
      <c r="F848" s="12"/>
      <c r="G848" s="122"/>
      <c r="H848" s="122"/>
      <c r="I848" s="122"/>
      <c r="J848" s="122"/>
      <c r="K848" s="122"/>
    </row>
    <row r="849" spans="3:11" x14ac:dyDescent="0.3">
      <c r="C849" s="12"/>
      <c r="E849" s="12"/>
      <c r="F849" s="12"/>
      <c r="G849" s="122"/>
      <c r="H849" s="122"/>
      <c r="I849" s="122"/>
      <c r="J849" s="122"/>
      <c r="K849" s="122"/>
    </row>
    <row r="850" spans="3:11" x14ac:dyDescent="0.3">
      <c r="C850" s="12"/>
      <c r="E850" s="12"/>
      <c r="F850" s="12"/>
      <c r="G850" s="122"/>
      <c r="H850" s="122"/>
      <c r="I850" s="122"/>
      <c r="J850" s="122"/>
      <c r="K850" s="122"/>
    </row>
    <row r="851" spans="3:11" x14ac:dyDescent="0.3">
      <c r="C851" s="12"/>
      <c r="E851" s="12"/>
      <c r="F851" s="12"/>
      <c r="G851" s="122"/>
      <c r="H851" s="122"/>
      <c r="I851" s="122"/>
      <c r="J851" s="122"/>
      <c r="K851" s="122"/>
    </row>
    <row r="852" spans="3:11" x14ac:dyDescent="0.3">
      <c r="C852" s="12"/>
      <c r="E852" s="12"/>
      <c r="F852" s="12"/>
      <c r="G852" s="122"/>
      <c r="H852" s="122"/>
      <c r="I852" s="122"/>
      <c r="J852" s="122"/>
      <c r="K852" s="122"/>
    </row>
    <row r="853" spans="3:11" x14ac:dyDescent="0.3">
      <c r="C853" s="12"/>
      <c r="E853" s="12"/>
      <c r="F853" s="12"/>
      <c r="G853" s="122"/>
      <c r="H853" s="122"/>
      <c r="I853" s="122"/>
      <c r="J853" s="122"/>
      <c r="K853" s="122"/>
    </row>
    <row r="854" spans="3:11" x14ac:dyDescent="0.3">
      <c r="C854" s="12"/>
      <c r="E854" s="12"/>
      <c r="F854" s="12"/>
      <c r="G854" s="122"/>
      <c r="H854" s="122"/>
      <c r="I854" s="122"/>
      <c r="J854" s="122"/>
      <c r="K854" s="122"/>
    </row>
    <row r="855" spans="3:11" x14ac:dyDescent="0.3">
      <c r="C855" s="12"/>
      <c r="E855" s="12"/>
      <c r="F855" s="12"/>
      <c r="G855" s="122"/>
      <c r="H855" s="122"/>
      <c r="I855" s="122"/>
      <c r="J855" s="122"/>
      <c r="K855" s="122"/>
    </row>
    <row r="856" spans="3:11" x14ac:dyDescent="0.3">
      <c r="C856" s="12"/>
      <c r="E856" s="12"/>
      <c r="F856" s="12"/>
      <c r="G856" s="122"/>
      <c r="H856" s="122"/>
      <c r="I856" s="122"/>
      <c r="J856" s="122"/>
      <c r="K856" s="122"/>
    </row>
    <row r="857" spans="3:11" x14ac:dyDescent="0.3">
      <c r="C857" s="12"/>
      <c r="E857" s="12"/>
      <c r="F857" s="12"/>
      <c r="G857" s="122"/>
      <c r="H857" s="122"/>
      <c r="I857" s="122"/>
      <c r="J857" s="122"/>
      <c r="K857" s="122"/>
    </row>
    <row r="858" spans="3:11" x14ac:dyDescent="0.3">
      <c r="C858" s="12"/>
      <c r="E858" s="12"/>
      <c r="F858" s="12"/>
      <c r="G858" s="122"/>
      <c r="H858" s="122"/>
      <c r="I858" s="122"/>
      <c r="J858" s="122"/>
      <c r="K858" s="122"/>
    </row>
    <row r="859" spans="3:11" x14ac:dyDescent="0.3">
      <c r="C859" s="12"/>
      <c r="E859" s="12"/>
      <c r="F859" s="12"/>
      <c r="G859" s="122"/>
      <c r="H859" s="122"/>
      <c r="I859" s="122"/>
      <c r="J859" s="122"/>
      <c r="K859" s="122"/>
    </row>
    <row r="860" spans="3:11" x14ac:dyDescent="0.3">
      <c r="C860" s="12"/>
      <c r="E860" s="12"/>
      <c r="F860" s="12"/>
      <c r="G860" s="122"/>
      <c r="H860" s="122"/>
      <c r="I860" s="122"/>
      <c r="J860" s="122"/>
      <c r="K860" s="122"/>
    </row>
    <row r="861" spans="3:11" x14ac:dyDescent="0.3">
      <c r="C861" s="12"/>
      <c r="E861" s="12"/>
      <c r="F861" s="12"/>
      <c r="G861" s="122"/>
      <c r="H861" s="122"/>
      <c r="I861" s="122"/>
      <c r="J861" s="122"/>
      <c r="K861" s="122"/>
    </row>
    <row r="862" spans="3:11" x14ac:dyDescent="0.3">
      <c r="C862" s="12"/>
      <c r="E862" s="12"/>
      <c r="F862" s="12"/>
      <c r="G862" s="122"/>
      <c r="H862" s="122"/>
      <c r="I862" s="122"/>
      <c r="J862" s="122"/>
      <c r="K862" s="122"/>
    </row>
    <row r="863" spans="3:11" x14ac:dyDescent="0.3">
      <c r="C863" s="12"/>
      <c r="E863" s="12"/>
      <c r="F863" s="12"/>
      <c r="G863" s="122"/>
      <c r="H863" s="122"/>
      <c r="I863" s="122"/>
      <c r="J863" s="122"/>
      <c r="K863" s="122"/>
    </row>
    <row r="864" spans="3:11" x14ac:dyDescent="0.3">
      <c r="C864" s="12"/>
      <c r="E864" s="12"/>
      <c r="F864" s="12"/>
      <c r="G864" s="122"/>
      <c r="H864" s="122"/>
      <c r="I864" s="122"/>
      <c r="J864" s="122"/>
      <c r="K864" s="122"/>
    </row>
    <row r="865" spans="3:11" x14ac:dyDescent="0.3">
      <c r="C865" s="12"/>
      <c r="E865" s="12"/>
      <c r="F865" s="12"/>
      <c r="G865" s="122"/>
      <c r="H865" s="122"/>
      <c r="I865" s="122"/>
      <c r="J865" s="122"/>
      <c r="K865" s="122"/>
    </row>
    <row r="866" spans="3:11" x14ac:dyDescent="0.3">
      <c r="C866" s="12"/>
      <c r="E866" s="12"/>
      <c r="F866" s="12"/>
      <c r="G866" s="122"/>
      <c r="H866" s="122"/>
      <c r="I866" s="122"/>
      <c r="J866" s="122"/>
      <c r="K866" s="122"/>
    </row>
    <row r="867" spans="3:11" x14ac:dyDescent="0.3">
      <c r="C867" s="12"/>
      <c r="E867" s="12"/>
      <c r="F867" s="12"/>
      <c r="G867" s="122"/>
      <c r="H867" s="122"/>
      <c r="I867" s="122"/>
      <c r="J867" s="122"/>
      <c r="K867" s="122"/>
    </row>
    <row r="868" spans="3:11" x14ac:dyDescent="0.3">
      <c r="C868" s="12"/>
      <c r="E868" s="12"/>
      <c r="F868" s="12"/>
      <c r="G868" s="122"/>
      <c r="H868" s="122"/>
      <c r="I868" s="122"/>
      <c r="J868" s="122"/>
      <c r="K868" s="122"/>
    </row>
    <row r="869" spans="3:11" x14ac:dyDescent="0.3">
      <c r="C869" s="12"/>
      <c r="E869" s="12"/>
      <c r="F869" s="12"/>
      <c r="G869" s="122"/>
      <c r="H869" s="122"/>
      <c r="I869" s="122"/>
      <c r="J869" s="122"/>
      <c r="K869" s="122"/>
    </row>
    <row r="870" spans="3:11" x14ac:dyDescent="0.3">
      <c r="C870" s="12"/>
      <c r="E870" s="12"/>
      <c r="F870" s="12"/>
      <c r="G870" s="122"/>
      <c r="H870" s="122"/>
      <c r="I870" s="122"/>
      <c r="J870" s="122"/>
      <c r="K870" s="122"/>
    </row>
    <row r="871" spans="3:11" x14ac:dyDescent="0.3">
      <c r="C871" s="12"/>
      <c r="E871" s="12"/>
      <c r="F871" s="12"/>
      <c r="G871" s="122"/>
      <c r="H871" s="122"/>
      <c r="I871" s="122"/>
      <c r="J871" s="122"/>
      <c r="K871" s="122"/>
    </row>
    <row r="872" spans="3:11" x14ac:dyDescent="0.3">
      <c r="C872" s="12"/>
      <c r="E872" s="12"/>
      <c r="F872" s="12"/>
      <c r="G872" s="122"/>
      <c r="H872" s="122"/>
      <c r="I872" s="122"/>
      <c r="J872" s="122"/>
      <c r="K872" s="122"/>
    </row>
    <row r="873" spans="3:11" x14ac:dyDescent="0.3">
      <c r="C873" s="12"/>
      <c r="E873" s="12"/>
      <c r="F873" s="12"/>
      <c r="G873" s="122"/>
      <c r="H873" s="122"/>
      <c r="I873" s="122"/>
      <c r="J873" s="122"/>
      <c r="K873" s="122"/>
    </row>
    <row r="874" spans="3:11" x14ac:dyDescent="0.3">
      <c r="C874" s="12"/>
      <c r="E874" s="12"/>
      <c r="F874" s="12"/>
      <c r="G874" s="122"/>
      <c r="H874" s="122"/>
      <c r="I874" s="122"/>
      <c r="J874" s="122"/>
      <c r="K874" s="122"/>
    </row>
    <row r="875" spans="3:11" x14ac:dyDescent="0.3">
      <c r="C875" s="12"/>
      <c r="E875" s="12"/>
      <c r="F875" s="12"/>
      <c r="G875" s="122"/>
      <c r="H875" s="122"/>
      <c r="I875" s="122"/>
      <c r="J875" s="122"/>
      <c r="K875" s="122"/>
    </row>
    <row r="876" spans="3:11" x14ac:dyDescent="0.3">
      <c r="C876" s="12"/>
      <c r="E876" s="12"/>
      <c r="F876" s="12"/>
      <c r="G876" s="122"/>
      <c r="H876" s="122"/>
      <c r="I876" s="122"/>
      <c r="J876" s="122"/>
      <c r="K876" s="122"/>
    </row>
    <row r="877" spans="3:11" x14ac:dyDescent="0.3">
      <c r="C877" s="12"/>
      <c r="E877" s="12"/>
      <c r="F877" s="12"/>
      <c r="G877" s="122"/>
      <c r="H877" s="122"/>
      <c r="I877" s="122"/>
      <c r="J877" s="122"/>
      <c r="K877" s="122"/>
    </row>
    <row r="878" spans="3:11" x14ac:dyDescent="0.3">
      <c r="C878" s="12"/>
      <c r="E878" s="12"/>
      <c r="F878" s="12"/>
      <c r="G878" s="122"/>
      <c r="H878" s="122"/>
      <c r="I878" s="122"/>
      <c r="J878" s="122"/>
      <c r="K878" s="122"/>
    </row>
    <row r="879" spans="3:11" x14ac:dyDescent="0.3">
      <c r="C879" s="12"/>
      <c r="E879" s="12"/>
      <c r="F879" s="12"/>
      <c r="G879" s="122"/>
      <c r="H879" s="122"/>
      <c r="I879" s="122"/>
      <c r="J879" s="122"/>
      <c r="K879" s="122"/>
    </row>
    <row r="880" spans="3:11" x14ac:dyDescent="0.3">
      <c r="C880" s="12"/>
      <c r="E880" s="12"/>
      <c r="F880" s="12"/>
      <c r="G880" s="122"/>
      <c r="H880" s="122"/>
      <c r="I880" s="122"/>
      <c r="J880" s="122"/>
      <c r="K880" s="122"/>
    </row>
    <row r="881" spans="3:11" x14ac:dyDescent="0.3">
      <c r="C881" s="12"/>
      <c r="E881" s="12"/>
      <c r="F881" s="12"/>
      <c r="G881" s="122"/>
      <c r="H881" s="122"/>
      <c r="I881" s="122"/>
      <c r="J881" s="122"/>
      <c r="K881" s="122"/>
    </row>
    <row r="882" spans="3:11" x14ac:dyDescent="0.3">
      <c r="C882" s="12"/>
      <c r="E882" s="12"/>
      <c r="F882" s="12"/>
      <c r="G882" s="122"/>
      <c r="H882" s="122"/>
      <c r="I882" s="122"/>
      <c r="J882" s="122"/>
      <c r="K882" s="122"/>
    </row>
    <row r="883" spans="3:11" x14ac:dyDescent="0.3">
      <c r="C883" s="12"/>
      <c r="E883" s="12"/>
      <c r="F883" s="12"/>
      <c r="G883" s="122"/>
      <c r="H883" s="122"/>
      <c r="I883" s="122"/>
      <c r="J883" s="122"/>
      <c r="K883" s="122"/>
    </row>
    <row r="884" spans="3:11" x14ac:dyDescent="0.3">
      <c r="C884" s="12"/>
      <c r="E884" s="12"/>
      <c r="F884" s="12"/>
      <c r="G884" s="122"/>
      <c r="H884" s="122"/>
      <c r="I884" s="122"/>
      <c r="J884" s="122"/>
      <c r="K884" s="122"/>
    </row>
    <row r="885" spans="3:11" x14ac:dyDescent="0.3">
      <c r="C885" s="12"/>
      <c r="E885" s="12"/>
      <c r="F885" s="12"/>
      <c r="G885" s="122"/>
      <c r="H885" s="122"/>
      <c r="I885" s="122"/>
      <c r="J885" s="122"/>
      <c r="K885" s="122"/>
    </row>
    <row r="886" spans="3:11" x14ac:dyDescent="0.3">
      <c r="C886" s="12"/>
      <c r="E886" s="12"/>
      <c r="F886" s="12"/>
      <c r="G886" s="122"/>
      <c r="H886" s="122"/>
      <c r="I886" s="122"/>
      <c r="J886" s="122"/>
      <c r="K886" s="122"/>
    </row>
    <row r="887" spans="3:11" x14ac:dyDescent="0.3">
      <c r="C887" s="12"/>
      <c r="E887" s="12"/>
      <c r="F887" s="12"/>
      <c r="G887" s="122"/>
      <c r="H887" s="122"/>
      <c r="I887" s="122"/>
      <c r="J887" s="122"/>
      <c r="K887" s="122"/>
    </row>
    <row r="888" spans="3:11" x14ac:dyDescent="0.3">
      <c r="C888" s="12"/>
      <c r="E888" s="12"/>
      <c r="F888" s="12"/>
      <c r="G888" s="122"/>
      <c r="H888" s="122"/>
      <c r="I888" s="122"/>
      <c r="J888" s="122"/>
      <c r="K888" s="122"/>
    </row>
    <row r="889" spans="3:11" x14ac:dyDescent="0.3">
      <c r="C889" s="12"/>
      <c r="E889" s="12"/>
      <c r="F889" s="12"/>
      <c r="G889" s="122"/>
      <c r="H889" s="122"/>
      <c r="I889" s="122"/>
      <c r="J889" s="122"/>
      <c r="K889" s="122"/>
    </row>
    <row r="890" spans="3:11" x14ac:dyDescent="0.3">
      <c r="C890" s="12"/>
      <c r="E890" s="12"/>
      <c r="F890" s="12"/>
      <c r="G890" s="122"/>
      <c r="H890" s="122"/>
      <c r="I890" s="122"/>
      <c r="J890" s="122"/>
      <c r="K890" s="122"/>
    </row>
    <row r="891" spans="3:11" x14ac:dyDescent="0.3">
      <c r="C891" s="12"/>
      <c r="E891" s="12"/>
      <c r="F891" s="12"/>
      <c r="G891" s="122"/>
      <c r="H891" s="122"/>
      <c r="I891" s="122"/>
      <c r="J891" s="122"/>
      <c r="K891" s="122"/>
    </row>
    <row r="892" spans="3:11" x14ac:dyDescent="0.3">
      <c r="C892" s="12"/>
      <c r="E892" s="12"/>
      <c r="F892" s="12"/>
      <c r="G892" s="122"/>
      <c r="H892" s="122"/>
      <c r="I892" s="122"/>
      <c r="J892" s="122"/>
      <c r="K892" s="122"/>
    </row>
    <row r="893" spans="3:11" x14ac:dyDescent="0.3">
      <c r="C893" s="12"/>
      <c r="E893" s="12"/>
      <c r="F893" s="12"/>
      <c r="G893" s="122"/>
      <c r="H893" s="122"/>
      <c r="I893" s="122"/>
      <c r="J893" s="122"/>
      <c r="K893" s="122"/>
    </row>
    <row r="894" spans="3:11" x14ac:dyDescent="0.3">
      <c r="C894" s="12"/>
      <c r="E894" s="12"/>
      <c r="F894" s="12"/>
      <c r="G894" s="122"/>
      <c r="H894" s="122"/>
      <c r="I894" s="122"/>
      <c r="J894" s="122"/>
      <c r="K894" s="122"/>
    </row>
    <row r="895" spans="3:11" x14ac:dyDescent="0.3">
      <c r="C895" s="12"/>
      <c r="E895" s="12"/>
      <c r="F895" s="12"/>
      <c r="G895" s="122"/>
      <c r="H895" s="122"/>
      <c r="I895" s="122"/>
      <c r="J895" s="122"/>
      <c r="K895" s="122"/>
    </row>
    <row r="896" spans="3:11" x14ac:dyDescent="0.3">
      <c r="C896" s="12"/>
      <c r="E896" s="12"/>
      <c r="F896" s="12"/>
      <c r="G896" s="122"/>
      <c r="H896" s="122"/>
      <c r="I896" s="122"/>
      <c r="J896" s="122"/>
      <c r="K896" s="122"/>
    </row>
    <row r="897" spans="3:11" x14ac:dyDescent="0.3">
      <c r="C897" s="12"/>
      <c r="E897" s="12"/>
      <c r="F897" s="12"/>
      <c r="G897" s="122"/>
      <c r="H897" s="122"/>
      <c r="I897" s="122"/>
      <c r="J897" s="122"/>
      <c r="K897" s="122"/>
    </row>
    <row r="898" spans="3:11" x14ac:dyDescent="0.3">
      <c r="C898" s="12"/>
      <c r="E898" s="12"/>
      <c r="F898" s="12"/>
      <c r="G898" s="122"/>
      <c r="H898" s="122"/>
      <c r="I898" s="122"/>
      <c r="J898" s="122"/>
      <c r="K898" s="122"/>
    </row>
    <row r="899" spans="3:11" x14ac:dyDescent="0.3">
      <c r="C899" s="12"/>
      <c r="E899" s="12"/>
      <c r="F899" s="12"/>
      <c r="G899" s="122"/>
      <c r="H899" s="122"/>
      <c r="I899" s="122"/>
      <c r="J899" s="122"/>
      <c r="K899" s="122"/>
    </row>
    <row r="900" spans="3:11" x14ac:dyDescent="0.3">
      <c r="C900" s="12"/>
      <c r="E900" s="12"/>
      <c r="F900" s="12"/>
      <c r="G900" s="122"/>
      <c r="H900" s="122"/>
      <c r="I900" s="122"/>
      <c r="J900" s="122"/>
      <c r="K900" s="122"/>
    </row>
    <row r="901" spans="3:11" x14ac:dyDescent="0.3">
      <c r="C901" s="12"/>
      <c r="E901" s="12"/>
      <c r="F901" s="12"/>
      <c r="G901" s="122"/>
      <c r="H901" s="122"/>
      <c r="I901" s="122"/>
      <c r="J901" s="122"/>
      <c r="K901" s="122"/>
    </row>
    <row r="902" spans="3:11" x14ac:dyDescent="0.3">
      <c r="C902" s="12"/>
      <c r="E902" s="12"/>
      <c r="F902" s="12"/>
      <c r="G902" s="122"/>
      <c r="H902" s="122"/>
      <c r="I902" s="122"/>
      <c r="J902" s="122"/>
      <c r="K902" s="122"/>
    </row>
    <row r="903" spans="3:11" x14ac:dyDescent="0.3">
      <c r="C903" s="12"/>
      <c r="E903" s="12"/>
      <c r="F903" s="12"/>
      <c r="G903" s="122"/>
      <c r="H903" s="122"/>
      <c r="I903" s="122"/>
      <c r="J903" s="122"/>
      <c r="K903" s="122"/>
    </row>
    <row r="904" spans="3:11" x14ac:dyDescent="0.3">
      <c r="C904" s="12"/>
      <c r="E904" s="12"/>
      <c r="F904" s="12"/>
      <c r="G904" s="122"/>
      <c r="H904" s="122"/>
      <c r="I904" s="122"/>
      <c r="J904" s="122"/>
      <c r="K904" s="122"/>
    </row>
    <row r="905" spans="3:11" x14ac:dyDescent="0.3">
      <c r="C905" s="12"/>
      <c r="E905" s="12"/>
      <c r="F905" s="12"/>
      <c r="G905" s="122"/>
      <c r="H905" s="122"/>
      <c r="I905" s="122"/>
      <c r="J905" s="122"/>
      <c r="K905" s="122"/>
    </row>
    <row r="906" spans="3:11" x14ac:dyDescent="0.3">
      <c r="C906" s="12"/>
      <c r="E906" s="12"/>
      <c r="F906" s="12"/>
      <c r="G906" s="122"/>
      <c r="H906" s="122"/>
      <c r="I906" s="122"/>
      <c r="J906" s="122"/>
      <c r="K906" s="122"/>
    </row>
    <row r="907" spans="3:11" x14ac:dyDescent="0.3">
      <c r="C907" s="12"/>
      <c r="E907" s="12"/>
      <c r="F907" s="12"/>
      <c r="G907" s="122"/>
      <c r="H907" s="122"/>
      <c r="I907" s="122"/>
      <c r="J907" s="122"/>
      <c r="K907" s="122"/>
    </row>
    <row r="908" spans="3:11" x14ac:dyDescent="0.3">
      <c r="C908" s="12"/>
      <c r="E908" s="12"/>
      <c r="F908" s="12"/>
      <c r="G908" s="122"/>
      <c r="H908" s="122"/>
      <c r="I908" s="122"/>
      <c r="J908" s="122"/>
      <c r="K908" s="122"/>
    </row>
    <row r="909" spans="3:11" x14ac:dyDescent="0.3">
      <c r="C909" s="12"/>
      <c r="E909" s="12"/>
      <c r="F909" s="12"/>
      <c r="G909" s="122"/>
      <c r="H909" s="122"/>
      <c r="I909" s="122"/>
      <c r="J909" s="122"/>
      <c r="K909" s="122"/>
    </row>
    <row r="910" spans="3:11" x14ac:dyDescent="0.3">
      <c r="C910" s="12"/>
      <c r="E910" s="12"/>
      <c r="F910" s="12"/>
      <c r="G910" s="122"/>
      <c r="H910" s="122"/>
      <c r="I910" s="122"/>
      <c r="J910" s="122"/>
      <c r="K910" s="122"/>
    </row>
    <row r="911" spans="3:11" x14ac:dyDescent="0.3">
      <c r="C911" s="12"/>
      <c r="E911" s="12"/>
      <c r="F911" s="12"/>
      <c r="G911" s="122"/>
      <c r="H911" s="122"/>
      <c r="I911" s="122"/>
      <c r="J911" s="122"/>
      <c r="K911" s="122"/>
    </row>
    <row r="912" spans="3:11" x14ac:dyDescent="0.3">
      <c r="C912" s="12"/>
      <c r="E912" s="12"/>
      <c r="F912" s="12"/>
      <c r="G912" s="122"/>
      <c r="H912" s="122"/>
      <c r="I912" s="122"/>
      <c r="J912" s="122"/>
      <c r="K912" s="122"/>
    </row>
    <row r="913" spans="3:11" x14ac:dyDescent="0.3">
      <c r="C913" s="12"/>
      <c r="E913" s="12"/>
      <c r="F913" s="12"/>
      <c r="G913" s="122"/>
      <c r="H913" s="122"/>
      <c r="I913" s="122"/>
      <c r="J913" s="122"/>
      <c r="K913" s="122"/>
    </row>
    <row r="914" spans="3:11" x14ac:dyDescent="0.3">
      <c r="C914" s="12"/>
      <c r="E914" s="12"/>
      <c r="F914" s="12"/>
      <c r="G914" s="122"/>
      <c r="H914" s="122"/>
      <c r="I914" s="122"/>
      <c r="J914" s="122"/>
      <c r="K914" s="122"/>
    </row>
    <row r="915" spans="3:11" x14ac:dyDescent="0.3">
      <c r="C915" s="12"/>
      <c r="E915" s="12"/>
      <c r="F915" s="12"/>
      <c r="G915" s="122"/>
      <c r="H915" s="122"/>
      <c r="I915" s="122"/>
      <c r="J915" s="122"/>
      <c r="K915" s="122"/>
    </row>
    <row r="916" spans="3:11" x14ac:dyDescent="0.3">
      <c r="C916" s="12"/>
      <c r="E916" s="12"/>
      <c r="F916" s="12"/>
      <c r="G916" s="122"/>
      <c r="H916" s="122"/>
      <c r="I916" s="122"/>
      <c r="J916" s="122"/>
      <c r="K916" s="122"/>
    </row>
    <row r="917" spans="3:11" x14ac:dyDescent="0.3">
      <c r="C917" s="12"/>
      <c r="E917" s="12"/>
      <c r="F917" s="12"/>
      <c r="G917" s="122"/>
      <c r="H917" s="122"/>
      <c r="I917" s="122"/>
      <c r="J917" s="122"/>
      <c r="K917" s="122"/>
    </row>
    <row r="918" spans="3:11" x14ac:dyDescent="0.3">
      <c r="C918" s="12"/>
      <c r="E918" s="12"/>
      <c r="F918" s="12"/>
      <c r="G918" s="122"/>
      <c r="H918" s="122"/>
      <c r="I918" s="122"/>
      <c r="J918" s="122"/>
      <c r="K918" s="122"/>
    </row>
    <row r="919" spans="3:11" x14ac:dyDescent="0.3">
      <c r="C919" s="12"/>
      <c r="E919" s="12"/>
      <c r="F919" s="12"/>
      <c r="G919" s="122"/>
      <c r="H919" s="122"/>
      <c r="I919" s="122"/>
      <c r="J919" s="122"/>
      <c r="K919" s="122"/>
    </row>
    <row r="920" spans="3:11" x14ac:dyDescent="0.3">
      <c r="C920" s="12"/>
      <c r="E920" s="12"/>
      <c r="F920" s="12"/>
      <c r="G920" s="122"/>
      <c r="H920" s="122"/>
      <c r="I920" s="122"/>
      <c r="J920" s="122"/>
      <c r="K920" s="122"/>
    </row>
    <row r="921" spans="3:11" x14ac:dyDescent="0.3">
      <c r="C921" s="12"/>
      <c r="E921" s="12"/>
      <c r="F921" s="12"/>
      <c r="G921" s="122"/>
      <c r="H921" s="122"/>
      <c r="I921" s="122"/>
      <c r="J921" s="122"/>
      <c r="K921" s="122"/>
    </row>
    <row r="922" spans="3:11" x14ac:dyDescent="0.3">
      <c r="C922" s="12"/>
      <c r="E922" s="12"/>
      <c r="F922" s="12"/>
      <c r="G922" s="122"/>
      <c r="H922" s="122"/>
      <c r="I922" s="122"/>
      <c r="J922" s="122"/>
      <c r="K922" s="122"/>
    </row>
    <row r="923" spans="3:11" x14ac:dyDescent="0.3">
      <c r="C923" s="12"/>
      <c r="E923" s="12"/>
      <c r="F923" s="12"/>
      <c r="G923" s="122"/>
      <c r="H923" s="122"/>
      <c r="I923" s="122"/>
      <c r="J923" s="122"/>
      <c r="K923" s="122"/>
    </row>
    <row r="924" spans="3:11" x14ac:dyDescent="0.3">
      <c r="C924" s="12"/>
      <c r="E924" s="12"/>
      <c r="F924" s="12"/>
      <c r="G924" s="122"/>
      <c r="H924" s="122"/>
      <c r="I924" s="122"/>
      <c r="J924" s="122"/>
      <c r="K924" s="122"/>
    </row>
    <row r="925" spans="3:11" x14ac:dyDescent="0.3">
      <c r="C925" s="12"/>
      <c r="E925" s="12"/>
      <c r="F925" s="12"/>
      <c r="G925" s="122"/>
      <c r="H925" s="122"/>
      <c r="I925" s="122"/>
      <c r="J925" s="122"/>
      <c r="K925" s="122"/>
    </row>
    <row r="926" spans="3:11" x14ac:dyDescent="0.3">
      <c r="C926" s="12"/>
      <c r="E926" s="12"/>
      <c r="F926" s="12"/>
      <c r="G926" s="122"/>
      <c r="H926" s="122"/>
      <c r="I926" s="122"/>
      <c r="J926" s="122"/>
      <c r="K926" s="122"/>
    </row>
    <row r="927" spans="3:11" x14ac:dyDescent="0.3">
      <c r="C927" s="12"/>
      <c r="E927" s="12"/>
      <c r="F927" s="12"/>
      <c r="G927" s="122"/>
      <c r="H927" s="122"/>
      <c r="I927" s="122"/>
      <c r="J927" s="122"/>
      <c r="K927" s="122"/>
    </row>
    <row r="928" spans="3:11" x14ac:dyDescent="0.3">
      <c r="C928" s="12"/>
      <c r="E928" s="12"/>
      <c r="F928" s="12"/>
      <c r="G928" s="122"/>
      <c r="H928" s="122"/>
      <c r="I928" s="122"/>
      <c r="J928" s="122"/>
      <c r="K928" s="122"/>
    </row>
    <row r="929" spans="3:11" x14ac:dyDescent="0.3">
      <c r="C929" s="12"/>
      <c r="E929" s="12"/>
      <c r="F929" s="12"/>
      <c r="G929" s="122"/>
      <c r="H929" s="122"/>
      <c r="I929" s="122"/>
      <c r="J929" s="122"/>
      <c r="K929" s="122"/>
    </row>
    <row r="930" spans="3:11" x14ac:dyDescent="0.3">
      <c r="C930" s="12"/>
      <c r="E930" s="12"/>
      <c r="F930" s="12"/>
      <c r="G930" s="122"/>
      <c r="H930" s="122"/>
      <c r="I930" s="122"/>
      <c r="J930" s="122"/>
      <c r="K930" s="122"/>
    </row>
    <row r="931" spans="3:11" x14ac:dyDescent="0.3">
      <c r="C931" s="12"/>
      <c r="E931" s="12"/>
      <c r="F931" s="12"/>
      <c r="G931" s="122"/>
      <c r="H931" s="122"/>
      <c r="I931" s="122"/>
      <c r="J931" s="122"/>
      <c r="K931" s="122"/>
    </row>
    <row r="932" spans="3:11" x14ac:dyDescent="0.3">
      <c r="C932" s="12"/>
      <c r="E932" s="12"/>
      <c r="F932" s="12"/>
      <c r="G932" s="122"/>
      <c r="H932" s="122"/>
      <c r="I932" s="122"/>
      <c r="J932" s="122"/>
      <c r="K932" s="122"/>
    </row>
    <row r="933" spans="3:11" x14ac:dyDescent="0.3">
      <c r="C933" s="12"/>
      <c r="E933" s="12"/>
      <c r="F933" s="12"/>
      <c r="G933" s="122"/>
      <c r="H933" s="122"/>
      <c r="I933" s="122"/>
      <c r="J933" s="122"/>
      <c r="K933" s="122"/>
    </row>
    <row r="934" spans="3:11" x14ac:dyDescent="0.3">
      <c r="C934" s="12"/>
      <c r="E934" s="12"/>
      <c r="F934" s="12"/>
      <c r="G934" s="122"/>
      <c r="H934" s="122"/>
      <c r="I934" s="122"/>
      <c r="J934" s="122"/>
      <c r="K934" s="122"/>
    </row>
    <row r="935" spans="3:11" x14ac:dyDescent="0.3">
      <c r="C935" s="12"/>
      <c r="E935" s="12"/>
      <c r="F935" s="12"/>
      <c r="G935" s="122"/>
      <c r="H935" s="122"/>
      <c r="I935" s="122"/>
      <c r="J935" s="122"/>
      <c r="K935" s="122"/>
    </row>
    <row r="936" spans="3:11" x14ac:dyDescent="0.3">
      <c r="C936" s="12"/>
      <c r="E936" s="12"/>
      <c r="F936" s="12"/>
      <c r="G936" s="122"/>
      <c r="H936" s="122"/>
      <c r="I936" s="122"/>
      <c r="J936" s="122"/>
      <c r="K936" s="122"/>
    </row>
    <row r="937" spans="3:11" x14ac:dyDescent="0.3">
      <c r="C937" s="12"/>
      <c r="E937" s="12"/>
      <c r="F937" s="12"/>
      <c r="G937" s="122"/>
      <c r="H937" s="122"/>
      <c r="I937" s="122"/>
      <c r="J937" s="122"/>
      <c r="K937" s="122"/>
    </row>
    <row r="938" spans="3:11" x14ac:dyDescent="0.3">
      <c r="C938" s="12"/>
      <c r="E938" s="12"/>
      <c r="F938" s="12"/>
      <c r="G938" s="122"/>
      <c r="H938" s="122"/>
      <c r="I938" s="122"/>
      <c r="J938" s="122"/>
      <c r="K938" s="122"/>
    </row>
    <row r="939" spans="3:11" x14ac:dyDescent="0.3">
      <c r="C939" s="12"/>
      <c r="E939" s="12"/>
      <c r="F939" s="12"/>
      <c r="G939" s="122"/>
      <c r="H939" s="122"/>
      <c r="I939" s="122"/>
      <c r="J939" s="122"/>
      <c r="K939" s="122"/>
    </row>
    <row r="940" spans="3:11" x14ac:dyDescent="0.3">
      <c r="C940" s="12"/>
      <c r="E940" s="12"/>
      <c r="F940" s="12"/>
      <c r="G940" s="122"/>
      <c r="H940" s="122"/>
      <c r="I940" s="122"/>
      <c r="J940" s="122"/>
      <c r="K940" s="122"/>
    </row>
    <row r="941" spans="3:11" x14ac:dyDescent="0.3">
      <c r="C941" s="12"/>
      <c r="E941" s="12"/>
      <c r="F941" s="12"/>
      <c r="G941" s="122"/>
      <c r="H941" s="122"/>
      <c r="I941" s="122"/>
      <c r="J941" s="122"/>
      <c r="K941" s="122"/>
    </row>
    <row r="942" spans="3:11" x14ac:dyDescent="0.3">
      <c r="C942" s="12"/>
      <c r="E942" s="12"/>
      <c r="F942" s="12"/>
      <c r="G942" s="122"/>
      <c r="H942" s="122"/>
      <c r="I942" s="122"/>
      <c r="J942" s="122"/>
      <c r="K942" s="122"/>
    </row>
    <row r="943" spans="3:11" x14ac:dyDescent="0.3">
      <c r="C943" s="12"/>
      <c r="E943" s="12"/>
      <c r="F943" s="12"/>
      <c r="G943" s="122"/>
      <c r="H943" s="122"/>
      <c r="I943" s="122"/>
      <c r="J943" s="122"/>
      <c r="K943" s="122"/>
    </row>
    <row r="944" spans="3:11" x14ac:dyDescent="0.3">
      <c r="C944" s="12"/>
      <c r="E944" s="12"/>
      <c r="F944" s="12"/>
      <c r="G944" s="122"/>
      <c r="H944" s="122"/>
      <c r="I944" s="122"/>
      <c r="J944" s="122"/>
      <c r="K944" s="122"/>
    </row>
    <row r="945" spans="3:11" x14ac:dyDescent="0.3">
      <c r="C945" s="12"/>
      <c r="E945" s="12"/>
      <c r="F945" s="12"/>
      <c r="G945" s="122"/>
      <c r="H945" s="122"/>
      <c r="I945" s="122"/>
      <c r="J945" s="122"/>
      <c r="K945" s="122"/>
    </row>
    <row r="946" spans="3:11" x14ac:dyDescent="0.3">
      <c r="C946" s="12"/>
      <c r="E946" s="12"/>
      <c r="F946" s="12"/>
      <c r="G946" s="122"/>
      <c r="H946" s="122"/>
      <c r="I946" s="122"/>
      <c r="J946" s="122"/>
      <c r="K946" s="122"/>
    </row>
    <row r="947" spans="3:11" x14ac:dyDescent="0.3">
      <c r="C947" s="12"/>
      <c r="E947" s="12"/>
      <c r="F947" s="12"/>
      <c r="G947" s="122"/>
      <c r="H947" s="122"/>
      <c r="I947" s="122"/>
      <c r="J947" s="122"/>
      <c r="K947" s="122"/>
    </row>
    <row r="948" spans="3:11" x14ac:dyDescent="0.3">
      <c r="C948" s="12"/>
      <c r="E948" s="12"/>
      <c r="F948" s="12"/>
      <c r="G948" s="122"/>
      <c r="H948" s="122"/>
      <c r="I948" s="122"/>
      <c r="J948" s="122"/>
      <c r="K948" s="122"/>
    </row>
    <row r="949" spans="3:11" x14ac:dyDescent="0.3">
      <c r="C949" s="12"/>
      <c r="E949" s="12"/>
      <c r="F949" s="12"/>
      <c r="G949" s="122"/>
      <c r="H949" s="122"/>
      <c r="I949" s="122"/>
      <c r="J949" s="122"/>
      <c r="K949" s="122"/>
    </row>
    <row r="950" spans="3:11" x14ac:dyDescent="0.3">
      <c r="C950" s="12"/>
      <c r="E950" s="12"/>
      <c r="F950" s="12"/>
      <c r="G950" s="122"/>
      <c r="H950" s="122"/>
      <c r="I950" s="122"/>
      <c r="J950" s="122"/>
      <c r="K950" s="122"/>
    </row>
    <row r="951" spans="3:11" x14ac:dyDescent="0.3">
      <c r="C951" s="12"/>
      <c r="E951" s="12"/>
      <c r="F951" s="12"/>
      <c r="G951" s="122"/>
      <c r="H951" s="122"/>
      <c r="I951" s="122"/>
      <c r="J951" s="122"/>
      <c r="K951" s="122"/>
    </row>
    <row r="952" spans="3:11" x14ac:dyDescent="0.3">
      <c r="C952" s="12"/>
      <c r="E952" s="12"/>
      <c r="F952" s="12"/>
      <c r="G952" s="122"/>
      <c r="H952" s="122"/>
      <c r="I952" s="122"/>
      <c r="J952" s="122"/>
      <c r="K952" s="122"/>
    </row>
    <row r="953" spans="3:11" x14ac:dyDescent="0.3">
      <c r="C953" s="12"/>
      <c r="E953" s="12"/>
      <c r="F953" s="12"/>
      <c r="G953" s="122"/>
      <c r="H953" s="122"/>
      <c r="I953" s="122"/>
      <c r="J953" s="122"/>
      <c r="K953" s="122"/>
    </row>
    <row r="954" spans="3:11" x14ac:dyDescent="0.3">
      <c r="C954" s="12"/>
      <c r="E954" s="12"/>
      <c r="F954" s="12"/>
      <c r="G954" s="122"/>
      <c r="H954" s="122"/>
      <c r="I954" s="122"/>
      <c r="J954" s="122"/>
      <c r="K954" s="122"/>
    </row>
    <row r="955" spans="3:11" x14ac:dyDescent="0.3">
      <c r="C955" s="12"/>
      <c r="E955" s="12"/>
      <c r="F955" s="12"/>
      <c r="G955" s="122"/>
      <c r="H955" s="122"/>
      <c r="I955" s="122"/>
      <c r="J955" s="122"/>
      <c r="K955" s="122"/>
    </row>
    <row r="956" spans="3:11" x14ac:dyDescent="0.3">
      <c r="C956" s="12"/>
      <c r="E956" s="12"/>
      <c r="F956" s="12"/>
      <c r="G956" s="122"/>
      <c r="H956" s="122"/>
      <c r="I956" s="122"/>
      <c r="J956" s="122"/>
      <c r="K956" s="122"/>
    </row>
    <row r="957" spans="3:11" x14ac:dyDescent="0.3">
      <c r="C957" s="12"/>
      <c r="E957" s="12"/>
      <c r="F957" s="12"/>
      <c r="G957" s="122"/>
      <c r="H957" s="122"/>
      <c r="I957" s="122"/>
      <c r="J957" s="122"/>
      <c r="K957" s="122"/>
    </row>
    <row r="958" spans="3:11" x14ac:dyDescent="0.3">
      <c r="C958" s="12"/>
      <c r="E958" s="12"/>
      <c r="F958" s="12"/>
      <c r="G958" s="122"/>
      <c r="H958" s="122"/>
      <c r="I958" s="122"/>
      <c r="J958" s="122"/>
      <c r="K958" s="122"/>
    </row>
    <row r="959" spans="3:11" x14ac:dyDescent="0.3">
      <c r="C959" s="12"/>
      <c r="E959" s="12"/>
      <c r="F959" s="12"/>
      <c r="G959" s="122"/>
      <c r="H959" s="122"/>
      <c r="I959" s="122"/>
      <c r="J959" s="122"/>
      <c r="K959" s="122"/>
    </row>
    <row r="960" spans="3:11" x14ac:dyDescent="0.3">
      <c r="C960" s="12"/>
      <c r="E960" s="12"/>
      <c r="F960" s="12"/>
      <c r="G960" s="122"/>
      <c r="H960" s="122"/>
      <c r="I960" s="122"/>
      <c r="J960" s="122"/>
      <c r="K960" s="122"/>
    </row>
    <row r="961" spans="3:11" x14ac:dyDescent="0.3">
      <c r="C961" s="12"/>
      <c r="E961" s="12"/>
      <c r="F961" s="12"/>
      <c r="G961" s="122"/>
      <c r="H961" s="122"/>
      <c r="I961" s="122"/>
      <c r="J961" s="122"/>
      <c r="K961" s="122"/>
    </row>
    <row r="962" spans="3:11" x14ac:dyDescent="0.3">
      <c r="C962" s="12"/>
      <c r="E962" s="12"/>
      <c r="F962" s="12"/>
      <c r="G962" s="122"/>
      <c r="H962" s="122"/>
      <c r="I962" s="122"/>
      <c r="J962" s="122"/>
      <c r="K962" s="122"/>
    </row>
    <row r="963" spans="3:11" x14ac:dyDescent="0.3">
      <c r="C963" s="12"/>
      <c r="E963" s="12"/>
      <c r="F963" s="12"/>
      <c r="G963" s="122"/>
      <c r="H963" s="122"/>
      <c r="I963" s="122"/>
      <c r="J963" s="122"/>
      <c r="K963" s="122"/>
    </row>
    <row r="964" spans="3:11" x14ac:dyDescent="0.3">
      <c r="C964" s="12"/>
      <c r="E964" s="12"/>
      <c r="F964" s="12"/>
      <c r="G964" s="122"/>
      <c r="H964" s="122"/>
      <c r="I964" s="122"/>
      <c r="J964" s="122"/>
      <c r="K964" s="122"/>
    </row>
    <row r="965" spans="3:11" x14ac:dyDescent="0.3">
      <c r="C965" s="12"/>
      <c r="E965" s="12"/>
      <c r="F965" s="12"/>
      <c r="G965" s="122"/>
      <c r="H965" s="122"/>
      <c r="I965" s="122"/>
      <c r="J965" s="122"/>
      <c r="K965" s="122"/>
    </row>
    <row r="966" spans="3:11" x14ac:dyDescent="0.3">
      <c r="C966" s="12"/>
      <c r="E966" s="12"/>
      <c r="F966" s="12"/>
      <c r="G966" s="122"/>
      <c r="H966" s="122"/>
      <c r="I966" s="122"/>
      <c r="J966" s="122"/>
      <c r="K966" s="122"/>
    </row>
    <row r="967" spans="3:11" x14ac:dyDescent="0.3">
      <c r="C967" s="12"/>
      <c r="E967" s="12"/>
      <c r="F967" s="12"/>
      <c r="G967" s="122"/>
      <c r="H967" s="122"/>
      <c r="I967" s="122"/>
      <c r="J967" s="122"/>
      <c r="K967" s="122"/>
    </row>
    <row r="968" spans="3:11" x14ac:dyDescent="0.3">
      <c r="C968" s="12"/>
      <c r="E968" s="12"/>
      <c r="F968" s="12"/>
      <c r="G968" s="122"/>
      <c r="H968" s="122"/>
      <c r="I968" s="122"/>
      <c r="J968" s="122"/>
      <c r="K968" s="122"/>
    </row>
    <row r="969" spans="3:11" x14ac:dyDescent="0.3">
      <c r="C969" s="12"/>
      <c r="E969" s="12"/>
      <c r="F969" s="12"/>
      <c r="G969" s="122"/>
      <c r="H969" s="122"/>
      <c r="I969" s="122"/>
      <c r="J969" s="122"/>
      <c r="K969" s="122"/>
    </row>
    <row r="970" spans="3:11" x14ac:dyDescent="0.3">
      <c r="C970" s="12"/>
      <c r="E970" s="12"/>
      <c r="F970" s="12"/>
      <c r="G970" s="122"/>
      <c r="H970" s="122"/>
      <c r="I970" s="122"/>
      <c r="J970" s="122"/>
      <c r="K970" s="122"/>
    </row>
    <row r="971" spans="3:11" x14ac:dyDescent="0.3">
      <c r="C971" s="12"/>
      <c r="E971" s="12"/>
      <c r="F971" s="12"/>
      <c r="G971" s="122"/>
      <c r="H971" s="122"/>
      <c r="I971" s="122"/>
      <c r="J971" s="122"/>
      <c r="K971" s="122"/>
    </row>
    <row r="972" spans="3:11" x14ac:dyDescent="0.3">
      <c r="C972" s="12"/>
      <c r="E972" s="12"/>
      <c r="F972" s="12"/>
      <c r="G972" s="122"/>
      <c r="H972" s="122"/>
      <c r="I972" s="122"/>
      <c r="J972" s="122"/>
      <c r="K972" s="122"/>
    </row>
    <row r="973" spans="3:11" x14ac:dyDescent="0.3">
      <c r="C973" s="12"/>
      <c r="E973" s="12"/>
      <c r="F973" s="12"/>
      <c r="G973" s="122"/>
      <c r="H973" s="122"/>
      <c r="I973" s="122"/>
      <c r="J973" s="122"/>
      <c r="K973" s="122"/>
    </row>
    <row r="974" spans="3:11" x14ac:dyDescent="0.3">
      <c r="C974" s="12"/>
      <c r="E974" s="12"/>
      <c r="F974" s="12"/>
      <c r="G974" s="122"/>
      <c r="H974" s="122"/>
      <c r="I974" s="122"/>
      <c r="J974" s="122"/>
      <c r="K974" s="122"/>
    </row>
    <row r="975" spans="3:11" x14ac:dyDescent="0.3">
      <c r="C975" s="12"/>
      <c r="E975" s="12"/>
      <c r="F975" s="12"/>
      <c r="G975" s="122"/>
      <c r="H975" s="122"/>
      <c r="I975" s="122"/>
      <c r="J975" s="122"/>
      <c r="K975" s="122"/>
    </row>
    <row r="976" spans="3:11" x14ac:dyDescent="0.3">
      <c r="C976" s="12"/>
      <c r="E976" s="12"/>
      <c r="F976" s="12"/>
      <c r="G976" s="122"/>
      <c r="H976" s="122"/>
      <c r="I976" s="122"/>
      <c r="J976" s="122"/>
      <c r="K976" s="122"/>
    </row>
    <row r="977" spans="3:11" x14ac:dyDescent="0.3">
      <c r="C977" s="12"/>
      <c r="E977" s="12"/>
      <c r="F977" s="12"/>
      <c r="G977" s="122"/>
      <c r="H977" s="122"/>
      <c r="I977" s="122"/>
      <c r="J977" s="122"/>
      <c r="K977" s="122"/>
    </row>
    <row r="978" spans="3:11" x14ac:dyDescent="0.3">
      <c r="C978" s="12"/>
      <c r="E978" s="12"/>
      <c r="F978" s="12"/>
      <c r="G978" s="122"/>
      <c r="H978" s="122"/>
      <c r="I978" s="122"/>
      <c r="J978" s="122"/>
      <c r="K978" s="122"/>
    </row>
    <row r="979" spans="3:11" x14ac:dyDescent="0.3">
      <c r="C979" s="12"/>
      <c r="E979" s="12"/>
      <c r="F979" s="12"/>
      <c r="G979" s="122"/>
      <c r="H979" s="122"/>
      <c r="I979" s="122"/>
      <c r="J979" s="122"/>
      <c r="K979" s="122"/>
    </row>
    <row r="980" spans="3:11" x14ac:dyDescent="0.3">
      <c r="C980" s="12"/>
      <c r="E980" s="12"/>
      <c r="F980" s="12"/>
      <c r="G980" s="122"/>
      <c r="H980" s="122"/>
      <c r="I980" s="122"/>
      <c r="J980" s="122"/>
      <c r="K980" s="122"/>
    </row>
    <row r="981" spans="3:11" x14ac:dyDescent="0.3">
      <c r="C981" s="12"/>
      <c r="E981" s="12"/>
      <c r="F981" s="12"/>
      <c r="G981" s="122"/>
      <c r="H981" s="122"/>
      <c r="I981" s="122"/>
      <c r="J981" s="122"/>
      <c r="K981" s="122"/>
    </row>
    <row r="982" spans="3:11" x14ac:dyDescent="0.3">
      <c r="C982" s="12"/>
      <c r="E982" s="12"/>
      <c r="F982" s="12"/>
      <c r="G982" s="122"/>
      <c r="H982" s="122"/>
      <c r="I982" s="122"/>
      <c r="J982" s="122"/>
      <c r="K982" s="122"/>
    </row>
    <row r="983" spans="3:11" x14ac:dyDescent="0.3">
      <c r="C983" s="12"/>
      <c r="E983" s="12"/>
      <c r="F983" s="12"/>
      <c r="G983" s="122"/>
      <c r="H983" s="122"/>
      <c r="I983" s="122"/>
      <c r="J983" s="122"/>
      <c r="K983" s="122"/>
    </row>
    <row r="984" spans="3:11" x14ac:dyDescent="0.3">
      <c r="C984" s="12"/>
      <c r="E984" s="12"/>
      <c r="F984" s="12"/>
      <c r="G984" s="122"/>
      <c r="H984" s="122"/>
      <c r="I984" s="122"/>
      <c r="J984" s="122"/>
      <c r="K984" s="122"/>
    </row>
    <row r="985" spans="3:11" x14ac:dyDescent="0.3">
      <c r="C985" s="12"/>
      <c r="E985" s="12"/>
      <c r="F985" s="12"/>
      <c r="G985" s="122"/>
      <c r="H985" s="122"/>
      <c r="I985" s="122"/>
      <c r="J985" s="122"/>
      <c r="K985" s="122"/>
    </row>
    <row r="986" spans="3:11" x14ac:dyDescent="0.3">
      <c r="C986" s="12"/>
      <c r="E986" s="12"/>
      <c r="F986" s="12"/>
      <c r="G986" s="122"/>
      <c r="H986" s="122"/>
      <c r="I986" s="122"/>
      <c r="J986" s="122"/>
      <c r="K986" s="122"/>
    </row>
    <row r="987" spans="3:11" x14ac:dyDescent="0.3">
      <c r="C987" s="12"/>
      <c r="E987" s="12"/>
      <c r="F987" s="12"/>
      <c r="G987" s="122"/>
      <c r="H987" s="122"/>
      <c r="I987" s="122"/>
      <c r="J987" s="122"/>
      <c r="K987" s="122"/>
    </row>
    <row r="988" spans="3:11" x14ac:dyDescent="0.3">
      <c r="C988" s="12"/>
      <c r="E988" s="12"/>
      <c r="F988" s="12"/>
      <c r="G988" s="122"/>
      <c r="H988" s="122"/>
      <c r="I988" s="122"/>
      <c r="J988" s="122"/>
      <c r="K988" s="122"/>
    </row>
    <row r="989" spans="3:11" x14ac:dyDescent="0.3">
      <c r="C989" s="12"/>
      <c r="E989" s="12"/>
      <c r="F989" s="12"/>
      <c r="G989" s="122"/>
      <c r="H989" s="122"/>
      <c r="I989" s="122"/>
      <c r="J989" s="122"/>
      <c r="K989" s="122"/>
    </row>
    <row r="990" spans="3:11" x14ac:dyDescent="0.3">
      <c r="C990" s="12"/>
      <c r="E990" s="12"/>
      <c r="F990" s="12"/>
      <c r="G990" s="122"/>
      <c r="H990" s="122"/>
      <c r="I990" s="122"/>
      <c r="J990" s="122"/>
      <c r="K990" s="122"/>
    </row>
    <row r="991" spans="3:11" x14ac:dyDescent="0.3">
      <c r="C991" s="12"/>
      <c r="E991" s="12"/>
      <c r="F991" s="12"/>
      <c r="G991" s="122"/>
      <c r="H991" s="122"/>
      <c r="I991" s="122"/>
      <c r="J991" s="122"/>
      <c r="K991" s="122"/>
    </row>
    <row r="992" spans="3:11" x14ac:dyDescent="0.3">
      <c r="C992" s="12"/>
      <c r="E992" s="12"/>
      <c r="F992" s="12"/>
      <c r="G992" s="122"/>
      <c r="H992" s="122"/>
      <c r="I992" s="122"/>
      <c r="J992" s="122"/>
      <c r="K992" s="122"/>
    </row>
    <row r="993" spans="3:11" x14ac:dyDescent="0.3">
      <c r="C993" s="12"/>
      <c r="E993" s="12"/>
      <c r="F993" s="12"/>
      <c r="G993" s="122"/>
      <c r="H993" s="122"/>
      <c r="I993" s="122"/>
      <c r="J993" s="122"/>
      <c r="K993" s="122"/>
    </row>
    <row r="994" spans="3:11" x14ac:dyDescent="0.3">
      <c r="C994" s="12"/>
      <c r="E994" s="12"/>
      <c r="F994" s="12"/>
      <c r="G994" s="122"/>
      <c r="H994" s="122"/>
      <c r="I994" s="122"/>
      <c r="J994" s="122"/>
      <c r="K994" s="122"/>
    </row>
    <row r="995" spans="3:11" x14ac:dyDescent="0.3">
      <c r="C995" s="12"/>
      <c r="E995" s="12"/>
      <c r="F995" s="12"/>
      <c r="G995" s="122"/>
      <c r="H995" s="122"/>
      <c r="I995" s="122"/>
      <c r="J995" s="122"/>
      <c r="K995" s="122"/>
    </row>
    <row r="996" spans="3:11" x14ac:dyDescent="0.3">
      <c r="C996" s="12"/>
      <c r="E996" s="12"/>
      <c r="F996" s="12"/>
      <c r="G996" s="122"/>
      <c r="H996" s="122"/>
      <c r="I996" s="122"/>
      <c r="J996" s="122"/>
      <c r="K996" s="122"/>
    </row>
    <row r="997" spans="3:11" x14ac:dyDescent="0.3">
      <c r="C997" s="12"/>
      <c r="E997" s="12"/>
      <c r="F997" s="12"/>
      <c r="G997" s="122"/>
      <c r="H997" s="122"/>
      <c r="I997" s="122"/>
      <c r="J997" s="122"/>
      <c r="K997" s="122"/>
    </row>
    <row r="998" spans="3:11" x14ac:dyDescent="0.3">
      <c r="C998" s="12"/>
      <c r="E998" s="12"/>
      <c r="F998" s="12"/>
      <c r="G998" s="122"/>
      <c r="H998" s="122"/>
      <c r="I998" s="122"/>
      <c r="J998" s="122"/>
      <c r="K998" s="122"/>
    </row>
    <row r="999" spans="3:11" x14ac:dyDescent="0.3">
      <c r="C999" s="12"/>
      <c r="E999" s="12"/>
      <c r="F999" s="12"/>
      <c r="G999" s="122"/>
      <c r="H999" s="122"/>
      <c r="I999" s="122"/>
      <c r="J999" s="122"/>
      <c r="K999" s="122"/>
    </row>
    <row r="1000" spans="3:11" x14ac:dyDescent="0.3">
      <c r="C1000" s="12"/>
      <c r="E1000" s="12"/>
      <c r="F1000" s="12"/>
      <c r="G1000" s="122"/>
      <c r="H1000" s="122"/>
      <c r="I1000" s="122"/>
      <c r="J1000" s="122"/>
      <c r="K1000" s="122"/>
    </row>
  </sheetData>
  <sheetProtection algorithmName="SHA-512" hashValue="P0k8IAq7r3qwtZICGmKVv/V6jwIpPfvrVgWixrMgRaeQ2q409CPLgwAOaKN3dqF3RrncbxvjuMLeEEatGb02XA==" saltValue="jIUz2bG87Q1cFoT48yF/AA==" spinCount="100000" sheet="1" objects="1" scenarios="1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9A8A-5CC9-418D-8E4B-30564D52E7AF}">
  <sheetPr codeName="Sheet7">
    <pageSetUpPr fitToPage="1"/>
  </sheetPr>
  <dimension ref="A1:K6"/>
  <sheetViews>
    <sheetView showGridLines="0" showRowColHeaders="0" zoomScale="130" zoomScaleNormal="130" workbookViewId="0"/>
  </sheetViews>
  <sheetFormatPr defaultRowHeight="14.4" x14ac:dyDescent="0.3"/>
  <cols>
    <col min="1" max="1" width="7.21875" customWidth="1"/>
    <col min="2" max="2" width="6" style="8" customWidth="1"/>
    <col min="3" max="3" width="19.109375" style="8" customWidth="1"/>
    <col min="4" max="4" width="6.109375" customWidth="1"/>
    <col min="5" max="5" width="22.6640625" customWidth="1"/>
    <col min="6" max="6" width="20.33203125" customWidth="1"/>
    <col min="7" max="7" width="7.109375" customWidth="1"/>
    <col min="8" max="8" width="20.109375" customWidth="1"/>
    <col min="9" max="9" width="19.109375" customWidth="1"/>
    <col min="10" max="10" width="6" customWidth="1"/>
    <col min="11" max="11" width="23.88671875" customWidth="1"/>
  </cols>
  <sheetData>
    <row r="1" spans="1:11" ht="22.2" customHeight="1" x14ac:dyDescent="0.3">
      <c r="A1" s="131" t="s">
        <v>16</v>
      </c>
      <c r="C1" s="106"/>
      <c r="D1" s="21"/>
      <c r="E1" s="147" t="s">
        <v>1</v>
      </c>
      <c r="F1" s="159">
        <f>IF(Data3!L1=1, Data3!A6*100+Data3!M1*10+Data3!N2, Data3!A4*10^5+Data3!A5*10^4+Data3!A6*100+Data3!M1*10+Data3!N2)</f>
        <v>964</v>
      </c>
      <c r="G1" s="32"/>
      <c r="H1" s="35"/>
      <c r="I1" s="34"/>
      <c r="J1" s="33"/>
      <c r="K1" s="110"/>
    </row>
    <row r="2" spans="1:11" ht="28.2" customHeight="1" x14ac:dyDescent="0.3">
      <c r="B2" s="105"/>
      <c r="C2" s="107"/>
      <c r="D2" s="23"/>
      <c r="E2" s="98" t="s">
        <v>14</v>
      </c>
      <c r="F2" s="99" t="str">
        <f>IF(Data3!L1=1, "-", Data3!A1)</f>
        <v>-</v>
      </c>
      <c r="G2" s="30"/>
      <c r="H2" s="96" t="s">
        <v>0</v>
      </c>
      <c r="I2" s="127">
        <f>0.5*POWER(0.2969*(Data3!A3/0.2)*(Data3!M1/6),2)</f>
        <v>8.9251480124999966E-3</v>
      </c>
      <c r="J2" s="109"/>
      <c r="K2" s="95"/>
    </row>
    <row r="3" spans="1:11" ht="25.8" customHeight="1" x14ac:dyDescent="0.3">
      <c r="B3" s="105"/>
      <c r="C3" s="108"/>
      <c r="D3" s="23"/>
      <c r="E3" s="100" t="s">
        <v>6</v>
      </c>
      <c r="F3" s="101" t="str">
        <f>IF(Data3!L1=1, "-", Data3!A2)</f>
        <v>-</v>
      </c>
      <c r="G3" s="30"/>
      <c r="H3" s="97" t="s">
        <v>12</v>
      </c>
      <c r="I3" s="143">
        <f>DEGREES(2*ATAN(Data3!$T$1*(F4/0.2)))</f>
        <v>16.135853641157102</v>
      </c>
      <c r="J3" s="109"/>
      <c r="K3" s="91"/>
    </row>
    <row r="4" spans="1:11" ht="26.4" customHeight="1" x14ac:dyDescent="0.3">
      <c r="D4" s="23"/>
      <c r="E4" s="100" t="s">
        <v>8</v>
      </c>
      <c r="F4" s="101">
        <f>Data3!A3</f>
        <v>0.09</v>
      </c>
      <c r="G4" s="54"/>
      <c r="H4" s="52"/>
      <c r="I4" s="53"/>
      <c r="J4" s="20"/>
      <c r="K4" s="94"/>
    </row>
    <row r="5" spans="1:11" ht="25.8" customHeight="1" x14ac:dyDescent="0.3">
      <c r="D5" s="24"/>
      <c r="E5" s="102" t="s">
        <v>11</v>
      </c>
      <c r="F5" s="103">
        <f>Data3!$M$1</f>
        <v>6</v>
      </c>
    </row>
    <row r="6" spans="1:11" ht="24.6" customHeight="1" x14ac:dyDescent="0.3">
      <c r="D6" s="24"/>
      <c r="E6" s="104" t="s">
        <v>7</v>
      </c>
      <c r="F6" s="101">
        <f>Data3!N1</f>
        <v>0.4</v>
      </c>
    </row>
  </sheetData>
  <sheetProtection algorithmName="SHA-512" hashValue="ONAe+kLjgABiSg6iPkUIu+XqwtofT/gqjFkq+aTon4V/g0IST40QqPaZH+lugBtdRQ2wOnQeWT5+MKqwOKkL8Q==" saltValue="WQ1CJaqHCpVGcgNcm/utuw==" spinCount="100000" sheet="1" objects="1" scenarios="1"/>
  <hyperlinks>
    <hyperlink ref="A1" location="Start_page!A1" display="BACK" xr:uid="{CB0B1A81-EE14-4490-BB19-D5E1904FA83B}"/>
  </hyperlinks>
  <pageMargins left="0.25" right="0.25" top="0.75" bottom="0.75" header="0.3" footer="0.3"/>
  <pageSetup paperSize="9" scale="81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Spinner 1">
              <controlPr locked="0" defaultSize="0" autoPict="0">
                <anchor moveWithCells="1">
                  <from>
                    <xdr:col>6</xdr:col>
                    <xdr:colOff>0</xdr:colOff>
                    <xdr:row>3</xdr:row>
                    <xdr:rowOff>7620</xdr:rowOff>
                  </from>
                  <to>
                    <xdr:col>6</xdr:col>
                    <xdr:colOff>144780</xdr:colOff>
                    <xdr:row>3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Spinner 2">
              <controlPr locked="0" defaultSize="0" autoPict="0">
                <anchor moveWithCells="1">
                  <from>
                    <xdr:col>6</xdr:col>
                    <xdr:colOff>0</xdr:colOff>
                    <xdr:row>2</xdr:row>
                    <xdr:rowOff>7620</xdr:rowOff>
                  </from>
                  <to>
                    <xdr:col>6</xdr:col>
                    <xdr:colOff>144780</xdr:colOff>
                    <xdr:row>2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Spinner 3">
              <controlPr locked="0" defaultSize="0" autoPict="0">
                <anchor moveWithCells="1">
                  <from>
                    <xdr:col>6</xdr:col>
                    <xdr:colOff>0</xdr:colOff>
                    <xdr:row>1</xdr:row>
                    <xdr:rowOff>15240</xdr:rowOff>
                  </from>
                  <to>
                    <xdr:col>6</xdr:col>
                    <xdr:colOff>144780</xdr:colOff>
                    <xdr:row>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r:id="rId7" name="Spinner 7">
              <controlPr locked="0" defaultSize="0" autoPict="0">
                <anchor moveWithCells="1">
                  <from>
                    <xdr:col>5</xdr:col>
                    <xdr:colOff>1501140</xdr:colOff>
                    <xdr:row>4</xdr:row>
                    <xdr:rowOff>7620</xdr:rowOff>
                  </from>
                  <to>
                    <xdr:col>6</xdr:col>
                    <xdr:colOff>144780</xdr:colOff>
                    <xdr:row>4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5" r:id="rId8" name="Spinner 9">
              <controlPr locked="0" defaultSize="0" autoPict="0">
                <anchor moveWithCells="1">
                  <from>
                    <xdr:col>6</xdr:col>
                    <xdr:colOff>0</xdr:colOff>
                    <xdr:row>5</xdr:row>
                    <xdr:rowOff>7620</xdr:rowOff>
                  </from>
                  <to>
                    <xdr:col>6</xdr:col>
                    <xdr:colOff>144780</xdr:colOff>
                    <xdr:row>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4" r:id="rId9" name="Option Button 18">
              <controlPr locked="0" defaultSize="0" autoFill="0" autoLine="0" autoPict="0" altText="Symmetrical Airfoil_x000a_">
                <anchor moveWithCells="1">
                  <from>
                    <xdr:col>2</xdr:col>
                    <xdr:colOff>114300</xdr:colOff>
                    <xdr:row>1</xdr:row>
                    <xdr:rowOff>60960</xdr:rowOff>
                  </from>
                  <to>
                    <xdr:col>2</xdr:col>
                    <xdr:colOff>1188720</xdr:colOff>
                    <xdr:row>1</xdr:row>
                    <xdr:rowOff>350520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5" r:id="rId10" name="Option Button 19">
              <controlPr locked="0" defaultSize="0" autoFill="0" autoLine="0" autoPict="0" altText="Cambered Airfoil_x000a_">
                <anchor moveWithCells="1">
                  <from>
                    <xdr:col>2</xdr:col>
                    <xdr:colOff>121920</xdr:colOff>
                    <xdr:row>1</xdr:row>
                    <xdr:rowOff>327660</xdr:rowOff>
                  </from>
                  <to>
                    <xdr:col>2</xdr:col>
                    <xdr:colOff>1203960</xdr:colOff>
                    <xdr:row>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7" r:id="rId11" name="Check Box 21">
              <controlPr locked="0"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38100</xdr:rowOff>
                  </from>
                  <to>
                    <xdr:col>10</xdr:col>
                    <xdr:colOff>1043940</xdr:colOff>
                    <xdr:row>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8" r:id="rId12" name="Check Box 22">
              <controlPr locked="0"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342900</xdr:rowOff>
                  </from>
                  <to>
                    <xdr:col>10</xdr:col>
                    <xdr:colOff>1584960</xdr:colOff>
                    <xdr:row>2</xdr:row>
                    <xdr:rowOff>312420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9" r:id="rId13" name="Check Box 23">
              <controlPr locked="0"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281940</xdr:rowOff>
                  </from>
                  <to>
                    <xdr:col>10</xdr:col>
                    <xdr:colOff>1584960</xdr:colOff>
                    <xdr:row>3</xdr:row>
                    <xdr:rowOff>281940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A370-0EB6-4A4B-A334-1319030DF7CF}">
  <sheetPr codeName="Sheet8"/>
  <dimension ref="A1:AD501"/>
  <sheetViews>
    <sheetView topLeftCell="F1" zoomScale="90" zoomScaleNormal="70" workbookViewId="0">
      <selection activeCell="Z3" sqref="Z3"/>
    </sheetView>
  </sheetViews>
  <sheetFormatPr defaultRowHeight="14.4" x14ac:dyDescent="0.3"/>
  <cols>
    <col min="2" max="6" width="8.88671875" style="126"/>
    <col min="7" max="7" width="9.21875" style="126" bestFit="1" customWidth="1"/>
    <col min="8" max="9" width="8.88671875" style="126"/>
    <col min="10" max="10" width="9.21875" style="126" bestFit="1" customWidth="1"/>
    <col min="11" max="11" width="8.88671875" style="126"/>
    <col min="16" max="18" width="9.21875" bestFit="1" customWidth="1"/>
    <col min="21" max="22" width="9.21875" bestFit="1" customWidth="1"/>
    <col min="27" max="27" width="10.109375" customWidth="1"/>
    <col min="28" max="30" width="8.88671875" style="40"/>
  </cols>
  <sheetData>
    <row r="1" spans="1:30" x14ac:dyDescent="0.3">
      <c r="B1" s="126" cm="1">
        <f t="array" ref="B1:B500">1-COS((_xlfn.SEQUENCE(500,1,0,1)*PI())/(2*(500-1)))</f>
        <v>0</v>
      </c>
      <c r="C1" s="126">
        <f>IF(B1&lt;$N$1, ($A$7/0.2)*($O$1*SQRT(B1)+$P$1*B1+$Q$1*(B1^2)+$R$1*(B1^3)), ($A$7/0.2)*($S$1+$T$1*(1-B1)+$U$1*((1-B1)^2)+$V$1*((1-B1)^3)))</f>
        <v>0</v>
      </c>
      <c r="D1" s="126">
        <f xml:space="preserve"> IF(B1&lt;$A$8, ($A$10/6)*((B1^3)-3*$A$8*(B1^2)+($A$8^2)*(3-$A$8)*B1), (($A$10*($A$8^3))/6)*(1-B1))</f>
        <v>0</v>
      </c>
      <c r="E1" s="126">
        <f>IF(B1&lt;$A$8, ($A$10/6)*(3*(B1^2)-6*$A$8*B1+($A$8^2)*(3-$A$8)), -($A$10*($A$8^3))/6)</f>
        <v>0.30489790499080027</v>
      </c>
      <c r="F1" s="126">
        <f xml:space="preserve"> ATAN(E1)</f>
        <v>0.295944205890881</v>
      </c>
      <c r="G1" s="126">
        <f>B1-C1*SIN(F1)</f>
        <v>0</v>
      </c>
      <c r="H1" s="126">
        <f>D1+C1*COS(F1)</f>
        <v>0</v>
      </c>
      <c r="I1" s="126">
        <f>B1+C1*SIN(F1)</f>
        <v>0</v>
      </c>
      <c r="J1" s="126">
        <f>D1-C1*COS(F1)</f>
        <v>0</v>
      </c>
      <c r="K1" s="126">
        <v>0.2</v>
      </c>
      <c r="L1" s="19"/>
      <c r="M1" s="130">
        <v>6</v>
      </c>
      <c r="N1" s="29">
        <f>N2/10</f>
        <v>0.4</v>
      </c>
      <c r="O1" s="125">
        <f>IF($M$1=9, 0.2969*SQRT(3),0.2969*(M1/6))</f>
        <v>0.2969</v>
      </c>
      <c r="P1" s="125">
        <f>(0.3/N1)-1.875*(O1/SQRT(N1))-0.1*(N1/W1)</f>
        <v>-0.24686688913915905</v>
      </c>
      <c r="Q1" s="125">
        <f>-(0.3/(N1^2))+1.25*(O1/POWER(N1, 3/2))+(0.2/W1)</f>
        <v>0.17533370412082072</v>
      </c>
      <c r="R1" s="125">
        <f>(0.1/N1^3)-0.375*(O1/POWER(N1, 5/2))-(0.1/(W1*N1))</f>
        <v>-0.26691694475728189</v>
      </c>
      <c r="S1" s="125">
        <f>IF(Z3, 0, 0.002)</f>
        <v>2E-3</v>
      </c>
      <c r="T1" s="125">
        <f>IF(N1=0.2, 0.2, IF(N1=0.3, 0.234, IF(N1=0.4, 0.315, IF(N1=0.5, 0.465, 0.7))))</f>
        <v>0.315</v>
      </c>
      <c r="U1" s="125">
        <f>(3*(0.1-S1)-2*(1-N1)*T1)/((1-N1)^2)</f>
        <v>-0.23333333333333325</v>
      </c>
      <c r="V1" s="125">
        <f>(-2*(0.1-S1)+(1-N1)*T1)/((1-N1)^3)</f>
        <v>-3.2407407407407433E-2</v>
      </c>
      <c r="W1" s="27">
        <f>0.2*((1-N1)^2/(0.588-2*T1*(1-N1)))</f>
        <v>0.34285714285714292</v>
      </c>
      <c r="Y1">
        <f>IF($Z$1, D1, -0.5)</f>
        <v>-0.5</v>
      </c>
      <c r="Z1" s="19" t="b">
        <v>0</v>
      </c>
      <c r="AA1" s="126">
        <f>$F$1</f>
        <v>0.295944205890881</v>
      </c>
      <c r="AB1" s="40" cm="1">
        <f t="array" ref="AB1:AB50">_xlfn.SEQUENCE(50, 1, 0, (2*PI())/(50-1))</f>
        <v>0</v>
      </c>
      <c r="AC1" s="40">
        <f>$AA$2*(COS(ATAN($AA$1))+COS(AB1))</f>
        <v>3.1081570487949812E-2</v>
      </c>
      <c r="AD1" s="40">
        <f>IF($Z$2, $AA$2*(SIN(ATAN($AA$1))+SIN(AB1)), -0.5)</f>
        <v>-0.5</v>
      </c>
    </row>
    <row r="2" spans="1:30" x14ac:dyDescent="0.3">
      <c r="A2" s="19">
        <v>2</v>
      </c>
      <c r="B2" s="126">
        <v>4.9545966939179564E-6</v>
      </c>
      <c r="C2" s="126">
        <f t="shared" ref="C2:C65" si="0">IF(B2&lt;$N$1, ($A$7/0.2)*($O$1*SQRT(B2)+$P$1*B2+$Q$1*(B2^2)+$R$1*(B2^3)), ($A$7/0.2)*($S$1+$T$1*(1-B2)+$U$1*((1-B2)^2)+$V$1*((1-B2)^3)))</f>
        <v>3.957865878920332E-4</v>
      </c>
      <c r="D2" s="126">
        <f t="shared" ref="D2:D65" si="1" xml:space="preserve"> IF(B2&lt;$A$8, ($A$10/6)*((B2^3)-3*$A$8*(B2^2)+($A$8^2)*(3-$A$8)*B2), (($A$10*($A$8^3))/6)*(1-B2))</f>
        <v>1.51060654871164E-6</v>
      </c>
      <c r="E2" s="126">
        <f t="shared" ref="E2:E65" si="2">IF(B2&lt;$A$8, ($A$10/6)*(3*(B2^2)-6*$A$8*B2+($A$8^2)*(3-$A$8)), -($A$10*($A$8^3))/6)</f>
        <v>0.30488191855259605</v>
      </c>
      <c r="F2" s="126">
        <f t="shared" ref="F2:F65" si="3" xml:space="preserve"> ATAN(E2)</f>
        <v>0.29592957912546403</v>
      </c>
      <c r="G2" s="126">
        <f>B2-C2*SIN(F2)</f>
        <v>-1.1046830859525482E-4</v>
      </c>
      <c r="H2" s="126">
        <f t="shared" ref="H2:H65" si="4">D2+C2*COS(F2)</f>
        <v>3.8009293060759419E-4</v>
      </c>
      <c r="I2" s="126">
        <f t="shared" ref="I2:I65" si="5">B2+C2*SIN(F2)</f>
        <v>1.2037750198309073E-4</v>
      </c>
      <c r="J2" s="126">
        <f>D2-C2*COS(F2)</f>
        <v>-3.7707171751017094E-4</v>
      </c>
      <c r="K2" s="126">
        <f>K1-(K1-K1*SQRT(K1/3)-$A$5)/(1-SQRT(3*K1)/2)</f>
        <v>0.20267630731575903</v>
      </c>
      <c r="M2" s="27"/>
      <c r="N2" s="130">
        <v>4</v>
      </c>
      <c r="O2" s="27"/>
      <c r="P2" s="27"/>
      <c r="Q2" s="27"/>
      <c r="R2" s="27"/>
      <c r="S2" s="27"/>
      <c r="T2" s="27"/>
      <c r="U2" s="27"/>
      <c r="V2" s="27"/>
      <c r="W2" s="27"/>
      <c r="Y2">
        <f t="shared" ref="Y2:Y65" si="6">IF($Z$1, D2, -0.5)</f>
        <v>-0.5</v>
      </c>
      <c r="Z2" s="19" t="b">
        <v>0</v>
      </c>
      <c r="AA2">
        <f>0.5*(0.2969*($A$7/0.2)*($M$1/6))^2</f>
        <v>1.5866929799999999E-2</v>
      </c>
      <c r="AB2" s="40">
        <v>0.12822827157509359</v>
      </c>
      <c r="AC2" s="40">
        <f t="shared" ref="AC2:AC50" si="7">$AA$2*(COS(ATAN($AA$1))+COS(AB2))</f>
        <v>3.0951303213624291E-2</v>
      </c>
      <c r="AD2" s="40">
        <f t="shared" ref="AD2:AD50" si="8">IF($Z$2, $AA$2*(SIN(ATAN($AA$1))+SIN(AB2)), -0.5)</f>
        <v>-0.5</v>
      </c>
    </row>
    <row r="3" spans="1:30" x14ac:dyDescent="0.3">
      <c r="A3" s="19">
        <v>3</v>
      </c>
      <c r="B3" s="126">
        <v>1.9818337679722298E-5</v>
      </c>
      <c r="C3" s="126">
        <f t="shared" si="0"/>
        <v>7.9010448586390089E-4</v>
      </c>
      <c r="D3" s="126">
        <f t="shared" si="1"/>
        <v>6.0419360041641773E-6</v>
      </c>
      <c r="E3" s="126">
        <f t="shared" si="2"/>
        <v>0.30483396174115862</v>
      </c>
      <c r="F3" s="126">
        <f t="shared" si="3"/>
        <v>0.29588570033684614</v>
      </c>
      <c r="G3" s="126">
        <f t="shared" ref="G3:G65" si="9">B3-C3*SIN(F3)</f>
        <v>-2.1056599806268636E-4</v>
      </c>
      <c r="H3" s="126">
        <f t="shared" si="4"/>
        <v>7.6181184571662969E-4</v>
      </c>
      <c r="I3" s="126">
        <f t="shared" si="5"/>
        <v>2.5020267342213093E-4</v>
      </c>
      <c r="J3" s="126">
        <f t="shared" ref="J3:J65" si="10">D3-C3*COS(F3)</f>
        <v>-7.4972797370830133E-4</v>
      </c>
      <c r="K3" s="126">
        <f t="shared" ref="K3:K20" si="11">K2-(K2-K2*SQRT(K2/3)-$A$5)/(1-SQRT(3*K2)/2)</f>
        <v>0.20268197816703676</v>
      </c>
      <c r="M3" s="5"/>
      <c r="Y3">
        <f t="shared" si="6"/>
        <v>-0.5</v>
      </c>
      <c r="Z3" s="19" t="b">
        <v>0</v>
      </c>
      <c r="AB3" s="40">
        <v>0.25645654315018718</v>
      </c>
      <c r="AC3" s="40">
        <f t="shared" si="7"/>
        <v>3.0562640375690706E-2</v>
      </c>
      <c r="AD3" s="40">
        <f t="shared" si="8"/>
        <v>-0.5</v>
      </c>
    </row>
    <row r="4" spans="1:30" x14ac:dyDescent="0.3">
      <c r="A4" s="19">
        <v>12</v>
      </c>
      <c r="B4" s="126">
        <v>4.4591075669564439E-5</v>
      </c>
      <c r="C4" s="126">
        <f t="shared" si="0"/>
        <v>1.1829528263857213E-3</v>
      </c>
      <c r="D4" s="126">
        <f t="shared" si="1"/>
        <v>1.3592517934027192E-5</v>
      </c>
      <c r="E4" s="126">
        <f t="shared" si="2"/>
        <v>0.30475404206589768</v>
      </c>
      <c r="F4" s="126">
        <f t="shared" si="3"/>
        <v>0.29581257404870398</v>
      </c>
      <c r="G4" s="126">
        <f t="shared" si="9"/>
        <v>-3.0026005152946906E-4</v>
      </c>
      <c r="H4" s="126">
        <f t="shared" si="4"/>
        <v>1.1451644730140046E-3</v>
      </c>
      <c r="I4" s="126">
        <f t="shared" si="5"/>
        <v>3.8944220286859794E-4</v>
      </c>
      <c r="J4" s="126">
        <f t="shared" si="10"/>
        <v>-1.1179794371459501E-3</v>
      </c>
      <c r="K4" s="126">
        <f t="shared" si="11"/>
        <v>0.20268197819238526</v>
      </c>
      <c r="M4" s="5"/>
      <c r="Y4">
        <f t="shared" si="6"/>
        <v>-0.5</v>
      </c>
      <c r="AB4" s="40">
        <v>0.38468481472528077</v>
      </c>
      <c r="AC4" s="40">
        <f t="shared" si="7"/>
        <v>2.9921963807202773E-2</v>
      </c>
      <c r="AD4" s="40">
        <f t="shared" si="8"/>
        <v>-0.5</v>
      </c>
    </row>
    <row r="5" spans="1:30" x14ac:dyDescent="0.3">
      <c r="A5">
        <f>0.05*$A$3</f>
        <v>0.15000000000000002</v>
      </c>
      <c r="B5" s="126">
        <v>7.9272565185806165E-5</v>
      </c>
      <c r="C5" s="126">
        <f t="shared" si="0"/>
        <v>1.5743308184265454E-3</v>
      </c>
      <c r="D5" s="126">
        <f t="shared" si="1"/>
        <v>2.4159902084098362E-5</v>
      </c>
      <c r="E5" s="126">
        <f t="shared" si="2"/>
        <v>0.30464217204210181</v>
      </c>
      <c r="F5" s="126">
        <f t="shared" si="3"/>
        <v>0.29571020780308216</v>
      </c>
      <c r="G5" s="126">
        <f t="shared" si="9"/>
        <v>-3.7951782790201989E-4</v>
      </c>
      <c r="H5" s="126">
        <f t="shared" si="4"/>
        <v>1.5301575451957714E-3</v>
      </c>
      <c r="I5" s="126">
        <f t="shared" si="5"/>
        <v>5.3806295827363228E-4</v>
      </c>
      <c r="J5" s="126">
        <f t="shared" si="10"/>
        <v>-1.4818377410275748E-3</v>
      </c>
      <c r="K5" s="126">
        <f t="shared" si="11"/>
        <v>0.20268197819238526</v>
      </c>
      <c r="M5" s="5"/>
      <c r="Y5">
        <f t="shared" si="6"/>
        <v>-0.5</v>
      </c>
      <c r="AB5" s="40">
        <v>0.51291308630037435</v>
      </c>
      <c r="AC5" s="40">
        <f t="shared" si="7"/>
        <v>2.9039793399702602E-2</v>
      </c>
      <c r="AD5" s="40">
        <f t="shared" si="8"/>
        <v>-0.5</v>
      </c>
    </row>
    <row r="6" spans="1:30" x14ac:dyDescent="0.3">
      <c r="A6">
        <f xml:space="preserve"> A2/100</f>
        <v>0.02</v>
      </c>
      <c r="B6" s="126">
        <v>1.2386246256268496E-4</v>
      </c>
      <c r="C6" s="126">
        <f t="shared" si="0"/>
        <v>1.96423774739955E-3</v>
      </c>
      <c r="D6" s="126">
        <f t="shared" si="1"/>
        <v>3.7740659077309399E-5</v>
      </c>
      <c r="E6" s="126">
        <f t="shared" si="2"/>
        <v>0.30449836919035261</v>
      </c>
      <c r="F6" s="126">
        <f t="shared" si="3"/>
        <v>0.29557861216427173</v>
      </c>
      <c r="G6" s="126">
        <f t="shared" si="9"/>
        <v>-4.4830706617878565E-4</v>
      </c>
      <c r="H6" s="126">
        <f t="shared" si="4"/>
        <v>1.9167967941326252E-3</v>
      </c>
      <c r="I6" s="126">
        <f t="shared" si="5"/>
        <v>6.9603199130415557E-4</v>
      </c>
      <c r="J6" s="126">
        <f t="shared" si="10"/>
        <v>-1.8413154759780066E-3</v>
      </c>
      <c r="K6" s="126">
        <f t="shared" si="11"/>
        <v>0.20268197819238526</v>
      </c>
      <c r="M6" s="5"/>
      <c r="Y6">
        <f t="shared" si="6"/>
        <v>-0.5</v>
      </c>
      <c r="AB6" s="40">
        <v>0.64114135787546789</v>
      </c>
      <c r="AC6" s="40">
        <f t="shared" si="7"/>
        <v>2.7930614366892426E-2</v>
      </c>
      <c r="AD6" s="40">
        <f t="shared" si="8"/>
        <v>-0.5</v>
      </c>
    </row>
    <row r="7" spans="1:30" x14ac:dyDescent="0.3">
      <c r="A7">
        <f>A4/100</f>
        <v>0.12</v>
      </c>
      <c r="B7" s="126">
        <v>1.7836032595031082E-4</v>
      </c>
      <c r="C7" s="126">
        <f t="shared" si="0"/>
        <v>2.3526729751131214E-3</v>
      </c>
      <c r="D7" s="126">
        <f t="shared" si="1"/>
        <v>5.4330381392722203E-5</v>
      </c>
      <c r="E7" s="126">
        <f t="shared" si="2"/>
        <v>0.30432265603569841</v>
      </c>
      <c r="F7" s="126">
        <f t="shared" si="3"/>
        <v>0.29541780072422957</v>
      </c>
      <c r="G7" s="126">
        <f t="shared" si="9"/>
        <v>-5.0659588970127835E-4</v>
      </c>
      <c r="H7" s="126">
        <f t="shared" si="4"/>
        <v>2.3050869454102258E-3</v>
      </c>
      <c r="I7" s="126">
        <f t="shared" si="5"/>
        <v>8.6331654160189998E-4</v>
      </c>
      <c r="J7" s="126">
        <f t="shared" si="10"/>
        <v>-2.1964261826247816E-3</v>
      </c>
      <c r="K7" s="126">
        <f t="shared" si="11"/>
        <v>0.20268197819238526</v>
      </c>
      <c r="M7" s="5"/>
      <c r="Y7">
        <f t="shared" si="6"/>
        <v>-0.5</v>
      </c>
      <c r="AB7" s="40">
        <v>0.76936962945056142</v>
      </c>
      <c r="AC7" s="40">
        <f t="shared" si="7"/>
        <v>2.6612639397826082E-2</v>
      </c>
      <c r="AD7" s="40">
        <f t="shared" si="8"/>
        <v>-0.5</v>
      </c>
    </row>
    <row r="8" spans="1:30" x14ac:dyDescent="0.3">
      <c r="A8" s="40">
        <f>K20</f>
        <v>0.20268197819238526</v>
      </c>
      <c r="B8" s="126">
        <v>2.4276561531888508E-4</v>
      </c>
      <c r="C8" s="126">
        <f t="shared" si="0"/>
        <v>2.7396359396927696E-3</v>
      </c>
      <c r="D8" s="126">
        <f t="shared" si="1"/>
        <v>7.3923684623752672E-5</v>
      </c>
      <c r="E8" s="126">
        <f t="shared" si="2"/>
        <v>0.30411506010659523</v>
      </c>
      <c r="F8" s="126">
        <f t="shared" si="3"/>
        <v>0.29522779010954259</v>
      </c>
      <c r="G8" s="126">
        <f t="shared" si="9"/>
        <v>-5.54352810341101E-4</v>
      </c>
      <c r="H8" s="126">
        <f t="shared" si="4"/>
        <v>2.6950317132119735E-3</v>
      </c>
      <c r="I8" s="126">
        <f t="shared" si="5"/>
        <v>1.0398840409788712E-3</v>
      </c>
      <c r="J8" s="126">
        <f t="shared" si="10"/>
        <v>-2.5471843439644681E-3</v>
      </c>
      <c r="K8" s="126">
        <f t="shared" si="11"/>
        <v>0.20268197819238526</v>
      </c>
      <c r="M8" s="5"/>
      <c r="Y8">
        <f t="shared" si="6"/>
        <v>-0.5</v>
      </c>
      <c r="AB8" s="40">
        <v>0.89759790102565495</v>
      </c>
      <c r="AC8" s="40">
        <f t="shared" si="7"/>
        <v>2.5107509605058247E-2</v>
      </c>
      <c r="AD8" s="40">
        <f t="shared" si="8"/>
        <v>-0.5</v>
      </c>
    </row>
    <row r="9" spans="1:30" x14ac:dyDescent="0.3">
      <c r="A9">
        <f>(3*A8-7*A8^2+8*A8^3-4*A8^4)/SQRT(A8-A8^2)-1.5*(1-2*A8)*(PI()/2-ASIN(1-2*A8))</f>
        <v>0.11306779596594541</v>
      </c>
      <c r="B9" s="126">
        <v>3.1707769246391848E-4</v>
      </c>
      <c r="C9" s="126">
        <f t="shared" si="0"/>
        <v>3.1251261554882085E-3</v>
      </c>
      <c r="D9" s="126">
        <f t="shared" si="1"/>
        <v>9.6514209015705491E-5</v>
      </c>
      <c r="E9" s="126">
        <f t="shared" si="2"/>
        <v>0.30387561393361245</v>
      </c>
      <c r="F9" s="126">
        <f t="shared" si="3"/>
        <v>0.29500859998992768</v>
      </c>
      <c r="G9" s="126">
        <f t="shared" si="9"/>
        <v>-5.9154673263212638E-4</v>
      </c>
      <c r="H9" s="126">
        <f t="shared" si="4"/>
        <v>3.0866337955599283E-3</v>
      </c>
      <c r="I9" s="126">
        <f t="shared" si="5"/>
        <v>1.2257021175599635E-3</v>
      </c>
      <c r="J9" s="126">
        <f t="shared" si="10"/>
        <v>-2.8936053775285172E-3</v>
      </c>
      <c r="K9" s="126">
        <f t="shared" si="11"/>
        <v>0.20268197819238526</v>
      </c>
      <c r="M9" s="5"/>
      <c r="Y9">
        <f t="shared" si="6"/>
        <v>-0.5</v>
      </c>
      <c r="AB9" s="40">
        <v>1.0258261726007485</v>
      </c>
      <c r="AC9" s="40">
        <f t="shared" si="7"/>
        <v>2.3439939178174621E-2</v>
      </c>
      <c r="AD9" s="40">
        <f t="shared" si="8"/>
        <v>-0.5</v>
      </c>
    </row>
    <row r="10" spans="1:30" x14ac:dyDescent="0.3">
      <c r="A10">
        <f>(6*0.15*A2)/A9</f>
        <v>15.919652316758143</v>
      </c>
      <c r="B10" s="126">
        <v>4.0129582101267047E-4</v>
      </c>
      <c r="C10" s="126">
        <f t="shared" si="0"/>
        <v>3.5091432129647116E-3</v>
      </c>
      <c r="D10" s="126">
        <f t="shared" si="1"/>
        <v>1.2209462128249908E-4</v>
      </c>
      <c r="E10" s="126">
        <f t="shared" si="2"/>
        <v>0.30360435504790212</v>
      </c>
      <c r="F10" s="126">
        <f t="shared" si="3"/>
        <v>0.29476025308826037</v>
      </c>
      <c r="G10" s="126">
        <f t="shared" si="9"/>
        <v>-6.1814695785301411E-4</v>
      </c>
      <c r="H10" s="126">
        <f t="shared" si="4"/>
        <v>3.4798948699147655E-3</v>
      </c>
      <c r="I10" s="126">
        <f t="shared" si="5"/>
        <v>1.4207385998783551E-3</v>
      </c>
      <c r="J10" s="126">
        <f t="shared" si="10"/>
        <v>-3.2357056273497674E-3</v>
      </c>
      <c r="K10" s="126">
        <f t="shared" si="11"/>
        <v>0.20268197819238526</v>
      </c>
      <c r="M10" s="5"/>
      <c r="Y10">
        <f t="shared" si="6"/>
        <v>-0.5</v>
      </c>
      <c r="AB10" s="40">
        <v>1.154054444175842</v>
      </c>
      <c r="AC10" s="40">
        <f t="shared" si="7"/>
        <v>2.1637309577482153E-2</v>
      </c>
      <c r="AD10" s="40">
        <f t="shared" si="8"/>
        <v>-0.5</v>
      </c>
    </row>
    <row r="11" spans="1:30" x14ac:dyDescent="0.3">
      <c r="B11" s="126">
        <v>4.9541916643136563E-4</v>
      </c>
      <c r="C11" s="126">
        <f t="shared" si="0"/>
        <v>3.8916867785759881E-3</v>
      </c>
      <c r="D11" s="126">
        <f t="shared" si="1"/>
        <v>1.5065661670222392E-4</v>
      </c>
      <c r="E11" s="126">
        <f t="shared" si="2"/>
        <v>0.30330132597943382</v>
      </c>
      <c r="F11" s="126">
        <f t="shared" si="3"/>
        <v>0.29448277519212557</v>
      </c>
      <c r="G11" s="126">
        <f t="shared" si="9"/>
        <v>-6.3412318806528416E-4</v>
      </c>
      <c r="H11" s="126">
        <f t="shared" si="4"/>
        <v>3.8748155891336262E-3</v>
      </c>
      <c r="I11" s="126">
        <f t="shared" si="5"/>
        <v>1.6249615209280154E-3</v>
      </c>
      <c r="J11" s="126">
        <f t="shared" si="10"/>
        <v>-3.5735023557291784E-3</v>
      </c>
      <c r="K11" s="126">
        <f t="shared" si="11"/>
        <v>0.20268197819238526</v>
      </c>
      <c r="M11" s="5"/>
      <c r="Y11">
        <f t="shared" si="6"/>
        <v>-0.5</v>
      </c>
      <c r="AB11" s="40">
        <v>1.2822827157509356</v>
      </c>
      <c r="AC11" s="40">
        <f t="shared" si="7"/>
        <v>1.9729219931187831E-2</v>
      </c>
      <c r="AD11" s="40">
        <f t="shared" si="8"/>
        <v>-0.5</v>
      </c>
    </row>
    <row r="12" spans="1:30" x14ac:dyDescent="0.3">
      <c r="B12" s="126">
        <v>5.9944679603363138E-4</v>
      </c>
      <c r="C12" s="126">
        <f t="shared" si="0"/>
        <v>4.2727565946209809E-3</v>
      </c>
      <c r="D12" s="126">
        <f t="shared" si="1"/>
        <v>1.8219092149141246E-4</v>
      </c>
      <c r="E12" s="126">
        <f t="shared" si="2"/>
        <v>0.30296657425499329</v>
      </c>
      <c r="F12" s="126">
        <f t="shared" si="3"/>
        <v>0.29417619516687965</v>
      </c>
      <c r="G12" s="126">
        <f t="shared" si="9"/>
        <v>-6.3944553011267553E-4</v>
      </c>
      <c r="H12" s="126">
        <f t="shared" si="4"/>
        <v>4.2713955777898558E-3</v>
      </c>
      <c r="I12" s="126">
        <f t="shared" si="5"/>
        <v>1.8383391221799383E-3</v>
      </c>
      <c r="J12" s="126">
        <f t="shared" si="10"/>
        <v>-3.9070137348070312E-3</v>
      </c>
      <c r="K12" s="126">
        <f t="shared" si="11"/>
        <v>0.20268197819238526</v>
      </c>
      <c r="M12" s="5"/>
      <c r="Y12">
        <f t="shared" si="6"/>
        <v>-0.5</v>
      </c>
      <c r="AB12" s="40">
        <v>1.4105109873260291</v>
      </c>
      <c r="AC12" s="40">
        <f t="shared" si="7"/>
        <v>1.7747001018531817E-2</v>
      </c>
      <c r="AD12" s="40">
        <f t="shared" si="8"/>
        <v>-0.5</v>
      </c>
    </row>
    <row r="13" spans="1:30" x14ac:dyDescent="0.3">
      <c r="B13" s="126">
        <v>7.133776789896018E-4</v>
      </c>
      <c r="C13" s="126">
        <f t="shared" si="0"/>
        <v>4.6523524790821856E-3</v>
      </c>
      <c r="D13" s="126">
        <f t="shared" si="1"/>
        <v>2.1668729545756233E-4</v>
      </c>
      <c r="E13" s="126">
        <f t="shared" si="2"/>
        <v>0.30260015239594745</v>
      </c>
      <c r="F13" s="126">
        <f t="shared" si="3"/>
        <v>0.29384054497021556</v>
      </c>
      <c r="G13" s="126">
        <f t="shared" si="9"/>
        <v>-6.3408449958701762E-4</v>
      </c>
      <c r="H13" s="126">
        <f t="shared" si="4"/>
        <v>4.6696334288537106E-3</v>
      </c>
      <c r="I13" s="126">
        <f t="shared" si="5"/>
        <v>2.0608398575662212E-3</v>
      </c>
      <c r="J13" s="126">
        <f t="shared" si="10"/>
        <v>-4.2362588379385863E-3</v>
      </c>
      <c r="K13" s="126">
        <f t="shared" si="11"/>
        <v>0.20268197819238526</v>
      </c>
      <c r="M13" s="5"/>
      <c r="Y13">
        <f t="shared" si="6"/>
        <v>-0.5</v>
      </c>
      <c r="AB13" s="40">
        <v>1.5387392589011226</v>
      </c>
      <c r="AC13" s="40">
        <f t="shared" si="7"/>
        <v>1.5723200819258529E-2</v>
      </c>
      <c r="AD13" s="40">
        <f t="shared" si="8"/>
        <v>-0.5</v>
      </c>
    </row>
    <row r="14" spans="1:30" x14ac:dyDescent="0.3">
      <c r="B14" s="126">
        <v>8.3721068633602069E-4</v>
      </c>
      <c r="C14" s="126">
        <f t="shared" si="0"/>
        <v>5.0304743254472126E-3</v>
      </c>
      <c r="D14" s="126">
        <f t="shared" si="1"/>
        <v>2.5413453492968951E-4</v>
      </c>
      <c r="E14" s="126">
        <f t="shared" si="2"/>
        <v>0.30220211791577389</v>
      </c>
      <c r="F14" s="126">
        <f t="shared" si="3"/>
        <v>0.29347585966821754</v>
      </c>
      <c r="G14" s="126">
        <f t="shared" si="9"/>
        <v>-6.1801102476604719E-4</v>
      </c>
      <c r="H14" s="126">
        <f t="shared" si="4"/>
        <v>5.069526700737243E-3</v>
      </c>
      <c r="I14" s="126">
        <f t="shared" si="5"/>
        <v>2.2924323974380886E-3</v>
      </c>
      <c r="J14" s="126">
        <f t="shared" si="10"/>
        <v>-4.5612576308778638E-3</v>
      </c>
      <c r="K14" s="126">
        <f t="shared" si="11"/>
        <v>0.20268197819238526</v>
      </c>
      <c r="M14" s="5"/>
      <c r="Y14">
        <f t="shared" si="6"/>
        <v>-0.5</v>
      </c>
      <c r="AB14" s="40">
        <v>1.6669675304762162</v>
      </c>
      <c r="AC14" s="40">
        <f t="shared" si="7"/>
        <v>1.3691050076689056E-2</v>
      </c>
      <c r="AD14" s="40">
        <f t="shared" si="8"/>
        <v>-0.5</v>
      </c>
    </row>
    <row r="15" spans="1:30" x14ac:dyDescent="0.3">
      <c r="B15" s="126">
        <v>9.7094459098767683E-4</v>
      </c>
      <c r="C15" s="126">
        <f t="shared" si="0"/>
        <v>5.4071221025143272E-3</v>
      </c>
      <c r="D15" s="126">
        <f t="shared" si="1"/>
        <v>2.9452047596665383E-4</v>
      </c>
      <c r="E15" s="126">
        <f t="shared" si="2"/>
        <v>0.30177253331735415</v>
      </c>
      <c r="F15" s="126">
        <f t="shared" si="3"/>
        <v>0.29308217745289167</v>
      </c>
      <c r="G15" s="126">
        <f t="shared" si="9"/>
        <v>-5.9119645052818246E-4</v>
      </c>
      <c r="H15" s="126">
        <f t="shared" si="4"/>
        <v>5.4710719147056429E-3</v>
      </c>
      <c r="I15" s="126">
        <f t="shared" si="5"/>
        <v>2.5330856325035361E-3</v>
      </c>
      <c r="J15" s="126">
        <f t="shared" si="10"/>
        <v>-4.8820309627723357E-3</v>
      </c>
      <c r="K15" s="126">
        <f t="shared" si="11"/>
        <v>0.20268197819238526</v>
      </c>
      <c r="M15" s="5"/>
      <c r="Y15">
        <f t="shared" si="6"/>
        <v>-0.5</v>
      </c>
      <c r="AB15" s="40">
        <v>1.7951958020513097</v>
      </c>
      <c r="AC15" s="40">
        <f t="shared" si="7"/>
        <v>1.1683916649834548E-2</v>
      </c>
      <c r="AD15" s="40">
        <f t="shared" si="8"/>
        <v>-0.5</v>
      </c>
    </row>
    <row r="16" spans="1:30" x14ac:dyDescent="0.3">
      <c r="B16" s="126">
        <v>1.1145780677496164E-3</v>
      </c>
      <c r="C16" s="126">
        <f t="shared" si="0"/>
        <v>5.7822958541800702E-3</v>
      </c>
      <c r="D16" s="126">
        <f t="shared" si="1"/>
        <v>3.3783199784269554E-4</v>
      </c>
      <c r="E16" s="126">
        <f t="shared" si="2"/>
        <v>0.30131146609003362</v>
      </c>
      <c r="F16" s="126">
        <f t="shared" si="3"/>
        <v>0.29265953966116021</v>
      </c>
      <c r="G16" s="126">
        <f t="shared" si="9"/>
        <v>-5.5361254224930469E-4</v>
      </c>
      <c r="H16" s="126">
        <f t="shared" si="4"/>
        <v>5.874264552654454E-3</v>
      </c>
      <c r="I16" s="126">
        <f t="shared" si="5"/>
        <v>2.7827686777485375E-3</v>
      </c>
      <c r="J16" s="126">
        <f t="shared" si="10"/>
        <v>-5.1986005569690623E-3</v>
      </c>
      <c r="K16" s="126">
        <f t="shared" si="11"/>
        <v>0.20268197819238526</v>
      </c>
      <c r="M16" s="5"/>
      <c r="Y16">
        <f t="shared" si="6"/>
        <v>-0.5</v>
      </c>
      <c r="AB16" s="40">
        <v>1.9234240736264032</v>
      </c>
      <c r="AC16" s="40">
        <f t="shared" si="7"/>
        <v>9.7347576140737573E-3</v>
      </c>
      <c r="AD16" s="40">
        <f t="shared" si="8"/>
        <v>-0.5</v>
      </c>
    </row>
    <row r="17" spans="2:30" x14ac:dyDescent="0.3">
      <c r="B17" s="126">
        <v>1.2681096933296887E-3</v>
      </c>
      <c r="C17" s="126">
        <f t="shared" si="0"/>
        <v>6.1559956992083041E-3</v>
      </c>
      <c r="D17" s="126">
        <f t="shared" si="1"/>
        <v>3.840550268096249E-4</v>
      </c>
      <c r="E17" s="126">
        <f t="shared" si="2"/>
        <v>0.30081898870644797</v>
      </c>
      <c r="F17" s="126">
        <f t="shared" si="3"/>
        <v>0.29220799079530491</v>
      </c>
      <c r="G17" s="126">
        <f t="shared" si="9"/>
        <v>-5.0523148968671465E-4</v>
      </c>
      <c r="H17" s="126">
        <f t="shared" si="4"/>
        <v>6.279099055253274E-3</v>
      </c>
      <c r="I17" s="126">
        <f t="shared" si="5"/>
        <v>3.0414508763460923E-3</v>
      </c>
      <c r="J17" s="126">
        <f t="shared" si="10"/>
        <v>-5.5109890016340236E-3</v>
      </c>
      <c r="K17" s="126">
        <f t="shared" si="11"/>
        <v>0.20268197819238526</v>
      </c>
      <c r="M17" s="5"/>
      <c r="Y17">
        <f t="shared" si="6"/>
        <v>-0.5</v>
      </c>
      <c r="AB17" s="40">
        <v>2.051652345201497</v>
      </c>
      <c r="AC17" s="40">
        <f t="shared" si="7"/>
        <v>7.8755781068864644E-3</v>
      </c>
      <c r="AD17" s="40">
        <f t="shared" si="8"/>
        <v>-0.5</v>
      </c>
    </row>
    <row r="18" spans="2:30" x14ac:dyDescent="0.3">
      <c r="B18" s="126">
        <v>1.4315379463535338E-3</v>
      </c>
      <c r="C18" s="126">
        <f t="shared" si="0"/>
        <v>6.5282218309860229E-3</v>
      </c>
      <c r="D18" s="126">
        <f t="shared" si="1"/>
        <v>4.3317454013583882E-4</v>
      </c>
      <c r="E18" s="126">
        <f t="shared" si="2"/>
        <v>0.30029517861911087</v>
      </c>
      <c r="F18" s="126">
        <f t="shared" si="3"/>
        <v>0.29172757854483611</v>
      </c>
      <c r="G18" s="126">
        <f t="shared" si="9"/>
        <v>-4.460259108544425E-4</v>
      </c>
      <c r="H18" s="126">
        <f t="shared" si="4"/>
        <v>6.6855688204630805E-3</v>
      </c>
      <c r="I18" s="126">
        <f t="shared" si="5"/>
        <v>3.3091018035615099E-3</v>
      </c>
      <c r="J18" s="126">
        <f t="shared" si="10"/>
        <v>-5.8192197401914034E-3</v>
      </c>
      <c r="K18" s="126">
        <f t="shared" si="11"/>
        <v>0.20268197819238526</v>
      </c>
      <c r="M18" s="5"/>
      <c r="Y18">
        <f t="shared" si="6"/>
        <v>-0.5</v>
      </c>
      <c r="AB18" s="40">
        <v>2.1798806167765905</v>
      </c>
      <c r="AC18" s="40">
        <f t="shared" si="7"/>
        <v>6.1369058043808976E-3</v>
      </c>
      <c r="AD18" s="40">
        <f t="shared" si="8"/>
        <v>-0.5</v>
      </c>
    </row>
    <row r="19" spans="2:30" x14ac:dyDescent="0.3">
      <c r="B19" s="126">
        <v>1.6048612073787938E-3</v>
      </c>
      <c r="C19" s="126">
        <f t="shared" si="0"/>
        <v>6.8989745172577397E-3</v>
      </c>
      <c r="D19" s="126">
        <f t="shared" si="1"/>
        <v>4.8517457042070123E-4</v>
      </c>
      <c r="E19" s="126">
        <f t="shared" si="2"/>
        <v>0.29974011825677255</v>
      </c>
      <c r="F19" s="126">
        <f t="shared" si="3"/>
        <v>0.29121835380977967</v>
      </c>
      <c r="G19" s="126">
        <f t="shared" si="9"/>
        <v>-3.7596885589547208E-4</v>
      </c>
      <c r="H19" s="126">
        <f t="shared" si="4"/>
        <v>7.0936662024196802E-3</v>
      </c>
      <c r="I19" s="126">
        <f t="shared" si="5"/>
        <v>3.5856912706530597E-3</v>
      </c>
      <c r="J19" s="126">
        <f t="shared" si="10"/>
        <v>-6.1233170615782786E-3</v>
      </c>
      <c r="K19" s="126">
        <f t="shared" si="11"/>
        <v>0.20268197819238526</v>
      </c>
      <c r="M19" s="5"/>
      <c r="Y19">
        <f t="shared" si="6"/>
        <v>-0.5</v>
      </c>
      <c r="AB19" s="40">
        <v>2.308108888351684</v>
      </c>
      <c r="AC19" s="40">
        <f t="shared" si="7"/>
        <v>4.5472896576960065E-3</v>
      </c>
      <c r="AD19" s="40">
        <f t="shared" si="8"/>
        <v>-0.5</v>
      </c>
    </row>
    <row r="20" spans="2:30" x14ac:dyDescent="0.3">
      <c r="B20" s="126">
        <v>1.7880777589119878E-3</v>
      </c>
      <c r="C20" s="126">
        <f t="shared" si="0"/>
        <v>7.2682540998469016E-3</v>
      </c>
      <c r="D20" s="126">
        <f t="shared" si="1"/>
        <v>5.4003821018479444E-4</v>
      </c>
      <c r="E20" s="126">
        <f t="shared" si="2"/>
        <v>0.29915389502053918</v>
      </c>
      <c r="F20" s="126">
        <f t="shared" si="3"/>
        <v>0.29068037072535191</v>
      </c>
      <c r="G20" s="126">
        <f t="shared" si="9"/>
        <v>-2.9503381095433373E-4</v>
      </c>
      <c r="H20" s="126">
        <f t="shared" si="4"/>
        <v>7.5033825106937358E-3</v>
      </c>
      <c r="I20" s="126">
        <f t="shared" si="5"/>
        <v>3.8711893287783094E-3</v>
      </c>
      <c r="J20" s="126">
        <f t="shared" si="10"/>
        <v>-6.4233060903241468E-3</v>
      </c>
      <c r="K20" s="126">
        <f t="shared" si="11"/>
        <v>0.20268197819238526</v>
      </c>
      <c r="M20" s="5"/>
      <c r="Y20">
        <f t="shared" si="6"/>
        <v>-0.5</v>
      </c>
      <c r="AB20" s="40">
        <v>2.4363371599267776</v>
      </c>
      <c r="AC20" s="40">
        <f t="shared" si="7"/>
        <v>3.1328311200130451E-3</v>
      </c>
      <c r="AD20" s="40">
        <f t="shared" si="8"/>
        <v>-0.5</v>
      </c>
    </row>
    <row r="21" spans="2:30" x14ac:dyDescent="0.3">
      <c r="B21" s="126">
        <v>1.9811857854247217E-3</v>
      </c>
      <c r="C21" s="126">
        <f t="shared" si="0"/>
        <v>7.6360609943567489E-3</v>
      </c>
      <c r="D21" s="126">
        <f t="shared" si="1"/>
        <v>5.9774761673448069E-4</v>
      </c>
      <c r="E21" s="126">
        <f t="shared" si="2"/>
        <v>0.29853660127976278</v>
      </c>
      <c r="F21" s="126">
        <f t="shared" si="3"/>
        <v>0.29011368668801119</v>
      </c>
      <c r="G21" s="126">
        <f t="shared" si="9"/>
        <v>-2.0319470205564308E-4</v>
      </c>
      <c r="H21" s="126">
        <f t="shared" si="4"/>
        <v>7.9147080099204129E-3</v>
      </c>
      <c r="I21" s="126">
        <f t="shared" si="5"/>
        <v>4.1655662729050864E-3</v>
      </c>
      <c r="J21" s="126">
        <f t="shared" si="10"/>
        <v>-6.7192127764514513E-3</v>
      </c>
      <c r="M21" s="5"/>
      <c r="Y21">
        <f t="shared" si="6"/>
        <v>-0.5</v>
      </c>
      <c r="AB21" s="40">
        <v>2.5645654315018711</v>
      </c>
      <c r="AC21" s="40">
        <f t="shared" si="7"/>
        <v>1.9167555614159502E-3</v>
      </c>
      <c r="AD21" s="40">
        <f t="shared" si="8"/>
        <v>-0.5</v>
      </c>
    </row>
    <row r="22" spans="2:30" x14ac:dyDescent="0.3">
      <c r="B22" s="126">
        <v>2.1841833733722282E-3</v>
      </c>
      <c r="C22" s="126">
        <f t="shared" si="0"/>
        <v>8.0023956898571912E-3</v>
      </c>
      <c r="D22" s="126">
        <f t="shared" si="1"/>
        <v>6.5828401730107569E-4</v>
      </c>
      <c r="E22" s="126">
        <f t="shared" si="2"/>
        <v>0.29788833436769335</v>
      </c>
      <c r="F22" s="126">
        <f t="shared" si="3"/>
        <v>0.289518362382856</v>
      </c>
      <c r="G22" s="126">
        <f t="shared" si="9"/>
        <v>-1.0042589899166053E-4</v>
      </c>
      <c r="H22" s="126">
        <f t="shared" si="4"/>
        <v>8.3276319198071214E-3</v>
      </c>
      <c r="I22" s="126">
        <f t="shared" si="5"/>
        <v>4.4687926457361166E-3</v>
      </c>
      <c r="J22" s="126">
        <f t="shared" si="10"/>
        <v>-7.0110638852049706E-3</v>
      </c>
      <c r="M22" s="5"/>
      <c r="Y22">
        <f t="shared" si="6"/>
        <v>-0.5</v>
      </c>
      <c r="AB22" s="40">
        <v>2.6927937030769646</v>
      </c>
      <c r="AC22" s="40">
        <f t="shared" si="7"/>
        <v>9.1903090895666399E-4</v>
      </c>
      <c r="AD22" s="40">
        <f t="shared" si="8"/>
        <v>-0.5</v>
      </c>
    </row>
    <row r="23" spans="2:30" x14ac:dyDescent="0.3">
      <c r="B23" s="126">
        <v>2.3970685112121304E-3</v>
      </c>
      <c r="C23" s="126">
        <f t="shared" si="0"/>
        <v>8.3672587485532201E-3</v>
      </c>
      <c r="D23" s="126">
        <f t="shared" si="1"/>
        <v>7.2162771445337512E-4</v>
      </c>
      <c r="E23" s="126">
        <f t="shared" si="2"/>
        <v>0.29720919657689959</v>
      </c>
      <c r="F23" s="126">
        <f t="shared" si="3"/>
        <v>0.28889446181235207</v>
      </c>
      <c r="G23" s="126">
        <f t="shared" si="9"/>
        <v>1.3297780776178308E-5</v>
      </c>
      <c r="H23" s="126">
        <f t="shared" si="4"/>
        <v>8.7421424155157239E-3</v>
      </c>
      <c r="I23" s="126">
        <f t="shared" si="5"/>
        <v>4.780839241648082E-3</v>
      </c>
      <c r="J23" s="126">
        <f t="shared" si="10"/>
        <v>-7.2988869866089734E-3</v>
      </c>
      <c r="M23" s="5"/>
      <c r="Y23">
        <f t="shared" si="6"/>
        <v>-0.5</v>
      </c>
      <c r="AB23" s="40">
        <v>2.8210219746520582</v>
      </c>
      <c r="AC23" s="40">
        <f t="shared" si="7"/>
        <v>1.5603977384498098E-4</v>
      </c>
      <c r="AD23" s="40">
        <f t="shared" si="8"/>
        <v>-0.5</v>
      </c>
    </row>
    <row r="24" spans="2:30" x14ac:dyDescent="0.3">
      <c r="B24" s="126">
        <v>2.619839089424536E-3</v>
      </c>
      <c r="C24" s="126">
        <f t="shared" si="0"/>
        <v>8.7306508054371783E-3</v>
      </c>
      <c r="D24" s="126">
        <f t="shared" si="1"/>
        <v>7.8775809178320186E-4</v>
      </c>
      <c r="E24" s="126">
        <f t="shared" si="2"/>
        <v>0.29649929515445461</v>
      </c>
      <c r="F24" s="126">
        <f t="shared" si="3"/>
        <v>0.28824205232636058</v>
      </c>
      <c r="G24" s="126">
        <f t="shared" si="9"/>
        <v>1.3800106819829858E-4</v>
      </c>
      <c r="H24" s="126">
        <f t="shared" si="4"/>
        <v>9.1582266284229927E-3</v>
      </c>
      <c r="I24" s="126">
        <f t="shared" si="5"/>
        <v>5.1016771106507739E-3</v>
      </c>
      <c r="J24" s="126">
        <f t="shared" si="10"/>
        <v>-7.5827104448565885E-3</v>
      </c>
      <c r="M24" s="5"/>
      <c r="Y24">
        <f t="shared" si="6"/>
        <v>-0.5</v>
      </c>
      <c r="AB24" s="40">
        <v>2.9492502462271517</v>
      </c>
      <c r="AC24" s="40">
        <f t="shared" si="7"/>
        <v>-3.5968955057459444E-4</v>
      </c>
      <c r="AD24" s="40">
        <f t="shared" si="8"/>
        <v>-0.5</v>
      </c>
    </row>
    <row r="25" spans="2:30" x14ac:dyDescent="0.3">
      <c r="B25" s="126">
        <v>2.8524929005325772E-3</v>
      </c>
      <c r="C25" s="126">
        <f t="shared" si="0"/>
        <v>9.0925725679233925E-3</v>
      </c>
      <c r="D25" s="126">
        <f t="shared" si="1"/>
        <v>8.5665361986301516E-4</v>
      </c>
      <c r="E25" s="126">
        <f t="shared" si="2"/>
        <v>0.29575874229689031</v>
      </c>
      <c r="F25" s="126">
        <f t="shared" si="3"/>
        <v>0.28756120465344376</v>
      </c>
      <c r="G25" s="126">
        <f t="shared" si="9"/>
        <v>2.737082386963267E-4</v>
      </c>
      <c r="H25" s="126">
        <f t="shared" si="4"/>
        <v>9.5758706472589446E-3</v>
      </c>
      <c r="I25" s="126">
        <f t="shared" si="5"/>
        <v>5.4312775623688277E-3</v>
      </c>
      <c r="J25" s="126">
        <f t="shared" si="10"/>
        <v>-7.8625634075329132E-3</v>
      </c>
      <c r="M25" s="5"/>
      <c r="Y25">
        <f t="shared" si="6"/>
        <v>-0.5</v>
      </c>
      <c r="AB25" s="40">
        <v>3.0774785178022452</v>
      </c>
      <c r="AC25" s="40">
        <f t="shared" si="7"/>
        <v>-6.1968880305319888E-4</v>
      </c>
      <c r="AD25" s="40">
        <f t="shared" si="8"/>
        <v>-0.5</v>
      </c>
    </row>
    <row r="26" spans="2:30" x14ac:dyDescent="0.3">
      <c r="B26" s="126">
        <v>3.0950276391248366E-3</v>
      </c>
      <c r="C26" s="126">
        <f t="shared" si="0"/>
        <v>9.4530248154675364E-3</v>
      </c>
      <c r="D26" s="126">
        <f t="shared" si="1"/>
        <v>9.2829186247527971E-4</v>
      </c>
      <c r="E26" s="126">
        <f t="shared" si="2"/>
        <v>0.29498765514491565</v>
      </c>
      <c r="F26" s="126">
        <f t="shared" si="3"/>
        <v>0.28685199293341734</v>
      </c>
      <c r="G26" s="126">
        <f t="shared" si="9"/>
        <v>4.2044310819790718E-4</v>
      </c>
      <c r="H26" s="126">
        <f t="shared" si="4"/>
        <v>9.995059519626941E-3</v>
      </c>
      <c r="I26" s="126">
        <f t="shared" si="5"/>
        <v>5.7696121700517664E-3</v>
      </c>
      <c r="J26" s="126">
        <f t="shared" si="10"/>
        <v>-8.1384757946763812E-3</v>
      </c>
      <c r="M26" s="5"/>
      <c r="Y26">
        <f t="shared" si="6"/>
        <v>-0.5</v>
      </c>
      <c r="AB26" s="40">
        <v>3.2057067893773388</v>
      </c>
      <c r="AC26" s="40">
        <f t="shared" si="7"/>
        <v>-6.1968880305320246E-4</v>
      </c>
      <c r="AD26" s="40">
        <f t="shared" si="8"/>
        <v>-0.5</v>
      </c>
    </row>
    <row r="27" spans="2:30" x14ac:dyDescent="0.3">
      <c r="B27" s="126">
        <v>3.3474409018774409E-3</v>
      </c>
      <c r="C27" s="126">
        <f t="shared" si="0"/>
        <v>9.8120083991672883E-3</v>
      </c>
      <c r="D27" s="126">
        <f t="shared" si="1"/>
        <v>1.0026494831121742E-3</v>
      </c>
      <c r="E27" s="126">
        <f t="shared" si="2"/>
        <v>0.29418615577790591</v>
      </c>
      <c r="F27" s="126">
        <f t="shared" si="3"/>
        <v>0.28611449475112571</v>
      </c>
      <c r="G27" s="126">
        <f t="shared" si="9"/>
        <v>5.782290291422628E-4</v>
      </c>
      <c r="H27" s="126">
        <f t="shared" si="4"/>
        <v>1.0415777253902921E-2</v>
      </c>
      <c r="I27" s="126">
        <f t="shared" si="5"/>
        <v>6.116652774612619E-3</v>
      </c>
      <c r="J27" s="126">
        <f t="shared" si="10"/>
        <v>-8.4104782876785709E-3</v>
      </c>
      <c r="M27" s="5"/>
      <c r="Y27">
        <f t="shared" si="6"/>
        <v>-0.5</v>
      </c>
      <c r="AB27" s="40">
        <v>3.3339350609524323</v>
      </c>
      <c r="AC27" s="40">
        <f t="shared" si="7"/>
        <v>-3.5968955057460322E-4</v>
      </c>
      <c r="AD27" s="40">
        <f t="shared" si="8"/>
        <v>-0.5</v>
      </c>
    </row>
    <row r="28" spans="2:30" x14ac:dyDescent="0.3">
      <c r="B28" s="126">
        <v>3.609730187578708E-3</v>
      </c>
      <c r="C28" s="126">
        <f t="shared" si="0"/>
        <v>1.0169524241348702E-2</v>
      </c>
      <c r="D28" s="126">
        <f t="shared" si="1"/>
        <v>1.0797022517456969E-3</v>
      </c>
      <c r="E28" s="126">
        <f t="shared" si="2"/>
        <v>0.29335437120815444</v>
      </c>
      <c r="F28" s="126">
        <f t="shared" si="3"/>
        <v>0.28534879117140338</v>
      </c>
      <c r="G28" s="126">
        <f t="shared" si="9"/>
        <v>7.4708888645489248E-4</v>
      </c>
      <c r="H28" s="126">
        <f t="shared" si="4"/>
        <v>1.0838006821520052E-2</v>
      </c>
      <c r="I28" s="126">
        <f t="shared" si="5"/>
        <v>6.472371488702524E-3</v>
      </c>
      <c r="J28" s="126">
        <f t="shared" si="10"/>
        <v>-8.6786023180286578E-3</v>
      </c>
      <c r="M28" s="5"/>
      <c r="Y28">
        <f t="shared" si="6"/>
        <v>-0.5</v>
      </c>
      <c r="AB28" s="40">
        <v>3.4621633325275258</v>
      </c>
      <c r="AC28" s="40">
        <f t="shared" si="7"/>
        <v>1.5603977384496864E-4</v>
      </c>
      <c r="AD28" s="40">
        <f t="shared" si="8"/>
        <v>-0.5</v>
      </c>
    </row>
    <row r="29" spans="2:30" x14ac:dyDescent="0.3">
      <c r="B29" s="126">
        <v>3.8818928971533495E-3</v>
      </c>
      <c r="C29" s="126">
        <f t="shared" si="0"/>
        <v>1.0525573335133896E-2</v>
      </c>
      <c r="D29" s="126">
        <f t="shared" si="1"/>
        <v>1.1594250518664527E-3</v>
      </c>
      <c r="E29" s="126">
        <f t="shared" si="2"/>
        <v>0.29249243337489639</v>
      </c>
      <c r="F29" s="126">
        <f t="shared" si="3"/>
        <v>0.28455496677519843</v>
      </c>
      <c r="G29" s="126">
        <f t="shared" si="9"/>
        <v>9.2704509348647858E-4</v>
      </c>
      <c r="H29" s="126">
        <f t="shared" si="4"/>
        <v>1.1261730159635013E-2</v>
      </c>
      <c r="I29" s="126">
        <f t="shared" si="5"/>
        <v>6.8367407008202204E-3</v>
      </c>
      <c r="J29" s="126">
        <f t="shared" si="10"/>
        <v>-8.9428800559021079E-3</v>
      </c>
      <c r="M29" s="5"/>
      <c r="Y29">
        <f t="shared" si="6"/>
        <v>-0.5</v>
      </c>
      <c r="AB29" s="40">
        <v>3.5903916041026194</v>
      </c>
      <c r="AC29" s="40">
        <f t="shared" si="7"/>
        <v>9.1903090895664632E-4</v>
      </c>
      <c r="AD29" s="40">
        <f t="shared" si="8"/>
        <v>-0.5</v>
      </c>
    </row>
    <row r="30" spans="2:30" x14ac:dyDescent="0.3">
      <c r="B30" s="126">
        <v>4.1639263336883392E-3</v>
      </c>
      <c r="C30" s="126">
        <f t="shared" si="0"/>
        <v>1.088015674399328E-2</v>
      </c>
      <c r="D30" s="126">
        <f t="shared" si="1"/>
        <v>1.2417918877908852E-3</v>
      </c>
      <c r="E30" s="126">
        <f t="shared" si="2"/>
        <v>0.291600479138098</v>
      </c>
      <c r="F30" s="126">
        <f t="shared" si="3"/>
        <v>0.28373310969681964</v>
      </c>
      <c r="G30" s="126">
        <f t="shared" si="9"/>
        <v>1.1181195879142996E-3</v>
      </c>
      <c r="H30" s="126">
        <f t="shared" si="4"/>
        <v>1.1686928174180823E-2</v>
      </c>
      <c r="I30" s="126">
        <f t="shared" si="5"/>
        <v>7.2097330794623788E-3</v>
      </c>
      <c r="J30" s="126">
        <f t="shared" si="10"/>
        <v>-9.2033443985990535E-3</v>
      </c>
      <c r="M30" s="5"/>
      <c r="Y30">
        <f t="shared" si="6"/>
        <v>-0.5</v>
      </c>
      <c r="AB30" s="40">
        <v>3.7186198756777129</v>
      </c>
      <c r="AC30" s="40">
        <f t="shared" si="7"/>
        <v>1.9167555614159292E-3</v>
      </c>
      <c r="AD30" s="40">
        <f t="shared" si="8"/>
        <v>-0.5</v>
      </c>
    </row>
    <row r="31" spans="2:30" x14ac:dyDescent="0.3">
      <c r="B31" s="126">
        <v>4.4558277024601134E-3</v>
      </c>
      <c r="C31" s="126">
        <f t="shared" si="0"/>
        <v>1.1233275601281647E-2</v>
      </c>
      <c r="D31" s="126">
        <f t="shared" si="1"/>
        <v>1.3267758922359523E-3</v>
      </c>
      <c r="E31" s="126">
        <f t="shared" si="2"/>
        <v>0.29067865027201273</v>
      </c>
      <c r="F31" s="126">
        <f t="shared" si="3"/>
        <v>0.28288331166227376</v>
      </c>
      <c r="G31" s="126">
        <f t="shared" si="9"/>
        <v>1.3203338276032519E-3</v>
      </c>
      <c r="H31" s="126">
        <f t="shared" si="4"/>
        <v>1.2113580743306757E-2</v>
      </c>
      <c r="I31" s="126">
        <f t="shared" si="5"/>
        <v>7.5913215773169753E-3</v>
      </c>
      <c r="J31" s="126">
        <f t="shared" si="10"/>
        <v>-9.4600289588348523E-3</v>
      </c>
      <c r="M31" s="5"/>
      <c r="Y31">
        <f t="shared" si="6"/>
        <v>-0.5</v>
      </c>
      <c r="AB31" s="40">
        <v>3.8468481472528064</v>
      </c>
      <c r="AC31" s="40">
        <f t="shared" si="7"/>
        <v>3.1328311200130186E-3</v>
      </c>
      <c r="AD31" s="40">
        <f t="shared" si="8"/>
        <v>-0.5</v>
      </c>
    </row>
    <row r="32" spans="2:30" x14ac:dyDescent="0.3">
      <c r="B32" s="126">
        <v>4.7575941109612163E-3</v>
      </c>
      <c r="C32" s="126">
        <f t="shared" si="0"/>
        <v>1.1584931109755971E-2</v>
      </c>
      <c r="D32" s="126">
        <f t="shared" si="1"/>
        <v>1.4143493341597739E-3</v>
      </c>
      <c r="E32" s="126">
        <f t="shared" si="2"/>
        <v>0.28972709345851072</v>
      </c>
      <c r="F32" s="126">
        <f t="shared" si="3"/>
        <v>0.28200566802866311</v>
      </c>
      <c r="G32" s="126">
        <f t="shared" si="9"/>
        <v>1.5337087864225525E-3</v>
      </c>
      <c r="H32" s="126">
        <f t="shared" si="4"/>
        <v>1.2541666721203965E-2</v>
      </c>
      <c r="I32" s="126">
        <f t="shared" si="5"/>
        <v>7.9814794354998806E-3</v>
      </c>
      <c r="J32" s="126">
        <f t="shared" si="10"/>
        <v>-9.712968052884418E-3</v>
      </c>
      <c r="M32" s="5"/>
      <c r="Y32">
        <f t="shared" si="6"/>
        <v>-0.5</v>
      </c>
      <c r="AB32" s="40">
        <v>3.9750764188279</v>
      </c>
      <c r="AC32" s="40">
        <f t="shared" si="7"/>
        <v>4.5472896576959779E-3</v>
      </c>
      <c r="AD32" s="40">
        <f t="shared" si="8"/>
        <v>-0.5</v>
      </c>
    </row>
    <row r="33" spans="2:30" x14ac:dyDescent="0.3">
      <c r="B33" s="126">
        <v>5.0692225689300541E-3</v>
      </c>
      <c r="C33" s="126">
        <f t="shared" si="0"/>
        <v>1.193512454107947E-2</v>
      </c>
      <c r="D33" s="126">
        <f t="shared" si="1"/>
        <v>1.5044836268683522E-3</v>
      </c>
      <c r="E33" s="126">
        <f t="shared" si="2"/>
        <v>0.2887459602801698</v>
      </c>
      <c r="F33" s="126">
        <f t="shared" si="3"/>
        <v>0.2811002778245954</v>
      </c>
      <c r="G33" s="126">
        <f t="shared" si="9"/>
        <v>1.7582649500182297E-3</v>
      </c>
      <c r="H33" s="126">
        <f t="shared" si="4"/>
        <v>1.2971163942323526E-2</v>
      </c>
      <c r="I33" s="126">
        <f t="shared" si="5"/>
        <v>8.3801801878418784E-3</v>
      </c>
      <c r="J33" s="126">
        <f t="shared" si="10"/>
        <v>-9.9621966885868225E-3</v>
      </c>
      <c r="M33" s="5"/>
      <c r="Y33">
        <f t="shared" si="6"/>
        <v>-0.5</v>
      </c>
      <c r="AB33" s="40">
        <v>4.1033046904029939</v>
      </c>
      <c r="AC33" s="40">
        <f t="shared" si="7"/>
        <v>6.1369058043808716E-3</v>
      </c>
      <c r="AD33" s="40">
        <f t="shared" si="8"/>
        <v>-0.5</v>
      </c>
    </row>
    <row r="34" spans="2:30" x14ac:dyDescent="0.3">
      <c r="B34" s="126">
        <v>5.3907099883800935E-3</v>
      </c>
      <c r="C34" s="126">
        <f t="shared" si="0"/>
        <v>1.2283857235307475E-2</v>
      </c>
      <c r="D34" s="126">
        <f t="shared" si="1"/>
        <v>1.5971493363863057E-3</v>
      </c>
      <c r="E34" s="126">
        <f t="shared" si="2"/>
        <v>0.28773540721314028</v>
      </c>
      <c r="F34" s="126">
        <f t="shared" si="3"/>
        <v>0.28016724379157781</v>
      </c>
      <c r="G34" s="126">
        <f t="shared" si="9"/>
        <v>1.9940223115366838E-3</v>
      </c>
      <c r="H34" s="126">
        <f t="shared" si="4"/>
        <v>1.3402049225982825E-2</v>
      </c>
      <c r="I34" s="126">
        <f t="shared" si="5"/>
        <v>8.7873976652235036E-3</v>
      </c>
      <c r="J34" s="126">
        <f t="shared" si="10"/>
        <v>-1.0207750553210215E-2</v>
      </c>
      <c r="M34" s="5"/>
      <c r="Y34">
        <f t="shared" si="6"/>
        <v>-0.5</v>
      </c>
      <c r="AB34" s="40">
        <v>4.2315329619780879</v>
      </c>
      <c r="AC34" s="40">
        <f t="shared" si="7"/>
        <v>7.8755781068864435E-3</v>
      </c>
      <c r="AD34" s="40">
        <f t="shared" si="8"/>
        <v>-0.5</v>
      </c>
    </row>
    <row r="35" spans="2:30" x14ac:dyDescent="0.3">
      <c r="B35" s="126">
        <v>5.7220531836302824E-3</v>
      </c>
      <c r="C35" s="126">
        <f t="shared" si="0"/>
        <v>1.2631130600357393E-2</v>
      </c>
      <c r="D35" s="126">
        <f t="shared" si="1"/>
        <v>1.692316190091111E-3</v>
      </c>
      <c r="E35" s="126">
        <f t="shared" si="2"/>
        <v>0.28669559561977825</v>
      </c>
      <c r="F35" s="126">
        <f t="shared" si="3"/>
        <v>0.27920667242635117</v>
      </c>
      <c r="G35" s="126">
        <f t="shared" si="9"/>
        <v>2.2410003672984967E-3</v>
      </c>
      <c r="H35" s="126">
        <f t="shared" si="4"/>
        <v>1.3834298381364225E-2</v>
      </c>
      <c r="I35" s="126">
        <f t="shared" si="5"/>
        <v>9.2031059999620676E-3</v>
      </c>
      <c r="J35" s="126">
        <f t="shared" si="10"/>
        <v>-1.0449666001182004E-2</v>
      </c>
      <c r="M35" s="5"/>
      <c r="Y35">
        <f t="shared" si="6"/>
        <v>-0.5</v>
      </c>
      <c r="AB35" s="40">
        <v>4.3597612335531819</v>
      </c>
      <c r="AC35" s="40">
        <f t="shared" si="7"/>
        <v>9.7347576140737382E-3</v>
      </c>
      <c r="AD35" s="40">
        <f t="shared" si="8"/>
        <v>-0.5</v>
      </c>
    </row>
    <row r="36" spans="2:30" x14ac:dyDescent="0.3">
      <c r="B36" s="126">
        <v>6.0632488713366905E-3</v>
      </c>
      <c r="C36" s="126">
        <f t="shared" si="0"/>
        <v>1.2976946111462773E-2</v>
      </c>
      <c r="D36" s="126">
        <f t="shared" si="1"/>
        <v>1.7899530856097874E-3</v>
      </c>
      <c r="E36" s="126">
        <f t="shared" si="2"/>
        <v>0.28562669174104727</v>
      </c>
      <c r="F36" s="126">
        <f t="shared" si="3"/>
        <v>0.27821867402412176</v>
      </c>
      <c r="G36" s="126">
        <f t="shared" si="9"/>
        <v>2.4992181124206749E-3</v>
      </c>
      <c r="H36" s="126">
        <f t="shared" si="4"/>
        <v>1.4267886212907324E-2</v>
      </c>
      <c r="I36" s="126">
        <f t="shared" si="5"/>
        <v>9.6272796302527067E-3</v>
      </c>
      <c r="J36" s="126">
        <f t="shared" si="10"/>
        <v>-1.068798004168775E-2</v>
      </c>
      <c r="M36" s="5"/>
      <c r="Y36">
        <f t="shared" si="6"/>
        <v>-0.5</v>
      </c>
      <c r="AB36" s="40">
        <v>4.4879895051282759</v>
      </c>
      <c r="AC36" s="40">
        <f t="shared" si="7"/>
        <v>1.1683916649834534E-2</v>
      </c>
      <c r="AD36" s="40">
        <f t="shared" si="8"/>
        <v>-0.5</v>
      </c>
    </row>
    <row r="37" spans="2:30" x14ac:dyDescent="0.3">
      <c r="B37" s="126">
        <v>6.4142936705253728E-3</v>
      </c>
      <c r="C37" s="126">
        <f t="shared" si="0"/>
        <v>1.3321305310611509E-2</v>
      </c>
      <c r="D37" s="126">
        <f t="shared" si="1"/>
        <v>1.8900280999769327E-3</v>
      </c>
      <c r="E37" s="126">
        <f t="shared" si="2"/>
        <v>0.28452886668868943</v>
      </c>
      <c r="F37" s="126">
        <f t="shared" si="3"/>
        <v>0.27720336272264956</v>
      </c>
      <c r="G37" s="126">
        <f t="shared" si="9"/>
        <v>2.7686940363857338E-3</v>
      </c>
      <c r="H37" s="126">
        <f t="shared" si="4"/>
        <v>1.4702786526096086E-2</v>
      </c>
      <c r="I37" s="126">
        <f t="shared" si="5"/>
        <v>1.0059893304665012E-2</v>
      </c>
      <c r="J37" s="126">
        <f t="shared" si="10"/>
        <v>-1.0922730326142219E-2</v>
      </c>
      <c r="M37" s="5"/>
      <c r="Y37">
        <f t="shared" si="6"/>
        <v>-0.5</v>
      </c>
      <c r="AB37" s="40">
        <v>4.6162177767033699</v>
      </c>
      <c r="AC37" s="40">
        <f t="shared" si="7"/>
        <v>1.3691050076689049E-2</v>
      </c>
      <c r="AD37" s="40">
        <f t="shared" si="8"/>
        <v>-0.5</v>
      </c>
    </row>
    <row r="38" spans="2:30" x14ac:dyDescent="0.3">
      <c r="B38" s="126">
        <v>6.7751841026255644E-3</v>
      </c>
      <c r="C38" s="126">
        <f t="shared" si="0"/>
        <v>1.3664209805967291E-2</v>
      </c>
      <c r="D38" s="126">
        <f t="shared" si="1"/>
        <v>1.9925084990527332E-3</v>
      </c>
      <c r="E38" s="126">
        <f t="shared" si="2"/>
        <v>0.28340229643716797</v>
      </c>
      <c r="F38" s="126">
        <f t="shared" si="3"/>
        <v>0.27616085654714928</v>
      </c>
      <c r="G38" s="126">
        <f t="shared" si="9"/>
        <v>3.0494461185555451E-3</v>
      </c>
      <c r="H38" s="126">
        <f t="shared" si="4"/>
        <v>1.5138972133640955E-2</v>
      </c>
      <c r="I38" s="126">
        <f t="shared" si="5"/>
        <v>1.0500922086695584E-2</v>
      </c>
      <c r="J38" s="126">
        <f t="shared" si="10"/>
        <v>-1.1153955135535487E-2</v>
      </c>
      <c r="M38" s="5"/>
      <c r="Y38">
        <f t="shared" si="6"/>
        <v>-0.5</v>
      </c>
      <c r="AB38" s="40">
        <v>4.7444460482784638</v>
      </c>
      <c r="AC38" s="40">
        <f t="shared" si="7"/>
        <v>1.5723200819258529E-2</v>
      </c>
      <c r="AD38" s="40">
        <f t="shared" si="8"/>
        <v>-0.5</v>
      </c>
    </row>
    <row r="39" spans="2:30" x14ac:dyDescent="0.3">
      <c r="B39" s="126">
        <v>7.1459165915040979E-3</v>
      </c>
      <c r="C39" s="126">
        <f t="shared" si="0"/>
        <v>1.4005661271275418E-2</v>
      </c>
      <c r="D39" s="126">
        <f t="shared" si="1"/>
        <v>2.0973607472000474E-3</v>
      </c>
      <c r="E39" s="126">
        <f t="shared" si="2"/>
        <v>0.28224716181538001</v>
      </c>
      <c r="F39" s="126">
        <f t="shared" si="3"/>
        <v>0.27509127745595874</v>
      </c>
      <c r="G39" s="126">
        <f t="shared" si="9"/>
        <v>3.3414918236293512E-3</v>
      </c>
      <c r="H39" s="126">
        <f t="shared" si="4"/>
        <v>1.5576414862058604E-2</v>
      </c>
      <c r="I39" s="126">
        <f t="shared" si="5"/>
        <v>1.0950341359378845E-2</v>
      </c>
      <c r="J39" s="126">
        <f t="shared" si="10"/>
        <v>-1.1381693367658508E-2</v>
      </c>
      <c r="M39" s="5"/>
      <c r="Y39">
        <f t="shared" si="6"/>
        <v>-0.5</v>
      </c>
      <c r="AB39" s="40">
        <v>4.8726743198535578</v>
      </c>
      <c r="AC39" s="40">
        <f t="shared" si="7"/>
        <v>1.7747001018531824E-2</v>
      </c>
      <c r="AD39" s="40">
        <f t="shared" si="8"/>
        <v>-0.5</v>
      </c>
    </row>
    <row r="40" spans="2:30" x14ac:dyDescent="0.3">
      <c r="B40" s="126">
        <v>7.5264874635010415E-3</v>
      </c>
      <c r="C40" s="126">
        <f t="shared" si="0"/>
        <v>1.4345661445252874E-2</v>
      </c>
      <c r="D40" s="126">
        <f t="shared" si="1"/>
        <v>2.2045505172193715E-3</v>
      </c>
      <c r="E40" s="126">
        <f t="shared" si="2"/>
        <v>0.28106364849813908</v>
      </c>
      <c r="F40" s="126">
        <f t="shared" si="3"/>
        <v>0.27399475138692525</v>
      </c>
      <c r="G40" s="126">
        <f t="shared" si="9"/>
        <v>3.6448480970450435E-3</v>
      </c>
      <c r="H40" s="126">
        <f t="shared" si="4"/>
        <v>1.6015085558650381E-2</v>
      </c>
      <c r="I40" s="126">
        <f t="shared" si="5"/>
        <v>1.140812682995704E-2</v>
      </c>
      <c r="J40" s="126">
        <f t="shared" si="10"/>
        <v>-1.1605984524211639E-2</v>
      </c>
      <c r="M40" s="5"/>
      <c r="Y40">
        <f t="shared" si="6"/>
        <v>-0.5</v>
      </c>
      <c r="AB40" s="40">
        <v>5.0009025914286518</v>
      </c>
      <c r="AC40" s="40">
        <f t="shared" si="7"/>
        <v>1.9729219931187845E-2</v>
      </c>
      <c r="AD40" s="40">
        <f t="shared" si="8"/>
        <v>-0.5</v>
      </c>
    </row>
    <row r="41" spans="2:30" x14ac:dyDescent="0.3">
      <c r="B41" s="126">
        <v>7.9168929474660032E-3</v>
      </c>
      <c r="C41" s="126">
        <f t="shared" si="0"/>
        <v>1.4684212130962328E-2</v>
      </c>
      <c r="D41" s="126">
        <f t="shared" si="1"/>
        <v>2.3140427005403081E-3</v>
      </c>
      <c r="E41" s="126">
        <f t="shared" si="2"/>
        <v>0.27985194699742955</v>
      </c>
      <c r="F41" s="126">
        <f t="shared" si="3"/>
        <v>0.2728714083044651</v>
      </c>
      <c r="G41" s="126">
        <f t="shared" si="9"/>
        <v>3.9595313603224156E-3</v>
      </c>
      <c r="H41" s="126">
        <f t="shared" si="4"/>
        <v>1.645495409888029E-2</v>
      </c>
      <c r="I41" s="126">
        <f t="shared" si="5"/>
        <v>1.187425453460959E-2</v>
      </c>
      <c r="J41" s="126">
        <f t="shared" si="10"/>
        <v>-1.1826868697799673E-2</v>
      </c>
      <c r="M41" s="5"/>
      <c r="Y41">
        <f t="shared" si="6"/>
        <v>-0.5</v>
      </c>
      <c r="AB41" s="40">
        <v>5.1291308630037458</v>
      </c>
      <c r="AC41" s="40">
        <f t="shared" si="7"/>
        <v>2.163730957748217E-2</v>
      </c>
      <c r="AD41" s="40">
        <f t="shared" si="8"/>
        <v>-0.5</v>
      </c>
    </row>
    <row r="42" spans="2:30" x14ac:dyDescent="0.3">
      <c r="B42" s="126">
        <v>8.3171291747956566E-3</v>
      </c>
      <c r="C42" s="126">
        <f t="shared" si="0"/>
        <v>1.5021315195170575E-2</v>
      </c>
      <c r="D42" s="126">
        <f t="shared" si="1"/>
        <v>2.4258014176684484E-3</v>
      </c>
      <c r="E42" s="126">
        <f t="shared" si="2"/>
        <v>0.27861225265343215</v>
      </c>
      <c r="F42" s="126">
        <f t="shared" si="3"/>
        <v>0.27172138224724413</v>
      </c>
      <c r="G42" s="126">
        <f t="shared" si="9"/>
        <v>4.2855575063483293E-3</v>
      </c>
      <c r="H42" s="126">
        <f t="shared" si="4"/>
        <v>1.6895989394154286E-2</v>
      </c>
      <c r="I42" s="126">
        <f t="shared" si="5"/>
        <v>1.2348700843242983E-2</v>
      </c>
      <c r="J42" s="126">
        <f t="shared" si="10"/>
        <v>-1.2044386558817387E-2</v>
      </c>
      <c r="M42" s="5"/>
      <c r="Y42">
        <f t="shared" si="6"/>
        <v>-0.5</v>
      </c>
      <c r="AB42" s="40">
        <v>5.2573591345788397</v>
      </c>
      <c r="AC42" s="40">
        <f t="shared" si="7"/>
        <v>2.3439939178174645E-2</v>
      </c>
      <c r="AD42" s="40">
        <f t="shared" si="8"/>
        <v>-0.5</v>
      </c>
    </row>
    <row r="43" spans="2:30" x14ac:dyDescent="0.3">
      <c r="B43" s="126">
        <v>8.727192179471821E-3</v>
      </c>
      <c r="C43" s="126">
        <f t="shared" si="0"/>
        <v>1.5356972567690952E-2</v>
      </c>
      <c r="D43" s="126">
        <f t="shared" si="1"/>
        <v>2.5397900288861874E-3</v>
      </c>
      <c r="E43" s="126">
        <f t="shared" si="2"/>
        <v>0.27734476562532212</v>
      </c>
      <c r="F43" s="126">
        <f t="shared" si="3"/>
        <v>0.27054481137642977</v>
      </c>
      <c r="G43" s="126">
        <f t="shared" si="9"/>
        <v>4.6229418946028824E-3</v>
      </c>
      <c r="H43" s="126">
        <f t="shared" si="4"/>
        <v>1.7338159400001562E-2</v>
      </c>
      <c r="I43" s="126">
        <f t="shared" si="5"/>
        <v>1.2831442464340759E-2</v>
      </c>
      <c r="J43" s="126">
        <f t="shared" si="10"/>
        <v>-1.2258579342229188E-2</v>
      </c>
      <c r="M43" s="5"/>
      <c r="Y43">
        <f t="shared" si="6"/>
        <v>-0.5</v>
      </c>
      <c r="AB43" s="40">
        <v>5.3855874061539337</v>
      </c>
      <c r="AC43" s="40">
        <f t="shared" si="7"/>
        <v>2.5107509605058278E-2</v>
      </c>
      <c r="AD43" s="40">
        <f t="shared" si="8"/>
        <v>-0.5</v>
      </c>
    </row>
    <row r="44" spans="2:30" x14ac:dyDescent="0.3">
      <c r="B44" s="126">
        <v>9.1470778981007639E-3</v>
      </c>
      <c r="C44" s="126">
        <f t="shared" si="0"/>
        <v>1.5691186240710388E-2</v>
      </c>
      <c r="D44" s="126">
        <f t="shared" si="1"/>
        <v>2.6559711452063556E-3</v>
      </c>
      <c r="E44" s="126">
        <f t="shared" si="2"/>
        <v>0.27604969088183928</v>
      </c>
      <c r="F44" s="126">
        <f t="shared" si="3"/>
        <v>0.26934183802446171</v>
      </c>
      <c r="G44" s="126">
        <f t="shared" si="9"/>
        <v>4.9716993463270187E-3</v>
      </c>
      <c r="H44" s="126">
        <f t="shared" si="4"/>
        <v>1.7781431124659769E-2</v>
      </c>
      <c r="I44" s="126">
        <f t="shared" si="5"/>
        <v>1.3322456449874509E-2</v>
      </c>
      <c r="J44" s="126">
        <f t="shared" si="10"/>
        <v>-1.2469488834247056E-2</v>
      </c>
      <c r="M44" s="5"/>
      <c r="Y44">
        <f t="shared" si="6"/>
        <v>-0.5</v>
      </c>
      <c r="AB44" s="40">
        <v>5.5138156777290277</v>
      </c>
      <c r="AC44" s="40">
        <f t="shared" si="7"/>
        <v>2.6612639397826113E-2</v>
      </c>
      <c r="AD44" s="40">
        <f t="shared" si="8"/>
        <v>-0.5</v>
      </c>
    </row>
    <row r="45" spans="2:30" x14ac:dyDescent="0.3">
      <c r="B45" s="126">
        <v>9.5767821699537237E-3</v>
      </c>
      <c r="C45" s="126">
        <f t="shared" si="0"/>
        <v>1.6023958268101126E-2</v>
      </c>
      <c r="D45" s="126">
        <f t="shared" si="1"/>
        <v>2.7743066395773067E-3</v>
      </c>
      <c r="E45" s="126">
        <f t="shared" si="2"/>
        <v>0.27472723819162964</v>
      </c>
      <c r="F45" s="126">
        <f t="shared" si="3"/>
        <v>0.26811260874428589</v>
      </c>
      <c r="G45" s="126">
        <f t="shared" si="9"/>
        <v>5.3318441396317078E-3</v>
      </c>
      <c r="H45" s="126">
        <f t="shared" si="4"/>
        <v>1.8225770638065356E-2</v>
      </c>
      <c r="I45" s="126">
        <f t="shared" si="5"/>
        <v>1.382172020027574E-2</v>
      </c>
      <c r="J45" s="126">
        <f t="shared" si="10"/>
        <v>-1.2677157358910743E-2</v>
      </c>
      <c r="M45" s="5"/>
      <c r="Y45">
        <f t="shared" si="6"/>
        <v>-0.5</v>
      </c>
      <c r="AB45" s="40">
        <v>5.6420439493041217</v>
      </c>
      <c r="AC45" s="40">
        <f t="shared" si="7"/>
        <v>2.7930614366892457E-2</v>
      </c>
      <c r="AD45" s="40">
        <f t="shared" si="8"/>
        <v>-0.5</v>
      </c>
    </row>
    <row r="46" spans="2:30" x14ac:dyDescent="0.3">
      <c r="B46" s="126">
        <v>1.0016300737007988E-2</v>
      </c>
      <c r="C46" s="126">
        <f t="shared" si="0"/>
        <v>1.6355290764716673E-2</v>
      </c>
      <c r="D46" s="126">
        <f t="shared" si="1"/>
        <v>2.8947576583379093E-3</v>
      </c>
      <c r="E46" s="126">
        <f t="shared" si="2"/>
        <v>0.27337762211336125</v>
      </c>
      <c r="F46" s="126">
        <f t="shared" si="3"/>
        <v>0.26685727435899953</v>
      </c>
      <c r="G46" s="126">
        <f t="shared" si="9"/>
        <v>5.7033900045484814E-3</v>
      </c>
      <c r="H46" s="126">
        <f t="shared" si="4"/>
        <v>1.8671143081249651E-2</v>
      </c>
      <c r="I46" s="126">
        <f t="shared" si="5"/>
        <v>1.4329211469467494E-2</v>
      </c>
      <c r="J46" s="126">
        <f t="shared" si="10"/>
        <v>-1.2881627764573831E-2</v>
      </c>
      <c r="M46" s="5"/>
      <c r="Y46">
        <f t="shared" si="6"/>
        <v>-0.5</v>
      </c>
      <c r="AB46" s="40">
        <v>5.7702722208792157</v>
      </c>
      <c r="AC46" s="40">
        <f t="shared" si="7"/>
        <v>2.9039793399702626E-2</v>
      </c>
      <c r="AD46" s="40">
        <f t="shared" si="8"/>
        <v>-0.5</v>
      </c>
    </row>
    <row r="47" spans="2:30" x14ac:dyDescent="0.3">
      <c r="B47" s="126">
        <v>1.0465629243989194E-2</v>
      </c>
      <c r="C47" s="126">
        <f t="shared" si="0"/>
        <v>1.6685185905672618E-2</v>
      </c>
      <c r="D47" s="126">
        <f t="shared" si="1"/>
        <v>3.017284632921204E-3</v>
      </c>
      <c r="E47" s="126">
        <f t="shared" si="2"/>
        <v>0.2720010619856128</v>
      </c>
      <c r="F47" s="126">
        <f t="shared" si="3"/>
        <v>0.26557599001184889</v>
      </c>
      <c r="G47" s="126">
        <f t="shared" si="9"/>
        <v>6.0863501180224659E-3</v>
      </c>
      <c r="H47" s="126">
        <f t="shared" si="4"/>
        <v>1.9117512676142465E-2</v>
      </c>
      <c r="I47" s="126">
        <f t="shared" si="5"/>
        <v>1.4844908369955922E-2</v>
      </c>
      <c r="J47" s="126">
        <f t="shared" si="10"/>
        <v>-1.3082943410300057E-2</v>
      </c>
      <c r="M47" s="5"/>
      <c r="Y47">
        <f t="shared" si="6"/>
        <v>-0.5</v>
      </c>
      <c r="AB47" s="40">
        <v>5.8985004924543096</v>
      </c>
      <c r="AC47" s="40">
        <f t="shared" si="7"/>
        <v>2.9921963807202797E-2</v>
      </c>
      <c r="AD47" s="40">
        <f t="shared" si="8"/>
        <v>-0.5</v>
      </c>
    </row>
    <row r="48" spans="2:30" x14ac:dyDescent="0.3">
      <c r="B48" s="126">
        <v>1.092476323841407E-2</v>
      </c>
      <c r="C48" s="126">
        <f t="shared" si="0"/>
        <v>1.7013645925611776E-2</v>
      </c>
      <c r="D48" s="126">
        <f t="shared" si="1"/>
        <v>3.1418472918050889E-3</v>
      </c>
      <c r="E48" s="126">
        <f t="shared" si="2"/>
        <v>0.27059778191653783</v>
      </c>
      <c r="F48" s="126">
        <f t="shared" si="3"/>
        <v>0.26426891521652396</v>
      </c>
      <c r="G48" s="126">
        <f t="shared" si="9"/>
        <v>6.4807370988480681E-3</v>
      </c>
      <c r="H48" s="126">
        <f t="shared" si="4"/>
        <v>1.9564842735783641E-2</v>
      </c>
      <c r="I48" s="126">
        <f t="shared" si="5"/>
        <v>1.5368789377980072E-2</v>
      </c>
      <c r="J48" s="126">
        <f t="shared" si="10"/>
        <v>-1.3281148152173463E-2</v>
      </c>
      <c r="M48" s="5"/>
      <c r="Y48">
        <f t="shared" si="6"/>
        <v>-0.5</v>
      </c>
      <c r="AB48" s="40">
        <v>6.0267287640294036</v>
      </c>
      <c r="AC48" s="40">
        <f t="shared" si="7"/>
        <v>3.0562640375690724E-2</v>
      </c>
      <c r="AD48" s="40">
        <f t="shared" si="8"/>
        <v>-0.5</v>
      </c>
    </row>
    <row r="49" spans="2:30" x14ac:dyDescent="0.3">
      <c r="B49" s="126">
        <v>1.1393698170635291E-2</v>
      </c>
      <c r="C49" s="126">
        <f t="shared" si="0"/>
        <v>1.7340673117955032E-2</v>
      </c>
      <c r="D49" s="126">
        <f t="shared" si="1"/>
        <v>3.2684046727090021E-3</v>
      </c>
      <c r="E49" s="126">
        <f t="shared" si="2"/>
        <v>0.26916801077329944</v>
      </c>
      <c r="F49" s="126">
        <f t="shared" si="3"/>
        <v>0.26293621390768712</v>
      </c>
      <c r="G49" s="126">
        <f t="shared" si="9"/>
        <v>6.8865630025497669E-3</v>
      </c>
      <c r="H49" s="126">
        <f t="shared" si="4"/>
        <v>2.0013095674945351E-2</v>
      </c>
      <c r="I49" s="126">
        <f t="shared" si="5"/>
        <v>1.5900833338720815E-2</v>
      </c>
      <c r="J49" s="126">
        <f t="shared" si="10"/>
        <v>-1.3476286329527347E-2</v>
      </c>
      <c r="M49" s="5"/>
      <c r="Y49">
        <f t="shared" si="6"/>
        <v>-0.5</v>
      </c>
      <c r="AB49" s="40">
        <v>6.1549570356044976</v>
      </c>
      <c r="AC49" s="40">
        <f t="shared" si="7"/>
        <v>3.0951303213624298E-2</v>
      </c>
      <c r="AD49" s="40">
        <f t="shared" si="8"/>
        <v>-0.5</v>
      </c>
    </row>
    <row r="50" spans="2:30" x14ac:dyDescent="0.3">
      <c r="B50" s="126">
        <v>1.1872429393885775E-2</v>
      </c>
      <c r="C50" s="126">
        <f t="shared" si="0"/>
        <v>1.766626983413597E-2</v>
      </c>
      <c r="D50" s="126">
        <f t="shared" si="1"/>
        <v>3.3969151350343825E-3</v>
      </c>
      <c r="E50" s="126">
        <f t="shared" si="2"/>
        <v>0.26771198217128434</v>
      </c>
      <c r="F50" s="126">
        <f t="shared" si="3"/>
        <v>0.26157805449168225</v>
      </c>
      <c r="G50" s="126">
        <f t="shared" si="9"/>
        <v>7.3038393162070782E-3</v>
      </c>
      <c r="H50" s="126">
        <f t="shared" si="4"/>
        <v>2.0462233021163501E-2</v>
      </c>
      <c r="I50" s="126">
        <f t="shared" si="5"/>
        <v>1.6441019471564473E-2</v>
      </c>
      <c r="J50" s="126">
        <f t="shared" si="10"/>
        <v>-1.3668402751094735E-2</v>
      </c>
      <c r="M50" s="5"/>
      <c r="Y50">
        <f t="shared" si="6"/>
        <v>-0.5</v>
      </c>
      <c r="AB50" s="40">
        <v>6.2831853071795916</v>
      </c>
      <c r="AC50" s="40">
        <f t="shared" si="7"/>
        <v>3.1081570487949812E-2</v>
      </c>
      <c r="AD50" s="40">
        <f t="shared" si="8"/>
        <v>-0.5</v>
      </c>
    </row>
    <row r="51" spans="2:30" x14ac:dyDescent="0.3">
      <c r="B51" s="126">
        <v>1.2360952164325312E-2</v>
      </c>
      <c r="C51" s="126">
        <f t="shared" si="0"/>
        <v>1.799043848282152E-2</v>
      </c>
      <c r="D51" s="126">
        <f t="shared" si="1"/>
        <v>3.5273363725481502E-3</v>
      </c>
      <c r="E51" s="126">
        <f t="shared" si="2"/>
        <v>0.26622993446308807</v>
      </c>
      <c r="F51" s="126">
        <f t="shared" si="3"/>
        <v>0.26019460989735571</v>
      </c>
      <c r="G51" s="126">
        <f t="shared" si="9"/>
        <v>7.7325769532276215E-3</v>
      </c>
      <c r="H51" s="126">
        <f t="shared" si="4"/>
        <v>2.0912215426182143E-2</v>
      </c>
      <c r="I51" s="126">
        <f t="shared" si="5"/>
        <v>1.6989327375423004E-2</v>
      </c>
      <c r="J51" s="126">
        <f t="shared" si="10"/>
        <v>-1.3857542681085841E-2</v>
      </c>
      <c r="M51" s="5"/>
      <c r="Y51">
        <f t="shared" si="6"/>
        <v>-0.5</v>
      </c>
    </row>
    <row r="52" spans="2:30" x14ac:dyDescent="0.3">
      <c r="B52" s="126">
        <v>1.2859261641087194E-2</v>
      </c>
      <c r="C52" s="126">
        <f t="shared" si="0"/>
        <v>1.8313181529117015E-2</v>
      </c>
      <c r="D52" s="126">
        <f t="shared" si="1"/>
        <v>3.6596254263070228E-3</v>
      </c>
      <c r="E52" s="126">
        <f t="shared" si="2"/>
        <v>0.26472211072727853</v>
      </c>
      <c r="F52" s="126">
        <f t="shared" si="3"/>
        <v>0.25878605762693258</v>
      </c>
      <c r="G52" s="126">
        <f t="shared" si="9"/>
        <v>8.1727862480681403E-3</v>
      </c>
      <c r="H52" s="126">
        <f t="shared" si="4"/>
        <v>2.1363002677809616E-2</v>
      </c>
      <c r="I52" s="126">
        <f t="shared" si="5"/>
        <v>1.7545737034106248E-2</v>
      </c>
      <c r="J52" s="126">
        <f t="shared" si="10"/>
        <v>-1.404375182519557E-2</v>
      </c>
      <c r="M52" s="5"/>
      <c r="Y52">
        <f t="shared" si="6"/>
        <v>-0.5</v>
      </c>
    </row>
    <row r="53" spans="2:30" x14ac:dyDescent="0.3">
      <c r="B53" s="126">
        <v>1.3367352886326511E-2</v>
      </c>
      <c r="C53" s="126">
        <f t="shared" si="0"/>
        <v>1.8634501493756932E-2</v>
      </c>
      <c r="D53" s="126">
        <f t="shared" si="1"/>
        <v>3.7937386978215181E-3</v>
      </c>
      <c r="E53" s="126">
        <f t="shared" si="2"/>
        <v>0.26318875875693371</v>
      </c>
      <c r="F53" s="126">
        <f t="shared" si="3"/>
        <v>0.25735257980688114</v>
      </c>
      <c r="G53" s="126">
        <f t="shared" si="9"/>
        <v>8.6244769509068626E-3</v>
      </c>
      <c r="H53" s="126">
        <f t="shared" si="4"/>
        <v>2.1814553712188833E-2</v>
      </c>
      <c r="I53" s="126">
        <f t="shared" si="5"/>
        <v>1.811022882174616E-2</v>
      </c>
      <c r="J53" s="126">
        <f t="shared" si="10"/>
        <v>-1.4227076316545798E-2</v>
      </c>
      <c r="M53" s="5"/>
      <c r="Y53">
        <f t="shared" si="6"/>
        <v>-0.5</v>
      </c>
    </row>
    <row r="54" spans="2:30" x14ac:dyDescent="0.3">
      <c r="B54" s="126">
        <v>1.3885220865268999E-2</v>
      </c>
      <c r="C54" s="126">
        <f t="shared" si="0"/>
        <v>1.8954400952280681E-2</v>
      </c>
      <c r="D54" s="126">
        <f t="shared" si="1"/>
        <v>3.9296319624577145E-3</v>
      </c>
      <c r="E54" s="126">
        <f t="shared" si="2"/>
        <v>0.26163013104795696</v>
      </c>
      <c r="F54" s="126">
        <f t="shared" si="3"/>
        <v>0.25589436323870218</v>
      </c>
      <c r="G54" s="126">
        <f t="shared" si="9"/>
        <v>9.0876582222685388E-3</v>
      </c>
      <c r="H54" s="126">
        <f t="shared" si="4"/>
        <v>2.2266826626481578E-2</v>
      </c>
      <c r="I54" s="126">
        <f t="shared" si="5"/>
        <v>1.8682783508269459E-2</v>
      </c>
      <c r="J54" s="126">
        <f t="shared" si="10"/>
        <v>-1.4407562701566151E-2</v>
      </c>
      <c r="M54" s="5"/>
      <c r="Y54">
        <f t="shared" si="6"/>
        <v>-0.5</v>
      </c>
    </row>
    <row r="55" spans="2:30" x14ac:dyDescent="0.3">
      <c r="B55" s="126">
        <v>1.4412860446260445E-2</v>
      </c>
      <c r="C55" s="126">
        <f t="shared" si="0"/>
        <v>1.92728825341935E-2</v>
      </c>
      <c r="D55" s="126">
        <f t="shared" si="1"/>
        <v>4.0672603830751294E-3</v>
      </c>
      <c r="E55" s="126">
        <f t="shared" si="2"/>
        <v>0.26004648478717052</v>
      </c>
      <c r="F55" s="126">
        <f t="shared" si="3"/>
        <v>0.25441159944957908</v>
      </c>
      <c r="G55" s="126">
        <f t="shared" si="9"/>
        <v>9.5623386276046454E-3</v>
      </c>
      <c r="H55" s="126">
        <f t="shared" si="4"/>
        <v>2.2719778691967493E-2</v>
      </c>
      <c r="I55" s="126">
        <f t="shared" si="5"/>
        <v>1.9263382264916244E-2</v>
      </c>
      <c r="J55" s="126">
        <f t="shared" si="10"/>
        <v>-1.4585257925817233E-2</v>
      </c>
      <c r="M55" s="5"/>
      <c r="Y55">
        <f t="shared" si="6"/>
        <v>-0.5</v>
      </c>
    </row>
    <row r="56" spans="2:30" x14ac:dyDescent="0.3">
      <c r="B56" s="126">
        <v>1.4950266400818424E-2</v>
      </c>
      <c r="C56" s="126">
        <f t="shared" si="0"/>
        <v>1.9589948922113767E-2</v>
      </c>
      <c r="D56" s="126">
        <f t="shared" si="1"/>
        <v>4.2065785238994896E-3</v>
      </c>
      <c r="E56" s="126">
        <f t="shared" si="2"/>
        <v>0.25843808184018247</v>
      </c>
      <c r="F56" s="126">
        <f t="shared" si="3"/>
        <v>0.25290448474281635</v>
      </c>
      <c r="G56" s="126">
        <f t="shared" si="9"/>
        <v>1.0048526131833073E-2</v>
      </c>
      <c r="H56" s="126">
        <f t="shared" si="4"/>
        <v>2.3173366367560146E-2</v>
      </c>
      <c r="I56" s="126">
        <f t="shared" si="5"/>
        <v>1.9852006669803773E-2</v>
      </c>
      <c r="J56" s="126">
        <f t="shared" si="10"/>
        <v>-1.4760209319761169E-2</v>
      </c>
      <c r="M56" s="5"/>
      <c r="Y56">
        <f t="shared" si="6"/>
        <v>-0.5</v>
      </c>
    </row>
    <row r="57" spans="2:30" x14ac:dyDescent="0.3">
      <c r="B57" s="126">
        <v>1.5497433403683258E-2</v>
      </c>
      <c r="C57" s="126">
        <f t="shared" si="0"/>
        <v>1.9905602850904796E-2</v>
      </c>
      <c r="D57" s="126">
        <f t="shared" si="1"/>
        <v>4.3475403646278709E-3</v>
      </c>
      <c r="E57" s="126">
        <f t="shared" si="2"/>
        <v>0.25680518873903718</v>
      </c>
      <c r="F57" s="126">
        <f t="shared" si="3"/>
        <v>0.25137322024800812</v>
      </c>
      <c r="G57" s="126">
        <f t="shared" si="9"/>
        <v>1.0546228093837505E-2</v>
      </c>
      <c r="H57" s="126">
        <f t="shared" si="4"/>
        <v>2.3627545313737824E-2</v>
      </c>
      <c r="I57" s="126">
        <f t="shared" si="5"/>
        <v>2.0448638713529012E-2</v>
      </c>
      <c r="J57" s="126">
        <f t="shared" si="10"/>
        <v>-1.4932464584482084E-2</v>
      </c>
      <c r="M57" s="5"/>
      <c r="Y57">
        <f t="shared" si="6"/>
        <v>-0.5</v>
      </c>
    </row>
    <row r="58" spans="2:30" x14ac:dyDescent="0.3">
      <c r="B58" s="126">
        <v>1.605435603287142E-2</v>
      </c>
      <c r="C58" s="126">
        <f t="shared" si="0"/>
        <v>2.0219847106793299E-2</v>
      </c>
      <c r="D58" s="126">
        <f t="shared" si="1"/>
        <v>4.4900993147652989E-3</v>
      </c>
      <c r="E58" s="126">
        <f t="shared" si="2"/>
        <v>0.25514807666963923</v>
      </c>
      <c r="F58" s="126">
        <f t="shared" si="3"/>
        <v>0.24981801197085843</v>
      </c>
      <c r="G58" s="126">
        <f t="shared" si="9"/>
        <v>1.1055451260932657E-2</v>
      </c>
      <c r="H58" s="126">
        <f t="shared" si="4"/>
        <v>2.4082270406892512E-2</v>
      </c>
      <c r="I58" s="126">
        <f t="shared" si="5"/>
        <v>2.1053260804810181E-2</v>
      </c>
      <c r="J58" s="126">
        <f t="shared" si="10"/>
        <v>-1.5102071777361916E-2</v>
      </c>
      <c r="M58" s="5"/>
      <c r="Y58">
        <f t="shared" si="6"/>
        <v>-0.5</v>
      </c>
    </row>
    <row r="59" spans="2:30" x14ac:dyDescent="0.3">
      <c r="B59" s="126">
        <v>1.6621028769728818E-2</v>
      </c>
      <c r="C59" s="126">
        <f t="shared" si="0"/>
        <v>2.0532684526472954E-2</v>
      </c>
      <c r="D59" s="126">
        <f t="shared" si="1"/>
        <v>4.6342082281903806E-3</v>
      </c>
      <c r="E59" s="126">
        <f t="shared" si="2"/>
        <v>0.25346702145896022</v>
      </c>
      <c r="F59" s="126">
        <f t="shared" si="3"/>
        <v>0.24823907084259239</v>
      </c>
      <c r="G59" s="126">
        <f t="shared" si="9"/>
        <v>1.1576201763296483E-2</v>
      </c>
      <c r="H59" s="126">
        <f t="shared" si="4"/>
        <v>2.453749575409506E-2</v>
      </c>
      <c r="I59" s="126">
        <f t="shared" si="5"/>
        <v>2.1665855776161154E-2</v>
      </c>
      <c r="J59" s="126">
        <f t="shared" si="10"/>
        <v>-1.5269079297714299E-2</v>
      </c>
      <c r="M59" s="5"/>
      <c r="Y59">
        <f t="shared" si="6"/>
        <v>-0.5</v>
      </c>
    </row>
    <row r="60" spans="2:30" x14ac:dyDescent="0.3">
      <c r="B60" s="126">
        <v>1.719744599898565E-2</v>
      </c>
      <c r="C60" s="126">
        <f t="shared" si="0"/>
        <v>2.0844117996194352E-2</v>
      </c>
      <c r="D60" s="126">
        <f t="shared" si="1"/>
        <v>4.7798194179485901E-3</v>
      </c>
      <c r="E60" s="126">
        <f t="shared" si="2"/>
        <v>0.25176230356202273</v>
      </c>
      <c r="F60" s="126">
        <f t="shared" si="3"/>
        <v>0.24663661276888224</v>
      </c>
      <c r="G60" s="126">
        <f t="shared" si="9"/>
        <v>1.2108485108374615E-2</v>
      </c>
      <c r="H60" s="126">
        <f t="shared" si="4"/>
        <v>2.4993174708278412E-2</v>
      </c>
      <c r="I60" s="126">
        <f t="shared" si="5"/>
        <v>2.2286406889596683E-2</v>
      </c>
      <c r="J60" s="126">
        <f t="shared" si="10"/>
        <v>-1.5433535872381231E-2</v>
      </c>
      <c r="M60" s="5"/>
      <c r="Y60">
        <f t="shared" si="6"/>
        <v>-0.5</v>
      </c>
    </row>
    <row r="61" spans="2:30" x14ac:dyDescent="0.3">
      <c r="B61" s="126">
        <v>1.7783602008812238E-2</v>
      </c>
      <c r="C61" s="126">
        <f t="shared" si="0"/>
        <v>2.1154150450840913E-2</v>
      </c>
      <c r="D61" s="126">
        <f t="shared" si="1"/>
        <v>4.9268846712712507E-3</v>
      </c>
      <c r="E61" s="126">
        <f t="shared" si="2"/>
        <v>0.25003420804866505</v>
      </c>
      <c r="F61" s="126">
        <f t="shared" si="3"/>
        <v>0.24501085867822084</v>
      </c>
      <c r="G61" s="126">
        <f t="shared" si="9"/>
        <v>1.2652306175260478E-2</v>
      </c>
      <c r="H61" s="126">
        <f t="shared" si="4"/>
        <v>2.5449259883838317E-2</v>
      </c>
      <c r="I61" s="126">
        <f t="shared" si="5"/>
        <v>2.2914897842363998E-2</v>
      </c>
      <c r="J61" s="126">
        <f t="shared" si="10"/>
        <v>-1.5595490541295817E-2</v>
      </c>
      <c r="M61" s="5"/>
      <c r="Y61">
        <f t="shared" si="6"/>
        <v>-0.5</v>
      </c>
    </row>
    <row r="62" spans="2:30" x14ac:dyDescent="0.3">
      <c r="B62" s="126">
        <v>1.8379490990875214E-2</v>
      </c>
      <c r="C62" s="126">
        <f t="shared" si="0"/>
        <v>2.1462784872990692E-2</v>
      </c>
      <c r="D62" s="126">
        <f t="shared" si="1"/>
        <v>5.0753552648181545E-3</v>
      </c>
      <c r="E62" s="126">
        <f t="shared" si="2"/>
        <v>0.24828302459008758</v>
      </c>
      <c r="F62" s="126">
        <f t="shared" si="3"/>
        <v>0.24336203456967143</v>
      </c>
      <c r="G62" s="126">
        <f t="shared" si="9"/>
        <v>1.3207669209054624E-2</v>
      </c>
      <c r="H62" s="126">
        <f t="shared" si="4"/>
        <v>2.5905703172651191E-2</v>
      </c>
      <c r="I62" s="126">
        <f t="shared" si="5"/>
        <v>2.3551312772695801E-2</v>
      </c>
      <c r="J62" s="126">
        <f t="shared" si="10"/>
        <v>-1.5754992643014883E-2</v>
      </c>
      <c r="M62" s="5"/>
      <c r="Y62">
        <f t="shared" si="6"/>
        <v>-0.5</v>
      </c>
    </row>
    <row r="63" spans="2:30" x14ac:dyDescent="0.3">
      <c r="B63" s="126">
        <v>1.8985107040395466E-2</v>
      </c>
      <c r="C63" s="126">
        <f t="shared" si="0"/>
        <v>2.1770024291964805E-2</v>
      </c>
      <c r="D63" s="126">
        <f t="shared" si="1"/>
        <v>5.2251819801423316E-3</v>
      </c>
      <c r="E63" s="126">
        <f t="shared" si="2"/>
        <v>0.24650904744517851</v>
      </c>
      <c r="F63" s="126">
        <f t="shared" si="3"/>
        <v>0.24169037155991954</v>
      </c>
      <c r="G63" s="126">
        <f t="shared" si="9"/>
        <v>1.3774577815209096E-2</v>
      </c>
      <c r="H63" s="126">
        <f t="shared" si="4"/>
        <v>2.636245576050995E-2</v>
      </c>
      <c r="I63" s="126">
        <f t="shared" si="5"/>
        <v>2.4195636265581834E-2</v>
      </c>
      <c r="J63" s="126">
        <f t="shared" si="10"/>
        <v>-1.5912091800225289E-2</v>
      </c>
      <c r="M63" s="5"/>
      <c r="Y63">
        <f t="shared" si="6"/>
        <v>-0.5</v>
      </c>
    </row>
    <row r="64" spans="2:30" x14ac:dyDescent="0.3">
      <c r="B64" s="126">
        <v>1.9600444156206542E-2</v>
      </c>
      <c r="C64" s="126">
        <f t="shared" si="0"/>
        <v>2.207587178286206E-2</v>
      </c>
      <c r="D64" s="126">
        <f t="shared" si="1"/>
        <v>5.376315119374692E-3</v>
      </c>
      <c r="E64" s="126">
        <f t="shared" si="2"/>
        <v>0.24471257544662264</v>
      </c>
      <c r="F64" s="126">
        <f t="shared" si="3"/>
        <v>0.23999610592955747</v>
      </c>
      <c r="G64" s="126">
        <f t="shared" si="9"/>
        <v>1.4353034953860162E-2</v>
      </c>
      <c r="H64" s="126">
        <f t="shared" si="4"/>
        <v>2.6819468143976642E-2</v>
      </c>
      <c r="I64" s="126">
        <f t="shared" si="5"/>
        <v>2.4847853358552923E-2</v>
      </c>
      <c r="J64" s="126">
        <f t="shared" si="10"/>
        <v>-1.6066837905227262E-2</v>
      </c>
      <c r="M64" s="5"/>
      <c r="Y64">
        <f t="shared" si="6"/>
        <v>-0.5</v>
      </c>
    </row>
    <row r="65" spans="2:25" x14ac:dyDescent="0.3">
      <c r="B65" s="126">
        <v>2.0225496240813712E-2</v>
      </c>
      <c r="C65" s="126">
        <f t="shared" si="0"/>
        <v>2.2380330465579905E-2</v>
      </c>
      <c r="D65" s="126">
        <f t="shared" si="1"/>
        <v>5.5287045211266745E-3</v>
      </c>
      <c r="E65" s="126">
        <f t="shared" si="2"/>
        <v>0.2428939119867935</v>
      </c>
      <c r="F65" s="126">
        <f t="shared" si="3"/>
        <v>0.23827947916852912</v>
      </c>
      <c r="G65" s="126">
        <f t="shared" si="9"/>
        <v>1.4943042934154546E-2</v>
      </c>
      <c r="H65" s="126">
        <f t="shared" si="4"/>
        <v>2.7276690147651484E-2</v>
      </c>
      <c r="I65" s="126">
        <f t="shared" si="5"/>
        <v>2.5507949547472878E-2</v>
      </c>
      <c r="J65" s="126">
        <f t="shared" si="10"/>
        <v>-1.6219281105398133E-2</v>
      </c>
      <c r="M65" s="5"/>
      <c r="Y65">
        <f t="shared" si="6"/>
        <v>-0.5</v>
      </c>
    </row>
    <row r="66" spans="2:25" x14ac:dyDescent="0.3">
      <c r="B66" s="126">
        <v>2.0860257100455248E-2</v>
      </c>
      <c r="C66" s="126">
        <f t="shared" ref="C66:C129" si="12">IF(B66&lt;$N$1, ($A$7/0.2)*($O$1*SQRT(B66)+$P$1*B66+$Q$1*(B66^2)+$R$1*(B66^3)), ($A$7/0.2)*($S$1+$T$1*(1-B66)+$U$1*((1-B66)^2)+$V$1*((1-B66)^3)))</f>
        <v>2.2683403503822596E-2</v>
      </c>
      <c r="D66" s="126">
        <f t="shared" ref="D66:D129" si="13" xml:space="preserve"> IF(B66&lt;$A$8, ($A$10/6)*((B66^3)-3*$A$8*(B66^2)+($A$8^2)*(3-$A$8)*B66), (($A$10*($A$8^3))/6)*(1-B66))</f>
        <v>5.6822995766092873E-3</v>
      </c>
      <c r="E66" s="126">
        <f t="shared" ref="E66:E129" si="14">IF(B66&lt;$A$8, ($A$10/6)*(3*(B66^2)-6*$A$8*B66+($A$8^2)*(3-$A$8)), -($A$10*($A$8^3))/6)</f>
        <v>0.24105336500342447</v>
      </c>
      <c r="F66" s="126">
        <f t="shared" ref="F66:F129" si="15" xml:space="preserve"> ATAN(E66)</f>
        <v>0.23654073802065712</v>
      </c>
      <c r="G66" s="126">
        <f t="shared" ref="G66:G129" si="16">B66-C66*SIN(F66)</f>
        <v>1.5544603408575693E-2</v>
      </c>
      <c r="H66" s="126">
        <f t="shared" ref="H66:H129" si="17">D66+C66*COS(F66)</f>
        <v>2.7734070941858802E-2</v>
      </c>
      <c r="I66" s="126">
        <f t="shared" ref="I66:I129" si="18">B66+C66*SIN(F66)</f>
        <v>2.6175910792334806E-2</v>
      </c>
      <c r="J66" s="126">
        <f t="shared" ref="J66:J129" si="19">D66-C66*COS(F66)</f>
        <v>-1.636947178864023E-2</v>
      </c>
      <c r="M66" s="5"/>
      <c r="Y66">
        <f t="shared" ref="Y66:Y129" si="20">IF($Z$1, D66, -0.5)</f>
        <v>-0.5</v>
      </c>
    </row>
    <row r="67" spans="2:25" x14ac:dyDescent="0.3">
      <c r="B67" s="126">
        <v>2.1504720445162939E-2</v>
      </c>
      <c r="C67" s="126">
        <f t="shared" si="12"/>
        <v>2.2985094104095331E-2</v>
      </c>
      <c r="D67" s="126">
        <f t="shared" si="13"/>
        <v>5.8370492459658236E-3</v>
      </c>
      <c r="E67" s="126">
        <f t="shared" si="14"/>
        <v>0.23919124696506847</v>
      </c>
      <c r="F67" s="126">
        <f t="shared" si="15"/>
        <v>0.23478013452718827</v>
      </c>
      <c r="G67" s="126">
        <f t="shared" si="16"/>
        <v>1.6157717367272565E-2</v>
      </c>
      <c r="H67" s="126">
        <f t="shared" si="17"/>
        <v>2.819155906074702E-2</v>
      </c>
      <c r="I67" s="126">
        <f t="shared" si="18"/>
        <v>2.6851723523053313E-2</v>
      </c>
      <c r="J67" s="126">
        <f t="shared" si="19"/>
        <v>-1.6517460568815371E-2</v>
      </c>
      <c r="M67" s="5"/>
      <c r="Y67">
        <f t="shared" si="20"/>
        <v>-0.5</v>
      </c>
    </row>
    <row r="68" spans="2:25" x14ac:dyDescent="0.3">
      <c r="B68" s="126">
        <v>2.2158879888824812E-2</v>
      </c>
      <c r="C68" s="126">
        <f t="shared" si="12"/>
        <v>2.3285405514685806E-2</v>
      </c>
      <c r="D68" s="126">
        <f t="shared" si="13"/>
        <v>5.9929020748169665E-3</v>
      </c>
      <c r="E68" s="126">
        <f t="shared" si="14"/>
        <v>0.23730787485633847</v>
      </c>
      <c r="F68" s="126">
        <f t="shared" si="15"/>
        <v>0.2329979260692763</v>
      </c>
      <c r="G68" s="126">
        <f t="shared" si="16"/>
        <v>1.6782385132399262E-2</v>
      </c>
      <c r="H68" s="126">
        <f t="shared" si="17"/>
        <v>2.8649102420803686E-2</v>
      </c>
      <c r="I68" s="126">
        <f t="shared" si="18"/>
        <v>2.7535374645250361E-2</v>
      </c>
      <c r="J68" s="126">
        <f t="shared" si="19"/>
        <v>-1.6663298271169753E-2</v>
      </c>
      <c r="M68" s="5"/>
      <c r="Y68">
        <f t="shared" si="20"/>
        <v>-0.5</v>
      </c>
    </row>
    <row r="69" spans="2:25" x14ac:dyDescent="0.3">
      <c r="B69" s="126">
        <v>2.2822728949248527E-2</v>
      </c>
      <c r="C69" s="126">
        <f t="shared" si="12"/>
        <v>2.3584341024632641E-2</v>
      </c>
      <c r="D69" s="126">
        <f t="shared" si="13"/>
        <v>6.1498062110158114E-3</v>
      </c>
      <c r="E69" s="126">
        <f t="shared" si="14"/>
        <v>0.23540357016293309</v>
      </c>
      <c r="F69" s="126">
        <f t="shared" si="15"/>
        <v>0.23119437540933238</v>
      </c>
      <c r="G69" s="126">
        <f t="shared" si="16"/>
        <v>1.741860635246982E-2</v>
      </c>
      <c r="H69" s="126">
        <f t="shared" si="17"/>
        <v>2.9106648339783346E-2</v>
      </c>
      <c r="I69" s="126">
        <f t="shared" si="18"/>
        <v>2.8226851546027235E-2</v>
      </c>
      <c r="J69" s="126">
        <f t="shared" si="19"/>
        <v>-1.6807035917751727E-2</v>
      </c>
      <c r="M69" s="5"/>
      <c r="Y69">
        <f t="shared" si="20"/>
        <v>-0.5</v>
      </c>
    </row>
    <row r="70" spans="2:25" x14ac:dyDescent="0.3">
      <c r="B70" s="126">
        <v>2.349626104822522E-2</v>
      </c>
      <c r="C70" s="126">
        <f t="shared" si="12"/>
        <v>2.3881903962680716E-2</v>
      </c>
      <c r="D70" s="126">
        <f t="shared" si="13"/>
        <v>6.3077094216107115E-3</v>
      </c>
      <c r="E70" s="126">
        <f t="shared" si="14"/>
        <v>0.23347865885644919</v>
      </c>
      <c r="F70" s="126">
        <f t="shared" si="15"/>
        <v>0.22936975073117188</v>
      </c>
      <c r="G70" s="126">
        <f t="shared" si="16"/>
        <v>1.8066379996733762E-2</v>
      </c>
      <c r="H70" s="126">
        <f t="shared" si="17"/>
        <v>2.9564143556046689E-2</v>
      </c>
      <c r="I70" s="126">
        <f t="shared" si="18"/>
        <v>2.8926142099716678E-2</v>
      </c>
      <c r="J70" s="126">
        <f t="shared" si="19"/>
        <v>-1.6948724712825262E-2</v>
      </c>
      <c r="M70" s="5"/>
      <c r="Y70">
        <f t="shared" si="20"/>
        <v>-0.5</v>
      </c>
    </row>
    <row r="71" spans="2:25" x14ac:dyDescent="0.3">
      <c r="B71" s="126">
        <v>2.4179469511595331E-2</v>
      </c>
      <c r="C71" s="126">
        <f t="shared" si="12"/>
        <v>2.4178097696224168E-2</v>
      </c>
      <c r="D71" s="126">
        <f t="shared" si="13"/>
        <v>6.4665591100141967E-3</v>
      </c>
      <c r="E71" s="126">
        <f t="shared" si="14"/>
        <v>0.23153347137897734</v>
      </c>
      <c r="F71" s="126">
        <f t="shared" si="15"/>
        <v>0.22752432567888017</v>
      </c>
      <c r="G71" s="126">
        <f t="shared" si="16"/>
        <v>1.8725704349580118E-2</v>
      </c>
      <c r="H71" s="126">
        <f t="shared" si="17"/>
        <v>3.002153424831034E-2</v>
      </c>
      <c r="I71" s="126">
        <f t="shared" si="18"/>
        <v>2.9633234673610544E-2</v>
      </c>
      <c r="J71" s="126">
        <f t="shared" si="19"/>
        <v>-1.7088416028281948E-2</v>
      </c>
      <c r="M71" s="5"/>
      <c r="Y71">
        <f t="shared" si="20"/>
        <v>-0.5</v>
      </c>
    </row>
    <row r="72" spans="2:25" x14ac:dyDescent="0.3">
      <c r="B72" s="126">
        <v>2.487234756931378E-2</v>
      </c>
      <c r="C72" s="126">
        <f t="shared" si="12"/>
        <v>2.447292563023612E-2</v>
      </c>
      <c r="D72" s="126">
        <f t="shared" si="13"/>
        <v>6.6263023333751735E-3</v>
      </c>
      <c r="E72" s="126">
        <f t="shared" si="14"/>
        <v>0.22956834262748868</v>
      </c>
      <c r="F72" s="126">
        <f t="shared" si="15"/>
        <v>0.22565837939433303</v>
      </c>
      <c r="G72" s="126">
        <f t="shared" si="16"/>
        <v>1.9396577004973544E-2</v>
      </c>
      <c r="H72" s="126">
        <f t="shared" si="17"/>
        <v>3.0478766055803783E-2</v>
      </c>
      <c r="I72" s="126">
        <f t="shared" si="18"/>
        <v>3.0348118133654015E-2</v>
      </c>
      <c r="J72" s="126">
        <f t="shared" si="19"/>
        <v>-1.7226161389053439E-2</v>
      </c>
      <c r="M72" s="5"/>
      <c r="Y72">
        <f t="shared" si="20"/>
        <v>-0.5</v>
      </c>
    </row>
    <row r="73" spans="2:25" x14ac:dyDescent="0.3">
      <c r="B73" s="126">
        <v>2.5574888355518133E-2</v>
      </c>
      <c r="C73" s="126">
        <f t="shared" si="12"/>
        <v>2.476639120618673E-2</v>
      </c>
      <c r="D73" s="126">
        <f t="shared" si="13"/>
        <v>6.7868858201531549E-3</v>
      </c>
      <c r="E73" s="126">
        <f t="shared" si="14"/>
        <v>0.22758361193800319</v>
      </c>
      <c r="F73" s="126">
        <f t="shared" si="15"/>
        <v>0.22377219655328956</v>
      </c>
      <c r="G73" s="126">
        <f t="shared" si="16"/>
        <v>2.0078994860932606E-2</v>
      </c>
      <c r="H73" s="126">
        <f t="shared" si="17"/>
        <v>3.0935784098833609E-2</v>
      </c>
      <c r="I73" s="126">
        <f t="shared" si="18"/>
        <v>3.107078185010366E-2</v>
      </c>
      <c r="J73" s="126">
        <f t="shared" si="19"/>
        <v>-1.7362012458527303E-2</v>
      </c>
      <c r="M73" s="5"/>
      <c r="Y73">
        <f t="shared" si="20"/>
        <v>-0.5</v>
      </c>
    </row>
    <row r="74" spans="2:25" x14ac:dyDescent="0.3">
      <c r="B74" s="126">
        <v>2.6287084908595659E-2</v>
      </c>
      <c r="C74" s="126">
        <f t="shared" si="12"/>
        <v>2.5058497900948055E-2</v>
      </c>
      <c r="D74" s="126">
        <f t="shared" si="13"/>
        <v>6.948255987891316E-3</v>
      </c>
      <c r="E74" s="126">
        <f t="shared" si="14"/>
        <v>0.22557962306955132</v>
      </c>
      <c r="F74" s="126">
        <f t="shared" si="15"/>
        <v>0.22186606739999712</v>
      </c>
      <c r="G74" s="126">
        <f t="shared" si="16"/>
        <v>2.0772954114052836E-2</v>
      </c>
      <c r="H74" s="126">
        <f t="shared" si="17"/>
        <v>3.13925329997502E-2</v>
      </c>
      <c r="I74" s="126">
        <f t="shared" si="18"/>
        <v>3.1801215703138486E-2</v>
      </c>
      <c r="J74" s="126">
        <f t="shared" si="19"/>
        <v>-1.7496021023967565E-2</v>
      </c>
      <c r="M74" s="5"/>
      <c r="Y74">
        <f t="shared" si="20"/>
        <v>-0.5</v>
      </c>
    </row>
    <row r="75" spans="2:25" x14ac:dyDescent="0.3">
      <c r="B75" s="126">
        <v>2.7008930171253165E-2</v>
      </c>
      <c r="C75" s="126">
        <f t="shared" si="12"/>
        <v>2.5349249225687463E-2</v>
      </c>
      <c r="D75" s="126">
        <f t="shared" si="13"/>
        <v>7.1103589611871132E-3</v>
      </c>
      <c r="E75" s="126">
        <f t="shared" si="14"/>
        <v>0.22355672418791953</v>
      </c>
      <c r="F75" s="126">
        <f t="shared" si="15"/>
        <v>0.21994028778022895</v>
      </c>
      <c r="G75" s="126">
        <f t="shared" si="16"/>
        <v>2.1478450254085103E-2</v>
      </c>
      <c r="H75" s="126">
        <f t="shared" si="17"/>
        <v>3.1848956904316737E-2</v>
      </c>
      <c r="I75" s="126">
        <f t="shared" si="18"/>
        <v>3.2539410088421226E-2</v>
      </c>
      <c r="J75" s="126">
        <f t="shared" si="19"/>
        <v>-1.7628238981942511E-2</v>
      </c>
      <c r="M75" s="5"/>
      <c r="Y75">
        <f t="shared" si="20"/>
        <v>-0.5</v>
      </c>
    </row>
    <row r="76" spans="2:25" x14ac:dyDescent="0.3">
      <c r="B76" s="126">
        <v>2.7740416990586381E-2</v>
      </c>
      <c r="C76" s="126">
        <f t="shared" si="12"/>
        <v>2.563864872474831E-2</v>
      </c>
      <c r="D76" s="126">
        <f t="shared" si="13"/>
        <v>7.2731405898574433E-3</v>
      </c>
      <c r="E76" s="126">
        <f t="shared" si="14"/>
        <v>0.2215152678491886</v>
      </c>
      <c r="F76" s="126">
        <f t="shared" si="15"/>
        <v>0.21799515917269155</v>
      </c>
      <c r="G76" s="126">
        <f t="shared" si="16"/>
        <v>2.2195478058573165E-2</v>
      </c>
      <c r="H76" s="126">
        <f t="shared" si="17"/>
        <v>3.2304999503475547E-2</v>
      </c>
      <c r="I76" s="126">
        <f t="shared" si="18"/>
        <v>3.3285355922599597E-2</v>
      </c>
      <c r="J76" s="126">
        <f t="shared" si="19"/>
        <v>-1.7758718323760664E-2</v>
      </c>
      <c r="M76" s="5"/>
      <c r="Y76">
        <f t="shared" si="20"/>
        <v>-0.5</v>
      </c>
    </row>
    <row r="77" spans="2:25" x14ac:dyDescent="0.3">
      <c r="B77" s="126">
        <v>2.8481538118150684E-2</v>
      </c>
      <c r="C77" s="126">
        <f t="shared" si="12"/>
        <v>2.5926699974518897E-2</v>
      </c>
      <c r="D77" s="126">
        <f t="shared" si="13"/>
        <v>7.436546467296511E-3</v>
      </c>
      <c r="E77" s="126">
        <f t="shared" si="14"/>
        <v>0.21945561098306093</v>
      </c>
      <c r="F77" s="126">
        <f t="shared" si="15"/>
        <v>0.21603098871873033</v>
      </c>
      <c r="G77" s="126">
        <f t="shared" si="16"/>
        <v>2.2924031587559086E-2</v>
      </c>
      <c r="H77" s="126">
        <f t="shared" si="17"/>
        <v>3.2760604055509936E-2</v>
      </c>
      <c r="I77" s="126">
        <f t="shared" si="18"/>
        <v>3.403904464874228E-2</v>
      </c>
      <c r="J77" s="126">
        <f t="shared" si="19"/>
        <v>-1.788751112091691E-2</v>
      </c>
      <c r="M77" s="5"/>
      <c r="Y77">
        <f t="shared" si="20"/>
        <v>-0.5</v>
      </c>
    </row>
    <row r="78" spans="2:25" x14ac:dyDescent="0.3">
      <c r="B78" s="126">
        <v>2.923228621003382E-2</v>
      </c>
      <c r="C78" s="126">
        <f t="shared" si="12"/>
        <v>2.621340658229002E-2</v>
      </c>
      <c r="D78" s="126">
        <f t="shared" si="13"/>
        <v>7.6005219490242444E-3</v>
      </c>
      <c r="E78" s="126">
        <f t="shared" si="14"/>
        <v>0.21737811487597569</v>
      </c>
      <c r="F78" s="126">
        <f t="shared" si="15"/>
        <v>0.214048089250263</v>
      </c>
      <c r="G78" s="126">
        <f t="shared" si="16"/>
        <v>2.3664104178364401E-2</v>
      </c>
      <c r="H78" s="126">
        <f t="shared" si="17"/>
        <v>3.3215713408598378E-2</v>
      </c>
      <c r="I78" s="126">
        <f t="shared" si="18"/>
        <v>3.4800468241703235E-2</v>
      </c>
      <c r="J78" s="126">
        <f t="shared" si="19"/>
        <v>-1.8014669510549891E-2</v>
      </c>
      <c r="M78" s="5"/>
      <c r="Y78">
        <f t="shared" si="20"/>
        <v>-0.5</v>
      </c>
    </row>
    <row r="79" spans="2:25" x14ac:dyDescent="0.3">
      <c r="B79" s="126">
        <v>2.9992653826927507E-2</v>
      </c>
      <c r="C79" s="126">
        <f t="shared" si="12"/>
        <v>2.6498772185099953E-2</v>
      </c>
      <c r="D79" s="126">
        <f t="shared" si="13"/>
        <v>7.7650121714222661E-3</v>
      </c>
      <c r="E79" s="126">
        <f t="shared" si="14"/>
        <v>0.21528314515402039</v>
      </c>
      <c r="F79" s="126">
        <f t="shared" si="15"/>
        <v>0.21204677931588303</v>
      </c>
      <c r="G79" s="126">
        <f t="shared" si="16"/>
        <v>2.4415688440451323E-2</v>
      </c>
      <c r="H79" s="126">
        <f t="shared" si="17"/>
        <v>3.3670270023755514E-2</v>
      </c>
      <c r="I79" s="126">
        <f t="shared" si="18"/>
        <v>3.5569619213403694E-2</v>
      </c>
      <c r="J79" s="126">
        <f t="shared" si="19"/>
        <v>-1.814024568091098E-2</v>
      </c>
      <c r="M79" s="5"/>
      <c r="Y79">
        <f t="shared" si="20"/>
        <v>-0.5</v>
      </c>
    </row>
    <row r="80" spans="2:25" x14ac:dyDescent="0.3">
      <c r="B80" s="126">
        <v>3.0762633434202158E-2</v>
      </c>
      <c r="C80" s="126">
        <f t="shared" si="12"/>
        <v>2.67828004485689E-2</v>
      </c>
      <c r="D80" s="126">
        <f t="shared" si="13"/>
        <v>7.9299620706559798E-3</v>
      </c>
      <c r="E80" s="126">
        <f t="shared" si="14"/>
        <v>0.21317107176562908</v>
      </c>
      <c r="F80" s="126">
        <f t="shared" si="15"/>
        <v>0.21002738320505759</v>
      </c>
      <c r="G80" s="126">
        <f t="shared" si="16"/>
        <v>2.5178776250375377E-2</v>
      </c>
      <c r="H80" s="126">
        <f t="shared" si="17"/>
        <v>3.4124215998158638E-2</v>
      </c>
      <c r="I80" s="126">
        <f t="shared" si="18"/>
        <v>3.6346490618028943E-2</v>
      </c>
      <c r="J80" s="126">
        <f t="shared" si="19"/>
        <v>-1.8264291856846679E-2</v>
      </c>
      <c r="M80" s="5"/>
      <c r="Y80">
        <f t="shared" si="20"/>
        <v>-0.5</v>
      </c>
    </row>
    <row r="81" spans="2:25" x14ac:dyDescent="0.3">
      <c r="B81" s="126">
        <v>3.1542217401980821E-2</v>
      </c>
      <c r="C81" s="126">
        <f t="shared" si="12"/>
        <v>2.7065495065721219E-2</v>
      </c>
      <c r="D81" s="126">
        <f t="shared" si="13"/>
        <v>8.0953164017795957E-3</v>
      </c>
      <c r="E81" s="126">
        <f t="shared" si="14"/>
        <v>0.2110422689640776</v>
      </c>
      <c r="F81" s="126">
        <f t="shared" si="15"/>
        <v>0.20799023097036606</v>
      </c>
      <c r="G81" s="126">
        <f t="shared" si="16"/>
        <v>2.5953358746833299E-2</v>
      </c>
      <c r="H81" s="126">
        <f t="shared" si="17"/>
        <v>3.457749308885278E-2</v>
      </c>
      <c r="I81" s="126">
        <f t="shared" si="18"/>
        <v>3.7131076057128343E-2</v>
      </c>
      <c r="J81" s="126">
        <f t="shared" si="19"/>
        <v>-1.8386860285293585E-2</v>
      </c>
      <c r="M81" s="5"/>
      <c r="Y81">
        <f t="shared" si="20"/>
        <v>-0.5</v>
      </c>
    </row>
    <row r="82" spans="2:25" x14ac:dyDescent="0.3">
      <c r="B82" s="126">
        <v>3.2331398005215228E-2</v>
      </c>
      <c r="C82" s="126">
        <f t="shared" si="12"/>
        <v>2.7346859755797003E-2</v>
      </c>
      <c r="D82" s="126">
        <f t="shared" si="13"/>
        <v>8.2610197580223026E-3</v>
      </c>
      <c r="E82" s="126">
        <f t="shared" si="14"/>
        <v>0.20889711528976954</v>
      </c>
      <c r="F82" s="126">
        <f t="shared" si="15"/>
        <v>0.20593565844771097</v>
      </c>
      <c r="G82" s="126">
        <f t="shared" si="16"/>
        <v>2.6739426325816371E-2</v>
      </c>
      <c r="H82" s="126">
        <f t="shared" si="17"/>
        <v>3.5030042736831801E-2</v>
      </c>
      <c r="I82" s="126">
        <f t="shared" si="18"/>
        <v>3.7923369684614086E-2</v>
      </c>
      <c r="J82" s="126">
        <f t="shared" si="19"/>
        <v>-1.8508003220787193E-2</v>
      </c>
      <c r="M82" s="5"/>
      <c r="Y82">
        <f t="shared" si="20"/>
        <v>-0.5</v>
      </c>
    </row>
    <row r="83" spans="2:25" x14ac:dyDescent="0.3">
      <c r="B83" s="126">
        <v>3.313016742376218E-2</v>
      </c>
      <c r="C83" s="126">
        <f t="shared" si="12"/>
        <v>2.7626898263052247E-2</v>
      </c>
      <c r="D83" s="126">
        <f t="shared" si="13"/>
        <v>8.4270165902527814E-3</v>
      </c>
      <c r="E83" s="126">
        <f t="shared" si="14"/>
        <v>0.2067359935523172</v>
      </c>
      <c r="F83" s="126">
        <f t="shared" si="15"/>
        <v>0.20386400727444415</v>
      </c>
      <c r="G83" s="126">
        <f t="shared" si="16"/>
        <v>2.7536968635875243E-2</v>
      </c>
      <c r="H83" s="126">
        <f t="shared" si="17"/>
        <v>3.5481806091489328E-2</v>
      </c>
      <c r="I83" s="126">
        <f t="shared" si="18"/>
        <v>3.8723366211649117E-2</v>
      </c>
      <c r="J83" s="126">
        <f t="shared" si="19"/>
        <v>-1.8627772910983768E-2</v>
      </c>
      <c r="M83" s="5"/>
      <c r="Y83">
        <f t="shared" si="20"/>
        <v>-0.5</v>
      </c>
    </row>
    <row r="84" spans="2:25" x14ac:dyDescent="0.3">
      <c r="B84" s="126">
        <v>3.3938517742461038E-2</v>
      </c>
      <c r="C84" s="126">
        <f t="shared" si="12"/>
        <v>2.7905614355548121E-2</v>
      </c>
      <c r="D84" s="126">
        <f t="shared" si="13"/>
        <v>8.5932512266198198E-3</v>
      </c>
      <c r="E84" s="126">
        <f t="shared" si="14"/>
        <v>0.20455929081241794</v>
      </c>
      <c r="F84" s="126">
        <f t="shared" si="15"/>
        <v>0.20177562490535059</v>
      </c>
      <c r="G84" s="126">
        <f t="shared" si="16"/>
        <v>2.8345974573504473E-2</v>
      </c>
      <c r="H84" s="126">
        <f t="shared" si="17"/>
        <v>3.5932724035434745E-2</v>
      </c>
      <c r="I84" s="126">
        <f t="shared" si="18"/>
        <v>3.9531060911417601E-2</v>
      </c>
      <c r="J84" s="126">
        <f t="shared" si="19"/>
        <v>-1.8746221582195105E-2</v>
      </c>
      <c r="M84" s="5"/>
      <c r="Y84">
        <f t="shared" si="20"/>
        <v>-0.5</v>
      </c>
    </row>
    <row r="85" spans="2:25" x14ac:dyDescent="0.3">
      <c r="B85" s="126">
        <v>3.475644095121222E-2</v>
      </c>
      <c r="C85" s="126">
        <f t="shared" si="12"/>
        <v>2.8183011823929537E-2</v>
      </c>
      <c r="D85" s="126">
        <f t="shared" si="13"/>
        <v>8.7596678923665145E-3</v>
      </c>
      <c r="E85" s="126">
        <f t="shared" si="14"/>
        <v>0.20236739836352524</v>
      </c>
      <c r="F85" s="126">
        <f t="shared" si="15"/>
        <v>0.19967086462643185</v>
      </c>
      <c r="G85" s="126">
        <f t="shared" si="16"/>
        <v>2.916643227865446E-2</v>
      </c>
      <c r="H85" s="126">
        <f t="shared" si="17"/>
        <v>3.638273720966869E-2</v>
      </c>
      <c r="I85" s="126">
        <f t="shared" si="18"/>
        <v>4.034644962376998E-2</v>
      </c>
      <c r="J85" s="126">
        <f t="shared" si="19"/>
        <v>-1.8863401424935665E-2</v>
      </c>
      <c r="M85" s="5"/>
      <c r="Y85">
        <f t="shared" si="20"/>
        <v>-0.5</v>
      </c>
    </row>
    <row r="86" spans="2:25" x14ac:dyDescent="0.3">
      <c r="B86" s="126">
        <v>3.5583928945056353E-2</v>
      </c>
      <c r="C86" s="126">
        <f t="shared" si="12"/>
        <v>2.845909448019291E-2</v>
      </c>
      <c r="D86" s="126">
        <f t="shared" si="13"/>
        <v>8.9262107298155036E-3</v>
      </c>
      <c r="E86" s="126">
        <f t="shared" si="14"/>
        <v>0.20016071171331759</v>
      </c>
      <c r="F86" s="126">
        <f t="shared" si="15"/>
        <v>0.19755008556643835</v>
      </c>
      <c r="G86" s="126">
        <f t="shared" si="16"/>
        <v>2.9998329130378008E-2</v>
      </c>
      <c r="H86" s="126">
        <f t="shared" si="17"/>
        <v>3.6831786039111886E-2</v>
      </c>
      <c r="I86" s="126">
        <f t="shared" si="18"/>
        <v>4.1169528759734703E-2</v>
      </c>
      <c r="J86" s="126">
        <f t="shared" si="19"/>
        <v>-1.8979364579480879E-2</v>
      </c>
      <c r="M86" s="5"/>
      <c r="Y86">
        <f t="shared" si="20"/>
        <v>-0.5</v>
      </c>
    </row>
    <row r="87" spans="2:25" x14ac:dyDescent="0.3">
      <c r="B87" s="126">
        <v>3.6420973524254996E-2</v>
      </c>
      <c r="C87" s="126">
        <f t="shared" si="12"/>
        <v>2.8733866156443699E-2</v>
      </c>
      <c r="D87" s="126">
        <f t="shared" si="13"/>
        <v>9.0928238185229403E-3</v>
      </c>
      <c r="E87" s="126">
        <f t="shared" si="14"/>
        <v>0.19793963056496222</v>
      </c>
      <c r="F87" s="126">
        <f t="shared" si="15"/>
        <v>0.19541365270609481</v>
      </c>
      <c r="G87" s="126">
        <f t="shared" si="16"/>
        <v>3.0841651742620178E-2</v>
      </c>
      <c r="H87" s="126">
        <f t="shared" si="17"/>
        <v>3.7279810758481524E-2</v>
      </c>
      <c r="I87" s="126">
        <f t="shared" si="18"/>
        <v>4.2000295305889813E-2</v>
      </c>
      <c r="J87" s="126">
        <f t="shared" si="19"/>
        <v>-1.9094163121435647E-2</v>
      </c>
      <c r="M87" s="5"/>
      <c r="Y87">
        <f t="shared" si="20"/>
        <v>-0.5</v>
      </c>
    </row>
    <row r="88" spans="2:25" x14ac:dyDescent="0.3">
      <c r="B88" s="126">
        <v>3.7267566394371454E-2</v>
      </c>
      <c r="C88" s="126">
        <f t="shared" si="12"/>
        <v>2.9007330703643201E-2</v>
      </c>
      <c r="D88" s="126">
        <f t="shared" si="13"/>
        <v>9.259451195598312E-3</v>
      </c>
      <c r="E88" s="126">
        <f t="shared" si="14"/>
        <v>0.19570455879817958</v>
      </c>
      <c r="F88" s="126">
        <f t="shared" si="15"/>
        <v>0.19326193688497564</v>
      </c>
      <c r="G88" s="126">
        <f t="shared" si="16"/>
        <v>3.1696385960157544E-2</v>
      </c>
      <c r="H88" s="126">
        <f t="shared" si="17"/>
        <v>3.7726751438507782E-2</v>
      </c>
      <c r="I88" s="126">
        <f t="shared" si="18"/>
        <v>4.2838746828585364E-2</v>
      </c>
      <c r="J88" s="126">
        <f t="shared" si="19"/>
        <v>-1.9207849047311161E-2</v>
      </c>
      <c r="M88" s="5"/>
      <c r="Y88">
        <f t="shared" si="20"/>
        <v>-0.5</v>
      </c>
    </row>
    <row r="89" spans="2:25" x14ac:dyDescent="0.3">
      <c r="B89" s="126">
        <v>3.8123699166353275E-2</v>
      </c>
      <c r="C89" s="126">
        <f t="shared" si="12"/>
        <v>2.9279491990345567E-2</v>
      </c>
      <c r="D89" s="126">
        <f t="shared" si="13"/>
        <v>9.4260368761879335E-3</v>
      </c>
      <c r="E89" s="126">
        <f t="shared" si="14"/>
        <v>0.19345590445010402</v>
      </c>
      <c r="F89" s="126">
        <f t="shared" si="15"/>
        <v>0.19109531480597833</v>
      </c>
      <c r="G89" s="126">
        <f t="shared" si="16"/>
        <v>3.2562516854696043E-2</v>
      </c>
      <c r="H89" s="126">
        <f t="shared" si="17"/>
        <v>3.8172548012484472E-2</v>
      </c>
      <c r="I89" s="126">
        <f t="shared" si="18"/>
        <v>4.3684881478010508E-2</v>
      </c>
      <c r="J89" s="126">
        <f t="shared" si="19"/>
        <v>-1.9320474260108605E-2</v>
      </c>
      <c r="M89" s="5"/>
      <c r="Y89">
        <f t="shared" si="20"/>
        <v>-0.5</v>
      </c>
    </row>
    <row r="90" spans="2:25" x14ac:dyDescent="0.3">
      <c r="B90" s="126">
        <v>3.8989363356615403E-2</v>
      </c>
      <c r="C90" s="126">
        <f t="shared" si="12"/>
        <v>2.9550353901424589E-2</v>
      </c>
      <c r="D90" s="126">
        <f t="shared" si="13"/>
        <v>9.5925248741192889E-3</v>
      </c>
      <c r="E90" s="126">
        <f t="shared" si="14"/>
        <v>0.19119407969594543</v>
      </c>
      <c r="F90" s="126">
        <f t="shared" si="15"/>
        <v>0.18891416903735531</v>
      </c>
      <c r="G90" s="126">
        <f t="shared" si="16"/>
        <v>3.3440028721133934E-2</v>
      </c>
      <c r="H90" s="126">
        <f t="shared" si="17"/>
        <v>3.8617140303145822E-2</v>
      </c>
      <c r="I90" s="126">
        <f t="shared" si="18"/>
        <v>4.4538697992096872E-2</v>
      </c>
      <c r="J90" s="126">
        <f t="shared" si="19"/>
        <v>-1.9432090554907248E-2</v>
      </c>
      <c r="M90" s="5"/>
      <c r="Y90">
        <f t="shared" si="20"/>
        <v>-0.5</v>
      </c>
    </row>
    <row r="91" spans="2:25" x14ac:dyDescent="0.3">
      <c r="B91" s="126">
        <v>3.9864550387123776E-2</v>
      </c>
      <c r="C91" s="126">
        <f t="shared" si="12"/>
        <v>2.9819920336790488E-2</v>
      </c>
      <c r="D91" s="126">
        <f t="shared" si="13"/>
        <v>9.7588592227036142E-3</v>
      </c>
      <c r="E91" s="126">
        <f t="shared" si="14"/>
        <v>0.18891950082945183</v>
      </c>
      <c r="F91" s="126">
        <f t="shared" si="15"/>
        <v>0.18671888801226325</v>
      </c>
      <c r="G91" s="126">
        <f t="shared" si="16"/>
        <v>3.4328905073997204E-2</v>
      </c>
      <c r="H91" s="126">
        <f t="shared" si="17"/>
        <v>3.9060468049861734E-2</v>
      </c>
      <c r="I91" s="126">
        <f t="shared" si="18"/>
        <v>4.5400195700250348E-2</v>
      </c>
      <c r="J91" s="126">
        <f t="shared" si="19"/>
        <v>-1.9542749604454505E-2</v>
      </c>
      <c r="M91" s="5"/>
      <c r="Y91">
        <f t="shared" si="20"/>
        <v>-0.5</v>
      </c>
    </row>
    <row r="92" spans="2:25" x14ac:dyDescent="0.3">
      <c r="B92" s="126">
        <v>4.0749251585480817E-2</v>
      </c>
      <c r="C92" s="126">
        <f t="shared" si="12"/>
        <v>3.0088195210097285E-2</v>
      </c>
      <c r="D92" s="126">
        <f t="shared" si="13"/>
        <v>9.9249839956943465E-3</v>
      </c>
      <c r="E92" s="126">
        <f t="shared" si="14"/>
        <v>0.18663258824317086</v>
      </c>
      <c r="F92" s="126">
        <f t="shared" si="15"/>
        <v>0.18450986602578909</v>
      </c>
      <c r="G92" s="126">
        <f t="shared" si="16"/>
        <v>3.5229128644056085E-2</v>
      </c>
      <c r="H92" s="126">
        <f t="shared" si="17"/>
        <v>3.9502470936144132E-2</v>
      </c>
      <c r="I92" s="126">
        <f t="shared" si="18"/>
        <v>4.6269374526905549E-2</v>
      </c>
      <c r="J92" s="126">
        <f t="shared" si="19"/>
        <v>-1.9652502944755443E-2</v>
      </c>
      <c r="M92" s="5"/>
      <c r="Y92">
        <f t="shared" si="20"/>
        <v>-0.5</v>
      </c>
    </row>
    <row r="93" spans="2:25" x14ac:dyDescent="0.3">
      <c r="B93" s="126">
        <v>4.1643458185011473E-2</v>
      </c>
      <c r="C93" s="126">
        <f t="shared" si="12"/>
        <v>3.0355182447440517E-2</v>
      </c>
      <c r="D93" s="126">
        <f t="shared" si="13"/>
        <v>1.0090843328398545E-2</v>
      </c>
      <c r="E93" s="126">
        <f t="shared" si="14"/>
        <v>0.18433376640851423</v>
      </c>
      <c r="F93" s="126">
        <f t="shared" si="15"/>
        <v>0.18228750322942186</v>
      </c>
      <c r="G93" s="126">
        <f t="shared" si="16"/>
        <v>3.6140681375128797E-2</v>
      </c>
      <c r="H93" s="126">
        <f t="shared" si="17"/>
        <v>3.9943088617455415E-2</v>
      </c>
      <c r="I93" s="126">
        <f t="shared" si="18"/>
        <v>4.7146234994894148E-2</v>
      </c>
      <c r="J93" s="126">
        <f t="shared" si="19"/>
        <v>-1.9761401960658329E-2</v>
      </c>
      <c r="M93" s="5"/>
      <c r="Y93">
        <f t="shared" si="20"/>
        <v>-0.5</v>
      </c>
    </row>
    <row r="94" spans="2:25" x14ac:dyDescent="0.3">
      <c r="B94" s="126">
        <v>4.2547161324849481E-2</v>
      </c>
      <c r="C94" s="126">
        <f t="shared" si="12"/>
        <v>3.062088598604534E-2</v>
      </c>
      <c r="D94" s="126">
        <f t="shared" si="13"/>
        <v>1.0256381438938589E-2</v>
      </c>
      <c r="E94" s="126">
        <f t="shared" si="14"/>
        <v>0.18202346385562665</v>
      </c>
      <c r="F94" s="126">
        <f t="shared" si="15"/>
        <v>0.18005220562293969</v>
      </c>
      <c r="G94" s="126">
        <f t="shared" si="16"/>
        <v>3.7063544421079099E-2</v>
      </c>
      <c r="H94" s="126">
        <f t="shared" si="17"/>
        <v>4.0382260749310124E-2</v>
      </c>
      <c r="I94" s="126">
        <f t="shared" si="18"/>
        <v>4.8030778228619862E-2</v>
      </c>
      <c r="J94" s="126">
        <f t="shared" si="19"/>
        <v>-1.9869497871432946E-2</v>
      </c>
      <c r="M94" s="5"/>
      <c r="Y94">
        <f t="shared" si="20"/>
        <v>-0.5</v>
      </c>
    </row>
    <row r="95" spans="2:25" x14ac:dyDescent="0.3">
      <c r="B95" s="126">
        <v>4.346035205002563E-2</v>
      </c>
      <c r="C95" s="126">
        <f t="shared" si="12"/>
        <v>3.088530977294569E-2</v>
      </c>
      <c r="D95" s="126">
        <f t="shared" si="13"/>
        <v>1.0421542649661757E-2</v>
      </c>
      <c r="E95" s="126">
        <f t="shared" si="14"/>
        <v>0.1797021131530557</v>
      </c>
      <c r="F95" s="126">
        <f t="shared" si="15"/>
        <v>0.1778043850436806</v>
      </c>
      <c r="G95" s="126">
        <f t="shared" si="16"/>
        <v>3.7997698143016678E-2</v>
      </c>
      <c r="H95" s="126">
        <f t="shared" si="17"/>
        <v>4.081992701566145E-2</v>
      </c>
      <c r="I95" s="126">
        <f t="shared" si="18"/>
        <v>4.8923005957034582E-2</v>
      </c>
      <c r="J95" s="126">
        <f t="shared" si="19"/>
        <v>-1.9976841716337932E-2</v>
      </c>
      <c r="M95" s="5"/>
      <c r="Y95">
        <f t="shared" si="20"/>
        <v>-0.5</v>
      </c>
    </row>
    <row r="96" spans="2:25" x14ac:dyDescent="0.3">
      <c r="B96" s="126">
        <v>4.4383021311556581E-2</v>
      </c>
      <c r="C96" s="126">
        <f t="shared" si="12"/>
        <v>3.1148457763654359E-2</v>
      </c>
      <c r="D96" s="126">
        <f t="shared" si="13"/>
        <v>1.0586271408694737E-2</v>
      </c>
      <c r="E96" s="126">
        <f t="shared" si="14"/>
        <v>0.1773701508872271</v>
      </c>
      <c r="F96" s="126">
        <f t="shared" si="15"/>
        <v>0.17554445915317574</v>
      </c>
      <c r="G96" s="126">
        <f t="shared" si="16"/>
        <v>3.8943122106705468E-2</v>
      </c>
      <c r="H96" s="126">
        <f t="shared" si="17"/>
        <v>4.1256027157562707E-2</v>
      </c>
      <c r="I96" s="126">
        <f t="shared" si="18"/>
        <v>4.9822920516407694E-2</v>
      </c>
      <c r="J96" s="126">
        <f t="shared" si="19"/>
        <v>-2.0083484340173229E-2</v>
      </c>
      <c r="M96" s="5"/>
      <c r="Y96">
        <f t="shared" si="20"/>
        <v>-0.5</v>
      </c>
    </row>
    <row r="97" spans="2:25" x14ac:dyDescent="0.3">
      <c r="B97" s="126">
        <v>4.5315159966534124E-2</v>
      </c>
      <c r="C97" s="126">
        <f t="shared" si="12"/>
        <v>3.1410333920823909E-2</v>
      </c>
      <c r="D97" s="126">
        <f t="shared" si="13"/>
        <v>1.0750512311640311E-2</v>
      </c>
      <c r="E97" s="126">
        <f t="shared" si="14"/>
        <v>0.17502801764172626</v>
      </c>
      <c r="F97" s="126">
        <f t="shared" si="15"/>
        <v>0.17327285142112572</v>
      </c>
      <c r="G97" s="126">
        <f t="shared" si="16"/>
        <v>3.9899795080186658E-2</v>
      </c>
      <c r="H97" s="126">
        <f t="shared" si="17"/>
        <v>4.169050100209358E-2</v>
      </c>
      <c r="I97" s="126">
        <f t="shared" si="18"/>
        <v>5.0730524852881591E-2</v>
      </c>
      <c r="J97" s="126">
        <f t="shared" si="19"/>
        <v>-2.0189476378812955E-2</v>
      </c>
      <c r="M97" s="5"/>
      <c r="Y97">
        <f t="shared" si="20"/>
        <v>-0.5</v>
      </c>
    </row>
    <row r="98" spans="2:25" x14ac:dyDescent="0.3">
      <c r="B98" s="126">
        <v>4.625675877821589E-2</v>
      </c>
      <c r="C98" s="126">
        <f t="shared" si="12"/>
        <v>3.1670942212899122E-2</v>
      </c>
      <c r="D98" s="126">
        <f t="shared" si="13"/>
        <v>1.0914210123413634E-2</v>
      </c>
      <c r="E98" s="126">
        <f t="shared" si="14"/>
        <v>0.17267615797638503</v>
      </c>
      <c r="F98" s="126">
        <f t="shared" si="15"/>
        <v>0.17098999110670057</v>
      </c>
      <c r="G98" s="126">
        <f t="shared" si="16"/>
        <v>4.0867695031623623E-2</v>
      </c>
      <c r="H98" s="126">
        <f t="shared" si="17"/>
        <v>4.2123288491541719E-2</v>
      </c>
      <c r="I98" s="126">
        <f t="shared" si="18"/>
        <v>5.1645822524808156E-2</v>
      </c>
      <c r="J98" s="126">
        <f t="shared" si="19"/>
        <v>-2.0294868244714454E-2</v>
      </c>
      <c r="M98" s="5"/>
      <c r="Y98">
        <f t="shared" si="20"/>
        <v>-0.5</v>
      </c>
    </row>
    <row r="99" spans="2:25" x14ac:dyDescent="0.3">
      <c r="B99" s="126">
        <v>4.7207808416117381E-2</v>
      </c>
      <c r="C99" s="126">
        <f t="shared" si="12"/>
        <v>3.1930286612760907E-2</v>
      </c>
      <c r="D99" s="126">
        <f t="shared" si="13"/>
        <v>1.1077309800215382E-2</v>
      </c>
      <c r="E99" s="126">
        <f t="shared" si="14"/>
        <v>0.17031502040617413</v>
      </c>
      <c r="F99" s="126">
        <f t="shared" si="15"/>
        <v>0.16869631323715087</v>
      </c>
      <c r="G99" s="126">
        <f t="shared" si="16"/>
        <v>4.1846799127375038E-2</v>
      </c>
      <c r="H99" s="126">
        <f t="shared" si="17"/>
        <v>4.2554329712829034E-2</v>
      </c>
      <c r="I99" s="126">
        <f t="shared" si="18"/>
        <v>5.2568817704859723E-2</v>
      </c>
      <c r="J99" s="126">
        <f t="shared" si="19"/>
        <v>-2.0399710112398273E-2</v>
      </c>
      <c r="M99" s="5"/>
      <c r="Y99">
        <f t="shared" si="20"/>
        <v>-0.5</v>
      </c>
    </row>
    <row r="100" spans="2:25" x14ac:dyDescent="0.3">
      <c r="B100" s="126">
        <v>4.8168299456103791E-2</v>
      </c>
      <c r="C100" s="126">
        <f t="shared" si="12"/>
        <v>3.2188371096361572E-2</v>
      </c>
      <c r="D100" s="126">
        <f t="shared" si="13"/>
        <v>1.123975651163857E-2</v>
      </c>
      <c r="E100" s="126">
        <f t="shared" si="14"/>
        <v>0.16794505737990642</v>
      </c>
      <c r="F100" s="126">
        <f t="shared" si="15"/>
        <v>0.16639225858372514</v>
      </c>
      <c r="G100" s="126">
        <f t="shared" si="16"/>
        <v>4.2837083730300429E-2</v>
      </c>
      <c r="H100" s="126">
        <f t="shared" si="17"/>
        <v>4.2983564927171071E-2</v>
      </c>
      <c r="I100" s="126">
        <f t="shared" si="18"/>
        <v>5.3499515181907153E-2</v>
      </c>
      <c r="J100" s="126">
        <f t="shared" si="19"/>
        <v>-2.0504051903893934E-2</v>
      </c>
      <c r="M100" s="5"/>
      <c r="Y100">
        <f t="shared" si="20"/>
        <v>-0.5</v>
      </c>
    </row>
    <row r="101" spans="2:25" x14ac:dyDescent="0.3">
      <c r="B101" s="126">
        <v>4.9138222380483598E-2</v>
      </c>
      <c r="C101" s="126">
        <f t="shared" si="12"/>
        <v>3.2445199641352028E-2</v>
      </c>
      <c r="D101" s="126">
        <f t="shared" si="13"/>
        <v>1.1401495662906776E-2</v>
      </c>
      <c r="E101" s="126">
        <f t="shared" si="14"/>
        <v>0.16556672525874686</v>
      </c>
      <c r="F101" s="126">
        <f t="shared" si="15"/>
        <v>0.16407827363488434</v>
      </c>
      <c r="G101" s="126">
        <f t="shared" si="16"/>
        <v>4.3838524398305996E-2</v>
      </c>
      <c r="H101" s="126">
        <f t="shared" si="17"/>
        <v>4.3410934599959275E-2</v>
      </c>
      <c r="I101" s="126">
        <f t="shared" si="18"/>
        <v>5.44379203626612E-2</v>
      </c>
      <c r="J101" s="126">
        <f t="shared" si="19"/>
        <v>-2.0607943274145724E-2</v>
      </c>
      <c r="M101" s="5"/>
      <c r="Y101">
        <f t="shared" si="20"/>
        <v>-0.5</v>
      </c>
    </row>
    <row r="102" spans="2:25" x14ac:dyDescent="0.3">
      <c r="B102" s="126">
        <v>5.0117567578102928E-2</v>
      </c>
      <c r="C102" s="126">
        <f t="shared" si="12"/>
        <v>3.2700776225701E-2</v>
      </c>
      <c r="D102" s="126">
        <f t="shared" si="13"/>
        <v>1.1562472917240555E-2</v>
      </c>
      <c r="E102" s="126">
        <f t="shared" si="14"/>
        <v>0.16318048429453233</v>
      </c>
      <c r="F102" s="126">
        <f t="shared" si="15"/>
        <v>0.16175481056681451</v>
      </c>
      <c r="G102" s="126">
        <f t="shared" si="16"/>
        <v>4.4851095883134989E-2</v>
      </c>
      <c r="H102" s="126">
        <f t="shared" si="17"/>
        <v>4.3836379430854194E-2</v>
      </c>
      <c r="I102" s="126">
        <f t="shared" si="18"/>
        <v>5.5384039273070867E-2</v>
      </c>
      <c r="J102" s="126">
        <f t="shared" si="19"/>
        <v>-2.0711433596373088E-2</v>
      </c>
      <c r="M102" s="5"/>
      <c r="Y102">
        <f t="shared" si="20"/>
        <v>-0.5</v>
      </c>
    </row>
    <row r="103" spans="2:25" x14ac:dyDescent="0.3">
      <c r="B103" s="126">
        <v>5.1106325344440817E-2</v>
      </c>
      <c r="C103" s="126">
        <f t="shared" si="12"/>
        <v>3.2955104826306231E-2</v>
      </c>
      <c r="D103" s="126">
        <f t="shared" si="13"/>
        <v>1.1722634218349428E-2</v>
      </c>
      <c r="E103" s="126">
        <f t="shared" si="14"/>
        <v>0.16078679860790224</v>
      </c>
      <c r="F103" s="126">
        <f t="shared" si="15"/>
        <v>0.15942232721124222</v>
      </c>
      <c r="G103" s="126">
        <f t="shared" si="16"/>
        <v>4.5874772129408055E-2</v>
      </c>
      <c r="H103" s="126">
        <f t="shared" si="17"/>
        <v>4.4259840384077806E-2</v>
      </c>
      <c r="I103" s="126">
        <f t="shared" si="18"/>
        <v>5.633787855947358E-2</v>
      </c>
      <c r="J103" s="126">
        <f t="shared" si="19"/>
        <v>-2.0814571947378947E-2</v>
      </c>
      <c r="M103" s="5"/>
      <c r="Y103">
        <f t="shared" si="20"/>
        <v>-0.5</v>
      </c>
    </row>
    <row r="104" spans="2:25" x14ac:dyDescent="0.3">
      <c r="B104" s="126">
        <v>5.2104485881705465E-2</v>
      </c>
      <c r="C104" s="126">
        <f t="shared" si="12"/>
        <v>3.3208189417598122E-2</v>
      </c>
      <c r="D104" s="126">
        <f t="shared" si="13"/>
        <v>1.1881925813046427E-2</v>
      </c>
      <c r="E104" s="126">
        <f t="shared" si="14"/>
        <v>0.15838613616624012</v>
      </c>
      <c r="F104" s="126">
        <f t="shared" si="15"/>
        <v>0.15708128702055962</v>
      </c>
      <c r="G104" s="126">
        <f t="shared" si="16"/>
        <v>4.6909526273918242E-2</v>
      </c>
      <c r="H104" s="126">
        <f t="shared" si="17"/>
        <v>4.468125871889278E-2</v>
      </c>
      <c r="I104" s="126">
        <f t="shared" si="18"/>
        <v>5.7299445489492687E-2</v>
      </c>
      <c r="J104" s="126">
        <f t="shared" si="19"/>
        <v>-2.0917407092799923E-2</v>
      </c>
      <c r="M104" s="5"/>
      <c r="Y104">
        <f t="shared" si="20"/>
        <v>-0.5</v>
      </c>
    </row>
    <row r="105" spans="2:25" x14ac:dyDescent="0.3">
      <c r="B105" s="126">
        <v>5.3112039298931046E-2</v>
      </c>
      <c r="C105" s="126">
        <f t="shared" si="12"/>
        <v>3.3460033970135625E-2</v>
      </c>
      <c r="D105" s="126">
        <f t="shared" si="13"/>
        <v>1.2040294273982323E-2</v>
      </c>
      <c r="E105" s="126">
        <f t="shared" si="14"/>
        <v>0.15597896876142875</v>
      </c>
      <c r="F105" s="126">
        <f t="shared" si="15"/>
        <v>0.15473215903027326</v>
      </c>
      <c r="G105" s="126">
        <f t="shared" si="16"/>
        <v>4.7955330645184958E-2</v>
      </c>
      <c r="H105" s="126">
        <f t="shared" si="17"/>
        <v>4.5100576020256203E-2</v>
      </c>
      <c r="I105" s="126">
        <f t="shared" si="18"/>
        <v>5.8268747952677134E-2</v>
      </c>
      <c r="J105" s="126">
        <f t="shared" si="19"/>
        <v>-2.1019987472291557E-2</v>
      </c>
      <c r="M105" s="5"/>
      <c r="Y105">
        <f t="shared" si="20"/>
        <v>-0.5</v>
      </c>
    </row>
    <row r="106" spans="2:25" x14ac:dyDescent="0.3">
      <c r="B106" s="126">
        <v>5.4128975612075858E-2</v>
      </c>
      <c r="C106" s="126">
        <f t="shared" si="12"/>
        <v>3.371064244919502E-2</v>
      </c>
      <c r="D106" s="126">
        <f t="shared" si="13"/>
        <v>1.2197686522496788E-2</v>
      </c>
      <c r="E106" s="126">
        <f t="shared" si="14"/>
        <v>0.15356577198741736</v>
      </c>
      <c r="F106" s="126">
        <f t="shared" si="15"/>
        <v>0.15237541781879177</v>
      </c>
      <c r="G106" s="126">
        <f t="shared" si="16"/>
        <v>4.9012156763271544E-2</v>
      </c>
      <c r="H106" s="126">
        <f t="shared" si="17"/>
        <v>4.5517734229635357E-2</v>
      </c>
      <c r="I106" s="126">
        <f t="shared" si="18"/>
        <v>5.9245794460880172E-2</v>
      </c>
      <c r="J106" s="126">
        <f t="shared" si="19"/>
        <v>-2.112236118464178E-2</v>
      </c>
      <c r="M106" s="5"/>
      <c r="Y106">
        <f t="shared" si="20"/>
        <v>-0.5</v>
      </c>
    </row>
    <row r="107" spans="2:25" x14ac:dyDescent="0.3">
      <c r="B107" s="126">
        <v>5.5155284744121347E-2</v>
      </c>
      <c r="C107" s="126">
        <f t="shared" si="12"/>
        <v>3.3960018813351395E-2</v>
      </c>
      <c r="D107" s="126">
        <f t="shared" si="13"/>
        <v>1.2354049851583419E-2</v>
      </c>
      <c r="E107" s="126">
        <f t="shared" si="14"/>
        <v>0.15114702521760318</v>
      </c>
      <c r="F107" s="126">
        <f t="shared" si="15"/>
        <v>0.15001154346457449</v>
      </c>
      <c r="G107" s="126">
        <f t="shared" si="16"/>
        <v>5.007997533987002E-2</v>
      </c>
      <c r="H107" s="126">
        <f t="shared" si="17"/>
        <v>4.5932675675972041E-2</v>
      </c>
      <c r="I107" s="126">
        <f t="shared" si="18"/>
        <v>6.0230594148372674E-2</v>
      </c>
      <c r="J107" s="126">
        <f t="shared" si="19"/>
        <v>-2.12245759728052E-2</v>
      </c>
      <c r="M107" s="5"/>
      <c r="Y107">
        <f t="shared" si="20"/>
        <v>-0.5</v>
      </c>
    </row>
    <row r="108" spans="2:25" x14ac:dyDescent="0.3">
      <c r="B108" s="126">
        <v>5.6190956525171698E-2</v>
      </c>
      <c r="C108" s="126">
        <f t="shared" si="12"/>
        <v>3.4208167013053105E-2</v>
      </c>
      <c r="D108" s="126">
        <f t="shared" si="13"/>
        <v>1.2509331948965707E-2</v>
      </c>
      <c r="E108" s="126">
        <f t="shared" si="14"/>
        <v>0.14872321158202884</v>
      </c>
      <c r="F108" s="126">
        <f t="shared" si="15"/>
        <v>0.14764102150066807</v>
      </c>
      <c r="G108" s="126">
        <f t="shared" si="16"/>
        <v>5.1158756278655827E-2</v>
      </c>
      <c r="H108" s="126">
        <f t="shared" si="17"/>
        <v>4.6345343106782469E-2</v>
      </c>
      <c r="I108" s="126">
        <f t="shared" si="18"/>
        <v>6.1223156771687569E-2</v>
      </c>
      <c r="J108" s="126">
        <f t="shared" si="19"/>
        <v>-2.1326679208851052E-2</v>
      </c>
      <c r="M108" s="5"/>
      <c r="Y108">
        <f t="shared" si="20"/>
        <v>-0.5</v>
      </c>
    </row>
    <row r="109" spans="2:25" x14ac:dyDescent="0.3">
      <c r="B109" s="126">
        <v>5.7235980692555199E-2</v>
      </c>
      <c r="C109" s="126">
        <f t="shared" si="12"/>
        <v>3.4455090989189592E-2</v>
      </c>
      <c r="D109" s="126">
        <f t="shared" si="13"/>
        <v>1.266348092028116E-2</v>
      </c>
      <c r="E109" s="126">
        <f t="shared" si="14"/>
        <v>0.14629481794439381</v>
      </c>
      <c r="F109" s="126">
        <f t="shared" si="15"/>
        <v>0.14526434286665882</v>
      </c>
      <c r="G109" s="126">
        <f t="shared" si="16"/>
        <v>5.2248468675917065E-2</v>
      </c>
      <c r="H109" s="126">
        <f t="shared" si="17"/>
        <v>4.6755679719379238E-2</v>
      </c>
      <c r="I109" s="126">
        <f t="shared" si="18"/>
        <v>6.2223492709193334E-2</v>
      </c>
      <c r="J109" s="126">
        <f t="shared" si="19"/>
        <v>-2.1428717878816915E-2</v>
      </c>
      <c r="M109" s="5"/>
      <c r="Y109">
        <f t="shared" si="20"/>
        <v>-0.5</v>
      </c>
    </row>
    <row r="110" spans="2:25" x14ac:dyDescent="0.3">
      <c r="B110" s="126">
        <v>5.8290346890925049E-2</v>
      </c>
      <c r="C110" s="126">
        <f t="shared" si="12"/>
        <v>3.4700794671652192E-2</v>
      </c>
      <c r="D110" s="126">
        <f t="shared" si="13"/>
        <v>1.2816445312370233E-2</v>
      </c>
      <c r="E110" s="126">
        <f t="shared" si="14"/>
        <v>0.14386233487888672</v>
      </c>
      <c r="F110" s="126">
        <f t="shared" si="15"/>
        <v>0.14288200385808153</v>
      </c>
      <c r="G110" s="126">
        <f t="shared" si="16"/>
        <v>5.3349080821458152E-2</v>
      </c>
      <c r="H110" s="126">
        <f t="shared" si="17"/>
        <v>4.7163629192200907E-2</v>
      </c>
      <c r="I110" s="126">
        <f t="shared" si="18"/>
        <v>6.3231612960391953E-2</v>
      </c>
      <c r="J110" s="126">
        <f t="shared" si="19"/>
        <v>-2.1530738567460444E-2</v>
      </c>
      <c r="M110" s="5"/>
      <c r="Y110">
        <f t="shared" si="20"/>
        <v>-0.5</v>
      </c>
    </row>
    <row r="111" spans="2:25" x14ac:dyDescent="0.3">
      <c r="B111" s="126">
        <v>5.9354044672362938E-2</v>
      </c>
      <c r="C111" s="126">
        <f t="shared" si="12"/>
        <v>3.4945281977889028E-2</v>
      </c>
      <c r="D111" s="126">
        <f t="shared" si="13"/>
        <v>1.2968174136667635E-2</v>
      </c>
      <c r="E111" s="126">
        <f t="shared" si="14"/>
        <v>0.14142625664683067</v>
      </c>
      <c r="F111" s="126">
        <f t="shared" si="15"/>
        <v>0.14049450607331607</v>
      </c>
      <c r="G111" s="126">
        <f t="shared" si="16"/>
        <v>5.4460560199783702E-2</v>
      </c>
      <c r="H111" s="126">
        <f t="shared" si="17"/>
        <v>4.7569135716236513E-2</v>
      </c>
      <c r="I111" s="126">
        <f t="shared" si="18"/>
        <v>6.4247529144942167E-2</v>
      </c>
      <c r="J111" s="126">
        <f t="shared" si="19"/>
        <v>-2.1632787442901244E-2</v>
      </c>
      <c r="M111" s="5"/>
      <c r="Y111">
        <f t="shared" si="20"/>
        <v>-0.5</v>
      </c>
    </row>
    <row r="112" spans="2:25" x14ac:dyDescent="0.3">
      <c r="B112" s="126">
        <v>6.0427063496481526E-2</v>
      </c>
      <c r="C112" s="126">
        <f t="shared" si="12"/>
        <v>3.5188556811453005E-2</v>
      </c>
      <c r="D112" s="126">
        <f t="shared" si="13"/>
        <v>1.3118616892692373E-2</v>
      </c>
      <c r="E112" s="126">
        <f t="shared" si="14"/>
        <v>0.13898708117315248</v>
      </c>
      <c r="F112" s="126">
        <f t="shared" si="15"/>
        <v>0.13810235635802584</v>
      </c>
      <c r="G112" s="126">
        <f t="shared" si="16"/>
        <v>5.5582873491560318E-2</v>
      </c>
      <c r="H112" s="126">
        <f t="shared" si="17"/>
        <v>4.7972144026528871E-2</v>
      </c>
      <c r="I112" s="126">
        <f t="shared" si="18"/>
        <v>6.5271253501402726E-2</v>
      </c>
      <c r="J112" s="126">
        <f t="shared" si="19"/>
        <v>-2.1734910241144129E-2</v>
      </c>
      <c r="M112" s="5"/>
      <c r="Y112">
        <f t="shared" si="20"/>
        <v>-0.5</v>
      </c>
    </row>
    <row r="113" spans="2:25" x14ac:dyDescent="0.3">
      <c r="B113" s="126">
        <v>6.1509392730530021E-2</v>
      </c>
      <c r="C113" s="126">
        <f t="shared" si="12"/>
        <v>3.5430623060544321E-2</v>
      </c>
      <c r="D113" s="126">
        <f t="shared" si="13"/>
        <v>1.3267723591634171E-2</v>
      </c>
      <c r="E113" s="126">
        <f t="shared" si="14"/>
        <v>0.13654531002266698</v>
      </c>
      <c r="F113" s="126">
        <f t="shared" si="15"/>
        <v>0.13570606674717731</v>
      </c>
      <c r="G113" s="126">
        <f t="shared" si="16"/>
        <v>5.6715986575361851E-2</v>
      </c>
      <c r="H113" s="126">
        <f t="shared" si="17"/>
        <v>4.8372599433744348E-2</v>
      </c>
      <c r="I113" s="126">
        <f t="shared" si="18"/>
        <v>6.6302798885698191E-2</v>
      </c>
      <c r="J113" s="126">
        <f t="shared" si="19"/>
        <v>-2.183715225047601E-2</v>
      </c>
      <c r="M113" s="5"/>
      <c r="Y113">
        <f t="shared" si="20"/>
        <v>-0.5</v>
      </c>
    </row>
    <row r="114" spans="2:25" x14ac:dyDescent="0.3">
      <c r="B114" s="126">
        <v>6.2601021649498656E-2</v>
      </c>
      <c r="C114" s="126">
        <f t="shared" si="12"/>
        <v>3.5671484596546621E-2</v>
      </c>
      <c r="D114" s="126">
        <f t="shared" si="13"/>
        <v>1.3415444780032624E-2</v>
      </c>
      <c r="E114" s="126">
        <f t="shared" si="14"/>
        <v>0.13410144837618643</v>
      </c>
      <c r="F114" s="126">
        <f t="shared" si="15"/>
        <v>0.13330615440470311</v>
      </c>
      <c r="G114" s="126">
        <f t="shared" si="16"/>
        <v>5.7859864529694723E-2</v>
      </c>
      <c r="H114" s="126">
        <f t="shared" si="17"/>
        <v>4.877044785579257E-2</v>
      </c>
      <c r="I114" s="126">
        <f t="shared" si="18"/>
        <v>6.7342178769302596E-2</v>
      </c>
      <c r="J114" s="126">
        <f t="shared" si="19"/>
        <v>-2.1939558295727326E-2</v>
      </c>
      <c r="M114" s="5"/>
      <c r="Y114">
        <f t="shared" si="20"/>
        <v>-0.5</v>
      </c>
    </row>
    <row r="115" spans="2:25" x14ac:dyDescent="0.3">
      <c r="B115" s="126">
        <v>6.3701939436225374E-2</v>
      </c>
      <c r="C115" s="126">
        <f t="shared" si="12"/>
        <v>3.5911145272557635E-2</v>
      </c>
      <c r="D115" s="126">
        <f t="shared" si="13"/>
        <v>1.3561731563546453E-2</v>
      </c>
      <c r="E115" s="126">
        <f t="shared" si="14"/>
        <v>0.13165600500644906</v>
      </c>
      <c r="F115" s="126">
        <f t="shared" si="15"/>
        <v>0.13090314156086</v>
      </c>
      <c r="G115" s="126">
        <f t="shared" si="16"/>
        <v>5.9014471635307049E-2</v>
      </c>
      <c r="H115" s="126">
        <f t="shared" si="17"/>
        <v>4.9165635849482463E-2</v>
      </c>
      <c r="I115" s="126">
        <f t="shared" si="18"/>
        <v>6.8389407237143693E-2</v>
      </c>
      <c r="J115" s="126">
        <f t="shared" si="19"/>
        <v>-2.2042172722389557E-2</v>
      </c>
      <c r="M115" s="5"/>
      <c r="Y115">
        <f t="shared" si="20"/>
        <v>-0.5</v>
      </c>
    </row>
    <row r="116" spans="2:25" x14ac:dyDescent="0.3">
      <c r="B116" s="126">
        <v>6.4812135181502861E-2</v>
      </c>
      <c r="C116" s="126">
        <f t="shared" si="12"/>
        <v>3.6149608921914239E-2</v>
      </c>
      <c r="D116" s="126">
        <f t="shared" si="13"/>
        <v>1.3706535630809636E-2</v>
      </c>
      <c r="E116" s="126">
        <f t="shared" si="14"/>
        <v>0.12920949225387157</v>
      </c>
      <c r="F116" s="126">
        <f t="shared" si="15"/>
        <v>0.12849755544734762</v>
      </c>
      <c r="G116" s="126">
        <f t="shared" si="16"/>
        <v>6.017977137777962E-2</v>
      </c>
      <c r="H116" s="126">
        <f t="shared" si="17"/>
        <v>4.9558110642199255E-2</v>
      </c>
      <c r="I116" s="126">
        <f t="shared" si="18"/>
        <v>6.9444498985226102E-2</v>
      </c>
      <c r="J116" s="126">
        <f t="shared" si="19"/>
        <v>-2.2145039380579979E-2</v>
      </c>
      <c r="M116" s="5"/>
      <c r="Y116">
        <f t="shared" si="20"/>
        <v>-0.5</v>
      </c>
    </row>
    <row r="117" spans="2:25" x14ac:dyDescent="0.3">
      <c r="B117" s="126">
        <v>6.5931597884186899E-2</v>
      </c>
      <c r="C117" s="126">
        <f t="shared" si="12"/>
        <v>3.6386879356712191E-2</v>
      </c>
      <c r="D117" s="126">
        <f t="shared" si="13"/>
        <v>1.3849809277371353E-2</v>
      </c>
      <c r="E117" s="126">
        <f t="shared" si="14"/>
        <v>0.12676242600212506</v>
      </c>
      <c r="F117" s="126">
        <f t="shared" si="15"/>
        <v>0.12608992823025433</v>
      </c>
      <c r="G117" s="126">
        <f t="shared" si="16"/>
        <v>6.1355726450399037E-2</v>
      </c>
      <c r="H117" s="126">
        <f t="shared" si="17"/>
        <v>4.9947820163587398E-2</v>
      </c>
      <c r="I117" s="126">
        <f t="shared" si="18"/>
        <v>7.0507469317974761E-2</v>
      </c>
      <c r="J117" s="126">
        <f t="shared" si="19"/>
        <v>-2.2248201608844692E-2</v>
      </c>
      <c r="M117" s="5"/>
      <c r="Y117">
        <f t="shared" si="20"/>
        <v>-0.5</v>
      </c>
    </row>
    <row r="118" spans="2:25" x14ac:dyDescent="0.3">
      <c r="B118" s="126">
        <v>6.7060316451305058E-2</v>
      </c>
      <c r="C118" s="126">
        <f t="shared" si="12"/>
        <v>3.6622960366320685E-2</v>
      </c>
      <c r="D118" s="126">
        <f t="shared" si="13"/>
        <v>1.3991505429716614E-2</v>
      </c>
      <c r="E118" s="126">
        <f t="shared" si="14"/>
        <v>0.1243153256535364</v>
      </c>
      <c r="F118" s="126">
        <f t="shared" si="15"/>
        <v>0.12368079694090159</v>
      </c>
      <c r="G118" s="126">
        <f t="shared" si="16"/>
        <v>6.2542298757311057E-2</v>
      </c>
      <c r="H118" s="126">
        <f t="shared" si="17"/>
        <v>5.0334713077224189E-2</v>
      </c>
      <c r="I118" s="126">
        <f t="shared" si="18"/>
        <v>7.1578334145299058E-2</v>
      </c>
      <c r="J118" s="126">
        <f t="shared" si="19"/>
        <v>-2.2351702217790956E-2</v>
      </c>
      <c r="M118" s="5"/>
      <c r="Y118">
        <f t="shared" si="20"/>
        <v>-0.5</v>
      </c>
    </row>
    <row r="119" spans="2:25" x14ac:dyDescent="0.3">
      <c r="B119" s="126">
        <v>6.8198279698166608E-2</v>
      </c>
      <c r="C119" s="126">
        <f t="shared" si="12"/>
        <v>3.6857855715891834E-2</v>
      </c>
      <c r="D119" s="126">
        <f t="shared" si="13"/>
        <v>1.4131577669364546E-2</v>
      </c>
      <c r="E119" s="126">
        <f t="shared" si="14"/>
        <v>0.12186871410431527</v>
      </c>
      <c r="F119" s="126">
        <f t="shared" si="15"/>
        <v>0.12127070340466231</v>
      </c>
      <c r="G119" s="126">
        <f t="shared" si="16"/>
        <v>6.3739449416953503E-2</v>
      </c>
      <c r="H119" s="126">
        <f t="shared" si="17"/>
        <v>5.0718738812268724E-2</v>
      </c>
      <c r="I119" s="126">
        <f t="shared" si="18"/>
        <v>7.2657109979379714E-2</v>
      </c>
      <c r="J119" s="126">
        <f t="shared" si="19"/>
        <v>-2.2455583473539629E-2</v>
      </c>
      <c r="M119" s="5"/>
      <c r="Y119">
        <f t="shared" si="20"/>
        <v>-0.5</v>
      </c>
    </row>
    <row r="120" spans="2:25" x14ac:dyDescent="0.3">
      <c r="B120" s="126">
        <v>6.9345476348473767E-2</v>
      </c>
      <c r="C120" s="126">
        <f t="shared" si="12"/>
        <v>3.7091569144865631E-2</v>
      </c>
      <c r="D120" s="126">
        <f t="shared" si="13"/>
        <v>1.4269980257041195E-2</v>
      </c>
      <c r="E120" s="126">
        <f t="shared" si="14"/>
        <v>0.11942311771960699</v>
      </c>
      <c r="F120" s="126">
        <f t="shared" si="15"/>
        <v>0.11886019416783218</v>
      </c>
      <c r="G120" s="126">
        <f t="shared" si="16"/>
        <v>6.4947138765766688E-2</v>
      </c>
      <c r="H120" s="126">
        <f t="shared" si="17"/>
        <v>5.1099847595071274E-2</v>
      </c>
      <c r="I120" s="126">
        <f t="shared" si="18"/>
        <v>7.3743813931180846E-2</v>
      </c>
      <c r="J120" s="126">
        <f t="shared" si="19"/>
        <v>-2.2559887080988883E-2</v>
      </c>
      <c r="M120" s="5"/>
      <c r="Y120">
        <f t="shared" si="20"/>
        <v>-0.5</v>
      </c>
    </row>
    <row r="121" spans="2:25" x14ac:dyDescent="0.3">
      <c r="B121" s="126">
        <v>7.050189503443316E-2</v>
      </c>
      <c r="C121" s="126">
        <f t="shared" si="12"/>
        <v>3.7324104365470109E-2</v>
      </c>
      <c r="D121" s="126">
        <f t="shared" si="13"/>
        <v>1.4406668156923624E-2</v>
      </c>
      <c r="E121" s="126">
        <f t="shared" si="14"/>
        <v>0.11697906630837508</v>
      </c>
      <c r="F121" s="126">
        <f t="shared" si="15"/>
        <v>0.11644982042264056</v>
      </c>
      <c r="G121" s="126">
        <f t="shared" si="16"/>
        <v>6.6165326362177826E-2</v>
      </c>
      <c r="H121" s="126">
        <f t="shared" si="17"/>
        <v>5.1477990480726946E-2</v>
      </c>
      <c r="I121" s="126">
        <f t="shared" si="18"/>
        <v>7.4838463706688493E-2</v>
      </c>
      <c r="J121" s="126">
        <f t="shared" si="19"/>
        <v>-2.2664654166879697E-2</v>
      </c>
      <c r="M121" s="5"/>
      <c r="Y121">
        <f t="shared" si="20"/>
        <v>-0.5</v>
      </c>
    </row>
    <row r="122" spans="2:25" x14ac:dyDescent="0.3">
      <c r="B122" s="126">
        <v>7.1667524296868401E-2</v>
      </c>
      <c r="C122" s="126">
        <f t="shared" si="12"/>
        <v>3.7555465061217014E-2</v>
      </c>
      <c r="D122" s="126">
        <f t="shared" si="13"/>
        <v>1.4541597060952248E-2</v>
      </c>
      <c r="E122" s="126">
        <f t="shared" si="14"/>
        <v>0.11453709309811178</v>
      </c>
      <c r="F122" s="126">
        <f t="shared" si="15"/>
        <v>0.11404013793048644</v>
      </c>
      <c r="G122" s="126">
        <f t="shared" si="16"/>
        <v>6.7393970990857227E-2</v>
      </c>
      <c r="H122" s="126">
        <f t="shared" si="17"/>
        <v>5.1853119384558569E-2</v>
      </c>
      <c r="I122" s="126">
        <f t="shared" si="18"/>
        <v>7.5941077602879575E-2</v>
      </c>
      <c r="J122" s="126">
        <f t="shared" si="19"/>
        <v>-2.2769925262654075E-2</v>
      </c>
      <c r="M122" s="5"/>
      <c r="Y122">
        <f t="shared" si="20"/>
        <v>-0.5</v>
      </c>
    </row>
    <row r="123" spans="2:25" x14ac:dyDescent="0.3">
      <c r="B123" s="126">
        <v>7.2842352585333559E-2</v>
      </c>
      <c r="C123" s="126">
        <f t="shared" si="12"/>
        <v>3.778565488539358E-2</v>
      </c>
      <c r="D123" s="126">
        <f t="shared" si="13"/>
        <v>1.4674723413208187E-2</v>
      </c>
      <c r="E123" s="126">
        <f t="shared" si="14"/>
        <v>0.11209773470937912</v>
      </c>
      <c r="F123" s="126">
        <f t="shared" si="15"/>
        <v>0.11163170694349271</v>
      </c>
      <c r="G123" s="126">
        <f t="shared" si="16"/>
        <v>6.8633030667242564E-2</v>
      </c>
      <c r="H123" s="126">
        <f t="shared" si="17"/>
        <v>5.2225187113513497E-2</v>
      </c>
      <c r="I123" s="126">
        <f t="shared" si="18"/>
        <v>7.7051674503424553E-2</v>
      </c>
      <c r="J123" s="126">
        <f t="shared" si="19"/>
        <v>-2.2875740287097119E-2</v>
      </c>
      <c r="M123" s="5"/>
      <c r="Y123">
        <f t="shared" si="20"/>
        <v>-0.5</v>
      </c>
    </row>
    <row r="124" spans="2:25" x14ac:dyDescent="0.3">
      <c r="B124" s="126">
        <v>7.4026368258227948E-2</v>
      </c>
      <c r="C124" s="126">
        <f t="shared" si="12"/>
        <v>3.8014677459550027E-2</v>
      </c>
      <c r="D124" s="126">
        <f t="shared" si="13"/>
        <v>1.4806004434352607E-2</v>
      </c>
      <c r="E124" s="126">
        <f t="shared" si="14"/>
        <v>0.10966153113018003</v>
      </c>
      <c r="F124" s="126">
        <f t="shared" si="15"/>
        <v>0.10922509212447287</v>
      </c>
      <c r="G124" s="126">
        <f t="shared" si="16"/>
        <v>6.9882462642327614E-2</v>
      </c>
      <c r="H124" s="126">
        <f t="shared" si="17"/>
        <v>5.2594147397458518E-2</v>
      </c>
      <c r="I124" s="126">
        <f t="shared" si="18"/>
        <v>7.8170273874128282E-2</v>
      </c>
      <c r="J124" s="126">
        <f t="shared" si="19"/>
        <v>-2.2982138528753304E-2</v>
      </c>
      <c r="M124" s="5"/>
      <c r="Y124">
        <f t="shared" si="20"/>
        <v>-0.5</v>
      </c>
    </row>
    <row r="125" spans="2:25" x14ac:dyDescent="0.3">
      <c r="B125" s="126">
        <v>7.5219559582911377E-2</v>
      </c>
      <c r="C125" s="126">
        <f t="shared" si="12"/>
        <v>3.8242536371983334E-2</v>
      </c>
      <c r="D125" s="126">
        <f t="shared" si="13"/>
        <v>1.4935398146124615E-2</v>
      </c>
      <c r="E125" s="126">
        <f t="shared" si="14"/>
        <v>0.10722902569016249</v>
      </c>
      <c r="F125" s="126">
        <f t="shared" si="15"/>
        <v>0.10682086246541132</v>
      </c>
      <c r="G125" s="126">
        <f t="shared" si="16"/>
        <v>7.1142223407710106E-2</v>
      </c>
      <c r="H125" s="126">
        <f t="shared" si="17"/>
        <v>5.2959954920357544E-2</v>
      </c>
      <c r="I125" s="126">
        <f t="shared" si="18"/>
        <v>7.9296895758112648E-2</v>
      </c>
      <c r="J125" s="126">
        <f t="shared" si="19"/>
        <v>-2.3089158628108314E-2</v>
      </c>
      <c r="M125" s="5"/>
      <c r="Y125">
        <f t="shared" si="20"/>
        <v>-0.5</v>
      </c>
    </row>
    <row r="126" spans="2:25" x14ac:dyDescent="0.3">
      <c r="B126" s="126">
        <v>7.6421914735820273E-2</v>
      </c>
      <c r="C126" s="126">
        <f t="shared" si="12"/>
        <v>3.8469235176217392E-2</v>
      </c>
      <c r="D126" s="126">
        <f t="shared" si="13"/>
        <v>1.506286339589471E-2</v>
      </c>
      <c r="E126" s="126">
        <f t="shared" si="14"/>
        <v>0.10480076503465691</v>
      </c>
      <c r="F126" s="126">
        <f t="shared" si="15"/>
        <v>0.10441959120455908</v>
      </c>
      <c r="G126" s="126">
        <f t="shared" si="16"/>
        <v>7.2412268700894095E-2</v>
      </c>
      <c r="H126" s="126">
        <f t="shared" si="17"/>
        <v>5.3322565351316707E-2</v>
      </c>
      <c r="I126" s="126">
        <f t="shared" si="18"/>
        <v>8.0431560770746452E-2</v>
      </c>
      <c r="J126" s="126">
        <f t="shared" si="19"/>
        <v>-2.319683855952729E-2</v>
      </c>
      <c r="M126" s="5"/>
      <c r="Y126">
        <f t="shared" si="20"/>
        <v>-0.5</v>
      </c>
    </row>
    <row r="127" spans="2:25" x14ac:dyDescent="0.3">
      <c r="B127" s="126">
        <v>7.7633421802584812E-2</v>
      </c>
      <c r="C127" s="126">
        <f t="shared" si="12"/>
        <v>3.8694777389479643E-2</v>
      </c>
      <c r="D127" s="126">
        <f t="shared" si="13"/>
        <v>1.5188359881270491E-2</v>
      </c>
      <c r="E127" s="126">
        <f t="shared" si="14"/>
        <v>0.10237729909854741</v>
      </c>
      <c r="F127" s="126">
        <f t="shared" si="15"/>
        <v>0.10202185574225033</v>
      </c>
      <c r="G127" s="126">
        <f t="shared" si="16"/>
        <v>7.369255351084146E-2</v>
      </c>
      <c r="H127" s="126">
        <f t="shared" si="17"/>
        <v>5.3681935375481431E-2</v>
      </c>
      <c r="I127" s="126">
        <f t="shared" si="18"/>
        <v>8.1574290094328164E-2</v>
      </c>
      <c r="J127" s="126">
        <f t="shared" si="19"/>
        <v>-2.3305215612940446E-2</v>
      </c>
      <c r="M127" s="5"/>
      <c r="Y127">
        <f t="shared" si="20"/>
        <v>-0.5</v>
      </c>
    </row>
    <row r="128" spans="2:25" x14ac:dyDescent="0.3">
      <c r="B128" s="126">
        <v>7.8854068778147268E-2</v>
      </c>
      <c r="C128" s="126">
        <f t="shared" si="12"/>
        <v>3.8919166491174627E-2</v>
      </c>
      <c r="D128" s="126">
        <f t="shared" si="13"/>
        <v>1.5311848174751503E-2</v>
      </c>
      <c r="E128" s="126">
        <f t="shared" si="14"/>
        <v>9.9959181079978435E-2</v>
      </c>
      <c r="F128" s="126">
        <f t="shared" si="15"/>
        <v>9.9628237555549407E-2</v>
      </c>
      <c r="G128" s="126">
        <f t="shared" si="16"/>
        <v>7.4983032083767082E-2</v>
      </c>
      <c r="H128" s="126">
        <f t="shared" si="17"/>
        <v>5.4038022724770408E-2</v>
      </c>
      <c r="I128" s="126">
        <f t="shared" si="18"/>
        <v>8.2725105472527455E-2</v>
      </c>
      <c r="J128" s="126">
        <f t="shared" si="19"/>
        <v>-2.3414326375267407E-2</v>
      </c>
      <c r="M128" s="5"/>
      <c r="Y128">
        <f t="shared" si="20"/>
        <v>-0.5</v>
      </c>
    </row>
    <row r="129" spans="2:25" x14ac:dyDescent="0.3">
      <c r="B129" s="126">
        <v>8.0083843566880586E-2</v>
      </c>
      <c r="C129" s="126">
        <f t="shared" si="12"/>
        <v>3.914240592135431E-2</v>
      </c>
      <c r="D129" s="126">
        <f t="shared" si="13"/>
        <v>1.5433289748429786E-2</v>
      </c>
      <c r="E129" s="126">
        <f t="shared" si="14"/>
        <v>9.7546967413898164E-2</v>
      </c>
      <c r="F129" s="126">
        <f t="shared" si="15"/>
        <v>9.7239322111840415E-2</v>
      </c>
      <c r="G129" s="126">
        <f t="shared" si="16"/>
        <v>7.6283657929169787E-2</v>
      </c>
      <c r="H129" s="126">
        <f t="shared" si="17"/>
        <v>5.4390786208431033E-2</v>
      </c>
      <c r="I129" s="126">
        <f t="shared" si="18"/>
        <v>8.3884029204591384E-2</v>
      </c>
      <c r="J129" s="126">
        <f t="shared" si="19"/>
        <v>-2.352420671157146E-2</v>
      </c>
      <c r="M129" s="5"/>
      <c r="Y129">
        <f t="shared" si="20"/>
        <v>-0.5</v>
      </c>
    </row>
    <row r="130" spans="2:25" x14ac:dyDescent="0.3">
      <c r="B130" s="126">
        <v>8.1322733982708617E-2</v>
      </c>
      <c r="C130" s="126">
        <f t="shared" ref="C130:C193" si="21">IF(B130&lt;$N$1, ($A$7/0.2)*($O$1*SQRT(B130)+$P$1*B130+$Q$1*(B130^2)+$R$1*(B130^3)), ($A$7/0.2)*($S$1+$T$1*(1-B130)+$U$1*((1-B130)^2)+$V$1*((1-B130)^3)))</f>
        <v>3.9364499079185759E-2</v>
      </c>
      <c r="D130" s="126">
        <f t="shared" ref="D130:D193" si="22" xml:space="preserve"> IF(B130&lt;$A$8, ($A$10/6)*((B130^3)-3*$A$8*(B130^2)+($A$8^2)*(3-$A$8)*B130), (($A$10*($A$8^3))/6)*(1-B130))</f>
        <v>1.5552646998733162E-2</v>
      </c>
      <c r="E130" s="126">
        <f t="shared" ref="E130:E193" si="23">IF(B130&lt;$A$8, ($A$10/6)*(3*(B130^2)-6*$A$8*B130+($A$8^2)*(3-$A$8)), -($A$10*($A$8^3))/6)</f>
        <v>9.5141217745438933E-2</v>
      </c>
      <c r="F130" s="126">
        <f t="shared" ref="F130:F193" si="24" xml:space="preserve"> ATAN(E130)</f>
        <v>9.4855698781473222E-2</v>
      </c>
      <c r="G130" s="126">
        <f t="shared" ref="G130:G193" si="25">B130-C130*SIN(F130)</f>
        <v>7.7594383826094293E-2</v>
      </c>
      <c r="H130" s="126">
        <f t="shared" ref="H130:H193" si="26">D130+C130*COS(F130)</f>
        <v>5.4740185743401608E-2</v>
      </c>
      <c r="I130" s="126">
        <f t="shared" ref="I130:I193" si="27">B130+C130*SIN(F130)</f>
        <v>8.5051084139322941E-2</v>
      </c>
      <c r="J130" s="126">
        <f t="shared" ref="J130:J193" si="28">D130-C130*COS(F130)</f>
        <v>-2.3634891745935284E-2</v>
      </c>
      <c r="M130" s="5"/>
      <c r="Y130">
        <f t="shared" ref="Y130:Y193" si="29">IF($Z$1, D130, -0.5)</f>
        <v>-0.5</v>
      </c>
    </row>
    <row r="131" spans="2:25" x14ac:dyDescent="0.3">
      <c r="B131" s="126">
        <v>8.2570727749226691E-2</v>
      </c>
      <c r="C131" s="126">
        <f t="shared" si="21"/>
        <v>3.9585449321416E-2</v>
      </c>
      <c r="D131" s="126">
        <f t="shared" si="22"/>
        <v>1.5669883271207746E-2</v>
      </c>
      <c r="E131" s="126">
        <f t="shared" si="23"/>
        <v>9.2742494903136588E-2</v>
      </c>
      <c r="F131" s="126">
        <f t="shared" si="24"/>
        <v>9.2477960749584087E-2</v>
      </c>
      <c r="G131" s="126">
        <f t="shared" si="25"/>
        <v>7.8915161829614916E-2</v>
      </c>
      <c r="H131" s="126">
        <f t="shared" si="26"/>
        <v>5.5086182384465034E-2</v>
      </c>
      <c r="I131" s="126">
        <f t="shared" si="27"/>
        <v>8.6226293668838466E-2</v>
      </c>
      <c r="J131" s="126">
        <f t="shared" si="28"/>
        <v>-2.3746415842049541E-2</v>
      </c>
      <c r="M131" s="5"/>
      <c r="Y131">
        <f t="shared" si="29"/>
        <v>-0.5</v>
      </c>
    </row>
    <row r="132" spans="2:25" x14ac:dyDescent="0.3">
      <c r="B132" s="126">
        <v>8.3827812499823295E-2</v>
      </c>
      <c r="C132" s="126">
        <f t="shared" si="21"/>
        <v>3.9805259960834505E-2</v>
      </c>
      <c r="D132" s="126">
        <f t="shared" si="22"/>
        <v>1.5784962885336581E-2</v>
      </c>
      <c r="E132" s="126">
        <f t="shared" si="23"/>
        <v>9.0351364871989595E-2</v>
      </c>
      <c r="F132" s="126">
        <f t="shared" si="24"/>
        <v>9.0106704927209916E-2</v>
      </c>
      <c r="G132" s="126">
        <f t="shared" si="25"/>
        <v>8.0245943277534634E-2</v>
      </c>
      <c r="H132" s="126">
        <f t="shared" si="26"/>
        <v>5.5428738354179552E-2</v>
      </c>
      <c r="I132" s="126">
        <f t="shared" si="27"/>
        <v>8.7409681722111957E-2</v>
      </c>
      <c r="J132" s="126">
        <f t="shared" si="28"/>
        <v>-2.3858812583506389E-2</v>
      </c>
      <c r="M132" s="5"/>
      <c r="Y132">
        <f t="shared" si="29"/>
        <v>-0.5</v>
      </c>
    </row>
    <row r="133" spans="2:25" x14ac:dyDescent="0.3">
      <c r="B133" s="126">
        <v>8.5093975777802311E-2</v>
      </c>
      <c r="C133" s="126">
        <f t="shared" si="21"/>
        <v>4.0023934264733406E-2</v>
      </c>
      <c r="D133" s="126">
        <f t="shared" si="22"/>
        <v>1.5897851159391078E-2</v>
      </c>
      <c r="E133" s="126">
        <f t="shared" si="23"/>
        <v>8.7968396766359799E-2</v>
      </c>
      <c r="F133" s="126">
        <f t="shared" si="24"/>
        <v>8.7742531861818504E-2</v>
      </c>
      <c r="G133" s="126">
        <f t="shared" si="25"/>
        <v>8.1586678797290382E-2</v>
      </c>
      <c r="H133" s="126">
        <f t="shared" si="26"/>
        <v>5.5767817072571793E-2</v>
      </c>
      <c r="I133" s="126">
        <f t="shared" si="27"/>
        <v>8.860127275831424E-2</v>
      </c>
      <c r="J133" s="126">
        <f t="shared" si="28"/>
        <v>-2.3972114753789641E-2</v>
      </c>
      <c r="M133" s="5"/>
      <c r="Y133">
        <f t="shared" si="29"/>
        <v>-0.5</v>
      </c>
    </row>
    <row r="134" spans="2:25" x14ac:dyDescent="0.3">
      <c r="B134" s="126">
        <v>8.6369205036507135E-2</v>
      </c>
      <c r="C134" s="126">
        <f t="shared" si="21"/>
        <v>4.0241475453365746E-2</v>
      </c>
      <c r="D134" s="126">
        <f t="shared" si="22"/>
        <v>1.6008514435311993E-2</v>
      </c>
      <c r="E134" s="126">
        <f t="shared" si="23"/>
        <v>8.5594162802712578E-2</v>
      </c>
      <c r="F134" s="126">
        <f t="shared" si="24"/>
        <v>8.5386045647375008E-2</v>
      </c>
      <c r="G134" s="126">
        <f t="shared" si="25"/>
        <v>8.2937318313057881E-2</v>
      </c>
      <c r="H134" s="126">
        <f t="shared" si="26"/>
        <v>5.6103383186578037E-2</v>
      </c>
      <c r="I134" s="126">
        <f t="shared" si="27"/>
        <v>8.9801091759956389E-2</v>
      </c>
      <c r="J134" s="126">
        <f t="shared" si="28"/>
        <v>-2.4086354315954055E-2</v>
      </c>
      <c r="M134" s="5"/>
      <c r="Y134">
        <f t="shared" si="29"/>
        <v>-0.5</v>
      </c>
    </row>
    <row r="135" spans="2:25" x14ac:dyDescent="0.3">
      <c r="B135" s="126">
        <v>8.7653487639444361E-2</v>
      </c>
      <c r="C135" s="126">
        <f t="shared" si="21"/>
        <v>4.0457886698401717E-2</v>
      </c>
      <c r="D135" s="126">
        <f t="shared" si="22"/>
        <v>1.6116920103616646E-2</v>
      </c>
      <c r="E135" s="126">
        <f t="shared" si="23"/>
        <v>8.3229238272203354E-2</v>
      </c>
      <c r="F135" s="126">
        <f t="shared" si="24"/>
        <v>8.3037853834075318E-2</v>
      </c>
      <c r="G135" s="126">
        <f t="shared" si="25"/>
        <v>8.4297811053044208E-2</v>
      </c>
      <c r="H135" s="126">
        <f t="shared" si="26"/>
        <v>5.6435402599219031E-2</v>
      </c>
      <c r="I135" s="126">
        <f t="shared" si="27"/>
        <v>9.1009164225844513E-2</v>
      </c>
      <c r="J135" s="126">
        <f t="shared" si="28"/>
        <v>-2.4201562391985742E-2</v>
      </c>
      <c r="M135" s="5"/>
      <c r="Y135">
        <f t="shared" si="29"/>
        <v>-0.5</v>
      </c>
    </row>
    <row r="136" spans="2:25" x14ac:dyDescent="0.3">
      <c r="B136" s="126">
        <v>8.8946810860409342E-2</v>
      </c>
      <c r="C136" s="126">
        <f t="shared" si="21"/>
        <v>4.0673171121383356E-2</v>
      </c>
      <c r="D136" s="126">
        <f t="shared" si="22"/>
        <v>1.6223036628329038E-2</v>
      </c>
      <c r="E136" s="126">
        <f t="shared" si="23"/>
        <v>8.0874201513106161E-2</v>
      </c>
      <c r="F136" s="126">
        <f t="shared" si="24"/>
        <v>8.0698567337867261E-2</v>
      </c>
      <c r="G136" s="126">
        <f t="shared" si="25"/>
        <v>8.5668105556961832E-2</v>
      </c>
      <c r="H136" s="126">
        <f t="shared" si="26"/>
        <v>5.6763842498494942E-2</v>
      </c>
      <c r="I136" s="126">
        <f t="shared" si="27"/>
        <v>9.2225516163856852E-2</v>
      </c>
      <c r="J136" s="126">
        <f t="shared" si="28"/>
        <v>-2.4317769241836866E-2</v>
      </c>
      <c r="M136" s="5"/>
      <c r="Y136">
        <f t="shared" si="29"/>
        <v>-0.5</v>
      </c>
    </row>
    <row r="137" spans="2:25" x14ac:dyDescent="0.3">
      <c r="B137" s="126">
        <v>9.0249161883612206E-2</v>
      </c>
      <c r="C137" s="126">
        <f t="shared" si="21"/>
        <v>4.0887331792177829E-2</v>
      </c>
      <c r="D137" s="126">
        <f t="shared" si="22"/>
        <v>1.6326833571929652E-2</v>
      </c>
      <c r="E137" s="126">
        <f t="shared" si="23"/>
        <v>7.8529633883088201E-2</v>
      </c>
      <c r="F137" s="126">
        <f t="shared" si="24"/>
        <v>7.8368800349890175E-2</v>
      </c>
      <c r="G137" s="126">
        <f t="shared" si="25"/>
        <v>8.7048149683672499E-2</v>
      </c>
      <c r="H137" s="126">
        <f t="shared" si="26"/>
        <v>5.7088671385986486E-2</v>
      </c>
      <c r="I137" s="126">
        <f t="shared" si="27"/>
        <v>9.3450174083551912E-2</v>
      </c>
      <c r="J137" s="126">
        <f t="shared" si="28"/>
        <v>-2.4435004242127179E-2</v>
      </c>
      <c r="M137" s="5"/>
      <c r="Y137">
        <f t="shared" si="29"/>
        <v>-0.5</v>
      </c>
    </row>
    <row r="138" spans="2:25" x14ac:dyDescent="0.3">
      <c r="B138" s="126">
        <v>9.1560527803804637E-2</v>
      </c>
      <c r="C138" s="126">
        <f t="shared" si="21"/>
        <v>4.1100371727429315E-2</v>
      </c>
      <c r="D138" s="126">
        <f t="shared" si="22"/>
        <v>1.6428281620321547E-2</v>
      </c>
      <c r="E138" s="126">
        <f t="shared" si="23"/>
        <v>7.6196119731331516E-2</v>
      </c>
      <c r="F138" s="126">
        <f t="shared" si="24"/>
        <v>7.6049170245960807E-2</v>
      </c>
      <c r="G138" s="126">
        <f t="shared" si="25"/>
        <v>8.8437890618991905E-2</v>
      </c>
      <c r="H138" s="126">
        <f t="shared" si="26"/>
        <v>5.7409859105148744E-2</v>
      </c>
      <c r="I138" s="126">
        <f t="shared" si="27"/>
        <v>9.4683164988617369E-2</v>
      </c>
      <c r="J138" s="126">
        <f t="shared" si="28"/>
        <v>-2.455329586450565E-2</v>
      </c>
      <c r="M138" s="5"/>
      <c r="Y138">
        <f t="shared" si="29"/>
        <v>-0.5</v>
      </c>
    </row>
    <row r="139" spans="2:25" x14ac:dyDescent="0.3">
      <c r="B139" s="126">
        <v>9.2880895626408333E-2</v>
      </c>
      <c r="C139" s="126">
        <f t="shared" si="21"/>
        <v>4.1312293889009984E-2</v>
      </c>
      <c r="D139" s="126">
        <f t="shared" si="22"/>
        <v>1.6527352607809496E-2</v>
      </c>
      <c r="E139" s="126">
        <f t="shared" si="23"/>
        <v>7.3874246370500787E-2</v>
      </c>
      <c r="F139" s="126">
        <f t="shared" si="24"/>
        <v>7.374029749623276E-2</v>
      </c>
      <c r="G139" s="126">
        <f t="shared" si="25"/>
        <v>8.9837274883645499E-2</v>
      </c>
      <c r="H139" s="126">
        <f t="shared" si="26"/>
        <v>5.7727376869284822E-2</v>
      </c>
      <c r="I139" s="126">
        <f t="shared" si="27"/>
        <v>9.5924516369171167E-2</v>
      </c>
      <c r="J139" s="126">
        <f t="shared" si="28"/>
        <v>-2.4672671653665827E-2</v>
      </c>
      <c r="M139" s="5"/>
      <c r="Y139">
        <f t="shared" si="29"/>
        <v>-0.5</v>
      </c>
    </row>
    <row r="140" spans="2:25" x14ac:dyDescent="0.3">
      <c r="B140" s="126">
        <v>9.4210252267643013E-2</v>
      </c>
      <c r="C140" s="126">
        <f t="shared" si="21"/>
        <v>4.1523101182470053E-2</v>
      </c>
      <c r="D140" s="126">
        <f t="shared" si="22"/>
        <v>1.6624019542088732E-2</v>
      </c>
      <c r="E140" s="126">
        <f t="shared" si="23"/>
        <v>7.1564604048562117E-2</v>
      </c>
      <c r="F140" s="126">
        <f t="shared" si="24"/>
        <v>7.1442805575161958E-2</v>
      </c>
      <c r="G140" s="126">
        <f t="shared" si="25"/>
        <v>9.1246248341363079E-2</v>
      </c>
      <c r="H140" s="126">
        <f t="shared" si="26"/>
        <v>5.8041197289185928E-2</v>
      </c>
      <c r="I140" s="126">
        <f t="shared" si="27"/>
        <v>9.7174256193922948E-2</v>
      </c>
      <c r="J140" s="126">
        <f t="shared" si="28"/>
        <v>-2.4793158205008464E-2</v>
      </c>
      <c r="M140" s="5"/>
      <c r="Y140">
        <f t="shared" si="29"/>
        <v>-0.5</v>
      </c>
    </row>
    <row r="141" spans="2:25" x14ac:dyDescent="0.3">
      <c r="B141" s="126">
        <v>9.5548584554656757E-2</v>
      </c>
      <c r="C141" s="126">
        <f t="shared" si="21"/>
        <v>4.1732796455487296E-2</v>
      </c>
      <c r="D141" s="126">
        <f t="shared" si="22"/>
        <v>1.6718256629240098E-2</v>
      </c>
      <c r="E141" s="126">
        <f t="shared" si="23"/>
        <v>6.9267785920449493E-2</v>
      </c>
      <c r="F141" s="126">
        <f t="shared" si="24"/>
        <v>6.9157320871903391E-2</v>
      </c>
      <c r="G141" s="126">
        <f t="shared" si="25"/>
        <v>9.2664756207104265E-2</v>
      </c>
      <c r="H141" s="126">
        <f t="shared" si="26"/>
        <v>5.8351294400425927E-2</v>
      </c>
      <c r="I141" s="126">
        <f t="shared" si="27"/>
        <v>9.8432412902209249E-2</v>
      </c>
      <c r="J141" s="126">
        <f t="shared" si="28"/>
        <v>-2.491478114194573E-2</v>
      </c>
      <c r="M141" s="5"/>
      <c r="Y141">
        <f t="shared" si="29"/>
        <v>-0.5</v>
      </c>
    </row>
    <row r="142" spans="2:25" x14ac:dyDescent="0.3">
      <c r="B142" s="126">
        <v>9.6895879225656123E-2</v>
      </c>
      <c r="C142" s="126">
        <f t="shared" si="21"/>
        <v>4.194138249631596E-2</v>
      </c>
      <c r="D142" s="126">
        <f t="shared" si="22"/>
        <v>1.6810039298728138E-2</v>
      </c>
      <c r="E142" s="126">
        <f t="shared" si="23"/>
        <v>6.6984388019584368E-2</v>
      </c>
      <c r="F142" s="126">
        <f t="shared" si="24"/>
        <v>6.6884472601272171E-2</v>
      </c>
      <c r="G142" s="126">
        <f t="shared" si="25"/>
        <v>9.409274305540119E-2</v>
      </c>
      <c r="H142" s="126">
        <f t="shared" si="26"/>
        <v>5.8657643690297405E-2</v>
      </c>
      <c r="I142" s="126">
        <f t="shared" si="27"/>
        <v>9.9699015395911056E-2</v>
      </c>
      <c r="J142" s="126">
        <f t="shared" si="28"/>
        <v>-2.5037565092841128E-2</v>
      </c>
      <c r="M142" s="5"/>
      <c r="Y142">
        <f t="shared" si="29"/>
        <v>-0.5</v>
      </c>
    </row>
    <row r="143" spans="2:25" x14ac:dyDescent="0.3">
      <c r="B143" s="126">
        <v>9.8252122930037711E-2</v>
      </c>
      <c r="C143" s="126">
        <f t="shared" si="21"/>
        <v>4.2148862032235536E-2</v>
      </c>
      <c r="D143" s="126">
        <f t="shared" si="22"/>
        <v>1.6899344228398901E-2</v>
      </c>
      <c r="E143" s="126">
        <f t="shared" si="23"/>
        <v>6.4715009229246404E-2</v>
      </c>
      <c r="F143" s="126">
        <f t="shared" si="24"/>
        <v>6.4624892715394427E-2</v>
      </c>
      <c r="G143" s="126">
        <f t="shared" si="25"/>
        <v>9.5530152828809237E-2</v>
      </c>
      <c r="H143" s="126">
        <f t="shared" si="26"/>
        <v>5.8960222124377779E-2</v>
      </c>
      <c r="I143" s="126">
        <f t="shared" si="27"/>
        <v>0.10097409303126618</v>
      </c>
      <c r="J143" s="126">
        <f t="shared" si="28"/>
        <v>-2.5161533667579977E-2</v>
      </c>
      <c r="M143" s="5"/>
      <c r="Y143">
        <f t="shared" si="29"/>
        <v>-0.5</v>
      </c>
    </row>
    <row r="144" spans="2:25" x14ac:dyDescent="0.3">
      <c r="B144" s="126">
        <v>9.9617302228520166E-2</v>
      </c>
      <c r="C144" s="126">
        <f t="shared" si="21"/>
        <v>4.2355237727999491E-2</v>
      </c>
      <c r="D144" s="126">
        <f t="shared" si="22"/>
        <v>1.6986149369473964E-2</v>
      </c>
      <c r="E144" s="126">
        <f t="shared" si="23"/>
        <v>6.2460251253798685E-2</v>
      </c>
      <c r="F144" s="126">
        <f t="shared" si="24"/>
        <v>6.2379215816177877E-2</v>
      </c>
      <c r="G144" s="126">
        <f t="shared" si="25"/>
        <v>9.6976928846453467E-2</v>
      </c>
      <c r="H144" s="126">
        <f t="shared" si="26"/>
        <v>5.9259008172713484E-2</v>
      </c>
      <c r="I144" s="126">
        <f t="shared" si="27"/>
        <v>0.10225767561058687</v>
      </c>
      <c r="J144" s="126">
        <f t="shared" si="28"/>
        <v>-2.5286709433765556E-2</v>
      </c>
      <c r="M144" s="5"/>
      <c r="Y144">
        <f t="shared" si="29"/>
        <v>-0.5</v>
      </c>
    </row>
    <row r="145" spans="2:25" x14ac:dyDescent="0.3">
      <c r="B145" s="126">
        <v>0.10099140359327796</v>
      </c>
      <c r="C145" s="126">
        <f t="shared" si="21"/>
        <v>4.2560512184284235E-2</v>
      </c>
      <c r="D145" s="126">
        <f t="shared" si="22"/>
        <v>1.7070433971537489E-2</v>
      </c>
      <c r="E145" s="126">
        <f t="shared" si="23"/>
        <v>6.0220718589766006E-2</v>
      </c>
      <c r="F145" s="126">
        <f t="shared" si="24"/>
        <v>6.014807906872615E-2</v>
      </c>
      <c r="G145" s="126">
        <f t="shared" si="25"/>
        <v>9.843301381266073E-2</v>
      </c>
      <c r="H145" s="126">
        <f t="shared" si="26"/>
        <v>5.9553981835611183E-2</v>
      </c>
      <c r="I145" s="126">
        <f t="shared" si="27"/>
        <v>0.10354979337389519</v>
      </c>
      <c r="J145" s="126">
        <f t="shared" si="28"/>
        <v>-2.5413113892536202E-2</v>
      </c>
      <c r="M145" s="5"/>
      <c r="Y145">
        <f t="shared" si="29"/>
        <v>-0.5</v>
      </c>
    </row>
    <row r="146" spans="2:25" x14ac:dyDescent="0.3">
      <c r="B146" s="126">
        <v>0.10237441340807496</v>
      </c>
      <c r="C146" s="126">
        <f t="shared" si="21"/>
        <v>4.276468793613835E-2</v>
      </c>
      <c r="D146" s="126">
        <f t="shared" si="22"/>
        <v>1.715217860751278E-2</v>
      </c>
      <c r="E146" s="126">
        <f t="shared" si="23"/>
        <v>5.7997018496771136E-2</v>
      </c>
      <c r="F146" s="126">
        <f t="shared" si="24"/>
        <v>5.7932122115825817E-2</v>
      </c>
      <c r="G146" s="126">
        <f t="shared" si="25"/>
        <v>9.9898349825663812E-2</v>
      </c>
      <c r="H146" s="126">
        <f t="shared" si="26"/>
        <v>5.9845124669024558E-2</v>
      </c>
      <c r="I146" s="126">
        <f t="shared" si="27"/>
        <v>0.10485047699048611</v>
      </c>
      <c r="J146" s="126">
        <f t="shared" si="28"/>
        <v>-2.5540767453998997E-2</v>
      </c>
      <c r="M146" s="5"/>
      <c r="Y146">
        <f t="shared" si="29"/>
        <v>-0.5</v>
      </c>
    </row>
    <row r="147" spans="2:25" x14ac:dyDescent="0.3">
      <c r="B147" s="126">
        <v>0.1037663179683993</v>
      </c>
      <c r="C147" s="126">
        <f t="shared" si="21"/>
        <v>4.2967767451432388E-2</v>
      </c>
      <c r="D147" s="126">
        <f t="shared" si="22"/>
        <v>1.7231365198625066E-2</v>
      </c>
      <c r="E147" s="126">
        <f t="shared" si="23"/>
        <v>5.5789760968327065E-2</v>
      </c>
      <c r="F147" s="126">
        <f t="shared" si="24"/>
        <v>5.5731986993626637E-2</v>
      </c>
      <c r="G147" s="126">
        <f t="shared" si="25"/>
        <v>0.10137287838636796</v>
      </c>
      <c r="H147" s="126">
        <f t="shared" si="26"/>
        <v>6.0132419809526397E-2</v>
      </c>
      <c r="I147" s="126">
        <f t="shared" si="27"/>
        <v>0.10615975755043064</v>
      </c>
      <c r="J147" s="126">
        <f t="shared" si="28"/>
        <v>-2.5669689412276264E-2</v>
      </c>
      <c r="M147" s="5"/>
      <c r="Y147">
        <f t="shared" si="29"/>
        <v>-0.5</v>
      </c>
    </row>
    <row r="148" spans="2:25" x14ac:dyDescent="0.3">
      <c r="B148" s="126">
        <v>0.10516710348159974</v>
      </c>
      <c r="C148" s="126">
        <f t="shared" si="21"/>
        <v>4.3169753129309672E-2</v>
      </c>
      <c r="D148" s="126">
        <f t="shared" si="22"/>
        <v>1.7307977039347163E-2</v>
      </c>
      <c r="E148" s="126">
        <f t="shared" si="23"/>
        <v>5.3599558702486977E-2</v>
      </c>
      <c r="F148" s="126">
        <f t="shared" si="24"/>
        <v>5.3548318048637071E-2</v>
      </c>
      <c r="G148" s="126">
        <f t="shared" si="25"/>
        <v>0.1028565404071681</v>
      </c>
      <c r="H148" s="126">
        <f t="shared" si="26"/>
        <v>6.0415851998855602E-2</v>
      </c>
      <c r="I148" s="126">
        <f t="shared" si="27"/>
        <v>0.10747766655603139</v>
      </c>
      <c r="J148" s="126">
        <f t="shared" si="28"/>
        <v>-2.5799897920161279E-2</v>
      </c>
      <c r="M148" s="5"/>
      <c r="Y148">
        <f t="shared" si="29"/>
        <v>-0.5</v>
      </c>
    </row>
    <row r="149" spans="2:25" x14ac:dyDescent="0.3">
      <c r="B149" s="126">
        <v>0.10657675606702155</v>
      </c>
      <c r="C149" s="126">
        <f t="shared" si="21"/>
        <v>4.3370647298637717E-2</v>
      </c>
      <c r="D149" s="126">
        <f t="shared" si="22"/>
        <v>1.7381998822324517E-2</v>
      </c>
      <c r="E149" s="126">
        <f t="shared" si="23"/>
        <v>5.1427027072355844E-2</v>
      </c>
      <c r="F149" s="126">
        <f t="shared" si="24"/>
        <v>5.1381761856157344E-2</v>
      </c>
      <c r="G149" s="126">
        <f t="shared" si="25"/>
        <v>0.10434927622080312</v>
      </c>
      <c r="H149" s="126">
        <f t="shared" si="26"/>
        <v>6.0695407608028766E-2</v>
      </c>
      <c r="I149" s="126">
        <f t="shared" si="27"/>
        <v>0.10880423591323998</v>
      </c>
      <c r="J149" s="126">
        <f t="shared" si="28"/>
        <v>-2.5931409963379733E-2</v>
      </c>
      <c r="M149" s="5"/>
      <c r="Y149">
        <f t="shared" si="29"/>
        <v>-0.5</v>
      </c>
    </row>
    <row r="150" spans="2:25" x14ac:dyDescent="0.3">
      <c r="B150" s="126">
        <v>0.10799526175614471</v>
      </c>
      <c r="C150" s="126">
        <f t="shared" si="21"/>
        <v>4.3570452216461247E-2</v>
      </c>
      <c r="D150" s="126">
        <f t="shared" si="22"/>
        <v>1.7453416663276398E-2</v>
      </c>
      <c r="E150" s="126">
        <f t="shared" si="23"/>
        <v>4.9272784096460374E-2</v>
      </c>
      <c r="F150" s="126">
        <f t="shared" si="24"/>
        <v>4.9232967140262242E-2</v>
      </c>
      <c r="G150" s="126">
        <f t="shared" si="25"/>
        <v>0.10585102558923892</v>
      </c>
      <c r="H150" s="126">
        <f t="shared" si="26"/>
        <v>6.0971074661007228E-2</v>
      </c>
      <c r="I150" s="126">
        <f t="shared" si="27"/>
        <v>0.1101394979230505</v>
      </c>
      <c r="J150" s="126">
        <f t="shared" si="28"/>
        <v>-2.6064241334454431E-2</v>
      </c>
      <c r="M150" s="5"/>
      <c r="Y150">
        <f t="shared" si="29"/>
        <v>-0.5</v>
      </c>
    </row>
    <row r="151" spans="2:25" x14ac:dyDescent="0.3">
      <c r="B151" s="126">
        <v>0.10942260649272206</v>
      </c>
      <c r="C151" s="126">
        <f t="shared" si="21"/>
        <v>4.3769170066456344E-2</v>
      </c>
      <c r="D151" s="126">
        <f t="shared" si="22"/>
        <v>1.7522218125869762E-2</v>
      </c>
      <c r="E151" s="126">
        <f t="shared" si="23"/>
        <v>4.7137450408982241E-2</v>
      </c>
      <c r="F151" s="126">
        <f t="shared" si="24"/>
        <v>4.7102584695451671E-2</v>
      </c>
      <c r="G151" s="126">
        <f t="shared" si="25"/>
        <v>0.1073617277125658</v>
      </c>
      <c r="H151" s="126">
        <f t="shared" si="26"/>
        <v>6.1242842857909902E-2</v>
      </c>
      <c r="I151" s="126">
        <f t="shared" si="27"/>
        <v>0.11148348527287832</v>
      </c>
      <c r="J151" s="126">
        <f t="shared" si="28"/>
        <v>-2.6198406606170375E-2</v>
      </c>
      <c r="M151" s="5"/>
      <c r="Y151">
        <f t="shared" si="29"/>
        <v>-0.5</v>
      </c>
    </row>
    <row r="152" spans="2:25" x14ac:dyDescent="0.3">
      <c r="B152" s="126">
        <v>0.11085877613291861</v>
      </c>
      <c r="C152" s="126">
        <f t="shared" si="21"/>
        <v>4.3966802957386246E-2</v>
      </c>
      <c r="D152" s="126">
        <f t="shared" si="22"/>
        <v>1.7588392246562393E-2</v>
      </c>
      <c r="E152" s="126">
        <f t="shared" si="23"/>
        <v>4.5021649229855007E-2</v>
      </c>
      <c r="F152" s="126">
        <f t="shared" si="24"/>
        <v>4.4991267310078908E-2</v>
      </c>
      <c r="G152" s="126">
        <f t="shared" si="25"/>
        <v>0.10888132123790038</v>
      </c>
      <c r="H152" s="126">
        <f t="shared" si="26"/>
        <v>6.1510703597762895E-2</v>
      </c>
      <c r="I152" s="126">
        <f t="shared" si="27"/>
        <v>0.11283623102793684</v>
      </c>
      <c r="J152" s="126">
        <f t="shared" si="28"/>
        <v>-2.6333919104638111E-2</v>
      </c>
      <c r="M152" s="5"/>
      <c r="Y152">
        <f t="shared" si="29"/>
        <v>-0.5</v>
      </c>
    </row>
    <row r="153" spans="2:25" x14ac:dyDescent="0.3">
      <c r="B153" s="126">
        <v>0.11230375644545154</v>
      </c>
      <c r="C153" s="126">
        <f t="shared" si="21"/>
        <v>4.4163352921559096E-2</v>
      </c>
      <c r="D153" s="126">
        <f t="shared" si="22"/>
        <v>1.7651929559412013E-2</v>
      </c>
      <c r="E153" s="126">
        <f t="shared" si="23"/>
        <v>4.2926006334724078E-2</v>
      </c>
      <c r="F153" s="126">
        <f t="shared" si="24"/>
        <v>4.2899669691662291E-2</v>
      </c>
      <c r="G153" s="126">
        <f t="shared" si="25"/>
        <v>0.11040974426828022</v>
      </c>
      <c r="H153" s="126">
        <f t="shared" si="26"/>
        <v>6.1774650000777698E-2</v>
      </c>
      <c r="I153" s="126">
        <f t="shared" si="27"/>
        <v>0.11419776862262286</v>
      </c>
      <c r="J153" s="126">
        <f t="shared" si="28"/>
        <v>-2.6470790881953671E-2</v>
      </c>
      <c r="M153" s="5"/>
      <c r="Y153">
        <f t="shared" si="29"/>
        <v>-0.5</v>
      </c>
    </row>
    <row r="154" spans="2:25" x14ac:dyDescent="0.3">
      <c r="B154" s="126">
        <v>0.11375753311173153</v>
      </c>
      <c r="C154" s="126">
        <f t="shared" si="21"/>
        <v>4.4358821913287529E-2</v>
      </c>
      <c r="D154" s="126">
        <f t="shared" si="22"/>
        <v>1.7712822120847894E-2</v>
      </c>
      <c r="E154" s="126">
        <f t="shared" si="23"/>
        <v>4.0851150024773471E-2</v>
      </c>
      <c r="F154" s="126">
        <f t="shared" si="24"/>
        <v>4.0828448394186825E-2</v>
      </c>
      <c r="G154" s="126">
        <f t="shared" si="25"/>
        <v>0.11194693437154055</v>
      </c>
      <c r="H154" s="126">
        <f t="shared" si="26"/>
        <v>6.2034676930149107E-2</v>
      </c>
      <c r="I154" s="126">
        <f t="shared" si="27"/>
        <v>0.11556813185192252</v>
      </c>
      <c r="J154" s="126">
        <f t="shared" si="28"/>
        <v>-2.6609032688453316E-2</v>
      </c>
      <c r="M154" s="5"/>
      <c r="Y154">
        <f t="shared" si="29"/>
        <v>-0.5</v>
      </c>
    </row>
    <row r="155" spans="2:25" x14ac:dyDescent="0.3">
      <c r="B155" s="126">
        <v>0.11522009172600445</v>
      </c>
      <c r="C155" s="126">
        <f t="shared" si="21"/>
        <v>4.4553211807350605E-2</v>
      </c>
      <c r="D155" s="126">
        <f t="shared" si="22"/>
        <v>1.7771063534401606E-2</v>
      </c>
      <c r="E155" s="126">
        <f t="shared" si="23"/>
        <v>3.8797711096419073E-2</v>
      </c>
      <c r="F155" s="126">
        <f t="shared" si="24"/>
        <v>3.8778261747493971E-2</v>
      </c>
      <c r="G155" s="126">
        <f t="shared" si="25"/>
        <v>0.11349282858916142</v>
      </c>
      <c r="H155" s="126">
        <f t="shared" si="26"/>
        <v>6.229078101336534E-2</v>
      </c>
      <c r="I155" s="126">
        <f t="shared" si="27"/>
        <v>0.11694735486284748</v>
      </c>
      <c r="J155" s="126">
        <f t="shared" si="28"/>
        <v>-2.6748653944562124E-2</v>
      </c>
      <c r="M155" s="5"/>
      <c r="Y155">
        <f t="shared" si="29"/>
        <v>-0.5</v>
      </c>
    </row>
    <row r="156" spans="2:25" x14ac:dyDescent="0.3">
      <c r="B156" s="126">
        <v>0.11669141779549419</v>
      </c>
      <c r="C156" s="126">
        <f t="shared" si="21"/>
        <v>4.4746524397458139E-2</v>
      </c>
      <c r="D156" s="126">
        <f t="shared" si="22"/>
        <v>1.7826648975393516E-2</v>
      </c>
      <c r="E156" s="126">
        <f t="shared" si="23"/>
        <v>3.6766322810870264E-2</v>
      </c>
      <c r="F156" s="126">
        <f t="shared" si="24"/>
        <v>3.6749769788856058E-2</v>
      </c>
      <c r="G156" s="126">
        <f t="shared" si="25"/>
        <v>0.11504736344507534</v>
      </c>
      <c r="H156" s="126">
        <f t="shared" si="26"/>
        <v>6.2542960663022507E-2</v>
      </c>
      <c r="I156" s="126">
        <f t="shared" si="27"/>
        <v>0.11833547214591304</v>
      </c>
      <c r="J156" s="126">
        <f t="shared" si="28"/>
        <v>-2.6889662712235481E-2</v>
      </c>
      <c r="M156" s="5"/>
      <c r="Y156">
        <f t="shared" si="29"/>
        <v>-0.5</v>
      </c>
    </row>
    <row r="157" spans="2:25" x14ac:dyDescent="0.3">
      <c r="B157" s="126">
        <v>0.11817149674054617</v>
      </c>
      <c r="C157" s="126">
        <f t="shared" si="21"/>
        <v>4.4938761394717641E-2</v>
      </c>
      <c r="D157" s="126">
        <f t="shared" si="22"/>
        <v>1.7879575215571611E-2</v>
      </c>
      <c r="E157" s="126">
        <f t="shared" si="23"/>
        <v>3.4757620863561038E-2</v>
      </c>
      <c r="F157" s="126">
        <f t="shared" si="24"/>
        <v>3.4743634196826259E-2</v>
      </c>
      <c r="G157" s="126">
        <f t="shared" si="25"/>
        <v>0.11661047495442434</v>
      </c>
      <c r="H157" s="126">
        <f t="shared" si="26"/>
        <v>6.2791216097136143E-2</v>
      </c>
      <c r="I157" s="126">
        <f t="shared" si="27"/>
        <v>0.119732518526668</v>
      </c>
      <c r="J157" s="126">
        <f t="shared" si="28"/>
        <v>-2.7032065665992915E-2</v>
      </c>
      <c r="M157" s="5"/>
      <c r="Y157">
        <f t="shared" si="29"/>
        <v>-0.5</v>
      </c>
    </row>
    <row r="158" spans="2:25" x14ac:dyDescent="0.3">
      <c r="B158" s="126">
        <v>0.11966031389477194</v>
      </c>
      <c r="C158" s="126">
        <f t="shared" si="21"/>
        <v>4.5129924426104147E-2</v>
      </c>
      <c r="D158" s="126">
        <f t="shared" si="22"/>
        <v>1.7929840647699296E-2</v>
      </c>
      <c r="E158" s="126">
        <f t="shared" si="23"/>
        <v>3.2772243353451622E-2</v>
      </c>
      <c r="F158" s="126">
        <f t="shared" si="24"/>
        <v>3.2760518227450394E-2</v>
      </c>
      <c r="G158" s="126">
        <f t="shared" si="25"/>
        <v>0.11818209863225716</v>
      </c>
      <c r="H158" s="126">
        <f t="shared" si="26"/>
        <v>6.3035549358942705E-2</v>
      </c>
      <c r="I158" s="126">
        <f t="shared" si="27"/>
        <v>0.12113852915728672</v>
      </c>
      <c r="J158" s="126">
        <f t="shared" si="28"/>
        <v>-2.7175868063544117E-2</v>
      </c>
      <c r="M158" s="5"/>
      <c r="Y158">
        <f t="shared" si="29"/>
        <v>-0.5</v>
      </c>
    </row>
    <row r="159" spans="2:25" x14ac:dyDescent="0.3">
      <c r="B159" s="126">
        <v>0.12115785450519423</v>
      </c>
      <c r="C159" s="126">
        <f t="shared" si="21"/>
        <v>4.5320015032933085E-2</v>
      </c>
      <c r="D159" s="126">
        <f t="shared" si="22"/>
        <v>1.7977445310088703E-2</v>
      </c>
      <c r="E159" s="126">
        <f t="shared" si="23"/>
        <v>3.081083075220253E-2</v>
      </c>
      <c r="F159" s="126">
        <f t="shared" si="24"/>
        <v>3.080108665292252E-2</v>
      </c>
      <c r="G159" s="126">
        <f t="shared" si="25"/>
        <v>0.11976216950215576</v>
      </c>
      <c r="H159" s="126">
        <f t="shared" si="26"/>
        <v>6.3275964336184626E-2</v>
      </c>
      <c r="I159" s="126">
        <f t="shared" si="27"/>
        <v>0.1225535395082327</v>
      </c>
      <c r="J159" s="126">
        <f t="shared" si="28"/>
        <v>-2.7321073716007224E-2</v>
      </c>
      <c r="M159" s="5"/>
      <c r="Y159">
        <f t="shared" si="29"/>
        <v>-0.5</v>
      </c>
    </row>
    <row r="160" spans="2:25" x14ac:dyDescent="0.3">
      <c r="B160" s="126">
        <v>0.12266410373239378</v>
      </c>
      <c r="C160" s="126">
        <f t="shared" si="21"/>
        <v>4.5509034669336368E-2</v>
      </c>
      <c r="D160" s="126">
        <f t="shared" si="22"/>
        <v>1.8022390911076193E-2</v>
      </c>
      <c r="E160" s="126">
        <f t="shared" si="23"/>
        <v>2.8874025873221146E-2</v>
      </c>
      <c r="F160" s="126">
        <f t="shared" si="24"/>
        <v>2.8866005702759209E-2</v>
      </c>
      <c r="G160" s="126">
        <f t="shared" si="25"/>
        <v>0.12135062210478338</v>
      </c>
      <c r="H160" s="126">
        <f t="shared" si="26"/>
        <v>6.3512466779871907E-2</v>
      </c>
      <c r="I160" s="126">
        <f t="shared" si="27"/>
        <v>0.12397758536000418</v>
      </c>
      <c r="J160" s="126">
        <f t="shared" si="28"/>
        <v>-2.7467684957719514E-2</v>
      </c>
      <c r="M160" s="5"/>
      <c r="Y160">
        <f t="shared" si="29"/>
        <v>-0.5</v>
      </c>
    </row>
    <row r="161" spans="2:25" x14ac:dyDescent="0.3">
      <c r="B161" s="126">
        <v>0.12417904665065549</v>
      </c>
      <c r="C161" s="126">
        <f t="shared" si="21"/>
        <v>4.5696984700742016E-2</v>
      </c>
      <c r="D161" s="126">
        <f t="shared" si="22"/>
        <v>1.8064680853436602E-2</v>
      </c>
      <c r="E161" s="126">
        <f t="shared" si="23"/>
        <v>2.6962473840584006E-2</v>
      </c>
      <c r="F161" s="126">
        <f t="shared" si="24"/>
        <v>2.6955943007564889E-2</v>
      </c>
      <c r="G161" s="126">
        <f t="shared" si="25"/>
        <v>0.12294739050634262</v>
      </c>
      <c r="H161" s="126">
        <f t="shared" si="26"/>
        <v>6.3745064322514727E-2</v>
      </c>
      <c r="I161" s="126">
        <f t="shared" si="27"/>
        <v>0.12541070279496835</v>
      </c>
      <c r="J161" s="126">
        <f t="shared" si="28"/>
        <v>-2.7615702615641526E-2</v>
      </c>
      <c r="M161" s="5"/>
      <c r="Y161">
        <f t="shared" si="29"/>
        <v>-0.5</v>
      </c>
    </row>
    <row r="162" spans="2:25" x14ac:dyDescent="0.3">
      <c r="B162" s="126">
        <v>0.12570266824811704</v>
      </c>
      <c r="C162" s="126">
        <f t="shared" si="21"/>
        <v>4.5883866402357337E-2</v>
      </c>
      <c r="D162" s="126">
        <f t="shared" si="22"/>
        <v>1.8104320258732813E-2</v>
      </c>
      <c r="E162" s="126">
        <f t="shared" si="23"/>
        <v>2.5076822057833761E-2</v>
      </c>
      <c r="F162" s="126">
        <f t="shared" si="24"/>
        <v>2.5071567545450629E-2</v>
      </c>
      <c r="G162" s="126">
        <f t="shared" si="25"/>
        <v>0.12455240830693821</v>
      </c>
      <c r="H162" s="126">
        <f t="shared" si="26"/>
        <v>6.3973766495820705E-2</v>
      </c>
      <c r="I162" s="126">
        <f t="shared" si="27"/>
        <v>0.12685292818929586</v>
      </c>
      <c r="J162" s="126">
        <f t="shared" si="28"/>
        <v>-2.7765125978355072E-2</v>
      </c>
      <c r="M162" s="5"/>
      <c r="Y162">
        <f t="shared" si="29"/>
        <v>-0.5</v>
      </c>
    </row>
    <row r="163" spans="2:25" x14ac:dyDescent="0.3">
      <c r="B163" s="126">
        <v>0.1272349534269176</v>
      </c>
      <c r="C163" s="126">
        <f t="shared" si="21"/>
        <v>4.6069680957656199E-2</v>
      </c>
      <c r="D163" s="126">
        <f t="shared" si="22"/>
        <v>1.814131599159733E-2</v>
      </c>
      <c r="E163" s="126">
        <f t="shared" si="23"/>
        <v>2.3217720176653869E-2</v>
      </c>
      <c r="F163" s="126">
        <f t="shared" si="24"/>
        <v>2.321354959116663E-2</v>
      </c>
      <c r="G163" s="126">
        <f t="shared" si="25"/>
        <v>0.12616560864883394</v>
      </c>
      <c r="H163" s="126">
        <f t="shared" si="26"/>
        <v>6.4198584747851381E-2</v>
      </c>
      <c r="I163" s="126">
        <f t="shared" si="27"/>
        <v>0.12830429820500125</v>
      </c>
      <c r="J163" s="126">
        <f t="shared" si="28"/>
        <v>-2.7915952764656721E-2</v>
      </c>
      <c r="M163" s="5"/>
      <c r="Y163">
        <f t="shared" si="29"/>
        <v>-0.5</v>
      </c>
    </row>
    <row r="164" spans="2:25" x14ac:dyDescent="0.3">
      <c r="B164" s="126">
        <v>0.12877588700334663</v>
      </c>
      <c r="C164" s="126">
        <f t="shared" si="21"/>
        <v>4.6254429456870041E-2</v>
      </c>
      <c r="D164" s="126">
        <f t="shared" si="22"/>
        <v>1.8175676683942404E-2</v>
      </c>
      <c r="E164" s="126">
        <f t="shared" si="23"/>
        <v>2.1385820065422206E-2</v>
      </c>
      <c r="F164" s="126">
        <f t="shared" si="24"/>
        <v>2.1382560668000712E-2</v>
      </c>
      <c r="G164" s="126">
        <f t="shared" si="25"/>
        <v>0.12778692422459639</v>
      </c>
      <c r="H164" s="126">
        <f t="shared" si="26"/>
        <v>6.4419532459632362E-2</v>
      </c>
      <c r="I164" s="126">
        <f t="shared" si="27"/>
        <v>0.12976484978209687</v>
      </c>
      <c r="J164" s="126">
        <f t="shared" si="28"/>
        <v>-2.8068179091747553E-2</v>
      </c>
      <c r="M164" s="5"/>
      <c r="Y164">
        <f t="shared" si="29"/>
        <v>-0.5</v>
      </c>
    </row>
    <row r="165" spans="2:25" x14ac:dyDescent="0.3">
      <c r="B165" s="126">
        <v>0.13032545370799575</v>
      </c>
      <c r="C165" s="126">
        <f t="shared" si="21"/>
        <v>4.6438112895483594E-2</v>
      </c>
      <c r="D165" s="126">
        <f t="shared" si="22"/>
        <v>1.8207412759095331E-2</v>
      </c>
      <c r="E165" s="126">
        <f t="shared" si="23"/>
        <v>1.9581775777642561E-2</v>
      </c>
      <c r="F165" s="126">
        <f t="shared" si="24"/>
        <v>1.957927350248604E-2</v>
      </c>
      <c r="G165" s="126">
        <f t="shared" si="25"/>
        <v>0.12941628728512131</v>
      </c>
      <c r="H165" s="126">
        <f t="shared" si="26"/>
        <v>6.4636624961212197E-2</v>
      </c>
      <c r="I165" s="126">
        <f t="shared" si="27"/>
        <v>0.1312346201308702</v>
      </c>
      <c r="J165" s="126">
        <f t="shared" si="28"/>
        <v>-2.8221799443021531E-2</v>
      </c>
      <c r="M165" s="5"/>
      <c r="Y165">
        <f t="shared" si="29"/>
        <v>-0.5</v>
      </c>
    </row>
    <row r="166" spans="2:25" x14ac:dyDescent="0.3">
      <c r="B166" s="126">
        <v>0.13188363818590843</v>
      </c>
      <c r="C166" s="126">
        <f t="shared" si="21"/>
        <v>4.6620732172734658E-2</v>
      </c>
      <c r="D166" s="126">
        <f t="shared" si="22"/>
        <v>1.8236536455855525E-2</v>
      </c>
      <c r="E166" s="126">
        <f t="shared" si="23"/>
        <v>1.7806243520260577E-2</v>
      </c>
      <c r="F166" s="126">
        <f t="shared" si="24"/>
        <v>1.780436198196229E-2</v>
      </c>
      <c r="G166" s="126">
        <f t="shared" si="25"/>
        <v>0.13105362964753112</v>
      </c>
      <c r="H166" s="126">
        <f t="shared" si="26"/>
        <v>6.4849879547164452E-2</v>
      </c>
      <c r="I166" s="126">
        <f t="shared" si="27"/>
        <v>0.13271364672428573</v>
      </c>
      <c r="J166" s="126">
        <f t="shared" si="28"/>
        <v>-2.8376806635453396E-2</v>
      </c>
      <c r="M166" s="5"/>
      <c r="Y166">
        <f t="shared" si="29"/>
        <v>-0.5</v>
      </c>
    </row>
    <row r="167" spans="2:25" x14ac:dyDescent="0.3">
      <c r="B167" s="126">
        <v>0.13345042499673354</v>
      </c>
      <c r="C167" s="126">
        <f t="shared" si="21"/>
        <v>4.6802288090119028E-2</v>
      </c>
      <c r="D167" s="126">
        <f t="shared" si="22"/>
        <v>1.8263061852470015E-2</v>
      </c>
      <c r="E167" s="126">
        <f t="shared" si="23"/>
        <v>1.6059881621857737E-2</v>
      </c>
      <c r="F167" s="126">
        <f t="shared" si="24"/>
        <v>1.6058501115014428E-2</v>
      </c>
      <c r="G167" s="126">
        <f t="shared" si="25"/>
        <v>0.13269888270294383</v>
      </c>
      <c r="H167" s="126">
        <f t="shared" si="26"/>
        <v>6.5059315491529018E-2</v>
      </c>
      <c r="I167" s="126">
        <f t="shared" si="27"/>
        <v>0.13420196729052325</v>
      </c>
      <c r="J167" s="126">
        <f t="shared" si="28"/>
        <v>-2.8533191786588981E-2</v>
      </c>
      <c r="M167" s="5"/>
      <c r="Y167">
        <f t="shared" si="29"/>
        <v>-0.5</v>
      </c>
    </row>
    <row r="168" spans="2:25" x14ac:dyDescent="0.3">
      <c r="B168" s="126">
        <v>0.13502579861487751</v>
      </c>
      <c r="C168" s="126">
        <f t="shared" si="21"/>
        <v>4.6982781349899951E-2</v>
      </c>
      <c r="D168" s="126">
        <f t="shared" si="22"/>
        <v>1.8287004890523904E-2</v>
      </c>
      <c r="E168" s="126">
        <f t="shared" si="23"/>
        <v>1.4343350500732892E-2</v>
      </c>
      <c r="F168" s="126">
        <f t="shared" si="24"/>
        <v>1.4342366994821826E-2</v>
      </c>
      <c r="G168" s="126">
        <f t="shared" si="25"/>
        <v>0.13435197742410274</v>
      </c>
      <c r="H168" s="126">
        <f t="shared" si="26"/>
        <v>6.5264954062187089E-2</v>
      </c>
      <c r="I168" s="126">
        <f t="shared" si="27"/>
        <v>0.13569961980565229</v>
      </c>
      <c r="J168" s="126">
        <f t="shared" si="28"/>
        <v>-2.8690944281139278E-2</v>
      </c>
      <c r="M168" s="5"/>
      <c r="Y168">
        <f t="shared" si="29"/>
        <v>-0.5</v>
      </c>
    </row>
    <row r="169" spans="2:25" x14ac:dyDescent="0.3">
      <c r="B169" s="126">
        <v>0.13660974342965859</v>
      </c>
      <c r="C169" s="126">
        <f t="shared" si="21"/>
        <v>4.7162212553622893E-2</v>
      </c>
      <c r="D169" s="126">
        <f t="shared" si="22"/>
        <v>1.8308383398742533E-2</v>
      </c>
      <c r="E169" s="126">
        <f t="shared" si="23"/>
        <v>1.265731263286634E-2</v>
      </c>
      <c r="F169" s="126">
        <f t="shared" si="24"/>
        <v>1.2656636765428551E-2</v>
      </c>
      <c r="G169" s="126">
        <f t="shared" si="25"/>
        <v>0.13601284437286645</v>
      </c>
      <c r="H169" s="126">
        <f t="shared" si="26"/>
        <v>6.5466818534666044E-2</v>
      </c>
      <c r="I169" s="126">
        <f t="shared" si="27"/>
        <v>0.13720664248645073</v>
      </c>
      <c r="J169" s="126">
        <f t="shared" si="28"/>
        <v>-2.8850051737180981E-2</v>
      </c>
      <c r="M169" s="5"/>
      <c r="Y169">
        <f t="shared" si="29"/>
        <v>-0.5</v>
      </c>
    </row>
    <row r="170" spans="2:25" x14ac:dyDescent="0.3">
      <c r="B170" s="126">
        <v>0.13820224374546131</v>
      </c>
      <c r="C170" s="126">
        <f t="shared" si="21"/>
        <v>4.7340582200635584E-2</v>
      </c>
      <c r="D170" s="126">
        <f t="shared" si="22"/>
        <v>1.8327217116701742E-2</v>
      </c>
      <c r="E170" s="126">
        <f t="shared" si="23"/>
        <v>1.1002432519771257E-2</v>
      </c>
      <c r="F170" s="126">
        <f t="shared" si="24"/>
        <v>1.1001988590947647E-2</v>
      </c>
      <c r="G170" s="126">
        <f t="shared" si="25"/>
        <v>0.13768141370755321</v>
      </c>
      <c r="H170" s="126">
        <f t="shared" si="26"/>
        <v>6.5664934205369493E-2</v>
      </c>
      <c r="I170" s="126">
        <f t="shared" si="27"/>
        <v>0.1387230737833694</v>
      </c>
      <c r="J170" s="126">
        <f t="shared" si="28"/>
        <v>-2.9010499971966013E-2</v>
      </c>
      <c r="M170" s="5"/>
      <c r="Y170">
        <f t="shared" si="29"/>
        <v>-0.5</v>
      </c>
    </row>
    <row r="171" spans="2:25" x14ac:dyDescent="0.3">
      <c r="B171" s="126">
        <v>0.13980328378189188</v>
      </c>
      <c r="C171" s="126">
        <f t="shared" si="21"/>
        <v>4.7517890686613558E-2</v>
      </c>
      <c r="D171" s="126">
        <f t="shared" si="22"/>
        <v>1.834352771844321E-2</v>
      </c>
      <c r="E171" s="126">
        <f t="shared" si="23"/>
        <v>9.3793766562331269E-3</v>
      </c>
      <c r="F171" s="126">
        <f t="shared" si="24"/>
        <v>9.3791016277001999E-3</v>
      </c>
      <c r="G171" s="126">
        <f t="shared" si="25"/>
        <v>0.1393576151901374</v>
      </c>
      <c r="H171" s="126">
        <f t="shared" si="26"/>
        <v>6.5859328404228562E-2</v>
      </c>
      <c r="I171" s="126">
        <f t="shared" si="27"/>
        <v>0.14024895237364637</v>
      </c>
      <c r="J171" s="126">
        <f t="shared" si="28"/>
        <v>-2.917227296734214E-2</v>
      </c>
      <c r="M171" s="5"/>
      <c r="Y171">
        <f t="shared" si="29"/>
        <v>-0.5</v>
      </c>
    </row>
    <row r="172" spans="2:25" x14ac:dyDescent="0.3">
      <c r="B172" s="126">
        <v>0.14141284767393503</v>
      </c>
      <c r="C172" s="126">
        <f t="shared" si="21"/>
        <v>4.7694138302091488E-2</v>
      </c>
      <c r="D172" s="126">
        <f t="shared" si="22"/>
        <v>1.8357338835991083E-2</v>
      </c>
      <c r="E172" s="126">
        <f t="shared" si="23"/>
        <v>7.7888134979369637E-3</v>
      </c>
      <c r="F172" s="126">
        <f t="shared" si="24"/>
        <v>7.7886559992809525E-3</v>
      </c>
      <c r="G172" s="126">
        <f t="shared" si="25"/>
        <v>0.14104137819329671</v>
      </c>
      <c r="H172" s="126">
        <f t="shared" si="26"/>
        <v>6.6050030506769997E-2</v>
      </c>
      <c r="I172" s="126">
        <f t="shared" si="27"/>
        <v>0.14178431715457335</v>
      </c>
      <c r="J172" s="126">
        <f t="shared" si="28"/>
        <v>-2.9335352834787831E-2</v>
      </c>
      <c r="M172" s="5"/>
      <c r="Y172">
        <f t="shared" si="29"/>
        <v>-0.5</v>
      </c>
    </row>
    <row r="173" spans="2:25" x14ac:dyDescent="0.3">
      <c r="B173" s="126">
        <v>0.143030919472111</v>
      </c>
      <c r="C173" s="126">
        <f t="shared" si="21"/>
        <v>4.7869325231000411E-2</v>
      </c>
      <c r="D173" s="126">
        <f t="shared" si="22"/>
        <v>1.8368676082766908E-2</v>
      </c>
      <c r="E173" s="126">
        <f t="shared" si="23"/>
        <v>6.2314134289855171E-3</v>
      </c>
      <c r="F173" s="126">
        <f t="shared" si="24"/>
        <v>6.2313327745372295E-3</v>
      </c>
      <c r="G173" s="126">
        <f t="shared" si="25"/>
        <v>0.14273263170730735</v>
      </c>
      <c r="H173" s="126">
        <f t="shared" si="26"/>
        <v>6.6237071945597539E-2</v>
      </c>
      <c r="I173" s="126">
        <f t="shared" si="27"/>
        <v>0.14332920723691464</v>
      </c>
      <c r="J173" s="126">
        <f t="shared" si="28"/>
        <v>-2.9499719780063726E-2</v>
      </c>
      <c r="M173" s="5"/>
      <c r="Y173">
        <f t="shared" si="29"/>
        <v>-0.5</v>
      </c>
    </row>
    <row r="174" spans="2:25" x14ac:dyDescent="0.3">
      <c r="B174" s="126">
        <v>0.14465748314263338</v>
      </c>
      <c r="C174" s="126">
        <f t="shared" si="21"/>
        <v>4.8043451549211053E-2</v>
      </c>
      <c r="D174" s="126">
        <f t="shared" si="22"/>
        <v>1.8377567076899196E-2</v>
      </c>
      <c r="E174" s="126">
        <f t="shared" si="23"/>
        <v>4.707848729309877E-3</v>
      </c>
      <c r="F174" s="126">
        <f t="shared" si="24"/>
        <v>4.7078139484376122E-3</v>
      </c>
      <c r="G174" s="126">
        <f t="shared" si="25"/>
        <v>0.14443130434678716</v>
      </c>
      <c r="H174" s="126">
        <f t="shared" si="26"/>
        <v>6.6420486221281952E-2</v>
      </c>
      <c r="I174" s="126">
        <f t="shared" si="27"/>
        <v>0.1448836619384796</v>
      </c>
      <c r="J174" s="126">
        <f t="shared" si="28"/>
        <v>-2.9665352067483563E-2</v>
      </c>
      <c r="M174" s="5"/>
      <c r="Y174">
        <f t="shared" si="29"/>
        <v>-0.5</v>
      </c>
    </row>
    <row r="175" spans="2:25" x14ac:dyDescent="0.3">
      <c r="B175" s="126">
        <v>0.14629252256756808</v>
      </c>
      <c r="C175" s="126">
        <f t="shared" si="21"/>
        <v>4.821651722308358E-2</v>
      </c>
      <c r="D175" s="126">
        <f t="shared" si="22"/>
        <v>1.8384041464424468E-2</v>
      </c>
      <c r="E175" s="126">
        <f t="shared" si="23"/>
        <v>3.2187935419723422E-3</v>
      </c>
      <c r="F175" s="126">
        <f t="shared" si="24"/>
        <v>3.2187824257964644E-3</v>
      </c>
      <c r="G175" s="126">
        <f t="shared" si="25"/>
        <v>0.14613732435728771</v>
      </c>
      <c r="H175" s="126">
        <f t="shared" si="26"/>
        <v>6.6600308912656517E-2</v>
      </c>
      <c r="I175" s="126">
        <f t="shared" si="27"/>
        <v>0.14644772077784846</v>
      </c>
      <c r="J175" s="126">
        <f t="shared" si="28"/>
        <v>-2.9832225983807581E-2</v>
      </c>
      <c r="M175" s="5"/>
      <c r="Y175">
        <f t="shared" si="29"/>
        <v>-0.5</v>
      </c>
    </row>
    <row r="176" spans="2:25" x14ac:dyDescent="0.3">
      <c r="B176" s="126">
        <v>0.14793602154499341</v>
      </c>
      <c r="C176" s="126">
        <f t="shared" si="21"/>
        <v>4.838852210802385E-2</v>
      </c>
      <c r="D176" s="126">
        <f t="shared" si="22"/>
        <v>1.8388130942376395E-2</v>
      </c>
      <c r="E176" s="126">
        <f t="shared" si="23"/>
        <v>1.7649238403633146E-3</v>
      </c>
      <c r="F176" s="126">
        <f t="shared" si="24"/>
        <v>1.7649220078132753E-3</v>
      </c>
      <c r="G176" s="126">
        <f t="shared" si="25"/>
        <v>0.14785061962173654</v>
      </c>
      <c r="H176" s="126">
        <f t="shared" si="26"/>
        <v>6.6776577686513752E-2</v>
      </c>
      <c r="I176" s="126">
        <f t="shared" si="27"/>
        <v>0.14802142346825028</v>
      </c>
      <c r="J176" s="126">
        <f t="shared" si="28"/>
        <v>-3.0000315801760963E-2</v>
      </c>
      <c r="M176" s="5"/>
      <c r="Y176">
        <f t="shared" si="29"/>
        <v>-0.5</v>
      </c>
    </row>
    <row r="177" spans="2:25" x14ac:dyDescent="0.3">
      <c r="B177" s="126">
        <v>0.14958796378916006</v>
      </c>
      <c r="C177" s="126">
        <f t="shared" si="21"/>
        <v>4.8559465947046333E-2</v>
      </c>
      <c r="D177" s="126">
        <f t="shared" si="22"/>
        <v>1.8389869281759518E-2</v>
      </c>
      <c r="E177" s="126">
        <f t="shared" si="23"/>
        <v>3.4691739529479925E-4</v>
      </c>
      <c r="F177" s="126">
        <f t="shared" si="24"/>
        <v>3.4691738137743655E-4</v>
      </c>
      <c r="G177" s="126">
        <f t="shared" si="25"/>
        <v>0.14957111766673054</v>
      </c>
      <c r="H177" s="126">
        <f t="shared" si="26"/>
        <v>6.6949332306699486E-2</v>
      </c>
      <c r="I177" s="126">
        <f t="shared" si="27"/>
        <v>0.14960480991158959</v>
      </c>
      <c r="J177" s="126">
        <f t="shared" si="28"/>
        <v>-3.0169593743180446E-2</v>
      </c>
      <c r="M177" s="5"/>
      <c r="Y177">
        <f t="shared" si="29"/>
        <v>-0.5</v>
      </c>
    </row>
    <row r="178" spans="2:25" x14ac:dyDescent="0.3">
      <c r="B178" s="126">
        <v>0.15124833293065298</v>
      </c>
      <c r="C178" s="126">
        <f t="shared" si="21"/>
        <v>4.8729348369344276E-2</v>
      </c>
      <c r="D178" s="126">
        <f t="shared" si="22"/>
        <v>1.8389292350404506E-2</v>
      </c>
      <c r="E178" s="126">
        <f t="shared" si="23"/>
        <v>-1.0345462580093067E-3</v>
      </c>
      <c r="F178" s="126">
        <f t="shared" si="24"/>
        <v>-1.0345458889227655E-3</v>
      </c>
      <c r="G178" s="126">
        <f t="shared" si="25"/>
        <v>0.1512987456686857</v>
      </c>
      <c r="H178" s="126">
        <f t="shared" si="26"/>
        <v>6.7118614642601021E-2</v>
      </c>
      <c r="I178" s="126">
        <f t="shared" si="27"/>
        <v>0.15119792019262027</v>
      </c>
      <c r="J178" s="126">
        <f t="shared" si="28"/>
        <v>-3.0340029941792003E-2</v>
      </c>
      <c r="M178" s="5"/>
      <c r="Y178">
        <f t="shared" si="29"/>
        <v>-0.5</v>
      </c>
    </row>
    <row r="179" spans="2:25" x14ac:dyDescent="0.3">
      <c r="B179" s="126">
        <v>0.15291711251655316</v>
      </c>
      <c r="C179" s="126">
        <f t="shared" si="21"/>
        <v>4.8898168888866556E-2</v>
      </c>
      <c r="D179" s="126">
        <f t="shared" si="22"/>
        <v>1.838643813570133E-2</v>
      </c>
      <c r="E179" s="126">
        <f t="shared" si="23"/>
        <v>-2.3787858530241843E-3</v>
      </c>
      <c r="F179" s="126">
        <f t="shared" si="24"/>
        <v>-2.3787813661559909E-3</v>
      </c>
      <c r="G179" s="126">
        <f t="shared" si="25"/>
        <v>0.1530334304598456</v>
      </c>
      <c r="H179" s="126">
        <f t="shared" si="26"/>
        <v>6.7284468677024617E-2</v>
      </c>
      <c r="I179" s="126">
        <f t="shared" si="27"/>
        <v>0.15280079457326071</v>
      </c>
      <c r="J179" s="126">
        <f t="shared" si="28"/>
        <v>-3.0511592405621964E-2</v>
      </c>
      <c r="M179" s="5"/>
      <c r="Y179">
        <f t="shared" si="29"/>
        <v>-0.5</v>
      </c>
    </row>
    <row r="180" spans="2:25" x14ac:dyDescent="0.3">
      <c r="B180" s="126">
        <v>0.15459428601060099</v>
      </c>
      <c r="C180" s="126">
        <f t="shared" si="21"/>
        <v>4.9065926902902367E-2</v>
      </c>
      <c r="D180" s="126">
        <f t="shared" si="22"/>
        <v>1.838134676720719E-2</v>
      </c>
      <c r="E180" s="126">
        <f t="shared" si="23"/>
        <v>-3.6851184251361019E-3</v>
      </c>
      <c r="F180" s="126">
        <f t="shared" si="24"/>
        <v>-3.6851017438491404E-3</v>
      </c>
      <c r="G180" s="126">
        <f t="shared" si="25"/>
        <v>0.15477509853415555</v>
      </c>
      <c r="H180" s="126">
        <f t="shared" si="26"/>
        <v>6.7446940513459605E-2</v>
      </c>
      <c r="I180" s="126">
        <f t="shared" si="27"/>
        <v>0.15441347348704643</v>
      </c>
      <c r="J180" s="126">
        <f t="shared" si="28"/>
        <v>-3.0684246979045229E-2</v>
      </c>
      <c r="M180" s="5"/>
      <c r="Y180">
        <f t="shared" si="29"/>
        <v>-0.5</v>
      </c>
    </row>
    <row r="181" spans="2:25" x14ac:dyDescent="0.3">
      <c r="B181" s="126">
        <v>0.15627983679335988</v>
      </c>
      <c r="C181" s="126">
        <f t="shared" si="21"/>
        <v>4.9232621690673113E-2</v>
      </c>
      <c r="D181" s="126">
        <f t="shared" si="22"/>
        <v>1.837406053912588E-2</v>
      </c>
      <c r="E181" s="126">
        <f t="shared" si="23"/>
        <v>-4.952859344951854E-3</v>
      </c>
      <c r="F181" s="126">
        <f t="shared" si="24"/>
        <v>-4.9528188463213527E-3</v>
      </c>
      <c r="G181" s="126">
        <f t="shared" si="25"/>
        <v>0.15652367605300738</v>
      </c>
      <c r="H181" s="126">
        <f t="shared" si="26"/>
        <v>6.7606078382724283E-2</v>
      </c>
      <c r="I181" s="126">
        <f t="shared" si="27"/>
        <v>0.15603599753371239</v>
      </c>
      <c r="J181" s="126">
        <f t="shared" si="28"/>
        <v>-3.0857957304472522E-2</v>
      </c>
      <c r="M181" s="5"/>
      <c r="Y181">
        <f t="shared" si="29"/>
        <v>-0.5</v>
      </c>
    </row>
    <row r="182" spans="2:25" x14ac:dyDescent="0.3">
      <c r="B182" s="126">
        <v>0.15797374816238119</v>
      </c>
      <c r="C182" s="126">
        <f t="shared" si="21"/>
        <v>4.939825241193229E-2</v>
      </c>
      <c r="D182" s="126">
        <f t="shared" si="22"/>
        <v>1.8364623932655141E-2</v>
      </c>
      <c r="E182" s="126">
        <f t="shared" si="23"/>
        <v>-6.1813223517064387E-3</v>
      </c>
      <c r="F182" s="126">
        <f t="shared" si="24"/>
        <v>-6.1812436266526294E-3</v>
      </c>
      <c r="G182" s="126">
        <f t="shared" si="25"/>
        <v>0.15827908885086361</v>
      </c>
      <c r="H182" s="126">
        <f t="shared" si="26"/>
        <v>6.77619326489904E-2</v>
      </c>
      <c r="I182" s="126">
        <f t="shared" si="27"/>
        <v>0.15766840747389876</v>
      </c>
      <c r="J182" s="126">
        <f t="shared" si="28"/>
        <v>-3.1032684783680115E-2</v>
      </c>
      <c r="M182" s="5"/>
      <c r="Y182">
        <f t="shared" si="29"/>
        <v>-0.5</v>
      </c>
    </row>
    <row r="183" spans="2:25" x14ac:dyDescent="0.3">
      <c r="B183" s="126">
        <v>0.15967600333236964</v>
      </c>
      <c r="C183" s="126">
        <f t="shared" si="21"/>
        <v>4.9562818105573211E-2</v>
      </c>
      <c r="D183" s="126">
        <f t="shared" si="22"/>
        <v>1.8353083638198871E-2</v>
      </c>
      <c r="E183" s="126">
        <f t="shared" si="23"/>
        <v>-7.369819586767027E-3</v>
      </c>
      <c r="F183" s="126">
        <f t="shared" si="24"/>
        <v>-7.3696861623966867E-3</v>
      </c>
      <c r="G183" s="126">
        <f t="shared" si="25"/>
        <v>0.16004126244076858</v>
      </c>
      <c r="H183" s="126">
        <f t="shared" si="26"/>
        <v>6.7914555815181951E-2</v>
      </c>
      <c r="I183" s="126">
        <f t="shared" si="27"/>
        <v>0.15931074422397071</v>
      </c>
      <c r="J183" s="126">
        <f t="shared" si="28"/>
        <v>-3.1208388538784205E-2</v>
      </c>
      <c r="M183" s="5"/>
      <c r="Y183">
        <f t="shared" si="29"/>
        <v>-0.5</v>
      </c>
    </row>
    <row r="184" spans="2:25" x14ac:dyDescent="0.3">
      <c r="B184" s="126">
        <v>0.16138658543534967</v>
      </c>
      <c r="C184" s="126">
        <f t="shared" si="21"/>
        <v>4.9726317688244925E-2</v>
      </c>
      <c r="D184" s="126">
        <f t="shared" si="22"/>
        <v>1.8339488577440811E-2</v>
      </c>
      <c r="E184" s="126">
        <f t="shared" si="23"/>
        <v>-8.5176616272301629E-3</v>
      </c>
      <c r="F184" s="126">
        <f t="shared" si="24"/>
        <v>-8.5174556491572143E-3</v>
      </c>
      <c r="G184" s="126">
        <f t="shared" si="25"/>
        <v>0.16181012201975684</v>
      </c>
      <c r="H184" s="126">
        <f t="shared" si="26"/>
        <v>6.8064002527744333E-2</v>
      </c>
      <c r="I184" s="126">
        <f t="shared" si="27"/>
        <v>0.16096304885094251</v>
      </c>
      <c r="J184" s="126">
        <f t="shared" si="28"/>
        <v>-3.1385025372862703E-2</v>
      </c>
      <c r="M184" s="5"/>
      <c r="Y184">
        <f t="shared" si="29"/>
        <v>-0.5</v>
      </c>
    </row>
    <row r="185" spans="2:25" x14ac:dyDescent="0.3">
      <c r="B185" s="126">
        <v>0.16310547752083215</v>
      </c>
      <c r="C185" s="126">
        <f t="shared" si="21"/>
        <v>4.9888749952976458E-2</v>
      </c>
      <c r="D185" s="126">
        <f t="shared" si="22"/>
        <v>1.8323889925276386E-2</v>
      </c>
      <c r="E185" s="126">
        <f t="shared" si="23"/>
        <v>-9.6241575196134074E-3</v>
      </c>
      <c r="F185" s="126">
        <f t="shared" si="24"/>
        <v>-9.6238603921618548E-3</v>
      </c>
      <c r="G185" s="126">
        <f t="shared" si="25"/>
        <v>0.1635855924741694</v>
      </c>
      <c r="H185" s="126">
        <f t="shared" si="26"/>
        <v>6.8210329580779869E-2</v>
      </c>
      <c r="I185" s="126">
        <f t="shared" si="27"/>
        <v>0.16262536256749491</v>
      </c>
      <c r="J185" s="126">
        <f t="shared" si="28"/>
        <v>-3.1562549730227096E-2</v>
      </c>
      <c r="M185" s="5"/>
      <c r="Y185">
        <f t="shared" si="29"/>
        <v>-0.5</v>
      </c>
    </row>
    <row r="186" spans="2:25" x14ac:dyDescent="0.3">
      <c r="B186" s="126">
        <v>0.16483266255598328</v>
      </c>
      <c r="C186" s="126">
        <f t="shared" si="21"/>
        <v>5.0050113567809765E-2</v>
      </c>
      <c r="D186" s="126">
        <f t="shared" si="22"/>
        <v>1.830634113159952E-2</v>
      </c>
      <c r="E186" s="126">
        <f t="shared" si="23"/>
        <v>-1.0688614813638673E-2</v>
      </c>
      <c r="F186" s="126">
        <f t="shared" si="24"/>
        <v>-1.0688207795975362E-2</v>
      </c>
      <c r="G186" s="126">
        <f t="shared" si="25"/>
        <v>0.16536759838489168</v>
      </c>
      <c r="H186" s="126">
        <f t="shared" si="26"/>
        <v>6.8353595919545734E-2</v>
      </c>
      <c r="I186" s="126">
        <f t="shared" si="27"/>
        <v>0.16429772672707488</v>
      </c>
      <c r="J186" s="126">
        <f t="shared" si="28"/>
        <v>-3.1740913656346695E-2</v>
      </c>
      <c r="M186" s="5"/>
      <c r="Y186">
        <f t="shared" si="29"/>
        <v>-0.5</v>
      </c>
    </row>
    <row r="187" spans="2:25" x14ac:dyDescent="0.3">
      <c r="B187" s="126">
        <v>0.1665681234257923</v>
      </c>
      <c r="C187" s="126">
        <f t="shared" si="21"/>
        <v>5.0210407074441181E-2</v>
      </c>
      <c r="D187" s="126">
        <f t="shared" si="22"/>
        <v>1.8286897942941006E-2</v>
      </c>
      <c r="E187" s="126">
        <f t="shared" si="23"/>
        <v>-1.1710339596105217E-2</v>
      </c>
      <c r="F187" s="126">
        <f t="shared" si="24"/>
        <v>-1.1709804352505465E-2</v>
      </c>
      <c r="G187" s="126">
        <f t="shared" si="25"/>
        <v>0.16715606403252328</v>
      </c>
      <c r="H187" s="126">
        <f t="shared" si="26"/>
        <v>6.8493862643309519E-2</v>
      </c>
      <c r="I187" s="126">
        <f t="shared" si="27"/>
        <v>0.16598018281906132</v>
      </c>
      <c r="J187" s="126">
        <f t="shared" si="28"/>
        <v>-3.1920066757427507E-2</v>
      </c>
      <c r="M187" s="5"/>
      <c r="Y187">
        <f t="shared" si="29"/>
        <v>-0.5</v>
      </c>
    </row>
    <row r="188" spans="2:25" x14ac:dyDescent="0.3">
      <c r="B188" s="126">
        <v>0.16831184293324197</v>
      </c>
      <c r="C188" s="126">
        <f t="shared" si="21"/>
        <v>5.0369628886872166E-2</v>
      </c>
      <c r="D188" s="126">
        <f t="shared" si="22"/>
        <v>1.8265618423955455E-2</v>
      </c>
      <c r="E188" s="126">
        <f t="shared" si="23"/>
        <v>-1.2688636524852331E-2</v>
      </c>
      <c r="F188" s="126">
        <f t="shared" si="24"/>
        <v>-1.268795562746855E-2</v>
      </c>
      <c r="G188" s="126">
        <f t="shared" si="25"/>
        <v>0.16895091340249865</v>
      </c>
      <c r="H188" s="126">
        <f t="shared" si="26"/>
        <v>6.8631193007559196E-2</v>
      </c>
      <c r="I188" s="126">
        <f t="shared" si="27"/>
        <v>0.16767277246398529</v>
      </c>
      <c r="J188" s="126">
        <f t="shared" si="28"/>
        <v>-3.209995615964828E-2</v>
      </c>
      <c r="M188" s="5"/>
      <c r="Y188">
        <f t="shared" si="29"/>
        <v>-0.5</v>
      </c>
    </row>
    <row r="189" spans="2:25" x14ac:dyDescent="0.3">
      <c r="B189" s="126">
        <v>0.17006380379947839</v>
      </c>
      <c r="C189" s="126">
        <f t="shared" si="21"/>
        <v>5.0527777290068861E-2</v>
      </c>
      <c r="D189" s="126">
        <f t="shared" si="22"/>
        <v>1.8242562978753148E-2</v>
      </c>
      <c r="E189" s="126">
        <f t="shared" si="23"/>
        <v>-1.3622808862809267E-2</v>
      </c>
      <c r="F189" s="126">
        <f t="shared" si="24"/>
        <v>-1.3621966245491621E-2</v>
      </c>
      <c r="G189" s="126">
        <f t="shared" si="25"/>
        <v>0.17075207019017088</v>
      </c>
      <c r="H189" s="126">
        <f t="shared" si="26"/>
        <v>6.8765652425561929E-2</v>
      </c>
      <c r="I189" s="126">
        <f t="shared" si="27"/>
        <v>0.16937553740878589</v>
      </c>
      <c r="J189" s="126">
        <f t="shared" si="28"/>
        <v>-3.228052646805564E-2</v>
      </c>
      <c r="M189" s="5"/>
      <c r="Y189">
        <f t="shared" si="29"/>
        <v>-0.5</v>
      </c>
    </row>
    <row r="190" spans="2:25" x14ac:dyDescent="0.3">
      <c r="B190" s="126">
        <v>0.17182398866398252</v>
      </c>
      <c r="C190" s="126">
        <f t="shared" si="21"/>
        <v>5.0684850438631267E-2</v>
      </c>
      <c r="D190" s="126">
        <f t="shared" si="22"/>
        <v>1.8217794372073978E-2</v>
      </c>
      <c r="E190" s="126">
        <f t="shared" si="23"/>
        <v>-1.4512158512131605E-2</v>
      </c>
      <c r="F190" s="126">
        <f t="shared" si="24"/>
        <v>-1.4511139874040659E-2</v>
      </c>
      <c r="G190" s="126">
        <f t="shared" si="25"/>
        <v>0.17255945780587881</v>
      </c>
      <c r="H190" s="126">
        <f t="shared" si="26"/>
        <v>6.8897308469268503E-2</v>
      </c>
      <c r="I190" s="126">
        <f t="shared" si="27"/>
        <v>0.17108851952208623</v>
      </c>
      <c r="J190" s="126">
        <f t="shared" si="28"/>
        <v>-3.2461719725120547E-2</v>
      </c>
      <c r="M190" s="5"/>
      <c r="Y190">
        <f t="shared" si="29"/>
        <v>-0.5</v>
      </c>
    </row>
    <row r="191" spans="2:25" x14ac:dyDescent="0.3">
      <c r="B191" s="126">
        <v>0.1735923800847422</v>
      </c>
      <c r="C191" s="126">
        <f t="shared" si="21"/>
        <v>5.0840846355471835E-2</v>
      </c>
      <c r="D191" s="126">
        <f t="shared" si="22"/>
        <v>1.8191377750300042E-2</v>
      </c>
      <c r="E191" s="126">
        <f t="shared" si="23"/>
        <v>-1.5355986048422114E-2</v>
      </c>
      <c r="F191" s="126">
        <f t="shared" si="24"/>
        <v>-1.5354779206376627E-2</v>
      </c>
      <c r="G191" s="126">
        <f t="shared" si="25"/>
        <v>0.17437299938001513</v>
      </c>
      <c r="H191" s="126">
        <f t="shared" si="26"/>
        <v>6.9026230869558114E-2</v>
      </c>
      <c r="I191" s="126">
        <f t="shared" si="27"/>
        <v>0.17281176078946928</v>
      </c>
      <c r="J191" s="126">
        <f t="shared" si="28"/>
        <v>-3.2643475368958022E-2</v>
      </c>
      <c r="M191" s="5"/>
      <c r="Y191">
        <f t="shared" si="29"/>
        <v>-0.5</v>
      </c>
    </row>
    <row r="192" spans="2:25" x14ac:dyDescent="0.3">
      <c r="B192" s="126">
        <v>0.17536896053842488</v>
      </c>
      <c r="C192" s="126">
        <f t="shared" si="21"/>
        <v>5.0995762930503841E-2</v>
      </c>
      <c r="D192" s="126">
        <f t="shared" si="22"/>
        <v>1.8163380662303587E-2</v>
      </c>
      <c r="E192" s="126">
        <f t="shared" si="23"/>
        <v>-1.6153590755034909E-2</v>
      </c>
      <c r="F192" s="126">
        <f t="shared" si="24"/>
        <v>-1.6152185943753672E-2</v>
      </c>
      <c r="G192" s="126">
        <f t="shared" si="25"/>
        <v>0.17619261776811568</v>
      </c>
      <c r="H192" s="126">
        <f t="shared" si="26"/>
        <v>6.9152491515819439E-2</v>
      </c>
      <c r="I192" s="126">
        <f t="shared" si="27"/>
        <v>0.17454530330873408</v>
      </c>
      <c r="J192" s="126">
        <f t="shared" si="28"/>
        <v>-3.2825730191212266E-2</v>
      </c>
      <c r="M192" s="5"/>
      <c r="Y192">
        <f t="shared" si="29"/>
        <v>-0.5</v>
      </c>
    </row>
    <row r="193" spans="2:25" x14ac:dyDescent="0.3">
      <c r="B193" s="126">
        <v>0.17715371242055111</v>
      </c>
      <c r="C193" s="126">
        <f t="shared" si="21"/>
        <v>5.1149597919339679E-2</v>
      </c>
      <c r="D193" s="126">
        <f t="shared" si="22"/>
        <v>1.8133873080127361E-2</v>
      </c>
      <c r="E193" s="126">
        <f t="shared" si="23"/>
        <v>-1.6904270657461831E-2</v>
      </c>
      <c r="F193" s="126">
        <f t="shared" si="24"/>
        <v>-1.6902660777086957E-2</v>
      </c>
      <c r="G193" s="126">
        <f t="shared" si="25"/>
        <v>0.17801823555599242</v>
      </c>
      <c r="H193" s="126">
        <f t="shared" si="26"/>
        <v>6.927616445486344E-2</v>
      </c>
      <c r="I193" s="126">
        <f t="shared" si="27"/>
        <v>0.17628918928510981</v>
      </c>
      <c r="J193" s="126">
        <f t="shared" si="28"/>
        <v>-3.3008418294608724E-2</v>
      </c>
      <c r="M193" s="5"/>
      <c r="Y193">
        <f t="shared" si="29"/>
        <v>-0.5</v>
      </c>
    </row>
    <row r="194" spans="2:25" x14ac:dyDescent="0.3">
      <c r="B194" s="126">
        <v>0.17894661804566958</v>
      </c>
      <c r="C194" s="126">
        <f t="shared" ref="C194:C257" si="30">IF(B194&lt;$N$1, ($A$7/0.2)*($O$1*SQRT(B194)+$P$1*B194+$Q$1*(B194^2)+$R$1*(B194^3)), ($A$7/0.2)*($S$1+$T$1*(1-B194)+$U$1*((1-B194)^2)+$V$1*((1-B194)^3)))</f>
        <v>5.13023489419994E-2</v>
      </c>
      <c r="D194" s="126">
        <f t="shared" ref="D194:D257" si="31" xml:space="preserve"> IF(B194&lt;$A$8, ($A$10/6)*((B194^3)-3*$A$8*(B194^2)+($A$8^2)*(3-$A$8)*B194), (($A$10*($A$8^3))/6)*(1-B194))</f>
        <v>1.8102927419493913E-2</v>
      </c>
      <c r="E194" s="126">
        <f t="shared" ref="E194:E257" si="32">IF(B194&lt;$A$8, ($A$10/6)*(3*(B194^2)-6*$A$8*B194+($A$8^2)*(3-$A$8)), -($A$10*($A$8^3))/6)</f>
        <v>-1.7607322557798989E-2</v>
      </c>
      <c r="F194" s="126">
        <f t="shared" ref="F194:F257" si="33" xml:space="preserve"> ATAN(E194)</f>
        <v>-1.760550336832967E-2</v>
      </c>
      <c r="G194" s="126">
        <f t="shared" ref="G194:G257" si="34">B194-C194*SIN(F194)</f>
        <v>0.17984977506493333</v>
      </c>
      <c r="H194" s="126">
        <f t="shared" ref="H194:H257" si="35">D194+C194*COS(F194)</f>
        <v>6.9397325889163308E-2</v>
      </c>
      <c r="I194" s="126">
        <f t="shared" ref="I194:I257" si="36">B194+C194*SIN(F194)</f>
        <v>0.17804346102640584</v>
      </c>
      <c r="J194" s="126">
        <f t="shared" ref="J194:J257" si="37">D194-C194*COS(F194)</f>
        <v>-3.3191471050175475E-2</v>
      </c>
      <c r="M194" s="5"/>
      <c r="Y194">
        <f t="shared" ref="Y194:Y257" si="38">IF($Z$1, D194, -0.5)</f>
        <v>-0.5</v>
      </c>
    </row>
    <row r="195" spans="2:25" x14ac:dyDescent="0.3">
      <c r="B195" s="126">
        <v>0.18074765964753159</v>
      </c>
      <c r="C195" s="126">
        <f t="shared" si="30"/>
        <v>5.145401348162934E-2</v>
      </c>
      <c r="D195" s="126">
        <f t="shared" si="31"/>
        <v>1.8070618560140868E-2</v>
      </c>
      <c r="E195" s="126">
        <f t="shared" si="32"/>
        <v>-1.8262042069292411E-2</v>
      </c>
      <c r="F195" s="126">
        <f t="shared" si="33"/>
        <v>-1.8260012331812982E-2</v>
      </c>
      <c r="G195" s="126">
        <f t="shared" si="34"/>
        <v>0.18168715835699256</v>
      </c>
      <c r="H195" s="126">
        <f t="shared" si="35"/>
        <v>6.9516054174416836E-2</v>
      </c>
      <c r="I195" s="126">
        <f t="shared" si="36"/>
        <v>0.17980816093807062</v>
      </c>
      <c r="J195" s="126">
        <f t="shared" si="37"/>
        <v>-3.3374817054135107E-2</v>
      </c>
      <c r="M195" s="5"/>
      <c r="Y195">
        <f t="shared" si="38"/>
        <v>-0.5</v>
      </c>
    </row>
    <row r="196" spans="2:25" x14ac:dyDescent="0.3">
      <c r="B196" s="126">
        <v>0.1825568193792676</v>
      </c>
      <c r="C196" s="126">
        <f t="shared" si="30"/>
        <v>5.1604588883231564E-2</v>
      </c>
      <c r="D196" s="126">
        <f t="shared" si="31"/>
        <v>1.8037023865978843E-2</v>
      </c>
      <c r="E196" s="126">
        <f t="shared" si="32"/>
        <v>-1.8867723650961728E-2</v>
      </c>
      <c r="F196" s="126">
        <f t="shared" si="33"/>
        <v>-1.8865485215816467E-2</v>
      </c>
      <c r="G196" s="126">
        <f t="shared" si="34"/>
        <v>0.18353030724039984</v>
      </c>
      <c r="H196" s="126">
        <f t="shared" si="35"/>
        <v>6.9632429816427338E-2</v>
      </c>
      <c r="I196" s="126">
        <f t="shared" si="36"/>
        <v>0.18158333151813535</v>
      </c>
      <c r="J196" s="126">
        <f t="shared" si="37"/>
        <v>-3.3558382084469644E-2</v>
      </c>
      <c r="M196" s="5"/>
      <c r="Y196">
        <f t="shared" si="38"/>
        <v>-0.5</v>
      </c>
    </row>
    <row r="197" spans="2:25" x14ac:dyDescent="0.3">
      <c r="B197" s="126">
        <v>0.18437407931356398</v>
      </c>
      <c r="C197" s="126">
        <f t="shared" si="30"/>
        <v>5.1754072352403792E-2</v>
      </c>
      <c r="D197" s="126">
        <f t="shared" si="31"/>
        <v>1.8002223205068956E-2</v>
      </c>
      <c r="E197" s="126">
        <f t="shared" si="32"/>
        <v>-1.9423660642299036E-2</v>
      </c>
      <c r="F197" s="126">
        <f t="shared" si="33"/>
        <v>-1.9421218484648443E-2</v>
      </c>
      <c r="G197" s="126">
        <f t="shared" si="34"/>
        <v>0.18537914327511465</v>
      </c>
      <c r="H197" s="126">
        <f t="shared" si="35"/>
        <v>6.9746535467297727E-2</v>
      </c>
      <c r="I197" s="126">
        <f t="shared" si="36"/>
        <v>0.1833690153520133</v>
      </c>
      <c r="J197" s="126">
        <f t="shared" si="37"/>
        <v>-3.3742089057159808E-2</v>
      </c>
      <c r="M197" s="5"/>
      <c r="Y197">
        <f t="shared" si="38"/>
        <v>-0.5</v>
      </c>
    </row>
    <row r="198" spans="2:25" x14ac:dyDescent="0.3">
      <c r="B198" s="126">
        <v>0.18619942144284063</v>
      </c>
      <c r="C198" s="126">
        <f t="shared" si="30"/>
        <v>5.1902460954090346E-2</v>
      </c>
      <c r="D198" s="126">
        <f t="shared" si="31"/>
        <v>1.7966298969416782E-2</v>
      </c>
      <c r="E198" s="126">
        <f t="shared" si="32"/>
        <v>-1.9929145298043828E-2</v>
      </c>
      <c r="F198" s="126">
        <f t="shared" si="33"/>
        <v>-1.9926507501533717E-2</v>
      </c>
      <c r="G198" s="126">
        <f t="shared" si="34"/>
        <v>0.18723358777855631</v>
      </c>
      <c r="H198" s="126">
        <f t="shared" si="35"/>
        <v>6.9858455920934467E-2</v>
      </c>
      <c r="I198" s="126">
        <f t="shared" si="36"/>
        <v>0.18516525510712495</v>
      </c>
      <c r="J198" s="126">
        <f t="shared" si="37"/>
        <v>-3.3925857982100904E-2</v>
      </c>
      <c r="M198" s="5"/>
      <c r="Y198">
        <f t="shared" si="38"/>
        <v>-0.5</v>
      </c>
    </row>
    <row r="199" spans="2:25" x14ac:dyDescent="0.3">
      <c r="B199" s="126">
        <v>0.18803282767942942</v>
      </c>
      <c r="C199" s="126">
        <f t="shared" si="30"/>
        <v>5.2049751611344168E-2</v>
      </c>
      <c r="D199" s="126">
        <f t="shared" si="31"/>
        <v>1.7929336094579536E-2</v>
      </c>
      <c r="E199" s="126">
        <f t="shared" si="32"/>
        <v>-2.0383468823029958E-2</v>
      </c>
      <c r="F199" s="126">
        <f t="shared" si="33"/>
        <v>-2.0380646512615706E-2</v>
      </c>
      <c r="G199" s="126">
        <f t="shared" si="34"/>
        <v>0.1890935618315405</v>
      </c>
      <c r="H199" s="126">
        <f t="shared" si="35"/>
        <v>6.9968278107856191E-2</v>
      </c>
      <c r="I199" s="126">
        <f t="shared" si="36"/>
        <v>0.18697209352731833</v>
      </c>
      <c r="J199" s="126">
        <f t="shared" si="37"/>
        <v>-3.410960591869712E-2</v>
      </c>
      <c r="M199" s="5"/>
      <c r="Y199">
        <f t="shared" si="38"/>
        <v>-0.5</v>
      </c>
    </row>
    <row r="200" spans="2:25" x14ac:dyDescent="0.3">
      <c r="B200" s="126">
        <v>0.18987427985575323</v>
      </c>
      <c r="C200" s="126">
        <f t="shared" si="30"/>
        <v>5.219594110410012E-2</v>
      </c>
      <c r="D200" s="126">
        <f t="shared" si="31"/>
        <v>1.789142207908347E-2</v>
      </c>
      <c r="E200" s="126">
        <f t="shared" si="32"/>
        <v>-2.0785921407104963E-2</v>
      </c>
      <c r="F200" s="126">
        <f t="shared" si="33"/>
        <v>-2.0782928632399108E-2</v>
      </c>
      <c r="G200" s="126">
        <f t="shared" si="34"/>
        <v>0.19095898628445546</v>
      </c>
      <c r="H200" s="126">
        <f t="shared" si="35"/>
        <v>7.0076091089303516E-2</v>
      </c>
      <c r="I200" s="126">
        <f t="shared" si="36"/>
        <v>0.18878957342705099</v>
      </c>
      <c r="J200" s="126">
        <f t="shared" si="37"/>
        <v>-3.429324693113657E-2</v>
      </c>
      <c r="M200" s="5"/>
      <c r="Y200">
        <f t="shared" si="38"/>
        <v>-0.5</v>
      </c>
    </row>
    <row r="201" spans="2:25" x14ac:dyDescent="0.3">
      <c r="B201" s="126">
        <v>0.19172375972450661</v>
      </c>
      <c r="C201" s="126">
        <f t="shared" si="30"/>
        <v>5.2341026067959803E-2</v>
      </c>
      <c r="D201" s="126">
        <f t="shared" si="31"/>
        <v>1.7852647003648355E-2</v>
      </c>
      <c r="E201" s="126">
        <f t="shared" si="32"/>
        <v>-2.1135792260120287E-2</v>
      </c>
      <c r="F201" s="126">
        <f t="shared" si="33"/>
        <v>-2.1132645830972515E-2</v>
      </c>
      <c r="G201" s="126">
        <f t="shared" si="34"/>
        <v>0.19282978176371335</v>
      </c>
      <c r="H201" s="126">
        <f t="shared" si="35"/>
        <v>7.0181986050646045E-2</v>
      </c>
      <c r="I201" s="126">
        <f t="shared" si="36"/>
        <v>0.19061773768529988</v>
      </c>
      <c r="J201" s="126">
        <f t="shared" si="37"/>
        <v>-3.4476692043349327E-2</v>
      </c>
      <c r="M201" s="5"/>
      <c r="Y201">
        <f t="shared" si="38"/>
        <v>-0.5</v>
      </c>
    </row>
    <row r="202" spans="2:25" x14ac:dyDescent="0.3">
      <c r="B202" s="126">
        <v>0.19358124895883555</v>
      </c>
      <c r="C202" s="126">
        <f t="shared" si="30"/>
        <v>5.2485002992987841E-2</v>
      </c>
      <c r="D202" s="126">
        <f t="shared" si="31"/>
        <v>1.7813103550215884E-2</v>
      </c>
      <c r="E202" s="126">
        <f t="shared" si="32"/>
        <v>-2.1432369646989427E-2</v>
      </c>
      <c r="F202" s="126">
        <f t="shared" si="33"/>
        <v>-2.142908892336429E-2</v>
      </c>
      <c r="G202" s="126">
        <f t="shared" si="34"/>
        <v>0.19470586867851111</v>
      </c>
      <c r="H202" s="126">
        <f t="shared" si="35"/>
        <v>7.0286056294082494E-2</v>
      </c>
      <c r="I202" s="126">
        <f t="shared" si="36"/>
        <v>0.19245662923915999</v>
      </c>
      <c r="J202" s="126">
        <f t="shared" si="37"/>
        <v>-3.4659849193650734E-2</v>
      </c>
      <c r="M202" s="5"/>
      <c r="Y202">
        <f t="shared" si="38"/>
        <v>-0.5</v>
      </c>
    </row>
    <row r="203" spans="2:25" x14ac:dyDescent="0.3">
      <c r="B203" s="126">
        <v>0.19544672915252015</v>
      </c>
      <c r="C203" s="126">
        <f t="shared" si="30"/>
        <v>5.2627868222520378E-2</v>
      </c>
      <c r="D203" s="126">
        <f t="shared" si="31"/>
        <v>1.7772887020779046E-2</v>
      </c>
      <c r="E203" s="126">
        <f t="shared" si="32"/>
        <v>-2.1674940922814242E-2</v>
      </c>
      <c r="F203" s="126">
        <f t="shared" si="33"/>
        <v>-2.1671547561403944E-2</v>
      </c>
      <c r="G203" s="126">
        <f t="shared" si="34"/>
        <v>0.19658716722794242</v>
      </c>
      <c r="H203" s="126">
        <f t="shared" si="35"/>
        <v>7.0388397230631589E-2</v>
      </c>
      <c r="I203" s="126">
        <f t="shared" si="36"/>
        <v>0.19430629107709788</v>
      </c>
      <c r="J203" s="126">
        <f t="shared" si="37"/>
        <v>-3.4842623189073503E-2</v>
      </c>
      <c r="M203" s="5"/>
      <c r="Y203">
        <f t="shared" si="38"/>
        <v>-0.5</v>
      </c>
    </row>
    <row r="204" spans="2:25" x14ac:dyDescent="0.3">
      <c r="B204" s="126">
        <v>0.19732018182015654</v>
      </c>
      <c r="C204" s="126">
        <f t="shared" si="30"/>
        <v>5.276961795198528E-2</v>
      </c>
      <c r="D204" s="126">
        <f t="shared" si="31"/>
        <v>1.7732095356009399E-2</v>
      </c>
      <c r="E204" s="126">
        <f t="shared" si="32"/>
        <v>-2.1862792568077209E-2</v>
      </c>
      <c r="F204" s="126">
        <f t="shared" si="33"/>
        <v>-2.1859310228474815E-2</v>
      </c>
      <c r="G204" s="126">
        <f t="shared" si="34"/>
        <v>0.19847359740849799</v>
      </c>
      <c r="H204" s="126">
        <f t="shared" si="35"/>
        <v>7.0489106371409593E-2</v>
      </c>
      <c r="I204" s="126">
        <f t="shared" si="36"/>
        <v>0.19616676623181509</v>
      </c>
      <c r="J204" s="126">
        <f t="shared" si="37"/>
        <v>-3.5024915659390803E-2</v>
      </c>
      <c r="M204" s="5"/>
      <c r="Y204">
        <f t="shared" si="38"/>
        <v>-0.5</v>
      </c>
    </row>
    <row r="205" spans="2:25" x14ac:dyDescent="0.3">
      <c r="B205" s="126">
        <v>0.1992015883973397</v>
      </c>
      <c r="C205" s="126">
        <f t="shared" si="30"/>
        <v>5.2910248227734706E-2</v>
      </c>
      <c r="D205" s="126">
        <f t="shared" si="31"/>
        <v>1.7690829153679026E-2</v>
      </c>
      <c r="E205" s="126">
        <f t="shared" si="32"/>
        <v>-2.199521022389786E-2</v>
      </c>
      <c r="F205" s="126">
        <f t="shared" si="33"/>
        <v>-2.1991664237560667E-2</v>
      </c>
      <c r="G205" s="126">
        <f t="shared" si="34"/>
        <v>0.20036507902199718</v>
      </c>
      <c r="H205" s="126">
        <f t="shared" si="35"/>
        <v>7.0588283318192821E-2</v>
      </c>
      <c r="I205" s="126">
        <f t="shared" si="36"/>
        <v>0.19803809777268222</v>
      </c>
      <c r="J205" s="126">
        <f t="shared" si="37"/>
        <v>-3.5206625010834769E-2</v>
      </c>
      <c r="M205" s="5"/>
      <c r="Y205">
        <f t="shared" si="38"/>
        <v>-0.5</v>
      </c>
    </row>
    <row r="206" spans="2:25" x14ac:dyDescent="0.3">
      <c r="B206" s="126">
        <v>0.20109093024084834</v>
      </c>
      <c r="C206" s="126">
        <f t="shared" si="30"/>
        <v>5.3049754945890058E-2</v>
      </c>
      <c r="D206" s="126">
        <f t="shared" si="31"/>
        <v>1.7649191686874371E-2</v>
      </c>
      <c r="E206" s="126">
        <f t="shared" si="32"/>
        <v>-2.2071478727352364E-2</v>
      </c>
      <c r="F206" s="126">
        <f t="shared" si="33"/>
        <v>-2.206789573300617E-2</v>
      </c>
      <c r="G206" s="126">
        <f t="shared" si="34"/>
        <v>0.20226153168399666</v>
      </c>
      <c r="H206" s="126">
        <f t="shared" si="35"/>
        <v>7.0686029753262589E-2</v>
      </c>
      <c r="I206" s="126">
        <f t="shared" si="36"/>
        <v>0.19992032879770003</v>
      </c>
      <c r="J206" s="126">
        <f t="shared" si="37"/>
        <v>-3.5387646379513846E-2</v>
      </c>
      <c r="M206" s="5"/>
      <c r="Y206">
        <f t="shared" si="38"/>
        <v>-0.5</v>
      </c>
    </row>
    <row r="207" spans="2:25" x14ac:dyDescent="0.3">
      <c r="B207" s="126">
        <v>0.20298818862882839</v>
      </c>
      <c r="C207" s="126">
        <f t="shared" si="30"/>
        <v>5.3188133851199436E-2</v>
      </c>
      <c r="D207" s="126">
        <f t="shared" si="31"/>
        <v>1.7607288845818685E-2</v>
      </c>
      <c r="E207" s="126">
        <f t="shared" si="32"/>
        <v>-2.2091628498613177E-2</v>
      </c>
      <c r="F207" s="126">
        <f t="shared" si="33"/>
        <v>-2.2088035684126636E-2</v>
      </c>
      <c r="G207" s="126">
        <f t="shared" si="34"/>
        <v>0.20416291450073359</v>
      </c>
      <c r="H207" s="126">
        <f t="shared" si="35"/>
        <v>7.0782448476034973E-2</v>
      </c>
      <c r="I207" s="126">
        <f t="shared" si="36"/>
        <v>0.20181346275692319</v>
      </c>
      <c r="J207" s="126">
        <f t="shared" si="37"/>
        <v>-3.5567870784397604E-2</v>
      </c>
      <c r="M207" s="5"/>
      <c r="Y207">
        <f t="shared" si="38"/>
        <v>-0.5</v>
      </c>
    </row>
    <row r="208" spans="2:25" x14ac:dyDescent="0.3">
      <c r="B208" s="126">
        <v>0.20489334476097976</v>
      </c>
      <c r="C208" s="126">
        <f t="shared" si="30"/>
        <v>5.3325380535908178E-2</v>
      </c>
      <c r="D208" s="126">
        <f t="shared" si="31"/>
        <v>1.7565200844315343E-2</v>
      </c>
      <c r="E208" s="126">
        <f t="shared" si="32"/>
        <v>-2.2091628498613177E-2</v>
      </c>
      <c r="F208" s="126">
        <f t="shared" si="33"/>
        <v>-2.2088035684126636E-2</v>
      </c>
      <c r="G208" s="126">
        <f t="shared" si="34"/>
        <v>0.20607110189605751</v>
      </c>
      <c r="H208" s="126">
        <f t="shared" si="35"/>
        <v>7.0877573680554667E-2</v>
      </c>
      <c r="I208" s="126">
        <f t="shared" si="36"/>
        <v>0.203715587625902</v>
      </c>
      <c r="J208" s="126">
        <f t="shared" si="37"/>
        <v>-3.5747171991923982E-2</v>
      </c>
      <c r="M208" s="5"/>
      <c r="Y208">
        <f t="shared" si="38"/>
        <v>-0.5</v>
      </c>
    </row>
    <row r="209" spans="2:25" x14ac:dyDescent="0.3">
      <c r="B209" s="126">
        <v>0.20680637975874194</v>
      </c>
      <c r="C209" s="126">
        <f t="shared" si="30"/>
        <v>5.3461490438641852E-2</v>
      </c>
      <c r="D209" s="126">
        <f t="shared" si="31"/>
        <v>1.7522938785839933E-2</v>
      </c>
      <c r="E209" s="126">
        <f t="shared" si="32"/>
        <v>-2.2091628498613177E-2</v>
      </c>
      <c r="F209" s="126">
        <f t="shared" si="33"/>
        <v>-2.2088035684126636E-2</v>
      </c>
      <c r="G209" s="126">
        <f t="shared" si="34"/>
        <v>0.2079871430497531</v>
      </c>
      <c r="H209" s="126">
        <f t="shared" si="35"/>
        <v>7.0971388323423298E-2</v>
      </c>
      <c r="I209" s="126">
        <f t="shared" si="36"/>
        <v>0.20562561646773078</v>
      </c>
      <c r="J209" s="126">
        <f t="shared" si="37"/>
        <v>-3.5925510751743425E-2</v>
      </c>
      <c r="M209" s="5"/>
      <c r="Y209">
        <f t="shared" si="38"/>
        <v>-0.5</v>
      </c>
    </row>
    <row r="210" spans="2:25" x14ac:dyDescent="0.3">
      <c r="B210" s="126">
        <v>0.20872727466548102</v>
      </c>
      <c r="C210" s="126">
        <f t="shared" si="30"/>
        <v>5.3596458843302795E-2</v>
      </c>
      <c r="D210" s="126">
        <f t="shared" si="31"/>
        <v>1.7480503089175377E-2</v>
      </c>
      <c r="E210" s="126">
        <f t="shared" si="32"/>
        <v>-2.2091628498613177E-2</v>
      </c>
      <c r="F210" s="126">
        <f t="shared" si="33"/>
        <v>-2.2088035684126636E-2</v>
      </c>
      <c r="G210" s="126">
        <f t="shared" si="34"/>
        <v>0.20991101890102556</v>
      </c>
      <c r="H210" s="126">
        <f t="shared" si="35"/>
        <v>7.1063888108476511E-2</v>
      </c>
      <c r="I210" s="126">
        <f t="shared" si="36"/>
        <v>0.20754353042993648</v>
      </c>
      <c r="J210" s="126">
        <f t="shared" si="37"/>
        <v>-3.6102881930125758E-2</v>
      </c>
      <c r="M210" s="5"/>
      <c r="Y210">
        <f t="shared" si="38"/>
        <v>-0.5</v>
      </c>
    </row>
    <row r="211" spans="2:25" x14ac:dyDescent="0.3">
      <c r="B211" s="126">
        <v>0.21065601044667814</v>
      </c>
      <c r="C211" s="126">
        <f t="shared" si="30"/>
        <v>5.3730280877979812E-2</v>
      </c>
      <c r="D211" s="126">
        <f t="shared" si="31"/>
        <v>1.7437894174825188E-2</v>
      </c>
      <c r="E211" s="126">
        <f t="shared" si="32"/>
        <v>-2.2091628498613177E-2</v>
      </c>
      <c r="F211" s="126">
        <f t="shared" si="33"/>
        <v>-2.2088035684126636E-2</v>
      </c>
      <c r="G211" s="126">
        <f t="shared" si="34"/>
        <v>0.21184271030775387</v>
      </c>
      <c r="H211" s="126">
        <f t="shared" si="35"/>
        <v>7.1155068585495057E-2</v>
      </c>
      <c r="I211" s="126">
        <f t="shared" si="36"/>
        <v>0.20946931058560242</v>
      </c>
      <c r="J211" s="126">
        <f t="shared" si="37"/>
        <v>-3.6279280235844688E-2</v>
      </c>
      <c r="M211" s="5"/>
      <c r="Y211">
        <f t="shared" si="38"/>
        <v>-0.5</v>
      </c>
    </row>
    <row r="212" spans="2:25" x14ac:dyDescent="0.3">
      <c r="B212" s="126">
        <v>0.21259256799011716</v>
      </c>
      <c r="C212" s="126">
        <f t="shared" si="30"/>
        <v>5.386295151387132E-2</v>
      </c>
      <c r="D212" s="126">
        <f t="shared" si="31"/>
        <v>1.7395112465009344E-2</v>
      </c>
      <c r="E212" s="126">
        <f t="shared" si="32"/>
        <v>-2.2091628498613177E-2</v>
      </c>
      <c r="F212" s="126">
        <f t="shared" si="33"/>
        <v>-2.2088035684126636E-2</v>
      </c>
      <c r="G212" s="126">
        <f t="shared" si="34"/>
        <v>0.21378219804665452</v>
      </c>
      <c r="H212" s="126">
        <f t="shared" si="35"/>
        <v>7.1244925149124005E-2</v>
      </c>
      <c r="I212" s="126">
        <f t="shared" si="36"/>
        <v>0.21140293793357981</v>
      </c>
      <c r="J212" s="126">
        <f t="shared" si="37"/>
        <v>-3.645470021910531E-2</v>
      </c>
      <c r="M212" s="5"/>
      <c r="Y212">
        <f t="shared" si="38"/>
        <v>-0.5</v>
      </c>
    </row>
    <row r="213" spans="2:25" x14ac:dyDescent="0.3">
      <c r="B213" s="126">
        <v>0.21453692810607505</v>
      </c>
      <c r="C213" s="126">
        <f t="shared" si="30"/>
        <v>5.3994465564222258E-2</v>
      </c>
      <c r="D213" s="126">
        <f t="shared" si="31"/>
        <v>1.7352158383660082E-2</v>
      </c>
      <c r="E213" s="126">
        <f t="shared" si="32"/>
        <v>-2.2091628498613177E-2</v>
      </c>
      <c r="F213" s="126">
        <f t="shared" si="33"/>
        <v>-2.2088035684126636E-2</v>
      </c>
      <c r="G213" s="126">
        <f t="shared" si="34"/>
        <v>0.21572946281344862</v>
      </c>
      <c r="H213" s="126">
        <f t="shared" si="35"/>
        <v>7.1333453037805722E-2</v>
      </c>
      <c r="I213" s="126">
        <f t="shared" si="36"/>
        <v>0.21334439339870148</v>
      </c>
      <c r="J213" s="126">
        <f t="shared" si="37"/>
        <v>-3.6629136270485557E-2</v>
      </c>
      <c r="M213" s="5"/>
      <c r="Y213">
        <f t="shared" si="38"/>
        <v>-0.5</v>
      </c>
    </row>
    <row r="214" spans="2:25" x14ac:dyDescent="0.3">
      <c r="B214" s="126">
        <v>0.2164890715275114</v>
      </c>
      <c r="C214" s="126">
        <f t="shared" si="30"/>
        <v>5.4124817683274755E-2</v>
      </c>
      <c r="D214" s="126">
        <f t="shared" si="31"/>
        <v>1.7309032356417699E-2</v>
      </c>
      <c r="E214" s="126">
        <f t="shared" si="32"/>
        <v>-2.2091628498613177E-2</v>
      </c>
      <c r="F214" s="126">
        <f t="shared" si="33"/>
        <v>-2.2088035684126636E-2</v>
      </c>
      <c r="G214" s="126">
        <f t="shared" si="34"/>
        <v>0.21768448522302802</v>
      </c>
      <c r="H214" s="126">
        <f t="shared" si="35"/>
        <v>7.1420647332726656E-2</v>
      </c>
      <c r="I214" s="126">
        <f t="shared" si="36"/>
        <v>0.21529365783199478</v>
      </c>
      <c r="J214" s="126">
        <f t="shared" si="37"/>
        <v>-3.680258261989125E-2</v>
      </c>
      <c r="M214" s="5"/>
      <c r="Y214">
        <f t="shared" si="38"/>
        <v>-0.5</v>
      </c>
    </row>
    <row r="215" spans="2:25" x14ac:dyDescent="0.3">
      <c r="B215" s="126">
        <v>0.21844897891025949</v>
      </c>
      <c r="C215" s="126">
        <f t="shared" si="30"/>
        <v>5.4254002365232923E-2</v>
      </c>
      <c r="D215" s="126">
        <f t="shared" si="31"/>
        <v>1.7265734810626338E-2</v>
      </c>
      <c r="E215" s="126">
        <f t="shared" si="32"/>
        <v>-2.2091628498613177E-2</v>
      </c>
      <c r="F215" s="126">
        <f t="shared" si="33"/>
        <v>-2.2088035684126636E-2</v>
      </c>
      <c r="G215" s="126">
        <f t="shared" si="34"/>
        <v>0.21964724580962369</v>
      </c>
      <c r="H215" s="126">
        <f t="shared" si="35"/>
        <v>7.1506502956778059E-2</v>
      </c>
      <c r="I215" s="126">
        <f t="shared" si="36"/>
        <v>0.2172507120108953</v>
      </c>
      <c r="J215" s="126">
        <f t="shared" si="37"/>
        <v>-3.697503333552539E-2</v>
      </c>
      <c r="M215" s="5"/>
      <c r="Y215">
        <f t="shared" si="38"/>
        <v>-0.5</v>
      </c>
    </row>
    <row r="216" spans="2:25" x14ac:dyDescent="0.3">
      <c r="B216" s="126">
        <v>0.22041663083321805</v>
      </c>
      <c r="C216" s="126">
        <f t="shared" si="30"/>
        <v>5.4382013943241644E-2</v>
      </c>
      <c r="D216" s="126">
        <f t="shared" si="31"/>
        <v>1.7222266175329758E-2</v>
      </c>
      <c r="E216" s="126">
        <f t="shared" si="32"/>
        <v>-2.2091628498613177E-2</v>
      </c>
      <c r="F216" s="126">
        <f t="shared" si="33"/>
        <v>-2.2088035684126636E-2</v>
      </c>
      <c r="G216" s="126">
        <f t="shared" si="34"/>
        <v>0.22161772502697485</v>
      </c>
      <c r="H216" s="126">
        <f t="shared" si="35"/>
        <v>7.1591014673530934E-2</v>
      </c>
      <c r="I216" s="126">
        <f t="shared" si="36"/>
        <v>0.21921553663946125</v>
      </c>
      <c r="J216" s="126">
        <f t="shared" si="37"/>
        <v>-3.7146482322871419E-2</v>
      </c>
      <c r="M216" s="5"/>
      <c r="Y216">
        <f t="shared" si="38"/>
        <v>-0.5</v>
      </c>
    </row>
    <row r="217" spans="2:25" x14ac:dyDescent="0.3">
      <c r="B217" s="126">
        <v>0.22239200779854373</v>
      </c>
      <c r="C217" s="126">
        <f t="shared" si="30"/>
        <v>5.4508846588380004E-2</v>
      </c>
      <c r="D217" s="126">
        <f t="shared" si="31"/>
        <v>1.7178626881267065E-2</v>
      </c>
      <c r="E217" s="126">
        <f t="shared" si="32"/>
        <v>-2.2091628498613177E-2</v>
      </c>
      <c r="F217" s="126">
        <f t="shared" si="33"/>
        <v>-2.2088035684126636E-2</v>
      </c>
      <c r="G217" s="126">
        <f t="shared" si="34"/>
        <v>0.22359590324849921</v>
      </c>
      <c r="H217" s="126">
        <f t="shared" si="35"/>
        <v>7.1674177086225296E-2</v>
      </c>
      <c r="I217" s="126">
        <f t="shared" si="36"/>
        <v>0.22118811234858826</v>
      </c>
      <c r="J217" s="126">
        <f t="shared" si="37"/>
        <v>-3.7316923323691159E-2</v>
      </c>
      <c r="M217" s="5"/>
      <c r="Y217">
        <f t="shared" si="38"/>
        <v>-0.5</v>
      </c>
    </row>
    <row r="218" spans="2:25" x14ac:dyDescent="0.3">
      <c r="B218" s="126">
        <v>0.22437509023184399</v>
      </c>
      <c r="C218" s="126">
        <f t="shared" si="30"/>
        <v>5.4634494308668916E-2</v>
      </c>
      <c r="D218" s="126">
        <f t="shared" si="31"/>
        <v>1.7134817360868471E-2</v>
      </c>
      <c r="E218" s="126">
        <f t="shared" si="32"/>
        <v>-2.2091628498613177E-2</v>
      </c>
      <c r="F218" s="126">
        <f t="shared" si="33"/>
        <v>-2.2088035684126636E-2</v>
      </c>
      <c r="G218" s="126">
        <f t="shared" si="34"/>
        <v>0.22558176076746389</v>
      </c>
      <c r="H218" s="126">
        <f t="shared" si="35"/>
        <v>7.1755984636773906E-2</v>
      </c>
      <c r="I218" s="126">
        <f t="shared" si="36"/>
        <v>0.22316841969622409</v>
      </c>
      <c r="J218" s="126">
        <f t="shared" si="37"/>
        <v>-3.7486349915036965E-2</v>
      </c>
      <c r="M218" s="5"/>
      <c r="Y218">
        <f t="shared" si="38"/>
        <v>-0.5</v>
      </c>
    </row>
    <row r="219" spans="2:25" x14ac:dyDescent="0.3">
      <c r="B219" s="126">
        <v>0.22636585848237156</v>
      </c>
      <c r="C219" s="126">
        <f t="shared" si="30"/>
        <v>5.4758950948093833E-2</v>
      </c>
      <c r="D219" s="126">
        <f t="shared" si="31"/>
        <v>1.709083804825098E-2</v>
      </c>
      <c r="E219" s="126">
        <f t="shared" si="32"/>
        <v>-2.2091628498613177E-2</v>
      </c>
      <c r="F219" s="126">
        <f t="shared" si="33"/>
        <v>-2.2088035684126636E-2</v>
      </c>
      <c r="G219" s="126">
        <f t="shared" si="34"/>
        <v>0.2275752777971585</v>
      </c>
      <c r="H219" s="126">
        <f t="shared" si="35"/>
        <v>7.183643160478087E-2</v>
      </c>
      <c r="I219" s="126">
        <f t="shared" si="36"/>
        <v>0.22515643916758463</v>
      </c>
      <c r="J219" s="126">
        <f t="shared" si="37"/>
        <v>-3.7654755508278903E-2</v>
      </c>
      <c r="M219" s="5"/>
      <c r="Y219">
        <f t="shared" si="38"/>
        <v>-0.5</v>
      </c>
    </row>
    <row r="220" spans="2:25" x14ac:dyDescent="0.3">
      <c r="B220" s="126">
        <v>0.22836429282321902</v>
      </c>
      <c r="C220" s="126">
        <f t="shared" si="30"/>
        <v>5.4882210185642051E-2</v>
      </c>
      <c r="D220" s="126">
        <f t="shared" si="31"/>
        <v>1.7046689379214108E-2</v>
      </c>
      <c r="E220" s="126">
        <f t="shared" si="32"/>
        <v>-2.2091628498613177E-2</v>
      </c>
      <c r="F220" s="126">
        <f t="shared" si="33"/>
        <v>-2.2088035684126636E-2</v>
      </c>
      <c r="G220" s="126">
        <f t="shared" si="34"/>
        <v>0.22957643447106812</v>
      </c>
      <c r="H220" s="126">
        <f t="shared" si="35"/>
        <v>7.1915512106574875E-2</v>
      </c>
      <c r="I220" s="126">
        <f t="shared" si="36"/>
        <v>0.22715215117536991</v>
      </c>
      <c r="J220" s="126">
        <f t="shared" si="37"/>
        <v>-3.7822133348146665E-2</v>
      </c>
      <c r="M220" s="5"/>
      <c r="Y220">
        <f t="shared" si="38"/>
        <v>-0.5</v>
      </c>
    </row>
    <row r="221" spans="2:25" x14ac:dyDescent="0.3">
      <c r="B221" s="126">
        <v>0.2303703734515139</v>
      </c>
      <c r="C221" s="126">
        <f t="shared" si="30"/>
        <v>5.5004265534355119E-2</v>
      </c>
      <c r="D221" s="126">
        <f t="shared" si="31"/>
        <v>1.7002371791235552E-2</v>
      </c>
      <c r="E221" s="126">
        <f t="shared" si="32"/>
        <v>-2.2091628498613177E-2</v>
      </c>
      <c r="F221" s="126">
        <f t="shared" si="33"/>
        <v>-2.2088035684126636E-2</v>
      </c>
      <c r="G221" s="126">
        <f t="shared" si="34"/>
        <v>0.23158521084304787</v>
      </c>
      <c r="H221" s="126">
        <f t="shared" si="35"/>
        <v>7.1993220094257543E-2</v>
      </c>
      <c r="I221" s="126">
        <f t="shared" si="36"/>
        <v>0.22915553605997993</v>
      </c>
      <c r="J221" s="126">
        <f t="shared" si="37"/>
        <v>-3.7988476511786447E-2</v>
      </c>
      <c r="M221" s="5"/>
      <c r="Y221">
        <f t="shared" si="38"/>
        <v>-0.5</v>
      </c>
    </row>
    <row r="222" spans="2:25" x14ac:dyDescent="0.3">
      <c r="B222" s="126">
        <v>0.23238408048861525</v>
      </c>
      <c r="C222" s="126">
        <f t="shared" si="30"/>
        <v>5.5125110340396487E-2</v>
      </c>
      <c r="D222" s="126">
        <f t="shared" si="31"/>
        <v>1.6957885723466865E-2</v>
      </c>
      <c r="E222" s="126">
        <f t="shared" si="32"/>
        <v>-2.2091628498613177E-2</v>
      </c>
      <c r="F222" s="126">
        <f t="shared" si="33"/>
        <v>-2.2088035684126636E-2</v>
      </c>
      <c r="G222" s="126">
        <f t="shared" si="34"/>
        <v>0.23360158688749846</v>
      </c>
      <c r="H222" s="126">
        <f t="shared" si="35"/>
        <v>7.2069549354766962E-2</v>
      </c>
      <c r="I222" s="126">
        <f t="shared" si="36"/>
        <v>0.23116657408973204</v>
      </c>
      <c r="J222" s="126">
        <f t="shared" si="37"/>
        <v>-3.8153777907833239E-2</v>
      </c>
      <c r="M222" s="5"/>
      <c r="Y222">
        <f t="shared" si="38"/>
        <v>-0.5</v>
      </c>
    </row>
    <row r="223" spans="2:25" x14ac:dyDescent="0.3">
      <c r="B223" s="126">
        <v>0.23440539398031057</v>
      </c>
      <c r="C223" s="126">
        <f t="shared" si="30"/>
        <v>5.524473778213463E-2</v>
      </c>
      <c r="D223" s="126">
        <f t="shared" si="31"/>
        <v>1.6913231616729099E-2</v>
      </c>
      <c r="E223" s="126">
        <f t="shared" si="32"/>
        <v>-2.2091628498613177E-2</v>
      </c>
      <c r="F223" s="126">
        <f t="shared" si="33"/>
        <v>-2.2088035684126636E-2</v>
      </c>
      <c r="G223" s="126">
        <f t="shared" si="34"/>
        <v>0.23562554249954326</v>
      </c>
      <c r="H223" s="126">
        <f t="shared" si="35"/>
        <v>7.2144493508956659E-2</v>
      </c>
      <c r="I223" s="126">
        <f t="shared" si="36"/>
        <v>0.23318524546107788</v>
      </c>
      <c r="J223" s="126">
        <f t="shared" si="37"/>
        <v>-3.831803027549846E-2</v>
      </c>
      <c r="M223" s="5"/>
      <c r="Y223">
        <f t="shared" si="38"/>
        <v>-0.5</v>
      </c>
    </row>
    <row r="224" spans="2:25" x14ac:dyDescent="0.3">
      <c r="B224" s="126">
        <v>0.23643429389701376</v>
      </c>
      <c r="C224" s="126">
        <f t="shared" si="30"/>
        <v>5.5363140869241483E-2</v>
      </c>
      <c r="D224" s="126">
        <f t="shared" si="31"/>
        <v>1.6868409913508426E-2</v>
      </c>
      <c r="E224" s="126">
        <f t="shared" si="32"/>
        <v>-2.2091628498613177E-2</v>
      </c>
      <c r="F224" s="126">
        <f t="shared" si="33"/>
        <v>-2.2088035684126636E-2</v>
      </c>
      <c r="G224" s="126">
        <f t="shared" si="34"/>
        <v>0.23765705749520613</v>
      </c>
      <c r="H224" s="126">
        <f t="shared" si="35"/>
        <v>7.2218046010689887E-2</v>
      </c>
      <c r="I224" s="126">
        <f t="shared" si="36"/>
        <v>0.23521153029882139</v>
      </c>
      <c r="J224" s="126">
        <f t="shared" si="37"/>
        <v>-3.8481226183673028E-2</v>
      </c>
      <c r="M224" s="5"/>
      <c r="Y224">
        <f t="shared" si="38"/>
        <v>-0.5</v>
      </c>
    </row>
    <row r="225" spans="2:25" x14ac:dyDescent="0.3">
      <c r="B225" s="126">
        <v>0.23847076013396296</v>
      </c>
      <c r="C225" s="126">
        <f t="shared" si="30"/>
        <v>5.5480312441806685E-2</v>
      </c>
      <c r="D225" s="126">
        <f t="shared" si="31"/>
        <v>1.6823421057951773E-2</v>
      </c>
      <c r="E225" s="126">
        <f t="shared" si="32"/>
        <v>-2.2091628498613177E-2</v>
      </c>
      <c r="F225" s="126">
        <f t="shared" si="33"/>
        <v>-2.2088035684126636E-2</v>
      </c>
      <c r="G225" s="126">
        <f t="shared" si="34"/>
        <v>0.23969611161158966</v>
      </c>
      <c r="H225" s="126">
        <f t="shared" si="35"/>
        <v>7.2290200145949737E-2</v>
      </c>
      <c r="I225" s="126">
        <f t="shared" si="36"/>
        <v>0.23724540865633625</v>
      </c>
      <c r="J225" s="126">
        <f t="shared" si="37"/>
        <v>-3.864335803004619E-2</v>
      </c>
      <c r="M225" s="5"/>
      <c r="Y225">
        <f t="shared" si="38"/>
        <v>-0.5</v>
      </c>
    </row>
    <row r="226" spans="2:25" x14ac:dyDescent="0.3">
      <c r="B226" s="126">
        <v>0.24051477251142062</v>
      </c>
      <c r="C226" s="126">
        <f t="shared" si="30"/>
        <v>5.5596245169467838E-2</v>
      </c>
      <c r="D226" s="126">
        <f t="shared" si="31"/>
        <v>1.6778265495862411E-2</v>
      </c>
      <c r="E226" s="126">
        <f t="shared" si="32"/>
        <v>-2.2091628498613177E-2</v>
      </c>
      <c r="F226" s="126">
        <f t="shared" si="33"/>
        <v>-2.2088035684126636E-2</v>
      </c>
      <c r="G226" s="126">
        <f t="shared" si="34"/>
        <v>0.24174268450705619</v>
      </c>
      <c r="H226" s="126">
        <f t="shared" si="35"/>
        <v>7.2360949031965188E-2</v>
      </c>
      <c r="I226" s="126">
        <f t="shared" si="36"/>
        <v>0.23928686051578504</v>
      </c>
      <c r="J226" s="126">
        <f t="shared" si="37"/>
        <v>-3.880441804024036E-2</v>
      </c>
      <c r="M226" s="5"/>
      <c r="Y226">
        <f t="shared" si="38"/>
        <v>-0.5</v>
      </c>
    </row>
    <row r="227" spans="2:25" x14ac:dyDescent="0.3">
      <c r="B227" s="126">
        <v>0.24256631077487267</v>
      </c>
      <c r="C227" s="126">
        <f t="shared" si="30"/>
        <v>5.5710931550556494E-2</v>
      </c>
      <c r="D227" s="126">
        <f t="shared" si="31"/>
        <v>1.6732943674695539E-2</v>
      </c>
      <c r="E227" s="126">
        <f t="shared" si="32"/>
        <v>-2.2091628498613177E-2</v>
      </c>
      <c r="F227" s="126">
        <f t="shared" si="33"/>
        <v>-2.2088035684126636E-2</v>
      </c>
      <c r="G227" s="126">
        <f t="shared" si="34"/>
        <v>0.243796755761408</v>
      </c>
      <c r="H227" s="126">
        <f t="shared" si="35"/>
        <v>7.2430285616352869E-2</v>
      </c>
      <c r="I227" s="126">
        <f t="shared" si="36"/>
        <v>0.24133586578833735</v>
      </c>
      <c r="J227" s="126">
        <f t="shared" si="37"/>
        <v>-3.8964398266961797E-2</v>
      </c>
      <c r="M227" s="5"/>
      <c r="Y227">
        <f t="shared" si="38"/>
        <v>-0.5</v>
      </c>
    </row>
    <row r="228" spans="2:25" x14ac:dyDescent="0.3">
      <c r="B228" s="126">
        <v>0.24462535459522983</v>
      </c>
      <c r="C228" s="126">
        <f t="shared" si="30"/>
        <v>5.5824363911260562E-2</v>
      </c>
      <c r="D228" s="126">
        <f t="shared" si="31"/>
        <v>1.6687456043553844E-2</v>
      </c>
      <c r="E228" s="126">
        <f t="shared" si="32"/>
        <v>-2.2091628498613177E-2</v>
      </c>
      <c r="F228" s="126">
        <f t="shared" si="33"/>
        <v>-2.2088035684126636E-2</v>
      </c>
      <c r="G228" s="126">
        <f t="shared" si="34"/>
        <v>0.24585830487607013</v>
      </c>
      <c r="H228" s="126">
        <f t="shared" si="35"/>
        <v>7.249820267627527E-2</v>
      </c>
      <c r="I228" s="126">
        <f t="shared" si="36"/>
        <v>0.24339240431438952</v>
      </c>
      <c r="J228" s="126">
        <f t="shared" si="37"/>
        <v>-3.9123290589167588E-2</v>
      </c>
      <c r="M228" s="5"/>
      <c r="Y228">
        <f t="shared" si="38"/>
        <v>-0.5</v>
      </c>
    </row>
    <row r="229" spans="2:25" x14ac:dyDescent="0.3">
      <c r="B229" s="126">
        <v>0.24669188356902849</v>
      </c>
      <c r="C229" s="126">
        <f t="shared" si="30"/>
        <v>5.5936534404802916E-2</v>
      </c>
      <c r="D229" s="126">
        <f t="shared" si="31"/>
        <v>1.6641803053183062E-2</v>
      </c>
      <c r="E229" s="126">
        <f t="shared" si="32"/>
        <v>-2.2091628498613177E-2</v>
      </c>
      <c r="F229" s="126">
        <f t="shared" si="33"/>
        <v>-2.2088035684126636E-2</v>
      </c>
      <c r="G229" s="126">
        <f t="shared" si="34"/>
        <v>0.24792731127427323</v>
      </c>
      <c r="H229" s="126">
        <f t="shared" si="35"/>
        <v>7.2564692817615073E-2</v>
      </c>
      <c r="I229" s="126">
        <f t="shared" si="36"/>
        <v>0.24545645586378376</v>
      </c>
      <c r="J229" s="126">
        <f t="shared" si="37"/>
        <v>-3.9281086711248941E-2</v>
      </c>
      <c r="M229" s="5"/>
      <c r="Y229">
        <f t="shared" si="38"/>
        <v>-0.5</v>
      </c>
    </row>
    <row r="230" spans="2:25" x14ac:dyDescent="0.3">
      <c r="B230" s="126">
        <v>0.24876587721863352</v>
      </c>
      <c r="C230" s="126">
        <f t="shared" si="30"/>
        <v>5.6047435010636575E-2</v>
      </c>
      <c r="D230" s="126">
        <f t="shared" si="31"/>
        <v>1.6595985155967507E-2</v>
      </c>
      <c r="E230" s="126">
        <f t="shared" si="32"/>
        <v>-2.2091628498613177E-2</v>
      </c>
      <c r="F230" s="126">
        <f t="shared" si="33"/>
        <v>-2.2088035684126636E-2</v>
      </c>
      <c r="G230" s="126">
        <f t="shared" si="34"/>
        <v>0.25000375430123839</v>
      </c>
      <c r="H230" s="126">
        <f t="shared" si="35"/>
        <v>7.2629748474166048E-2</v>
      </c>
      <c r="I230" s="126">
        <f t="shared" si="36"/>
        <v>0.24752800013602866</v>
      </c>
      <c r="J230" s="126">
        <f t="shared" si="37"/>
        <v>-3.9437778162231027E-2</v>
      </c>
      <c r="M230" s="5"/>
      <c r="Y230">
        <f t="shared" si="38"/>
        <v>-0.5</v>
      </c>
    </row>
    <row r="231" spans="2:25" x14ac:dyDescent="0.3">
      <c r="B231" s="126">
        <v>0.25084731499244084</v>
      </c>
      <c r="C231" s="126">
        <f t="shared" si="30"/>
        <v>5.6157057533656497E-2</v>
      </c>
      <c r="D231" s="126">
        <f t="shared" si="31"/>
        <v>1.6550002805925574E-2</v>
      </c>
      <c r="E231" s="126">
        <f t="shared" si="32"/>
        <v>-2.2091628498613177E-2</v>
      </c>
      <c r="F231" s="126">
        <f t="shared" si="33"/>
        <v>-2.2088035684126636E-2</v>
      </c>
      <c r="G231" s="126">
        <f t="shared" si="34"/>
        <v>0.25208761322436246</v>
      </c>
      <c r="H231" s="126">
        <f t="shared" si="35"/>
        <v>7.2693361906840601E-2</v>
      </c>
      <c r="I231" s="126">
        <f t="shared" si="36"/>
        <v>0.24960701676051919</v>
      </c>
      <c r="J231" s="126">
        <f t="shared" si="37"/>
        <v>-3.9593356294989446E-2</v>
      </c>
      <c r="M231" s="5"/>
      <c r="Y231">
        <f t="shared" si="38"/>
        <v>-0.5</v>
      </c>
    </row>
    <row r="232" spans="2:25" x14ac:dyDescent="0.3">
      <c r="B232" s="126">
        <v>0.25293617626508091</v>
      </c>
      <c r="C232" s="126">
        <f t="shared" si="30"/>
        <v>5.6265393603428152E-2</v>
      </c>
      <c r="D232" s="126">
        <f t="shared" si="31"/>
        <v>1.6503856458705269E-2</v>
      </c>
      <c r="E232" s="126">
        <f t="shared" si="32"/>
        <v>-2.2091628498613177E-2</v>
      </c>
      <c r="F232" s="126">
        <f t="shared" si="33"/>
        <v>-2.2088035684126636E-2</v>
      </c>
      <c r="G232" s="126">
        <f t="shared" si="34"/>
        <v>0.2541788672334046</v>
      </c>
      <c r="H232" s="126">
        <f t="shared" si="35"/>
        <v>7.2755525202894009E-2</v>
      </c>
      <c r="I232" s="126">
        <f t="shared" si="36"/>
        <v>0.25169348529675722</v>
      </c>
      <c r="J232" s="126">
        <f t="shared" si="37"/>
        <v>-3.9747812285483478E-2</v>
      </c>
      <c r="M232" s="5"/>
      <c r="Y232">
        <f t="shared" si="38"/>
        <v>-0.5</v>
      </c>
    </row>
    <row r="233" spans="2:25" x14ac:dyDescent="0.3">
      <c r="B233" s="126">
        <v>0.25503244033762351</v>
      </c>
      <c r="C233" s="126">
        <f t="shared" si="30"/>
        <v>5.63724346734331E-2</v>
      </c>
      <c r="D233" s="126">
        <f t="shared" si="31"/>
        <v>1.6457546571579669E-2</v>
      </c>
      <c r="E233" s="126">
        <f t="shared" si="32"/>
        <v>-2.2091628498613177E-2</v>
      </c>
      <c r="F233" s="126">
        <f t="shared" si="33"/>
        <v>-2.2088035684126636E-2</v>
      </c>
      <c r="G233" s="126">
        <f t="shared" si="34"/>
        <v>0.25627749544067396</v>
      </c>
      <c r="H233" s="126">
        <f t="shared" si="35"/>
        <v>7.2816230275165678E-2</v>
      </c>
      <c r="I233" s="126">
        <f t="shared" si="36"/>
        <v>0.25378738523457306</v>
      </c>
      <c r="J233" s="126">
        <f t="shared" si="37"/>
        <v>-3.9901137132006333E-2</v>
      </c>
      <c r="M233" s="5"/>
      <c r="Y233">
        <f t="shared" si="38"/>
        <v>-0.5</v>
      </c>
    </row>
    <row r="234" spans="2:25" x14ac:dyDescent="0.3">
      <c r="B234" s="126">
        <v>0.25713608643778241</v>
      </c>
      <c r="C234" s="126">
        <f t="shared" si="30"/>
        <v>5.6478172020331591E-2</v>
      </c>
      <c r="D234" s="126">
        <f t="shared" si="31"/>
        <v>1.6411073603442402E-2</v>
      </c>
      <c r="E234" s="126">
        <f t="shared" si="32"/>
        <v>-2.2091628498613177E-2</v>
      </c>
      <c r="F234" s="126">
        <f t="shared" si="33"/>
        <v>-2.2088035684126636E-2</v>
      </c>
      <c r="G234" s="126">
        <f t="shared" si="34"/>
        <v>0.25838347688121865</v>
      </c>
      <c r="H234" s="126">
        <f t="shared" si="35"/>
        <v>7.2875468861337361E-2</v>
      </c>
      <c r="I234" s="126">
        <f t="shared" si="36"/>
        <v>0.25588869599434616</v>
      </c>
      <c r="J234" s="126">
        <f t="shared" si="37"/>
        <v>-4.0053321654452551E-2</v>
      </c>
      <c r="M234" s="5"/>
      <c r="Y234">
        <f t="shared" si="38"/>
        <v>-0.5</v>
      </c>
    </row>
    <row r="235" spans="2:25" x14ac:dyDescent="0.3">
      <c r="B235" s="126">
        <v>0.25924709372012167</v>
      </c>
      <c r="C235" s="126">
        <f t="shared" si="30"/>
        <v>5.6582596743242536E-2</v>
      </c>
      <c r="D235" s="126">
        <f t="shared" si="31"/>
        <v>1.6364438014803095E-2</v>
      </c>
      <c r="E235" s="126">
        <f t="shared" si="32"/>
        <v>-2.2091628498613177E-2</v>
      </c>
      <c r="F235" s="126">
        <f t="shared" si="33"/>
        <v>-2.2088035684126636E-2</v>
      </c>
      <c r="G235" s="126">
        <f t="shared" si="34"/>
        <v>0.26049679051301577</v>
      </c>
      <c r="H235" s="126">
        <f t="shared" si="35"/>
        <v>7.2933232523208796E-2</v>
      </c>
      <c r="I235" s="126">
        <f t="shared" si="36"/>
        <v>0.25799739692722756</v>
      </c>
      <c r="J235" s="126">
        <f t="shared" si="37"/>
        <v>-4.0204356493602614E-2</v>
      </c>
      <c r="M235" s="5"/>
      <c r="Y235">
        <f t="shared" si="38"/>
        <v>-0.5</v>
      </c>
    </row>
    <row r="236" spans="2:25" x14ac:dyDescent="0.3">
      <c r="B236" s="126">
        <v>0.26136544126626193</v>
      </c>
      <c r="C236" s="126">
        <f t="shared" si="30"/>
        <v>5.6685699763040692E-2</v>
      </c>
      <c r="D236" s="126">
        <f t="shared" si="31"/>
        <v>1.6317640267782818E-2</v>
      </c>
      <c r="E236" s="126">
        <f t="shared" si="32"/>
        <v>-2.2091628498613177E-2</v>
      </c>
      <c r="F236" s="126">
        <f t="shared" si="33"/>
        <v>-2.2088035684126636E-2</v>
      </c>
      <c r="G236" s="126">
        <f t="shared" si="34"/>
        <v>0.26261741521716214</v>
      </c>
      <c r="H236" s="126">
        <f t="shared" si="35"/>
        <v>7.2989512645990504E-2</v>
      </c>
      <c r="I236" s="126">
        <f t="shared" si="36"/>
        <v>0.26011346731536172</v>
      </c>
      <c r="J236" s="126">
        <f t="shared" si="37"/>
        <v>-4.0354232110424867E-2</v>
      </c>
      <c r="M236" s="5"/>
      <c r="Y236">
        <f t="shared" si="38"/>
        <v>-0.5</v>
      </c>
    </row>
    <row r="237" spans="2:25" x14ac:dyDescent="0.3">
      <c r="B237" s="126">
        <v>0.26349110808508769</v>
      </c>
      <c r="C237" s="126">
        <f t="shared" si="30"/>
        <v>5.6787471821671667E-2</v>
      </c>
      <c r="D237" s="126">
        <f t="shared" si="31"/>
        <v>1.6270680826109489E-2</v>
      </c>
      <c r="E237" s="126">
        <f t="shared" si="32"/>
        <v>-2.2091628498613177E-2</v>
      </c>
      <c r="F237" s="126">
        <f t="shared" si="33"/>
        <v>-2.2088035684126636E-2</v>
      </c>
      <c r="G237" s="126">
        <f t="shared" si="34"/>
        <v>0.26474532979806664</v>
      </c>
      <c r="H237" s="126">
        <f t="shared" si="35"/>
        <v>7.3044300437614312E-2</v>
      </c>
      <c r="I237" s="126">
        <f t="shared" si="36"/>
        <v>0.26223688637210874</v>
      </c>
      <c r="J237" s="126">
        <f t="shared" si="37"/>
        <v>-4.0502938785395341E-2</v>
      </c>
      <c r="M237" s="5"/>
      <c r="Y237">
        <f t="shared" si="38"/>
        <v>-0.5</v>
      </c>
    </row>
    <row r="238" spans="2:25" x14ac:dyDescent="0.3">
      <c r="B238" s="126">
        <v>0.26562407311295533</v>
      </c>
      <c r="C238" s="126">
        <f t="shared" si="30"/>
        <v>5.6887903481484273E-2</v>
      </c>
      <c r="D238" s="126">
        <f t="shared" si="31"/>
        <v>1.6223560155113302E-2</v>
      </c>
      <c r="E238" s="126">
        <f t="shared" si="32"/>
        <v>-2.2091628498613177E-2</v>
      </c>
      <c r="F238" s="126">
        <f t="shared" si="33"/>
        <v>-2.2088035684126636E-2</v>
      </c>
      <c r="G238" s="126">
        <f t="shared" si="34"/>
        <v>0.26688051298364346</v>
      </c>
      <c r="H238" s="126">
        <f t="shared" si="35"/>
        <v>7.3097586928061398E-2</v>
      </c>
      <c r="I238" s="126">
        <f t="shared" si="36"/>
        <v>0.2643676332422672</v>
      </c>
      <c r="J238" s="126">
        <f t="shared" si="37"/>
        <v>-4.0650466617834786E-2</v>
      </c>
      <c r="M238" s="5"/>
      <c r="Y238">
        <f t="shared" si="38"/>
        <v>-0.5</v>
      </c>
    </row>
    <row r="239" spans="2:25" x14ac:dyDescent="0.3">
      <c r="B239" s="126">
        <v>0.26776431521390176</v>
      </c>
      <c r="C239" s="126">
        <f t="shared" si="30"/>
        <v>5.6986985124580961E-2</v>
      </c>
      <c r="D239" s="126">
        <f t="shared" si="31"/>
        <v>1.6176278721722104E-2</v>
      </c>
      <c r="E239" s="126">
        <f t="shared" si="32"/>
        <v>-2.2091628498613177E-2</v>
      </c>
      <c r="F239" s="126">
        <f t="shared" si="33"/>
        <v>-2.2088035684126636E-2</v>
      </c>
      <c r="G239" s="126">
        <f t="shared" si="34"/>
        <v>0.26902294342550637</v>
      </c>
      <c r="H239" s="126">
        <f t="shared" si="35"/>
        <v>7.3149362968708109E-2</v>
      </c>
      <c r="I239" s="126">
        <f t="shared" si="36"/>
        <v>0.26650568700229715</v>
      </c>
      <c r="J239" s="126">
        <f t="shared" si="37"/>
        <v>-4.0796805525263893E-2</v>
      </c>
      <c r="M239" s="5"/>
      <c r="Y239">
        <f t="shared" si="38"/>
        <v>-0.5</v>
      </c>
    </row>
    <row r="240" spans="2:25" x14ac:dyDescent="0.3">
      <c r="B240" s="126">
        <v>0.26991181317985435</v>
      </c>
      <c r="C240" s="126">
        <f t="shared" si="30"/>
        <v>5.7084706952186148E-2</v>
      </c>
      <c r="D240" s="126">
        <f t="shared" si="31"/>
        <v>1.612883699445675E-2</v>
      </c>
      <c r="E240" s="126">
        <f t="shared" si="32"/>
        <v>-2.2091628498613177E-2</v>
      </c>
      <c r="F240" s="126">
        <f t="shared" si="33"/>
        <v>-2.2088035684126636E-2</v>
      </c>
      <c r="G240" s="126">
        <f t="shared" si="34"/>
        <v>0.27117259969916457</v>
      </c>
      <c r="H240" s="126">
        <f t="shared" si="35"/>
        <v>7.319961923168998E-2</v>
      </c>
      <c r="I240" s="126">
        <f t="shared" si="36"/>
        <v>0.26865102666054413</v>
      </c>
      <c r="J240" s="126">
        <f t="shared" si="37"/>
        <v>-4.0941945242776473E-2</v>
      </c>
      <c r="M240" s="5"/>
      <c r="Y240">
        <f t="shared" si="38"/>
        <v>-0.5</v>
      </c>
    </row>
    <row r="241" spans="2:25" x14ac:dyDescent="0.3">
      <c r="B241" s="126">
        <v>0.27206654573084033</v>
      </c>
      <c r="C241" s="126">
        <f t="shared" si="30"/>
        <v>5.7181058984032675E-2</v>
      </c>
      <c r="D241" s="126">
        <f t="shared" si="31"/>
        <v>1.60812354434265E-2</v>
      </c>
      <c r="E241" s="126">
        <f t="shared" si="32"/>
        <v>-2.2091628498613177E-2</v>
      </c>
      <c r="F241" s="126">
        <f t="shared" si="33"/>
        <v>-2.2088035684126636E-2</v>
      </c>
      <c r="G241" s="126">
        <f t="shared" si="34"/>
        <v>0.27332946030421873</v>
      </c>
      <c r="H241" s="126">
        <f t="shared" si="35"/>
        <v>7.3248346209283582E-2</v>
      </c>
      <c r="I241" s="126">
        <f t="shared" si="36"/>
        <v>0.27080363115746192</v>
      </c>
      <c r="J241" s="126">
        <f t="shared" si="37"/>
        <v>-4.1085875322430576E-2</v>
      </c>
      <c r="M241" s="5"/>
      <c r="Y241">
        <f t="shared" si="38"/>
        <v>-0.5</v>
      </c>
    </row>
    <row r="242" spans="2:25" x14ac:dyDescent="0.3">
      <c r="B242" s="126">
        <v>0.27422849151519824</v>
      </c>
      <c r="C242" s="126">
        <f t="shared" si="30"/>
        <v>5.7276031057766366E-2</v>
      </c>
      <c r="D242" s="126">
        <f t="shared" si="31"/>
        <v>1.6033474540324322E-2</v>
      </c>
      <c r="E242" s="126">
        <f t="shared" si="32"/>
        <v>-2.2091628498613177E-2</v>
      </c>
      <c r="F242" s="126">
        <f t="shared" si="33"/>
        <v>-2.2088035684126636E-2</v>
      </c>
      <c r="G242" s="126">
        <f t="shared" si="34"/>
        <v>0.27549350366455916</v>
      </c>
      <c r="H242" s="126">
        <f t="shared" si="35"/>
        <v>7.3295534213306632E-2</v>
      </c>
      <c r="I242" s="126">
        <f t="shared" si="36"/>
        <v>0.27296347936583731</v>
      </c>
      <c r="J242" s="126">
        <f t="shared" si="37"/>
        <v>-4.122858513265798E-2</v>
      </c>
      <c r="M242" s="5"/>
      <c r="Y242">
        <f t="shared" si="38"/>
        <v>-0.5</v>
      </c>
    </row>
    <row r="243" spans="2:25" x14ac:dyDescent="0.3">
      <c r="B243" s="126">
        <v>0.27639762910978904</v>
      </c>
      <c r="C243" s="126">
        <f t="shared" si="30"/>
        <v>5.7369612828369235E-2</v>
      </c>
      <c r="D243" s="126">
        <f t="shared" si="31"/>
        <v>1.5985554758422248E-2</v>
      </c>
      <c r="E243" s="126">
        <f t="shared" si="32"/>
        <v>-2.2091628498613177E-2</v>
      </c>
      <c r="F243" s="126">
        <f t="shared" si="33"/>
        <v>-2.2088035684126636E-2</v>
      </c>
      <c r="G243" s="126">
        <f t="shared" si="34"/>
        <v>0.27766470812856436</v>
      </c>
      <c r="H243" s="126">
        <f t="shared" si="35"/>
        <v>7.3341173374536633E-2</v>
      </c>
      <c r="I243" s="126">
        <f t="shared" si="36"/>
        <v>0.27513055009101373</v>
      </c>
      <c r="J243" s="126">
        <f t="shared" si="37"/>
        <v>-4.1370063857692138E-2</v>
      </c>
      <c r="M243" s="5"/>
      <c r="Y243">
        <f t="shared" si="38"/>
        <v>-0.5</v>
      </c>
    </row>
    <row r="244" spans="2:25" x14ac:dyDescent="0.3">
      <c r="B244" s="126">
        <v>0.27857393702020894</v>
      </c>
      <c r="C244" s="126">
        <f t="shared" si="30"/>
        <v>5.746179376760098E-2</v>
      </c>
      <c r="D244" s="126">
        <f t="shared" si="31"/>
        <v>1.5937476572566656E-2</v>
      </c>
      <c r="E244" s="126">
        <f t="shared" si="32"/>
        <v>-2.2091628498613177E-2</v>
      </c>
      <c r="F244" s="126">
        <f t="shared" si="33"/>
        <v>-2.2088035684126636E-2</v>
      </c>
      <c r="G244" s="126">
        <f t="shared" si="34"/>
        <v>0.27984305196930126</v>
      </c>
      <c r="H244" s="126">
        <f t="shared" si="35"/>
        <v>7.3385253642147832E-2</v>
      </c>
      <c r="I244" s="126">
        <f t="shared" si="36"/>
        <v>0.27730482207111662</v>
      </c>
      <c r="J244" s="126">
        <f t="shared" si="37"/>
        <v>-4.1510300497014527E-2</v>
      </c>
      <c r="M244" s="5"/>
      <c r="Y244">
        <f t="shared" si="38"/>
        <v>-0.5</v>
      </c>
    </row>
    <row r="245" spans="2:25" x14ac:dyDescent="0.3">
      <c r="B245" s="126">
        <v>0.28075739368100194</v>
      </c>
      <c r="C245" s="126">
        <f t="shared" si="30"/>
        <v>5.7552563163459192E-2</v>
      </c>
      <c r="D245" s="126">
        <f t="shared" si="31"/>
        <v>1.5889240459173594E-2</v>
      </c>
      <c r="E245" s="126">
        <f t="shared" si="32"/>
        <v>-2.2091628498613177E-2</v>
      </c>
      <c r="F245" s="126">
        <f t="shared" si="33"/>
        <v>-2.2088035684126636E-2</v>
      </c>
      <c r="G245" s="126">
        <f t="shared" si="34"/>
        <v>0.28202851338472601</v>
      </c>
      <c r="H245" s="126">
        <f t="shared" si="35"/>
        <v>7.3427764783166857E-2</v>
      </c>
      <c r="I245" s="126">
        <f t="shared" si="36"/>
        <v>0.27948627397727788</v>
      </c>
      <c r="J245" s="126">
        <f t="shared" si="37"/>
        <v>-4.1649283864819669E-2</v>
      </c>
      <c r="M245" s="5"/>
      <c r="Y245">
        <f t="shared" si="38"/>
        <v>-0.5</v>
      </c>
    </row>
    <row r="246" spans="2:25" x14ac:dyDescent="0.3">
      <c r="B246" s="126">
        <v>0.28294797745587386</v>
      </c>
      <c r="C246" s="126">
        <f t="shared" si="30"/>
        <v>5.7641910119658454E-2</v>
      </c>
      <c r="D246" s="126">
        <f t="shared" si="31"/>
        <v>1.5840846896224035E-2</v>
      </c>
      <c r="E246" s="126">
        <f t="shared" si="32"/>
        <v>-2.2091628498613177E-2</v>
      </c>
      <c r="F246" s="126">
        <f t="shared" si="33"/>
        <v>-2.2088035684126636E-2</v>
      </c>
      <c r="G246" s="126">
        <f t="shared" si="34"/>
        <v>0.28422107049788647</v>
      </c>
      <c r="H246" s="126">
        <f t="shared" si="35"/>
        <v>7.3468696381947196E-2</v>
      </c>
      <c r="I246" s="126">
        <f t="shared" si="36"/>
        <v>0.28167488441386124</v>
      </c>
      <c r="J246" s="126">
        <f t="shared" si="37"/>
        <v>-4.178700258949912E-2</v>
      </c>
      <c r="M246" s="5"/>
      <c r="Y246">
        <f t="shared" si="38"/>
        <v>-0.5</v>
      </c>
    </row>
    <row r="247" spans="2:25" x14ac:dyDescent="0.3">
      <c r="B247" s="126">
        <v>0.28514566663790619</v>
      </c>
      <c r="C247" s="126">
        <f t="shared" si="30"/>
        <v>5.7729823555128124E-2</v>
      </c>
      <c r="D247" s="126">
        <f t="shared" si="31"/>
        <v>1.5792296363259156E-2</v>
      </c>
      <c r="E247" s="126">
        <f t="shared" si="32"/>
        <v>-2.2091628498613177E-2</v>
      </c>
      <c r="F247" s="126">
        <f t="shared" si="33"/>
        <v>-2.2088035684126636E-2</v>
      </c>
      <c r="G247" s="126">
        <f t="shared" si="34"/>
        <v>0.28642070135712488</v>
      </c>
      <c r="H247" s="126">
        <f t="shared" si="35"/>
        <v>7.3508037839662393E-2</v>
      </c>
      <c r="I247" s="126">
        <f t="shared" si="36"/>
        <v>0.2838706319186875</v>
      </c>
      <c r="J247" s="126">
        <f t="shared" si="37"/>
        <v>-4.1923445113144081E-2</v>
      </c>
      <c r="M247" s="5"/>
      <c r="Y247">
        <f t="shared" si="38"/>
        <v>-0.5</v>
      </c>
    </row>
    <row r="248" spans="2:25" x14ac:dyDescent="0.3">
      <c r="B248" s="126">
        <v>0.28735043944977212</v>
      </c>
      <c r="C248" s="126">
        <f t="shared" si="30"/>
        <v>5.7816292203529462E-2</v>
      </c>
      <c r="D248" s="126">
        <f t="shared" si="31"/>
        <v>1.5743589341375572E-2</v>
      </c>
      <c r="E248" s="126">
        <f t="shared" si="32"/>
        <v>-2.2091628498613177E-2</v>
      </c>
      <c r="F248" s="126">
        <f t="shared" si="33"/>
        <v>-2.2088035684126636E-2</v>
      </c>
      <c r="G248" s="126">
        <f t="shared" si="34"/>
        <v>0.28862738393628345</v>
      </c>
      <c r="H248" s="126">
        <f t="shared" si="35"/>
        <v>7.3545778373818538E-2</v>
      </c>
      <c r="I248" s="126">
        <f t="shared" si="36"/>
        <v>0.28607349496326079</v>
      </c>
      <c r="J248" s="126">
        <f t="shared" si="37"/>
        <v>-4.20585996910674E-2</v>
      </c>
      <c r="M248" s="5"/>
      <c r="Y248">
        <f t="shared" si="38"/>
        <v>-0.5</v>
      </c>
    </row>
    <row r="249" spans="2:25" x14ac:dyDescent="0.3">
      <c r="B249" s="126">
        <v>0.28956227404395118</v>
      </c>
      <c r="C249" s="126">
        <f t="shared" si="30"/>
        <v>5.7901304612791603E-2</v>
      </c>
      <c r="D249" s="126">
        <f t="shared" si="31"/>
        <v>1.5694726313220587E-2</v>
      </c>
      <c r="E249" s="126">
        <f t="shared" si="32"/>
        <v>-2.2091628498613177E-2</v>
      </c>
      <c r="F249" s="126">
        <f t="shared" si="33"/>
        <v>-2.2088035684126636E-2</v>
      </c>
      <c r="G249" s="126">
        <f t="shared" si="34"/>
        <v>0.29084109613490855</v>
      </c>
      <c r="H249" s="126">
        <f t="shared" si="35"/>
        <v>7.3581907017785581E-2</v>
      </c>
      <c r="I249" s="126">
        <f t="shared" si="36"/>
        <v>0.28828345195299382</v>
      </c>
      <c r="J249" s="126">
        <f t="shared" si="37"/>
        <v>-4.2192454391344406E-2</v>
      </c>
      <c r="M249" s="5"/>
      <c r="Y249">
        <f t="shared" si="38"/>
        <v>-0.5</v>
      </c>
    </row>
    <row r="250" spans="2:25" x14ac:dyDescent="0.3">
      <c r="B250" s="126">
        <v>0.2917811485029469</v>
      </c>
      <c r="C250" s="126">
        <f t="shared" si="30"/>
        <v>5.7984849144666999E-2</v>
      </c>
      <c r="D250" s="126">
        <f t="shared" si="31"/>
        <v>1.564570776298739E-2</v>
      </c>
      <c r="E250" s="126">
        <f t="shared" si="32"/>
        <v>-2.2091628498613177E-2</v>
      </c>
      <c r="F250" s="126">
        <f t="shared" si="33"/>
        <v>-2.2088035684126636E-2</v>
      </c>
      <c r="G250" s="126">
        <f t="shared" si="34"/>
        <v>0.29306181577845847</v>
      </c>
      <c r="H250" s="126">
        <f t="shared" si="35"/>
        <v>7.3616412620348085E-2</v>
      </c>
      <c r="I250" s="126">
        <f t="shared" si="36"/>
        <v>0.29050048122743533</v>
      </c>
      <c r="J250" s="126">
        <f t="shared" si="37"/>
        <v>-4.2324997094373304E-2</v>
      </c>
      <c r="M250" s="5"/>
      <c r="Y250">
        <f t="shared" si="38"/>
        <v>-0.5</v>
      </c>
    </row>
    <row r="251" spans="2:25" x14ac:dyDescent="0.3">
      <c r="B251" s="126">
        <v>0.29400704083950302</v>
      </c>
      <c r="C251" s="126">
        <f t="shared" si="30"/>
        <v>5.8066913974306314E-2</v>
      </c>
      <c r="D251" s="126">
        <f t="shared" si="31"/>
        <v>1.5596534176410284E-2</v>
      </c>
      <c r="E251" s="126">
        <f t="shared" si="32"/>
        <v>-2.2091628498613177E-2</v>
      </c>
      <c r="F251" s="126">
        <f t="shared" si="33"/>
        <v>-2.2088035684126636E-2</v>
      </c>
      <c r="G251" s="126">
        <f t="shared" si="34"/>
        <v>0.2952895206185106</v>
      </c>
      <c r="H251" s="126">
        <f t="shared" si="35"/>
        <v>7.3649283845275471E-2</v>
      </c>
      <c r="I251" s="126">
        <f t="shared" si="36"/>
        <v>0.29272456106049544</v>
      </c>
      <c r="J251" s="126">
        <f t="shared" si="37"/>
        <v>-4.2456215492454902E-2</v>
      </c>
      <c r="M251" s="5"/>
      <c r="Y251">
        <f t="shared" si="38"/>
        <v>-0.5</v>
      </c>
    </row>
    <row r="252" spans="2:25" x14ac:dyDescent="0.3">
      <c r="B252" s="126">
        <v>0.29623992899682194</v>
      </c>
      <c r="C252" s="126">
        <f t="shared" si="30"/>
        <v>5.8147487089852672E-2</v>
      </c>
      <c r="D252" s="126">
        <f t="shared" si="31"/>
        <v>1.5547206040759841E-2</v>
      </c>
      <c r="E252" s="126">
        <f t="shared" si="32"/>
        <v>-2.2091628498613177E-2</v>
      </c>
      <c r="F252" s="126">
        <f t="shared" si="33"/>
        <v>-2.2088035684126636E-2</v>
      </c>
      <c r="G252" s="126">
        <f t="shared" si="34"/>
        <v>0.29752418833297051</v>
      </c>
      <c r="H252" s="126">
        <f t="shared" si="35"/>
        <v>7.3680509170911485E-2</v>
      </c>
      <c r="I252" s="126">
        <f t="shared" si="36"/>
        <v>0.29495566966067338</v>
      </c>
      <c r="J252" s="126">
        <f t="shared" si="37"/>
        <v>-4.2586097089391796E-2</v>
      </c>
      <c r="M252" s="5"/>
      <c r="Y252">
        <f t="shared" si="38"/>
        <v>-0.5</v>
      </c>
    </row>
    <row r="253" spans="2:25" x14ac:dyDescent="0.3">
      <c r="B253" s="126">
        <v>0.29847979084878318</v>
      </c>
      <c r="C253" s="126">
        <f t="shared" si="30"/>
        <v>5.8226556292055656E-2</v>
      </c>
      <c r="D253" s="126">
        <f t="shared" si="31"/>
        <v>1.5497723844838098E-2</v>
      </c>
      <c r="E253" s="126">
        <f t="shared" si="32"/>
        <v>-2.2091628498613177E-2</v>
      </c>
      <c r="F253" s="126">
        <f t="shared" si="33"/>
        <v>-2.2088035684126636E-2</v>
      </c>
      <c r="G253" s="126">
        <f t="shared" si="34"/>
        <v>0.29976579652628221</v>
      </c>
      <c r="H253" s="126">
        <f t="shared" si="35"/>
        <v>7.3710076889783524E-2</v>
      </c>
      <c r="I253" s="126">
        <f t="shared" si="36"/>
        <v>0.29719378517128414</v>
      </c>
      <c r="J253" s="126">
        <f t="shared" si="37"/>
        <v>-4.2714629200107324E-2</v>
      </c>
      <c r="M253" s="5"/>
      <c r="Y253">
        <f t="shared" si="38"/>
        <v>-0.5</v>
      </c>
    </row>
    <row r="254" spans="2:25" x14ac:dyDescent="0.3">
      <c r="B254" s="126">
        <v>0.30072660420016228</v>
      </c>
      <c r="C254" s="126">
        <f t="shared" si="30"/>
        <v>5.8304109193905232E-2</v>
      </c>
      <c r="D254" s="126">
        <f t="shared" si="31"/>
        <v>1.5448088078973706E-2</v>
      </c>
      <c r="E254" s="126">
        <f t="shared" si="32"/>
        <v>-2.2091628498613177E-2</v>
      </c>
      <c r="F254" s="126">
        <f t="shared" si="33"/>
        <v>-2.2088035684126636E-2</v>
      </c>
      <c r="G254" s="126">
        <f t="shared" si="34"/>
        <v>0.3020143227296388</v>
      </c>
      <c r="H254" s="126">
        <f t="shared" si="35"/>
        <v>7.3737975108231768E-2</v>
      </c>
      <c r="I254" s="126">
        <f t="shared" si="36"/>
        <v>0.29943888567068577</v>
      </c>
      <c r="J254" s="126">
        <f t="shared" si="37"/>
        <v>-4.2841798950284359E-2</v>
      </c>
      <c r="M254" s="5"/>
      <c r="Y254">
        <f t="shared" si="38"/>
        <v>-0.5</v>
      </c>
    </row>
    <row r="255" spans="2:25" x14ac:dyDescent="0.3">
      <c r="B255" s="126">
        <v>0.30298034678685137</v>
      </c>
      <c r="C255" s="126">
        <f t="shared" si="30"/>
        <v>5.8380133220285194E-2</v>
      </c>
      <c r="D255" s="126">
        <f t="shared" si="31"/>
        <v>1.5398299235017067E-2</v>
      </c>
      <c r="E255" s="126">
        <f t="shared" si="32"/>
        <v>-2.2091628498613177E-2</v>
      </c>
      <c r="F255" s="126">
        <f t="shared" si="33"/>
        <v>-2.2088035684126636E-2</v>
      </c>
      <c r="G255" s="126">
        <f t="shared" si="34"/>
        <v>0.30426974440119525</v>
      </c>
      <c r="H255" s="126">
        <f t="shared" si="35"/>
        <v>7.3764191746057889E-2</v>
      </c>
      <c r="I255" s="126">
        <f t="shared" si="36"/>
        <v>0.30169094917250749</v>
      </c>
      <c r="J255" s="126">
        <f t="shared" si="37"/>
        <v>-4.2967593276023758E-2</v>
      </c>
      <c r="M255" s="5"/>
      <c r="Y255">
        <f t="shared" si="38"/>
        <v>-0.5</v>
      </c>
    </row>
    <row r="256" spans="2:25" x14ac:dyDescent="0.3">
      <c r="B256" s="126">
        <v>0.30524099627607926</v>
      </c>
      <c r="C256" s="126">
        <f t="shared" si="30"/>
        <v>5.8454615607646906E-2</v>
      </c>
      <c r="D256" s="126">
        <f t="shared" si="31"/>
        <v>1.5348357806335465E-2</v>
      </c>
      <c r="E256" s="126">
        <f t="shared" si="32"/>
        <v>-2.2091628498613177E-2</v>
      </c>
      <c r="F256" s="126">
        <f t="shared" si="33"/>
        <v>-2.2088035684126636E-2</v>
      </c>
      <c r="G256" s="126">
        <f t="shared" si="34"/>
        <v>0.30653203892628172</v>
      </c>
      <c r="H256" s="126">
        <f t="shared" si="35"/>
        <v>7.3788714536193956E-2</v>
      </c>
      <c r="I256" s="126">
        <f t="shared" si="36"/>
        <v>0.30394995362587679</v>
      </c>
      <c r="J256" s="126">
        <f t="shared" si="37"/>
        <v>-4.3091998923523021E-2</v>
      </c>
      <c r="M256" s="5"/>
      <c r="Y256">
        <f t="shared" si="38"/>
        <v>-0.5</v>
      </c>
    </row>
    <row r="257" spans="2:25" x14ac:dyDescent="0.3">
      <c r="B257" s="126">
        <v>0.30750853026663305</v>
      </c>
      <c r="C257" s="126">
        <f t="shared" si="30"/>
        <v>5.8527543403703114E-2</v>
      </c>
      <c r="D257" s="126">
        <f t="shared" si="31"/>
        <v>1.5298264287808174E-2</v>
      </c>
      <c r="E257" s="126">
        <f t="shared" si="32"/>
        <v>-2.2091628498613177E-2</v>
      </c>
      <c r="F257" s="126">
        <f t="shared" si="33"/>
        <v>-2.2088035684126636E-2</v>
      </c>
      <c r="G257" s="126">
        <f t="shared" si="34"/>
        <v>0.30880118361761788</v>
      </c>
      <c r="H257" s="126">
        <f t="shared" si="35"/>
        <v>7.3811531024391419E-2</v>
      </c>
      <c r="I257" s="126">
        <f t="shared" si="36"/>
        <v>0.30621587691564822</v>
      </c>
      <c r="J257" s="126">
        <f t="shared" si="37"/>
        <v>-4.3215002448775075E-2</v>
      </c>
      <c r="M257" s="5"/>
      <c r="Y257">
        <f t="shared" si="38"/>
        <v>-0.5</v>
      </c>
    </row>
    <row r="258" spans="2:25" x14ac:dyDescent="0.3">
      <c r="B258" s="126">
        <v>0.30978292628908</v>
      </c>
      <c r="C258" s="126">
        <f t="shared" ref="C258:C321" si="39">IF(B258&lt;$N$1, ($A$7/0.2)*($O$1*SQRT(B258)+$P$1*B258+$Q$1*(B258^2)+$R$1*(B258^3)), ($A$7/0.2)*($S$1+$T$1*(1-B258)+$U$1*((1-B258)^2)+$V$1*((1-B258)^3)))</f>
        <v>5.8598903467141784E-2</v>
      </c>
      <c r="D258" s="126">
        <f t="shared" ref="D258:D321" si="40" xml:space="preserve"> IF(B258&lt;$A$8, ($A$10/6)*((B258^3)-3*$A$8*(B258^2)+($A$8^2)*(3-$A$8)*B258), (($A$10*($A$8^3))/6)*(1-B258))</f>
        <v>1.5248019175821552E-2</v>
      </c>
      <c r="E258" s="126">
        <f t="shared" ref="E258:E321" si="41">IF(B258&lt;$A$8, ($A$10/6)*(3*(B258^2)-6*$A$8*B258+($A$8^2)*(3-$A$8)), -($A$10*($A$8^3))/6)</f>
        <v>-2.2091628498613177E-2</v>
      </c>
      <c r="F258" s="126">
        <f t="shared" ref="F258:F321" si="42" xml:space="preserve"> ATAN(E258)</f>
        <v>-2.2088035684126636E-2</v>
      </c>
      <c r="G258" s="126">
        <f t="shared" ref="G258:G321" si="43">B258-C258*SIN(F258)</f>
        <v>0.31107715571552891</v>
      </c>
      <c r="H258" s="126">
        <f t="shared" ref="H258:H321" si="44">D258+C258*COS(F258)</f>
        <v>7.3832628568930206E-2</v>
      </c>
      <c r="I258" s="126">
        <f t="shared" ref="I258:I321" si="45">B258+C258*SIN(F258)</f>
        <v>0.30848869686263108</v>
      </c>
      <c r="J258" s="126">
        <f t="shared" ref="J258:J321" si="46">D258-C258*COS(F258)</f>
        <v>-4.3336590217287106E-2</v>
      </c>
      <c r="M258" s="5"/>
      <c r="Y258">
        <f t="shared" ref="Y258:Y321" si="47">IF($Z$1, D258, -0.5)</f>
        <v>-0.5</v>
      </c>
    </row>
    <row r="259" spans="2:25" x14ac:dyDescent="0.3">
      <c r="B259" s="126">
        <v>0.31206416180598984</v>
      </c>
      <c r="C259" s="126">
        <f t="shared" si="39"/>
        <v>5.8668682467360511E-2</v>
      </c>
      <c r="D259" s="126">
        <f t="shared" si="40"/>
        <v>1.5197622968264138E-2</v>
      </c>
      <c r="E259" s="126">
        <f t="shared" si="41"/>
        <v>-2.2091628498613177E-2</v>
      </c>
      <c r="F259" s="126">
        <f t="shared" si="42"/>
        <v>-2.2088035684126636E-2</v>
      </c>
      <c r="G259" s="126">
        <f t="shared" si="43"/>
        <v>0.31335993238816162</v>
      </c>
      <c r="H259" s="126">
        <f t="shared" si="44"/>
        <v>7.3851994340348184E-2</v>
      </c>
      <c r="I259" s="126">
        <f t="shared" si="45"/>
        <v>0.31076839122381805</v>
      </c>
      <c r="J259" s="126">
        <f t="shared" si="46"/>
        <v>-4.3456748403819911E-2</v>
      </c>
      <c r="M259" s="5"/>
      <c r="Y259">
        <f t="shared" si="47"/>
        <v>-0.5</v>
      </c>
    </row>
    <row r="260" spans="2:25" x14ac:dyDescent="0.3">
      <c r="B260" s="126">
        <v>0.31435221421215875</v>
      </c>
      <c r="C260" s="126">
        <f t="shared" si="39"/>
        <v>5.873686688422123E-2</v>
      </c>
      <c r="D260" s="126">
        <f t="shared" si="40"/>
        <v>1.5147076164521697E-2</v>
      </c>
      <c r="E260" s="126">
        <f t="shared" si="41"/>
        <v>-2.2091628498613177E-2</v>
      </c>
      <c r="F260" s="126">
        <f t="shared" si="42"/>
        <v>-2.2088035684126636E-2</v>
      </c>
      <c r="G260" s="126">
        <f t="shared" si="43"/>
        <v>0.31564949073170318</v>
      </c>
      <c r="H260" s="126">
        <f t="shared" si="44"/>
        <v>7.3869615321191032E-2</v>
      </c>
      <c r="I260" s="126">
        <f t="shared" si="45"/>
        <v>0.31305493769261433</v>
      </c>
      <c r="J260" s="126">
        <f t="shared" si="46"/>
        <v>-4.3575462992147637E-2</v>
      </c>
      <c r="M260" s="5"/>
      <c r="Y260">
        <f t="shared" si="47"/>
        <v>-0.5</v>
      </c>
    </row>
    <row r="261" spans="2:25" x14ac:dyDescent="0.3">
      <c r="B261" s="126">
        <v>0.31664706083483307</v>
      </c>
      <c r="C261" s="126">
        <f t="shared" si="39"/>
        <v>5.8803443007825494E-2</v>
      </c>
      <c r="D261" s="126">
        <f t="shared" si="40"/>
        <v>1.5096379265472278E-2</v>
      </c>
      <c r="E261" s="126">
        <f t="shared" si="41"/>
        <v>-2.2091628498613177E-2</v>
      </c>
      <c r="F261" s="126">
        <f t="shared" si="42"/>
        <v>-2.2088035684126636E-2</v>
      </c>
      <c r="G261" s="126">
        <f t="shared" si="43"/>
        <v>0.31794580777059978</v>
      </c>
      <c r="H261" s="126">
        <f t="shared" si="44"/>
        <v>7.3885478305782612E-2</v>
      </c>
      <c r="I261" s="126">
        <f t="shared" si="45"/>
        <v>0.31534831389906637</v>
      </c>
      <c r="J261" s="126">
        <f t="shared" si="46"/>
        <v>-4.369271977483806E-2</v>
      </c>
      <c r="M261" s="5"/>
      <c r="Y261">
        <f t="shared" si="47"/>
        <v>-0.5</v>
      </c>
    </row>
    <row r="262" spans="2:25" x14ac:dyDescent="0.3">
      <c r="B262" s="126">
        <v>0.31894867893393375</v>
      </c>
      <c r="C262" s="126">
        <f t="shared" si="39"/>
        <v>5.886839693831028E-2</v>
      </c>
      <c r="D262" s="126">
        <f t="shared" si="40"/>
        <v>1.5045532773481262E-2</v>
      </c>
      <c r="E262" s="126">
        <f t="shared" si="41"/>
        <v>-2.2091628498613177E-2</v>
      </c>
      <c r="F262" s="126">
        <f t="shared" si="42"/>
        <v>-2.2088035684126636E-2</v>
      </c>
      <c r="G262" s="126">
        <f t="shared" si="43"/>
        <v>0.32024886045777673</v>
      </c>
      <c r="H262" s="126">
        <f t="shared" si="44"/>
        <v>7.3899569900015893E-2</v>
      </c>
      <c r="I262" s="126">
        <f t="shared" si="45"/>
        <v>0.31764849741009077</v>
      </c>
      <c r="J262" s="126">
        <f t="shared" si="46"/>
        <v>-4.3808504353053362E-2</v>
      </c>
      <c r="M262" s="5"/>
      <c r="Y262">
        <f t="shared" si="47"/>
        <v>-0.5</v>
      </c>
    </row>
    <row r="263" spans="2:25" x14ac:dyDescent="0.3">
      <c r="B263" s="126">
        <v>0.3212570457022822</v>
      </c>
      <c r="C263" s="126">
        <f t="shared" si="39"/>
        <v>5.8931714585664846E-2</v>
      </c>
      <c r="D263" s="126">
        <f t="shared" si="40"/>
        <v>1.4994537192396363E-2</v>
      </c>
      <c r="E263" s="126">
        <f t="shared" si="41"/>
        <v>-2.2091628498613177E-2</v>
      </c>
      <c r="F263" s="126">
        <f t="shared" si="42"/>
        <v>-2.2088035684126636E-2</v>
      </c>
      <c r="G263" s="126">
        <f t="shared" si="43"/>
        <v>0.3225586256748601</v>
      </c>
      <c r="H263" s="126">
        <f t="shared" si="44"/>
        <v>7.3911876521164821E-2</v>
      </c>
      <c r="I263" s="126">
        <f t="shared" si="45"/>
        <v>0.31995546572970429</v>
      </c>
      <c r="J263" s="126">
        <f t="shared" si="46"/>
        <v>-4.3922802136372098E-2</v>
      </c>
      <c r="M263" s="5"/>
      <c r="Y263">
        <f t="shared" si="47"/>
        <v>-0.5</v>
      </c>
    </row>
    <row r="264" spans="2:25" x14ac:dyDescent="0.3">
      <c r="B264" s="126">
        <v>0.32357213826582509</v>
      </c>
      <c r="C264" s="126">
        <f t="shared" si="39"/>
        <v>5.8993381669567968E-2</v>
      </c>
      <c r="D264" s="126">
        <f t="shared" si="40"/>
        <v>1.4943393027542672E-2</v>
      </c>
      <c r="E264" s="126">
        <f t="shared" si="41"/>
        <v>-2.2091628498613177E-2</v>
      </c>
      <c r="F264" s="126">
        <f t="shared" si="42"/>
        <v>-2.2088035684126636E-2</v>
      </c>
      <c r="G264" s="126">
        <f t="shared" si="43"/>
        <v>0.32487508023239792</v>
      </c>
      <c r="H264" s="126">
        <f t="shared" si="44"/>
        <v>7.3922384397716687E-2</v>
      </c>
      <c r="I264" s="126">
        <f t="shared" si="45"/>
        <v>0.32226919629925227</v>
      </c>
      <c r="J264" s="126">
        <f t="shared" si="46"/>
        <v>-4.4035598342631349E-2</v>
      </c>
      <c r="M264" s="5"/>
      <c r="Y264">
        <f t="shared" si="47"/>
        <v>-0.5</v>
      </c>
    </row>
    <row r="265" spans="2:25" x14ac:dyDescent="0.3">
      <c r="B265" s="126">
        <v>0.32589393368386299</v>
      </c>
      <c r="C265" s="126">
        <f t="shared" si="39"/>
        <v>5.9053383719246628E-2</v>
      </c>
      <c r="D265" s="126">
        <f t="shared" si="40"/>
        <v>1.4892100785717597E-2</v>
      </c>
      <c r="E265" s="126">
        <f t="shared" si="41"/>
        <v>-2.2091628498613177E-2</v>
      </c>
      <c r="F265" s="126">
        <f t="shared" si="42"/>
        <v>-2.2088035684126636E-2</v>
      </c>
      <c r="G265" s="126">
        <f t="shared" si="43"/>
        <v>0.32719820087008578</v>
      </c>
      <c r="H265" s="126">
        <f t="shared" si="44"/>
        <v>7.3931079569225747E-2</v>
      </c>
      <c r="I265" s="126">
        <f t="shared" si="45"/>
        <v>0.32458966649764021</v>
      </c>
      <c r="J265" s="126">
        <f t="shared" si="46"/>
        <v>-4.414687799779056E-2</v>
      </c>
      <c r="M265" s="5"/>
      <c r="Y265">
        <f t="shared" si="47"/>
        <v>-0.5</v>
      </c>
    </row>
    <row r="266" spans="2:25" x14ac:dyDescent="0.3">
      <c r="B266" s="126">
        <v>0.3282224089492759</v>
      </c>
      <c r="C266" s="126">
        <f t="shared" si="39"/>
        <v>5.9111706073355287E-2</v>
      </c>
      <c r="D266" s="126">
        <f t="shared" si="40"/>
        <v>1.4840660975185885E-2</v>
      </c>
      <c r="E266" s="126">
        <f t="shared" si="41"/>
        <v>-2.2091628498613177E-2</v>
      </c>
      <c r="F266" s="126">
        <f t="shared" si="42"/>
        <v>-2.2088035684126636E-2</v>
      </c>
      <c r="G266" s="126">
        <f t="shared" si="43"/>
        <v>0.32952796425698971</v>
      </c>
      <c r="H266" s="126">
        <f t="shared" si="44"/>
        <v>7.3937947886187558E-2</v>
      </c>
      <c r="I266" s="126">
        <f t="shared" si="45"/>
        <v>0.32691685364156209</v>
      </c>
      <c r="J266" s="126">
        <f t="shared" si="46"/>
        <v>-4.425662593581578E-2</v>
      </c>
      <c r="M266" s="5"/>
      <c r="Y266">
        <f t="shared" si="47"/>
        <v>-0.5</v>
      </c>
    </row>
    <row r="267" spans="2:25" x14ac:dyDescent="0.3">
      <c r="B267" s="126">
        <v>0.33055754098875223</v>
      </c>
      <c r="C267" s="126">
        <f t="shared" si="39"/>
        <v>5.9168333879876467E-2</v>
      </c>
      <c r="D267" s="126">
        <f t="shared" si="40"/>
        <v>1.4789074105674566E-2</v>
      </c>
      <c r="E267" s="126">
        <f t="shared" si="41"/>
        <v>-2.2091628498613177E-2</v>
      </c>
      <c r="F267" s="126">
        <f t="shared" si="42"/>
        <v>-2.2088035684126636E-2</v>
      </c>
      <c r="G267" s="126">
        <f t="shared" si="43"/>
        <v>0.33186434699177292</v>
      </c>
      <c r="H267" s="126">
        <f t="shared" si="44"/>
        <v>7.394297500993452E-2</v>
      </c>
      <c r="I267" s="126">
        <f t="shared" si="45"/>
        <v>0.32925073498573154</v>
      </c>
      <c r="J267" s="126">
        <f t="shared" si="46"/>
        <v>-4.4364826798585388E-2</v>
      </c>
      <c r="M267" s="5"/>
      <c r="Y267">
        <f t="shared" si="47"/>
        <v>-0.5</v>
      </c>
    </row>
    <row r="268" spans="2:25" x14ac:dyDescent="0.3">
      <c r="B268" s="126">
        <v>0.33289930666301693</v>
      </c>
      <c r="C268" s="126">
        <f t="shared" si="39"/>
        <v>5.9223252096042719E-2</v>
      </c>
      <c r="D268" s="126">
        <f t="shared" si="40"/>
        <v>1.4737340688367904E-2</v>
      </c>
      <c r="E268" s="126">
        <f t="shared" si="41"/>
        <v>-2.2091628498613177E-2</v>
      </c>
      <c r="F268" s="126">
        <f t="shared" si="42"/>
        <v>-2.2088035684126636E-2</v>
      </c>
      <c r="G268" s="126">
        <f t="shared" si="43"/>
        <v>0.33420732560292216</v>
      </c>
      <c r="H268" s="126">
        <f t="shared" si="44"/>
        <v>7.3946146412552857E-2</v>
      </c>
      <c r="I268" s="126">
        <f t="shared" si="45"/>
        <v>0.33159128772311169</v>
      </c>
      <c r="J268" s="126">
        <f t="shared" si="46"/>
        <v>-4.4471465035817052E-2</v>
      </c>
      <c r="M268" s="5"/>
      <c r="Y268">
        <f t="shared" si="47"/>
        <v>-0.5</v>
      </c>
    </row>
    <row r="269" spans="2:25" x14ac:dyDescent="0.3">
      <c r="B269" s="126">
        <v>0.33524768276706118</v>
      </c>
      <c r="C269" s="126">
        <f t="shared" si="39"/>
        <v>5.9276445488279469E-2</v>
      </c>
      <c r="D269" s="126">
        <f t="shared" si="40"/>
        <v>1.4685461235902338E-2</v>
      </c>
      <c r="E269" s="126">
        <f t="shared" si="41"/>
        <v>-2.2091628498613177E-2</v>
      </c>
      <c r="F269" s="126">
        <f t="shared" si="42"/>
        <v>-2.2088035684126636E-2</v>
      </c>
      <c r="G269" s="126">
        <f t="shared" si="43"/>
        <v>0.33655687654897631</v>
      </c>
      <c r="H269" s="126">
        <f t="shared" si="44"/>
        <v>7.394744737682038E-2</v>
      </c>
      <c r="I269" s="126">
        <f t="shared" si="45"/>
        <v>0.33393848898514605</v>
      </c>
      <c r="J269" s="126">
        <f t="shared" si="46"/>
        <v>-4.4576524905015708E-2</v>
      </c>
      <c r="M269" s="5"/>
      <c r="Y269">
        <f t="shared" si="47"/>
        <v>-0.5</v>
      </c>
    </row>
    <row r="270" spans="2:25" x14ac:dyDescent="0.3">
      <c r="B270" s="126">
        <v>0.33760264603037182</v>
      </c>
      <c r="C270" s="126">
        <f t="shared" si="39"/>
        <v>5.9327898632169765E-2</v>
      </c>
      <c r="D270" s="126">
        <f t="shared" si="40"/>
        <v>1.4633436262361398E-2</v>
      </c>
      <c r="E270" s="126">
        <f t="shared" si="41"/>
        <v>-2.2091628498613177E-2</v>
      </c>
      <c r="F270" s="126">
        <f t="shared" si="42"/>
        <v>-2.2088035684126636E-2</v>
      </c>
      <c r="G270" s="126">
        <f t="shared" si="43"/>
        <v>0.33891297621875477</v>
      </c>
      <c r="H270" s="126">
        <f t="shared" si="44"/>
        <v>7.3946862996166152E-2</v>
      </c>
      <c r="I270" s="126">
        <f t="shared" si="45"/>
        <v>0.33629231584198888</v>
      </c>
      <c r="J270" s="126">
        <f t="shared" si="46"/>
        <v>-4.4679990471443352E-2</v>
      </c>
      <c r="M270" s="5"/>
      <c r="Y270">
        <f t="shared" si="47"/>
        <v>-0.5</v>
      </c>
    </row>
    <row r="271" spans="2:25" x14ac:dyDescent="0.3">
      <c r="B271" s="126">
        <v>0.33996417311716254</v>
      </c>
      <c r="C271" s="126">
        <f t="shared" si="39"/>
        <v>5.9377595912440011E-2</v>
      </c>
      <c r="D271" s="126">
        <f t="shared" si="40"/>
        <v>1.4581266283270606E-2</v>
      </c>
      <c r="E271" s="126">
        <f t="shared" si="41"/>
        <v>-2.2091628498613177E-2</v>
      </c>
      <c r="F271" s="126">
        <f t="shared" si="42"/>
        <v>-2.2088035684126636E-2</v>
      </c>
      <c r="G271" s="126">
        <f t="shared" si="43"/>
        <v>0.34127560093158854</v>
      </c>
      <c r="H271" s="126">
        <f t="shared" si="44"/>
        <v>7.3944378174651118E-2</v>
      </c>
      <c r="I271" s="126">
        <f t="shared" si="45"/>
        <v>0.33865274530273654</v>
      </c>
      <c r="J271" s="126">
        <f t="shared" si="46"/>
        <v>-4.478184560810991E-2</v>
      </c>
      <c r="M271" s="5"/>
      <c r="Y271">
        <f t="shared" si="47"/>
        <v>-0.5</v>
      </c>
    </row>
    <row r="272" spans="2:25" x14ac:dyDescent="0.3">
      <c r="B272" s="126">
        <v>0.34233224062660483</v>
      </c>
      <c r="C272" s="126">
        <f t="shared" si="39"/>
        <v>5.9425521522967664E-2</v>
      </c>
      <c r="D272" s="126">
        <f t="shared" si="40"/>
        <v>1.452895181559237E-2</v>
      </c>
      <c r="E272" s="126">
        <f t="shared" si="41"/>
        <v>-2.2091628498613177E-2</v>
      </c>
      <c r="F272" s="126">
        <f t="shared" si="42"/>
        <v>-2.2088035684126636E-2</v>
      </c>
      <c r="G272" s="126">
        <f t="shared" si="43"/>
        <v>0.34364472693755133</v>
      </c>
      <c r="H272" s="126">
        <f t="shared" si="44"/>
        <v>7.3939977626970771E-2</v>
      </c>
      <c r="I272" s="126">
        <f t="shared" si="45"/>
        <v>0.34101975431565834</v>
      </c>
      <c r="J272" s="126">
        <f t="shared" si="46"/>
        <v>-4.4882073995786038E-2</v>
      </c>
      <c r="M272" s="5"/>
      <c r="Y272">
        <f t="shared" si="47"/>
        <v>-0.5</v>
      </c>
    </row>
    <row r="273" spans="2:25" x14ac:dyDescent="0.3">
      <c r="B273" s="126">
        <v>0.34470682509305983</v>
      </c>
      <c r="C273" s="126">
        <f t="shared" si="39"/>
        <v>5.9471659466810302E-2</v>
      </c>
      <c r="D273" s="126">
        <f t="shared" si="40"/>
        <v>1.4476493377720868E-2</v>
      </c>
      <c r="E273" s="126">
        <f t="shared" si="41"/>
        <v>-2.2091628498613177E-2</v>
      </c>
      <c r="F273" s="126">
        <f t="shared" si="42"/>
        <v>-2.2088035684126636E-2</v>
      </c>
      <c r="G273" s="126">
        <f t="shared" si="43"/>
        <v>0.34602033041769198</v>
      </c>
      <c r="H273" s="126">
        <f t="shared" si="44"/>
        <v>7.3933645878479004E-2</v>
      </c>
      <c r="I273" s="126">
        <f t="shared" si="45"/>
        <v>0.34339331976842769</v>
      </c>
      <c r="J273" s="126">
        <f t="shared" si="46"/>
        <v>-4.4980659123037274E-2</v>
      </c>
      <c r="M273" s="5"/>
      <c r="Y273">
        <f t="shared" si="47"/>
        <v>-0.5</v>
      </c>
    </row>
    <row r="274" spans="2:25" x14ac:dyDescent="0.3">
      <c r="B274" s="126">
        <v>0.34708790298631065</v>
      </c>
      <c r="C274" s="126">
        <f t="shared" si="39"/>
        <v>5.9515993556256502E-2</v>
      </c>
      <c r="D274" s="126">
        <f t="shared" si="40"/>
        <v>1.4423891489476912E-2</v>
      </c>
      <c r="E274" s="126">
        <f t="shared" si="41"/>
        <v>-2.2091628498613177E-2</v>
      </c>
      <c r="F274" s="126">
        <f t="shared" si="42"/>
        <v>-2.2088035684126636E-2</v>
      </c>
      <c r="G274" s="126">
        <f t="shared" si="43"/>
        <v>0.34840238748426788</v>
      </c>
      <c r="H274" s="126">
        <f t="shared" si="44"/>
        <v>7.392536726523391E-2</v>
      </c>
      <c r="I274" s="126">
        <f t="shared" si="45"/>
        <v>0.34577341848835341</v>
      </c>
      <c r="J274" s="126">
        <f t="shared" si="46"/>
        <v>-4.507758428628008E-2</v>
      </c>
      <c r="M274" s="5"/>
      <c r="Y274">
        <f t="shared" si="47"/>
        <v>-0.5</v>
      </c>
    </row>
    <row r="275" spans="2:25" x14ac:dyDescent="0.3">
      <c r="B275" s="126">
        <v>0.34947545071179609</v>
      </c>
      <c r="C275" s="126">
        <f t="shared" si="39"/>
        <v>5.9558507412898615E-2</v>
      </c>
      <c r="D275" s="126">
        <f t="shared" si="40"/>
        <v>1.4371146672102778E-2</v>
      </c>
      <c r="E275" s="126">
        <f t="shared" si="41"/>
        <v>-2.2091628498613177E-2</v>
      </c>
      <c r="F275" s="126">
        <f t="shared" si="42"/>
        <v>-2.2088035684126636E-2</v>
      </c>
      <c r="G275" s="126">
        <f t="shared" si="43"/>
        <v>0.35079087418098048</v>
      </c>
      <c r="H275" s="126">
        <f t="shared" si="44"/>
        <v>7.3915125934065268E-2</v>
      </c>
      <c r="I275" s="126">
        <f t="shared" si="45"/>
        <v>0.34816002724261169</v>
      </c>
      <c r="J275" s="126">
        <f t="shared" si="46"/>
        <v>-4.5172832589859706E-2</v>
      </c>
      <c r="M275" s="5"/>
      <c r="Y275">
        <f t="shared" si="47"/>
        <v>-0.5</v>
      </c>
    </row>
    <row r="276" spans="2:25" x14ac:dyDescent="0.3">
      <c r="B276" s="126">
        <v>0.35186944461084391</v>
      </c>
      <c r="C276" s="126">
        <f t="shared" si="39"/>
        <v>5.9599184467727134E-2</v>
      </c>
      <c r="D276" s="126">
        <f t="shared" si="40"/>
        <v>1.4318259448257067E-2</v>
      </c>
      <c r="E276" s="126">
        <f t="shared" si="41"/>
        <v>-2.2091628498613177E-2</v>
      </c>
      <c r="F276" s="126">
        <f t="shared" si="42"/>
        <v>-2.2088035684126636E-2</v>
      </c>
      <c r="G276" s="126">
        <f t="shared" si="43"/>
        <v>0.35318576648321037</v>
      </c>
      <c r="H276" s="126">
        <f t="shared" si="44"/>
        <v>7.3902905842663888E-2</v>
      </c>
      <c r="I276" s="126">
        <f t="shared" si="45"/>
        <v>0.35055312273847744</v>
      </c>
      <c r="J276" s="126">
        <f t="shared" si="46"/>
        <v>-4.5266386946149748E-2</v>
      </c>
      <c r="M276" s="5"/>
      <c r="Y276">
        <f t="shared" si="47"/>
        <v>-0.5</v>
      </c>
    </row>
    <row r="277" spans="2:25" x14ac:dyDescent="0.3">
      <c r="B277" s="126">
        <v>0.35426986096090574</v>
      </c>
      <c r="C277" s="126">
        <f t="shared" si="39"/>
        <v>5.9638007961247373E-2</v>
      </c>
      <c r="D277" s="126">
        <f t="shared" si="40"/>
        <v>1.4265230342009504E-2</v>
      </c>
      <c r="E277" s="126">
        <f t="shared" si="41"/>
        <v>-2.2091628498613177E-2</v>
      </c>
      <c r="F277" s="126">
        <f t="shared" si="42"/>
        <v>-2.2088035684126636E-2</v>
      </c>
      <c r="G277" s="126">
        <f t="shared" si="43"/>
        <v>0.35558704029825494</v>
      </c>
      <c r="H277" s="126">
        <f t="shared" si="44"/>
        <v>7.3888690759692954E-2</v>
      </c>
      <c r="I277" s="126">
        <f t="shared" si="45"/>
        <v>0.35295268162355653</v>
      </c>
      <c r="J277" s="126">
        <f t="shared" si="46"/>
        <v>-4.5358230075673953E-2</v>
      </c>
      <c r="M277" s="5"/>
      <c r="Y277">
        <f t="shared" si="47"/>
        <v>-0.5</v>
      </c>
    </row>
    <row r="278" spans="2:25" x14ac:dyDescent="0.3">
      <c r="B278" s="126">
        <v>0.35667667597579156</v>
      </c>
      <c r="C278" s="126">
        <f t="shared" si="39"/>
        <v>5.9674960943617822E-2</v>
      </c>
      <c r="D278" s="126">
        <f t="shared" si="40"/>
        <v>1.4212059878835762E-2</v>
      </c>
      <c r="E278" s="126">
        <f t="shared" si="41"/>
        <v>-2.2091628498613177E-2</v>
      </c>
      <c r="F278" s="126">
        <f t="shared" si="42"/>
        <v>-2.2088035684126636E-2</v>
      </c>
      <c r="G278" s="126">
        <f t="shared" si="43"/>
        <v>0.35799467146556602</v>
      </c>
      <c r="H278" s="126">
        <f t="shared" si="44"/>
        <v>7.3872464264921237E-2</v>
      </c>
      <c r="I278" s="126">
        <f t="shared" si="45"/>
        <v>0.3553586804860171</v>
      </c>
      <c r="J278" s="126">
        <f t="shared" si="46"/>
        <v>-4.5448344507249716E-2</v>
      </c>
      <c r="M278" s="5"/>
      <c r="Y278">
        <f t="shared" si="47"/>
        <v>-0.5</v>
      </c>
    </row>
    <row r="279" spans="2:25" x14ac:dyDescent="0.3">
      <c r="B279" s="126">
        <v>0.35908986580590629</v>
      </c>
      <c r="C279" s="126">
        <f t="shared" si="39"/>
        <v>5.9710026274810861E-2</v>
      </c>
      <c r="D279" s="126">
        <f t="shared" si="40"/>
        <v>1.4158748585612236E-2</v>
      </c>
      <c r="E279" s="126">
        <f t="shared" si="41"/>
        <v>-2.2091628498613177E-2</v>
      </c>
      <c r="F279" s="126">
        <f t="shared" si="42"/>
        <v>-2.2088035684126636E-2</v>
      </c>
      <c r="G279" s="126">
        <f t="shared" si="43"/>
        <v>0.36040863575698961</v>
      </c>
      <c r="H279" s="126">
        <f t="shared" si="44"/>
        <v>7.385420974937848E-2</v>
      </c>
      <c r="I279" s="126">
        <f t="shared" si="45"/>
        <v>0.35777109585482297</v>
      </c>
      <c r="J279" s="126">
        <f t="shared" si="46"/>
        <v>-4.5536712578154004E-2</v>
      </c>
      <c r="M279" s="5"/>
      <c r="Y279">
        <f t="shared" si="47"/>
        <v>-0.5</v>
      </c>
    </row>
    <row r="280" spans="2:25" x14ac:dyDescent="0.3">
      <c r="B280" s="126">
        <v>0.36150940653848485</v>
      </c>
      <c r="C280" s="126">
        <f t="shared" si="39"/>
        <v>5.9743186624795323E-2</v>
      </c>
      <c r="D280" s="126">
        <f t="shared" si="40"/>
        <v>1.4105296990610848E-2</v>
      </c>
      <c r="E280" s="126">
        <f t="shared" si="41"/>
        <v>-2.2091628498613177E-2</v>
      </c>
      <c r="F280" s="126">
        <f t="shared" si="42"/>
        <v>-2.2088035684126636E-2</v>
      </c>
      <c r="G280" s="126">
        <f t="shared" si="43"/>
        <v>0.36282890887700547</v>
      </c>
      <c r="H280" s="126">
        <f t="shared" si="44"/>
        <v>7.3833910415532764E-2</v>
      </c>
      <c r="I280" s="126">
        <f t="shared" si="45"/>
        <v>0.36018990419996422</v>
      </c>
      <c r="J280" s="126">
        <f t="shared" si="46"/>
        <v>-4.5623316434311063E-2</v>
      </c>
      <c r="M280" s="5"/>
      <c r="Y280">
        <f t="shared" si="47"/>
        <v>-0.5</v>
      </c>
    </row>
    <row r="281" spans="2:25" x14ac:dyDescent="0.3">
      <c r="B281" s="126">
        <v>0.36393527419783034</v>
      </c>
      <c r="C281" s="126">
        <f t="shared" si="39"/>
        <v>5.9774424473741643E-2</v>
      </c>
      <c r="D281" s="126">
        <f t="shared" si="40"/>
        <v>1.4051705623493787E-2</v>
      </c>
      <c r="E281" s="126">
        <f t="shared" si="41"/>
        <v>-2.2091628498613177E-2</v>
      </c>
      <c r="F281" s="126">
        <f t="shared" si="42"/>
        <v>-2.2088035684126636E-2</v>
      </c>
      <c r="G281" s="126">
        <f t="shared" si="43"/>
        <v>0.36525546646296964</v>
      </c>
      <c r="H281" s="126">
        <f t="shared" si="44"/>
        <v>7.3811549277490326E-2</v>
      </c>
      <c r="I281" s="126">
        <f t="shared" si="45"/>
        <v>0.36261508193269104</v>
      </c>
      <c r="J281" s="126">
        <f t="shared" si="46"/>
        <v>-4.5708138030502748E-2</v>
      </c>
      <c r="M281" s="5"/>
      <c r="Y281">
        <f t="shared" si="47"/>
        <v>-0.5</v>
      </c>
    </row>
    <row r="282" spans="2:25" x14ac:dyDescent="0.3">
      <c r="B282" s="126">
        <v>0.36636744474555105</v>
      </c>
      <c r="C282" s="126">
        <f t="shared" si="39"/>
        <v>5.9803722112248846E-2</v>
      </c>
      <c r="D282" s="126">
        <f t="shared" si="40"/>
        <v>1.3997975015308273E-2</v>
      </c>
      <c r="E282" s="126">
        <f t="shared" si="41"/>
        <v>-2.2091628498613177E-2</v>
      </c>
      <c r="F282" s="126">
        <f t="shared" si="42"/>
        <v>-2.2088035684126636E-2</v>
      </c>
      <c r="G282" s="126">
        <f t="shared" si="43"/>
        <v>0.3676882840853562</v>
      </c>
      <c r="H282" s="126">
        <f t="shared" si="44"/>
        <v>7.3787109161217307E-2</v>
      </c>
      <c r="I282" s="126">
        <f t="shared" si="45"/>
        <v>0.36504660540574591</v>
      </c>
      <c r="J282" s="126">
        <f t="shared" si="46"/>
        <v>-4.5791159130600757E-2</v>
      </c>
      <c r="M282" s="5"/>
      <c r="Y282">
        <f t="shared" si="47"/>
        <v>-0.5</v>
      </c>
    </row>
    <row r="283" spans="2:25" x14ac:dyDescent="0.3">
      <c r="B283" s="126">
        <v>0.36880589408079867</v>
      </c>
      <c r="C283" s="126">
        <f t="shared" si="39"/>
        <v>5.9831061641594338E-2</v>
      </c>
      <c r="D283" s="126">
        <f t="shared" si="40"/>
        <v>1.3944105698481292E-2</v>
      </c>
      <c r="E283" s="126">
        <f t="shared" si="41"/>
        <v>-2.2091628498613177E-2</v>
      </c>
      <c r="F283" s="126">
        <f t="shared" si="42"/>
        <v>-2.2088035684126636E-2</v>
      </c>
      <c r="G283" s="126">
        <f t="shared" si="43"/>
        <v>0.37012733724800145</v>
      </c>
      <c r="H283" s="126">
        <f t="shared" si="44"/>
        <v>7.3760572704784116E-2</v>
      </c>
      <c r="I283" s="126">
        <f t="shared" si="45"/>
        <v>0.36748445091359588</v>
      </c>
      <c r="J283" s="126">
        <f t="shared" si="46"/>
        <v>-4.5872361307821533E-2</v>
      </c>
      <c r="M283" s="5"/>
      <c r="Y283">
        <f t="shared" si="47"/>
        <v>-0.5</v>
      </c>
    </row>
    <row r="284" spans="2:25" x14ac:dyDescent="0.3">
      <c r="B284" s="126">
        <v>0.3712505980405072</v>
      </c>
      <c r="C284" s="126">
        <f t="shared" si="39"/>
        <v>5.9856424974005666E-2</v>
      </c>
      <c r="D284" s="126">
        <f t="shared" si="40"/>
        <v>1.3890098206814323E-2</v>
      </c>
      <c r="E284" s="126">
        <f t="shared" si="41"/>
        <v>-2.2091628498613177E-2</v>
      </c>
      <c r="F284" s="126">
        <f t="shared" si="42"/>
        <v>-2.2088035684126636E-2</v>
      </c>
      <c r="G284" s="126">
        <f t="shared" si="43"/>
        <v>0.37257260138834847</v>
      </c>
      <c r="H284" s="126">
        <f t="shared" si="44"/>
        <v>7.3731922358631963E-2</v>
      </c>
      <c r="I284" s="126">
        <f t="shared" si="45"/>
        <v>0.36992859469266592</v>
      </c>
      <c r="J284" s="126">
        <f t="shared" si="46"/>
        <v>-4.5951725945003324E-2</v>
      </c>
      <c r="M284" s="5"/>
      <c r="Y284">
        <f t="shared" si="47"/>
        <v>-0.5</v>
      </c>
    </row>
    <row r="285" spans="2:25" x14ac:dyDescent="0.3">
      <c r="B285" s="126">
        <v>0.37370153239963222</v>
      </c>
      <c r="C285" s="126">
        <f t="shared" si="39"/>
        <v>5.987979383295506E-2</v>
      </c>
      <c r="D285" s="126">
        <f t="shared" si="40"/>
        <v>1.3835953075478047E-2</v>
      </c>
      <c r="E285" s="126">
        <f t="shared" si="41"/>
        <v>-2.2091628498613177E-2</v>
      </c>
      <c r="F285" s="126">
        <f t="shared" si="42"/>
        <v>-2.2088035684126636E-2</v>
      </c>
      <c r="G285" s="126">
        <f t="shared" si="43"/>
        <v>0.37502405187769311</v>
      </c>
      <c r="H285" s="126">
        <f t="shared" si="44"/>
        <v>7.370114038586198E-2</v>
      </c>
      <c r="I285" s="126">
        <f t="shared" si="45"/>
        <v>0.37237901292157133</v>
      </c>
      <c r="J285" s="126">
        <f t="shared" si="46"/>
        <v>-4.6029234234905882E-2</v>
      </c>
      <c r="M285" s="5"/>
      <c r="Y285">
        <f t="shared" si="47"/>
        <v>-0.5</v>
      </c>
    </row>
    <row r="286" spans="2:25" x14ac:dyDescent="0.3">
      <c r="B286" s="126">
        <v>0.37615867287139115</v>
      </c>
      <c r="C286" s="126">
        <f t="shared" si="39"/>
        <v>5.9901149753476213E-2</v>
      </c>
      <c r="D286" s="126">
        <f t="shared" si="40"/>
        <v>1.3781670841007041E-2</v>
      </c>
      <c r="E286" s="126">
        <f t="shared" si="41"/>
        <v>-2.2091628498613177E-2</v>
      </c>
      <c r="F286" s="126">
        <f t="shared" si="42"/>
        <v>-2.2088035684126636E-2</v>
      </c>
      <c r="G286" s="126">
        <f t="shared" si="43"/>
        <v>0.37748166402143107</v>
      </c>
      <c r="H286" s="126">
        <f t="shared" si="44"/>
        <v>7.3668208862546575E-2</v>
      </c>
      <c r="I286" s="126">
        <f t="shared" si="45"/>
        <v>0.37483568172135123</v>
      </c>
      <c r="J286" s="126">
        <f t="shared" si="46"/>
        <v>-4.6104867180532486E-2</v>
      </c>
      <c r="M286" s="5"/>
      <c r="Y286">
        <f t="shared" si="47"/>
        <v>-0.5</v>
      </c>
    </row>
    <row r="287" spans="2:25" x14ac:dyDescent="0.3">
      <c r="B287" s="126">
        <v>0.37862199510750394</v>
      </c>
      <c r="C287" s="126">
        <f t="shared" si="39"/>
        <v>5.9920474082503804E-2</v>
      </c>
      <c r="D287" s="126">
        <f t="shared" si="40"/>
        <v>1.3727252041294465E-2</v>
      </c>
      <c r="E287" s="126">
        <f t="shared" si="41"/>
        <v>-2.2091628498613177E-2</v>
      </c>
      <c r="F287" s="126">
        <f t="shared" si="42"/>
        <v>-2.2088035684126636E-2</v>
      </c>
      <c r="G287" s="126">
        <f t="shared" si="43"/>
        <v>0.37994541305930624</v>
      </c>
      <c r="H287" s="126">
        <f t="shared" si="44"/>
        <v>7.3633109678063663E-2</v>
      </c>
      <c r="I287" s="126">
        <f t="shared" si="45"/>
        <v>0.37729857715570164</v>
      </c>
      <c r="J287" s="126">
        <f t="shared" si="46"/>
        <v>-4.617860559547473E-2</v>
      </c>
      <c r="M287" s="5"/>
      <c r="Y287">
        <f t="shared" si="47"/>
        <v>-0.5</v>
      </c>
    </row>
    <row r="288" spans="2:25" x14ac:dyDescent="0.3">
      <c r="B288" s="126">
        <v>0.38109147469843418</v>
      </c>
      <c r="C288" s="126">
        <f t="shared" si="39"/>
        <v>5.9937747979235609E-2</v>
      </c>
      <c r="D288" s="126">
        <f t="shared" si="40"/>
        <v>1.3672697215586727E-2</v>
      </c>
      <c r="E288" s="126">
        <f t="shared" si="41"/>
        <v>-2.2091628498613177E-2</v>
      </c>
      <c r="F288" s="126">
        <f t="shared" si="42"/>
        <v>-2.2088035684126636E-2</v>
      </c>
      <c r="G288" s="126">
        <f t="shared" si="43"/>
        <v>0.38241527416565979</v>
      </c>
      <c r="H288" s="126">
        <f t="shared" si="44"/>
        <v>7.3595824535453269E-2</v>
      </c>
      <c r="I288" s="126">
        <f t="shared" si="45"/>
        <v>0.37976767523120858</v>
      </c>
      <c r="J288" s="126">
        <f t="shared" si="46"/>
        <v>-4.6250430104279816E-2</v>
      </c>
      <c r="M288" s="5"/>
      <c r="Y288">
        <f t="shared" si="47"/>
        <v>-0.5</v>
      </c>
    </row>
    <row r="289" spans="2:25" x14ac:dyDescent="0.3">
      <c r="B289" s="126">
        <v>0.38356708717363108</v>
      </c>
      <c r="C289" s="126">
        <f t="shared" si="39"/>
        <v>5.9952952415517062E-2</v>
      </c>
      <c r="D289" s="126">
        <f t="shared" si="40"/>
        <v>1.3618006904478144E-2</v>
      </c>
      <c r="E289" s="126">
        <f t="shared" si="41"/>
        <v>-2.2091628498613177E-2</v>
      </c>
      <c r="F289" s="126">
        <f t="shared" si="42"/>
        <v>-2.2088035684126636E-2</v>
      </c>
      <c r="G289" s="126">
        <f t="shared" si="43"/>
        <v>0.38489122244968044</v>
      </c>
      <c r="H289" s="126">
        <f t="shared" si="44"/>
        <v>7.3556334951796712E-2</v>
      </c>
      <c r="I289" s="126">
        <f t="shared" si="45"/>
        <v>0.38224295189758173</v>
      </c>
      <c r="J289" s="126">
        <f t="shared" si="46"/>
        <v>-4.6320321142840418E-2</v>
      </c>
      <c r="M289" s="5"/>
      <c r="Y289">
        <f t="shared" si="47"/>
        <v>-0.5</v>
      </c>
    </row>
    <row r="290" spans="2:25" x14ac:dyDescent="0.3">
      <c r="B290" s="126">
        <v>0.38604880800177188</v>
      </c>
      <c r="C290" s="126">
        <f t="shared" si="39"/>
        <v>5.9966068176248839E-2</v>
      </c>
      <c r="D290" s="126">
        <f t="shared" si="40"/>
        <v>1.3563181649905586E-2</v>
      </c>
      <c r="E290" s="126">
        <f t="shared" si="41"/>
        <v>-2.2091628498613177E-2</v>
      </c>
      <c r="F290" s="126">
        <f t="shared" si="42"/>
        <v>-2.2088035684126636E-2</v>
      </c>
      <c r="G290" s="126">
        <f t="shared" si="43"/>
        <v>0.38737323295565623</v>
      </c>
      <c r="H290" s="126">
        <f t="shared" si="44"/>
        <v>7.351462225861867E-2</v>
      </c>
      <c r="I290" s="126">
        <f t="shared" si="45"/>
        <v>0.38472438304788753</v>
      </c>
      <c r="J290" s="126">
        <f t="shared" si="46"/>
        <v>-4.6388258958807493E-2</v>
      </c>
      <c r="M290" s="5"/>
      <c r="Y290">
        <f t="shared" si="47"/>
        <v>-0.5</v>
      </c>
    </row>
    <row r="291" spans="2:25" x14ac:dyDescent="0.3">
      <c r="B291" s="126">
        <v>0.3885366125910048</v>
      </c>
      <c r="C291" s="126">
        <f t="shared" si="39"/>
        <v>5.9977075859816861E-2</v>
      </c>
      <c r="D291" s="126">
        <f t="shared" si="40"/>
        <v>1.3508221995143108E-2</v>
      </c>
      <c r="E291" s="126">
        <f t="shared" si="41"/>
        <v>-2.2091628498613177E-2</v>
      </c>
      <c r="F291" s="126">
        <f t="shared" si="42"/>
        <v>-2.2088035684126636E-2</v>
      </c>
      <c r="G291" s="126">
        <f t="shared" si="43"/>
        <v>0.38986128066322667</v>
      </c>
      <c r="H291" s="126">
        <f t="shared" si="44"/>
        <v>7.3470667602311787E-2</v>
      </c>
      <c r="I291" s="126">
        <f t="shared" si="45"/>
        <v>0.38721194451878294</v>
      </c>
      <c r="J291" s="126">
        <f t="shared" si="46"/>
        <v>-4.6454223612025572E-2</v>
      </c>
      <c r="M291" s="5"/>
      <c r="Y291">
        <f t="shared" si="47"/>
        <v>-0.5</v>
      </c>
    </row>
    <row r="292" spans="2:25" x14ac:dyDescent="0.3">
      <c r="B292" s="126">
        <v>0.39103047628919319</v>
      </c>
      <c r="C292" s="126">
        <f t="shared" si="39"/>
        <v>5.9985955878545341E-2</v>
      </c>
      <c r="D292" s="126">
        <f t="shared" si="40"/>
        <v>1.3453128484796554E-2</v>
      </c>
      <c r="E292" s="126">
        <f t="shared" si="41"/>
        <v>-2.2091628498613177E-2</v>
      </c>
      <c r="F292" s="126">
        <f t="shared" si="42"/>
        <v>-2.2088035684126636E-2</v>
      </c>
      <c r="G292" s="126">
        <f t="shared" si="43"/>
        <v>0.39235534048763698</v>
      </c>
      <c r="H292" s="126">
        <f t="shared" si="44"/>
        <v>7.3424451944584149E-2</v>
      </c>
      <c r="I292" s="126">
        <f t="shared" si="45"/>
        <v>0.38970561209074939</v>
      </c>
      <c r="J292" s="126">
        <f t="shared" si="46"/>
        <v>-4.6518194974991045E-2</v>
      </c>
      <c r="M292" s="5"/>
      <c r="Y292">
        <f t="shared" si="47"/>
        <v>-0.5</v>
      </c>
    </row>
    <row r="293" spans="2:25" x14ac:dyDescent="0.3">
      <c r="B293" s="126">
        <v>0.39353037438415939</v>
      </c>
      <c r="C293" s="126">
        <f t="shared" si="39"/>
        <v>5.9992688459172452E-2</v>
      </c>
      <c r="D293" s="126">
        <f t="shared" si="40"/>
        <v>1.3397901664798168E-2</v>
      </c>
      <c r="E293" s="126">
        <f t="shared" si="41"/>
        <v>-2.2091628498613177E-2</v>
      </c>
      <c r="F293" s="126">
        <f t="shared" si="42"/>
        <v>-2.2088035684126636E-2</v>
      </c>
      <c r="G293" s="126">
        <f t="shared" si="43"/>
        <v>0.39485538727999253</v>
      </c>
      <c r="H293" s="126">
        <f t="shared" si="44"/>
        <v>7.3375956062929487E-2</v>
      </c>
      <c r="I293" s="126">
        <f t="shared" si="45"/>
        <v>0.39220536148832624</v>
      </c>
      <c r="J293" s="126">
        <f t="shared" si="46"/>
        <v>-4.6580152733333144E-2</v>
      </c>
      <c r="M293" s="5"/>
      <c r="Y293">
        <f t="shared" si="47"/>
        <v>-0.5</v>
      </c>
    </row>
    <row r="294" spans="2:25" x14ac:dyDescent="0.3">
      <c r="B294" s="126">
        <v>0.3960362821039296</v>
      </c>
      <c r="C294" s="126">
        <f t="shared" si="39"/>
        <v>5.999725364334902E-2</v>
      </c>
      <c r="D294" s="126">
        <f t="shared" si="40"/>
        <v>1.3342542082401198E-2</v>
      </c>
      <c r="E294" s="126">
        <f t="shared" si="41"/>
        <v>-2.2091628498613177E-2</v>
      </c>
      <c r="F294" s="126">
        <f t="shared" si="42"/>
        <v>-2.2088035684126636E-2</v>
      </c>
      <c r="G294" s="126">
        <f t="shared" si="43"/>
        <v>0.39736139582751462</v>
      </c>
      <c r="H294" s="126">
        <f t="shared" si="44"/>
        <v>7.3325160551120316E-2</v>
      </c>
      <c r="I294" s="126">
        <f t="shared" si="45"/>
        <v>0.39471116838034459</v>
      </c>
      <c r="J294" s="126">
        <f t="shared" si="46"/>
        <v>-4.6640076386317925E-2</v>
      </c>
      <c r="M294" s="5"/>
      <c r="Y294">
        <f t="shared" si="47"/>
        <v>-0.5</v>
      </c>
    </row>
    <row r="295" spans="2:25" x14ac:dyDescent="0.3">
      <c r="B295" s="126">
        <v>0.39854817461698</v>
      </c>
      <c r="C295" s="126">
        <f t="shared" si="39"/>
        <v>5.9999631288159889E-2</v>
      </c>
      <c r="D295" s="126">
        <f t="shared" si="40"/>
        <v>1.3287050286174442E-2</v>
      </c>
      <c r="E295" s="126">
        <f t="shared" si="41"/>
        <v>-2.2091628498613177E-2</v>
      </c>
      <c r="F295" s="126">
        <f t="shared" si="42"/>
        <v>-2.2088035684126636E-2</v>
      </c>
      <c r="G295" s="126">
        <f t="shared" si="43"/>
        <v>0.39987334085379816</v>
      </c>
      <c r="H295" s="126">
        <f t="shared" si="44"/>
        <v>7.3272045819723769E-2</v>
      </c>
      <c r="I295" s="126">
        <f t="shared" si="45"/>
        <v>0.39722300838016183</v>
      </c>
      <c r="J295" s="126">
        <f t="shared" si="46"/>
        <v>-4.6697945247374889E-2</v>
      </c>
      <c r="M295" s="5"/>
      <c r="Y295">
        <f t="shared" si="47"/>
        <v>-0.5</v>
      </c>
    </row>
    <row r="296" spans="2:25" x14ac:dyDescent="0.3">
      <c r="B296" s="126">
        <v>0.4010660270324814</v>
      </c>
      <c r="C296" s="126">
        <f t="shared" si="39"/>
        <v>5.9999801151169999E-2</v>
      </c>
      <c r="D296" s="126">
        <f t="shared" si="40"/>
        <v>1.3231426825996848E-2</v>
      </c>
      <c r="E296" s="126">
        <f t="shared" si="41"/>
        <v>-2.2091628498613177E-2</v>
      </c>
      <c r="F296" s="126">
        <f t="shared" si="42"/>
        <v>-2.2088035684126636E-2</v>
      </c>
      <c r="G296" s="126">
        <f t="shared" si="43"/>
        <v>0.40239119702093468</v>
      </c>
      <c r="H296" s="126">
        <f t="shared" si="44"/>
        <v>7.3216592181121476E-2</v>
      </c>
      <c r="I296" s="126">
        <f t="shared" si="45"/>
        <v>0.39974085704402812</v>
      </c>
      <c r="J296" s="126">
        <f t="shared" si="46"/>
        <v>-4.6753738529127772E-2</v>
      </c>
      <c r="M296" s="5"/>
      <c r="Y296">
        <f t="shared" si="47"/>
        <v>-0.5</v>
      </c>
    </row>
    <row r="297" spans="2:25" x14ac:dyDescent="0.3">
      <c r="B297" s="126">
        <v>0.40358981440054742</v>
      </c>
      <c r="C297" s="126">
        <f t="shared" si="39"/>
        <v>5.9997745715221151E-2</v>
      </c>
      <c r="D297" s="126">
        <f t="shared" si="40"/>
        <v>1.3175672253052041E-2</v>
      </c>
      <c r="E297" s="126">
        <f t="shared" si="41"/>
        <v>-2.2091628498613177E-2</v>
      </c>
      <c r="F297" s="126">
        <f t="shared" si="42"/>
        <v>-2.2088035684126636E-2</v>
      </c>
      <c r="G297" s="126">
        <f t="shared" si="43"/>
        <v>0.4049149389921497</v>
      </c>
      <c r="H297" s="126">
        <f t="shared" si="44"/>
        <v>7.3158782673611839E-2</v>
      </c>
      <c r="I297" s="126">
        <f t="shared" si="45"/>
        <v>0.40226468980894514</v>
      </c>
      <c r="J297" s="126">
        <f t="shared" si="46"/>
        <v>-4.6807438167507751E-2</v>
      </c>
      <c r="M297" s="5"/>
      <c r="Y297">
        <f t="shared" si="47"/>
        <v>-0.5</v>
      </c>
    </row>
    <row r="298" spans="2:25" x14ac:dyDescent="0.3">
      <c r="B298" s="126">
        <v>0.40611951171248117</v>
      </c>
      <c r="C298" s="126">
        <f t="shared" si="39"/>
        <v>5.9993450981877014E-2</v>
      </c>
      <c r="D298" s="126">
        <f t="shared" si="40"/>
        <v>1.3119787119822861E-2</v>
      </c>
      <c r="E298" s="126">
        <f t="shared" si="41"/>
        <v>-2.2091628498613177E-2</v>
      </c>
      <c r="F298" s="126">
        <f t="shared" si="42"/>
        <v>-2.2088035684126636E-2</v>
      </c>
      <c r="G298" s="126">
        <f t="shared" si="43"/>
        <v>0.40744454144957348</v>
      </c>
      <c r="H298" s="126">
        <f t="shared" si="44"/>
        <v>7.3098603854656011E-2</v>
      </c>
      <c r="I298" s="126">
        <f t="shared" si="45"/>
        <v>0.40479448197538886</v>
      </c>
      <c r="J298" s="126">
        <f t="shared" si="46"/>
        <v>-4.6859029615010289E-2</v>
      </c>
      <c r="M298" s="5"/>
      <c r="Y298">
        <f t="shared" si="47"/>
        <v>-0.5</v>
      </c>
    </row>
    <row r="299" spans="2:25" x14ac:dyDescent="0.3">
      <c r="B299" s="126">
        <v>0.4086550939010225</v>
      </c>
      <c r="C299" s="126">
        <f t="shared" si="39"/>
        <v>5.9986903243148787E-2</v>
      </c>
      <c r="D299" s="126">
        <f t="shared" si="40"/>
        <v>1.3063771980085905E-2</v>
      </c>
      <c r="E299" s="126">
        <f t="shared" si="41"/>
        <v>-2.2091628498613177E-2</v>
      </c>
      <c r="F299" s="126">
        <f t="shared" si="42"/>
        <v>-2.2088035684126636E-2</v>
      </c>
      <c r="G299" s="126">
        <f t="shared" si="43"/>
        <v>0.409979979023188</v>
      </c>
      <c r="H299" s="126">
        <f t="shared" si="44"/>
        <v>7.3036042573385598E-2</v>
      </c>
      <c r="I299" s="126">
        <f t="shared" si="45"/>
        <v>0.40733020877885701</v>
      </c>
      <c r="J299" s="126">
        <f t="shared" si="46"/>
        <v>-4.6908498613213792E-2</v>
      </c>
      <c r="M299" s="5"/>
      <c r="Y299">
        <f t="shared" si="47"/>
        <v>-0.5</v>
      </c>
    </row>
    <row r="300" spans="2:25" x14ac:dyDescent="0.3">
      <c r="B300" s="126">
        <v>0.41119653584059757</v>
      </c>
      <c r="C300" s="126">
        <f t="shared" si="39"/>
        <v>5.9978088870108678E-2</v>
      </c>
      <c r="D300" s="126">
        <f t="shared" si="40"/>
        <v>1.3007627388906018E-2</v>
      </c>
      <c r="E300" s="126">
        <f t="shared" si="41"/>
        <v>-2.2091628498613177E-2</v>
      </c>
      <c r="F300" s="126">
        <f t="shared" si="42"/>
        <v>-2.2088035684126636E-2</v>
      </c>
      <c r="G300" s="126">
        <f t="shared" si="43"/>
        <v>0.41252122628640753</v>
      </c>
      <c r="H300" s="126">
        <f t="shared" si="44"/>
        <v>7.2971085759262158E-2</v>
      </c>
      <c r="I300" s="126">
        <f t="shared" si="45"/>
        <v>0.4098718453947876</v>
      </c>
      <c r="J300" s="126">
        <f t="shared" si="46"/>
        <v>-4.6955830981450127E-2</v>
      </c>
      <c r="M300" s="5"/>
      <c r="Y300">
        <f t="shared" si="47"/>
        <v>-0.5</v>
      </c>
    </row>
    <row r="301" spans="2:25" x14ac:dyDescent="0.3">
      <c r="B301" s="126">
        <v>0.41374381234756619</v>
      </c>
      <c r="C301" s="126">
        <f t="shared" si="39"/>
        <v>5.9966994313626461E-2</v>
      </c>
      <c r="D301" s="126">
        <f t="shared" si="40"/>
        <v>1.2951353902630821E-2</v>
      </c>
      <c r="E301" s="126">
        <f t="shared" si="41"/>
        <v>-2.2091628498613177E-2</v>
      </c>
      <c r="F301" s="126">
        <f t="shared" si="42"/>
        <v>-2.2088035684126636E-2</v>
      </c>
      <c r="G301" s="126">
        <f t="shared" si="43"/>
        <v>0.41506825775634265</v>
      </c>
      <c r="H301" s="126">
        <f t="shared" si="44"/>
        <v>7.2903720422808155E-2</v>
      </c>
      <c r="I301" s="126">
        <f t="shared" si="45"/>
        <v>0.41241936693878972</v>
      </c>
      <c r="J301" s="126">
        <f t="shared" si="46"/>
        <v>-4.7001012617546509E-2</v>
      </c>
      <c r="M301" s="5"/>
      <c r="Y301">
        <f t="shared" si="47"/>
        <v>-0.5</v>
      </c>
    </row>
    <row r="302" spans="2:25" x14ac:dyDescent="0.3">
      <c r="B302" s="126">
        <v>0.41629689818047322</v>
      </c>
      <c r="C302" s="126">
        <f t="shared" si="39"/>
        <v>5.9953606105101462E-2</v>
      </c>
      <c r="D302" s="126">
        <f t="shared" si="40"/>
        <v>1.2894952078885167E-2</v>
      </c>
      <c r="E302" s="126">
        <f t="shared" si="41"/>
        <v>-2.2091628498613177E-2</v>
      </c>
      <c r="F302" s="126">
        <f t="shared" si="42"/>
        <v>-2.2088035684126636E-2</v>
      </c>
      <c r="G302" s="126">
        <f t="shared" si="43"/>
        <v>0.4176210478940674</v>
      </c>
      <c r="H302" s="126">
        <f t="shared" si="44"/>
        <v>7.2833933656333144E-2</v>
      </c>
      <c r="I302" s="126">
        <f t="shared" si="45"/>
        <v>0.41497274846687904</v>
      </c>
      <c r="J302" s="126">
        <f t="shared" si="46"/>
        <v>-4.7044029498562803E-2</v>
      </c>
      <c r="M302" s="5"/>
      <c r="Y302">
        <f t="shared" si="47"/>
        <v>-0.5</v>
      </c>
    </row>
    <row r="303" spans="2:25" x14ac:dyDescent="0.3">
      <c r="B303" s="126">
        <v>0.41885576804029723</v>
      </c>
      <c r="C303" s="126">
        <f t="shared" si="39"/>
        <v>5.9937910857189768E-2</v>
      </c>
      <c r="D303" s="126">
        <f t="shared" si="40"/>
        <v>1.2838422476565636E-2</v>
      </c>
      <c r="E303" s="126">
        <f t="shared" si="41"/>
        <v>-2.2091628498613177E-2</v>
      </c>
      <c r="F303" s="126">
        <f t="shared" si="42"/>
        <v>-2.2088035684126636E-2</v>
      </c>
      <c r="G303" s="126">
        <f t="shared" si="43"/>
        <v>0.42017957110488435</v>
      </c>
      <c r="H303" s="126">
        <f t="shared" si="44"/>
        <v>7.276171263465539E-2</v>
      </c>
      <c r="I303" s="126">
        <f t="shared" si="45"/>
        <v>0.4175319649757101</v>
      </c>
      <c r="J303" s="126">
        <f t="shared" si="46"/>
        <v>-4.7084867681524124E-2</v>
      </c>
      <c r="M303" s="5"/>
      <c r="Y303">
        <f t="shared" si="47"/>
        <v>-0.5</v>
      </c>
    </row>
    <row r="304" spans="2:25" x14ac:dyDescent="0.3">
      <c r="B304" s="126">
        <v>0.42142039657070196</v>
      </c>
      <c r="C304" s="126">
        <f t="shared" si="39"/>
        <v>5.9919895264526665E-2</v>
      </c>
      <c r="D304" s="126">
        <f t="shared" si="40"/>
        <v>1.2781765655834991E-2</v>
      </c>
      <c r="E304" s="126">
        <f t="shared" si="41"/>
        <v>-2.2091628498613177E-2</v>
      </c>
      <c r="F304" s="126">
        <f t="shared" si="42"/>
        <v>-2.2088035684126636E-2</v>
      </c>
      <c r="G304" s="126">
        <f t="shared" si="43"/>
        <v>0.42274380173859172</v>
      </c>
      <c r="H304" s="126">
        <f t="shared" si="44"/>
        <v>7.2687044615818541E-2</v>
      </c>
      <c r="I304" s="126">
        <f t="shared" si="45"/>
        <v>0.4200969914028122</v>
      </c>
      <c r="J304" s="126">
        <f t="shared" si="46"/>
        <v>-4.7123513304148559E-2</v>
      </c>
      <c r="M304" s="5"/>
      <c r="Y304">
        <f t="shared" si="47"/>
        <v>-0.5</v>
      </c>
    </row>
    <row r="305" spans="2:25" x14ac:dyDescent="0.3">
      <c r="B305" s="126">
        <v>0.42399075835828748</v>
      </c>
      <c r="C305" s="126">
        <f t="shared" si="39"/>
        <v>5.9899546104444402E-2</v>
      </c>
      <c r="D305" s="126">
        <f t="shared" si="40"/>
        <v>1.272498217811662E-2</v>
      </c>
      <c r="E305" s="126">
        <f t="shared" si="41"/>
        <v>-2.2091628498613177E-2</v>
      </c>
      <c r="F305" s="126">
        <f t="shared" si="42"/>
        <v>-2.2088035684126636E-2</v>
      </c>
      <c r="G305" s="126">
        <f t="shared" si="43"/>
        <v>0.42531371408975055</v>
      </c>
      <c r="H305" s="126">
        <f t="shared" si="44"/>
        <v>7.2609916941803632E-2</v>
      </c>
      <c r="I305" s="126">
        <f t="shared" si="45"/>
        <v>0.42266780262682441</v>
      </c>
      <c r="J305" s="126">
        <f t="shared" si="46"/>
        <v>-4.7159952585570396E-2</v>
      </c>
      <c r="M305" s="5"/>
      <c r="Y305">
        <f t="shared" si="47"/>
        <v>-0.5</v>
      </c>
    </row>
    <row r="306" spans="2:25" x14ac:dyDescent="0.3">
      <c r="B306" s="126">
        <v>0.42656682793284162</v>
      </c>
      <c r="C306" s="126">
        <f t="shared" si="39"/>
        <v>5.987685023768502E-2</v>
      </c>
      <c r="D306" s="126">
        <f t="shared" si="40"/>
        <v>1.266807260608899E-2</v>
      </c>
      <c r="E306" s="126">
        <f t="shared" si="41"/>
        <v>-2.2091628498613177E-2</v>
      </c>
      <c r="F306" s="126">
        <f t="shared" si="42"/>
        <v>-2.2088035684126636E-2</v>
      </c>
      <c r="G306" s="126">
        <f t="shared" si="43"/>
        <v>0.42788928239795188</v>
      </c>
      <c r="H306" s="126">
        <f t="shared" si="44"/>
        <v>7.253031703923625E-2</v>
      </c>
      <c r="I306" s="126">
        <f t="shared" si="45"/>
        <v>0.42524437346773136</v>
      </c>
      <c r="J306" s="126">
        <f t="shared" si="46"/>
        <v>-4.7194171827058276E-2</v>
      </c>
      <c r="M306" s="5"/>
      <c r="Y306">
        <f t="shared" si="47"/>
        <v>-0.5</v>
      </c>
    </row>
    <row r="307" spans="2:25" x14ac:dyDescent="0.3">
      <c r="B307" s="126">
        <v>0.42914857976759269</v>
      </c>
      <c r="C307" s="126">
        <f t="shared" si="39"/>
        <v>5.9851794609108409E-2</v>
      </c>
      <c r="D307" s="126">
        <f t="shared" si="40"/>
        <v>1.2611037503680056E-2</v>
      </c>
      <c r="E307" s="126">
        <f t="shared" si="41"/>
        <v>-2.2091628498613177E-2</v>
      </c>
      <c r="F307" s="126">
        <f t="shared" si="42"/>
        <v>-2.2088035684126636E-2</v>
      </c>
      <c r="G307" s="126">
        <f t="shared" si="43"/>
        <v>0.43047048084808509</v>
      </c>
      <c r="H307" s="126">
        <f t="shared" si="44"/>
        <v>7.2448232420088798E-2</v>
      </c>
      <c r="I307" s="126">
        <f t="shared" si="45"/>
        <v>0.42782667868710028</v>
      </c>
      <c r="J307" s="126">
        <f t="shared" si="46"/>
        <v>-4.7226157412728682E-2</v>
      </c>
      <c r="M307" s="5"/>
      <c r="Y307">
        <f t="shared" si="47"/>
        <v>-0.5</v>
      </c>
    </row>
    <row r="308" spans="2:25" x14ac:dyDescent="0.3">
      <c r="B308" s="126">
        <v>0.43173598827946269</v>
      </c>
      <c r="C308" s="126">
        <f t="shared" si="39"/>
        <v>5.9824366248395405E-2</v>
      </c>
      <c r="D308" s="126">
        <f t="shared" si="40"/>
        <v>1.2553877436061674E-2</v>
      </c>
      <c r="E308" s="126">
        <f t="shared" si="41"/>
        <v>-2.2091628498613177E-2</v>
      </c>
      <c r="F308" s="126">
        <f t="shared" si="42"/>
        <v>-2.2088035684126636E-2</v>
      </c>
      <c r="G308" s="126">
        <f t="shared" si="43"/>
        <v>0.43305728357060658</v>
      </c>
      <c r="H308" s="126">
        <f t="shared" si="44"/>
        <v>7.2363650682377809E-2</v>
      </c>
      <c r="I308" s="126">
        <f t="shared" si="45"/>
        <v>0.4304146929883188</v>
      </c>
      <c r="J308" s="126">
        <f t="shared" si="46"/>
        <v>-4.7255895810254453E-2</v>
      </c>
      <c r="M308" s="5"/>
      <c r="Y308">
        <f t="shared" si="47"/>
        <v>-0.5</v>
      </c>
    </row>
    <row r="309" spans="2:25" x14ac:dyDescent="0.3">
      <c r="B309" s="126">
        <v>0.43432902782932004</v>
      </c>
      <c r="C309" s="126">
        <f t="shared" si="39"/>
        <v>5.9794552270746079E-2</v>
      </c>
      <c r="D309" s="126">
        <f t="shared" si="40"/>
        <v>1.2496592969644015E-2</v>
      </c>
      <c r="E309" s="126">
        <f t="shared" si="41"/>
        <v>-2.2091628498613177E-2</v>
      </c>
      <c r="F309" s="126">
        <f t="shared" si="42"/>
        <v>-2.2088035684126636E-2</v>
      </c>
      <c r="G309" s="126">
        <f t="shared" si="43"/>
        <v>0.43564966464180804</v>
      </c>
      <c r="H309" s="126">
        <f t="shared" si="44"/>
        <v>7.2276559510856528E-2</v>
      </c>
      <c r="I309" s="126">
        <f t="shared" si="45"/>
        <v>0.43300839101683203</v>
      </c>
      <c r="J309" s="126">
        <f t="shared" si="46"/>
        <v>-4.7283373571568491E-2</v>
      </c>
      <c r="M309" s="5"/>
      <c r="Y309">
        <f t="shared" si="47"/>
        <v>-0.5</v>
      </c>
    </row>
    <row r="310" spans="2:25" x14ac:dyDescent="0.3">
      <c r="B310" s="126">
        <v>0.43692767272223476</v>
      </c>
      <c r="C310" s="126">
        <f t="shared" si="39"/>
        <v>5.9762339877572901E-2</v>
      </c>
      <c r="D310" s="126">
        <f t="shared" si="40"/>
        <v>1.2439184672069925E-2</v>
      </c>
      <c r="E310" s="126">
        <f t="shared" si="41"/>
        <v>-2.2091628498613177E-2</v>
      </c>
      <c r="F310" s="126">
        <f t="shared" si="42"/>
        <v>-2.2088035684126636E-2</v>
      </c>
      <c r="G310" s="126">
        <f t="shared" si="43"/>
        <v>0.43824759808408675</v>
      </c>
      <c r="H310" s="126">
        <f t="shared" si="44"/>
        <v>7.218694667770223E-2</v>
      </c>
      <c r="I310" s="126">
        <f t="shared" si="45"/>
        <v>0.43560774736038277</v>
      </c>
      <c r="J310" s="126">
        <f t="shared" si="46"/>
        <v>-4.7308577333562384E-2</v>
      </c>
      <c r="M310" s="5"/>
      <c r="Y310">
        <f t="shared" si="47"/>
        <v>-0.5</v>
      </c>
    </row>
    <row r="311" spans="2:25" x14ac:dyDescent="0.3">
      <c r="B311" s="126">
        <v>0.43953189720773167</v>
      </c>
      <c r="C311" s="126">
        <f t="shared" si="39"/>
        <v>5.9727716357189126E-2</v>
      </c>
      <c r="D311" s="126">
        <f t="shared" si="40"/>
        <v>1.2381653112209335E-2</v>
      </c>
      <c r="E311" s="126">
        <f t="shared" si="41"/>
        <v>-2.2091628498613177E-2</v>
      </c>
      <c r="F311" s="126">
        <f t="shared" si="42"/>
        <v>-2.2088035684126636E-2</v>
      </c>
      <c r="G311" s="126">
        <f t="shared" si="43"/>
        <v>0.4408510578662142</v>
      </c>
      <c r="H311" s="126">
        <f t="shared" si="44"/>
        <v>7.2094800043198903E-2</v>
      </c>
      <c r="I311" s="126">
        <f t="shared" si="45"/>
        <v>0.43821273654924914</v>
      </c>
      <c r="J311" s="126">
        <f t="shared" si="46"/>
        <v>-4.733149381878024E-2</v>
      </c>
      <c r="M311" s="5"/>
      <c r="Y311">
        <f t="shared" si="47"/>
        <v>-0.5</v>
      </c>
    </row>
    <row r="312" spans="2:25" x14ac:dyDescent="0.3">
      <c r="B312" s="126">
        <v>0.4421416754800469</v>
      </c>
      <c r="C312" s="126">
        <f t="shared" si="39"/>
        <v>5.969066908549199E-2</v>
      </c>
      <c r="D312" s="126">
        <f t="shared" si="40"/>
        <v>1.2323998860153593E-2</v>
      </c>
      <c r="E312" s="126">
        <f t="shared" si="41"/>
        <v>-2.2091628498613177E-2</v>
      </c>
      <c r="F312" s="126">
        <f t="shared" si="42"/>
        <v>-2.2088035684126636E-2</v>
      </c>
      <c r="G312" s="126">
        <f t="shared" si="43"/>
        <v>0.44346001790360756</v>
      </c>
      <c r="H312" s="126">
        <f t="shared" si="44"/>
        <v>7.2000107556414519E-2</v>
      </c>
      <c r="I312" s="126">
        <f t="shared" si="45"/>
        <v>0.44082333305648624</v>
      </c>
      <c r="J312" s="126">
        <f t="shared" si="46"/>
        <v>-4.7352109836107339E-2</v>
      </c>
      <c r="M312" s="5"/>
      <c r="Y312">
        <f t="shared" si="47"/>
        <v>-0.5</v>
      </c>
    </row>
    <row r="313" spans="2:25" x14ac:dyDescent="0.3">
      <c r="B313" s="126">
        <v>0.44475698167838285</v>
      </c>
      <c r="C313" s="126">
        <f t="shared" si="39"/>
        <v>5.9651185526640851E-2</v>
      </c>
      <c r="D313" s="126">
        <f t="shared" si="40"/>
        <v>1.2266222487209835E-2</v>
      </c>
      <c r="E313" s="126">
        <f t="shared" si="41"/>
        <v>-2.2091628498613177E-2</v>
      </c>
      <c r="F313" s="126">
        <f t="shared" si="42"/>
        <v>-2.2088035684126636E-2</v>
      </c>
      <c r="G313" s="126">
        <f t="shared" si="43"/>
        <v>0.44607445205859964</v>
      </c>
      <c r="H313" s="126">
        <f t="shared" si="44"/>
        <v>7.1902857255873448E-2</v>
      </c>
      <c r="I313" s="126">
        <f t="shared" si="45"/>
        <v>0.44343951129816606</v>
      </c>
      <c r="J313" s="126">
        <f t="shared" si="46"/>
        <v>-4.7370412281453785E-2</v>
      </c>
      <c r="M313" s="5"/>
      <c r="Y313">
        <f t="shared" si="47"/>
        <v>-0.5</v>
      </c>
    </row>
    <row r="314" spans="2:25" x14ac:dyDescent="0.3">
      <c r="B314" s="126">
        <v>0.44737778988716459</v>
      </c>
      <c r="C314" s="126">
        <f t="shared" si="39"/>
        <v>5.9609253233730487E-2</v>
      </c>
      <c r="D314" s="126">
        <f t="shared" si="40"/>
        <v>1.2208324565895315E-2</v>
      </c>
      <c r="E314" s="126">
        <f t="shared" si="41"/>
        <v>-2.2091628498613177E-2</v>
      </c>
      <c r="F314" s="126">
        <f t="shared" si="42"/>
        <v>-2.2088035684126636E-2</v>
      </c>
      <c r="G314" s="126">
        <f t="shared" si="43"/>
        <v>0.44869433414071019</v>
      </c>
      <c r="H314" s="126">
        <f t="shared" si="44"/>
        <v>7.1803037270223913E-2</v>
      </c>
      <c r="I314" s="126">
        <f t="shared" si="45"/>
        <v>0.44606124563361899</v>
      </c>
      <c r="J314" s="126">
        <f t="shared" si="46"/>
        <v>-4.7386388138433287E-2</v>
      </c>
      <c r="M314" s="5"/>
      <c r="Y314">
        <f t="shared" si="47"/>
        <v>-0.5</v>
      </c>
    </row>
    <row r="315" spans="2:25" x14ac:dyDescent="0.3">
      <c r="B315" s="126">
        <v>0.45000407413629695</v>
      </c>
      <c r="C315" s="126">
        <f t="shared" si="39"/>
        <v>5.9564859849458904E-2</v>
      </c>
      <c r="D315" s="126">
        <f t="shared" si="40"/>
        <v>1.2150305669931723E-2</v>
      </c>
      <c r="E315" s="126">
        <f t="shared" si="41"/>
        <v>-2.2091628498613177E-2</v>
      </c>
      <c r="F315" s="126">
        <f t="shared" si="42"/>
        <v>-2.2088035684126636E-2</v>
      </c>
      <c r="G315" s="126">
        <f t="shared" si="43"/>
        <v>0.4513196379069177</v>
      </c>
      <c r="H315" s="126">
        <f t="shared" si="44"/>
        <v>7.1700635818899933E-2</v>
      </c>
      <c r="I315" s="126">
        <f t="shared" si="45"/>
        <v>0.4486885103656762</v>
      </c>
      <c r="J315" s="126">
        <f t="shared" si="46"/>
        <v>-4.7400024479036483E-2</v>
      </c>
      <c r="M315" s="5"/>
      <c r="Y315">
        <f t="shared" si="47"/>
        <v>-0.5</v>
      </c>
    </row>
    <row r="316" spans="2:25" x14ac:dyDescent="0.3">
      <c r="B316" s="126">
        <v>0.45263580840142115</v>
      </c>
      <c r="C316" s="126">
        <f t="shared" si="39"/>
        <v>5.9517993106790332E-2</v>
      </c>
      <c r="D316" s="126">
        <f t="shared" si="40"/>
        <v>1.2092166374239528E-2</v>
      </c>
      <c r="E316" s="126">
        <f t="shared" si="41"/>
        <v>-2.2091628498613177E-2</v>
      </c>
      <c r="F316" s="126">
        <f t="shared" si="42"/>
        <v>-2.2088035684126636E-2</v>
      </c>
      <c r="G316" s="126">
        <f t="shared" si="43"/>
        <v>0.45395033706193072</v>
      </c>
      <c r="H316" s="126">
        <f t="shared" si="44"/>
        <v>7.1595641212778505E-2</v>
      </c>
      <c r="I316" s="126">
        <f t="shared" si="45"/>
        <v>0.45132127974091157</v>
      </c>
      <c r="J316" s="126">
        <f t="shared" si="46"/>
        <v>-4.7411308464299445E-2</v>
      </c>
      <c r="M316" s="5"/>
      <c r="Y316">
        <f t="shared" si="47"/>
        <v>-0.5</v>
      </c>
    </row>
    <row r="317" spans="2:25" x14ac:dyDescent="0.3">
      <c r="B317" s="126">
        <v>0.45527296660417349</v>
      </c>
      <c r="C317" s="126">
        <f t="shared" si="39"/>
        <v>5.9468640829612784E-2</v>
      </c>
      <c r="D317" s="126">
        <f t="shared" si="40"/>
        <v>1.2033907254932252E-2</v>
      </c>
      <c r="E317" s="126">
        <f t="shared" si="41"/>
        <v>-2.2091628498613177E-2</v>
      </c>
      <c r="F317" s="126">
        <f t="shared" si="42"/>
        <v>-2.2088035684126636E-2</v>
      </c>
      <c r="G317" s="126">
        <f t="shared" si="43"/>
        <v>0.456586405258461</v>
      </c>
      <c r="H317" s="126">
        <f t="shared" si="44"/>
        <v>7.1488041854831291E-2</v>
      </c>
      <c r="I317" s="126">
        <f t="shared" si="45"/>
        <v>0.45395952794988598</v>
      </c>
      <c r="J317" s="126">
        <f t="shared" si="46"/>
        <v>-4.7420227344966787E-2</v>
      </c>
      <c r="M317" s="5"/>
      <c r="Y317">
        <f t="shared" si="47"/>
        <v>-0.5</v>
      </c>
    </row>
    <row r="318" spans="2:25" x14ac:dyDescent="0.3">
      <c r="B318" s="126">
        <v>0.45791552261244328</v>
      </c>
      <c r="C318" s="126">
        <f t="shared" si="39"/>
        <v>5.9416790933390619E-2</v>
      </c>
      <c r="D318" s="126">
        <f t="shared" si="40"/>
        <v>1.1975528889310779E-2</v>
      </c>
      <c r="E318" s="126">
        <f t="shared" si="41"/>
        <v>-2.2091628498613177E-2</v>
      </c>
      <c r="F318" s="126">
        <f t="shared" si="42"/>
        <v>-2.2088035684126636E-2</v>
      </c>
      <c r="G318" s="126">
        <f t="shared" si="43"/>
        <v>0.45922781609749591</v>
      </c>
      <c r="H318" s="126">
        <f t="shared" si="44"/>
        <v>7.1377826240771339E-2</v>
      </c>
      <c r="I318" s="126">
        <f t="shared" si="45"/>
        <v>0.45660322912739065</v>
      </c>
      <c r="J318" s="126">
        <f t="shared" si="46"/>
        <v>-4.7426768462149785E-2</v>
      </c>
      <c r="M318" s="5"/>
      <c r="Y318">
        <f t="shared" si="47"/>
        <v>-0.5</v>
      </c>
    </row>
    <row r="319" spans="2:25" x14ac:dyDescent="0.3">
      <c r="B319" s="126">
        <v>0.46056345024063217</v>
      </c>
      <c r="C319" s="126">
        <f t="shared" si="39"/>
        <v>5.9362431425811754E-2</v>
      </c>
      <c r="D319" s="126">
        <f t="shared" si="40"/>
        <v>1.1917031855857615E-2</v>
      </c>
      <c r="E319" s="126">
        <f t="shared" si="41"/>
        <v>-2.2091628498613177E-2</v>
      </c>
      <c r="F319" s="126">
        <f t="shared" si="42"/>
        <v>-2.2088035684126636E-2</v>
      </c>
      <c r="G319" s="126">
        <f t="shared" si="43"/>
        <v>0.46187454312857201</v>
      </c>
      <c r="H319" s="126">
        <f t="shared" si="44"/>
        <v>7.1264982959694356E-2</v>
      </c>
      <c r="I319" s="126">
        <f t="shared" si="45"/>
        <v>0.45925235735269232</v>
      </c>
      <c r="J319" s="126">
        <f t="shared" si="46"/>
        <v>-4.7430919247979125E-2</v>
      </c>
      <c r="M319" s="5"/>
      <c r="Y319">
        <f t="shared" si="47"/>
        <v>-0.5</v>
      </c>
    </row>
    <row r="320" spans="2:25" x14ac:dyDescent="0.3">
      <c r="B320" s="126">
        <v>0.46321672324991292</v>
      </c>
      <c r="C320" s="126">
        <f t="shared" si="39"/>
        <v>5.9305550407429519E-2</v>
      </c>
      <c r="D320" s="126">
        <f t="shared" si="40"/>
        <v>1.1858416734231188E-2</v>
      </c>
      <c r="E320" s="126">
        <f t="shared" si="41"/>
        <v>-2.2091628498613177E-2</v>
      </c>
      <c r="F320" s="126">
        <f t="shared" si="42"/>
        <v>-2.2088035684126636E-2</v>
      </c>
      <c r="G320" s="126">
        <f t="shared" si="43"/>
        <v>0.46452655985004798</v>
      </c>
      <c r="H320" s="126">
        <f t="shared" si="44"/>
        <v>7.1149500694714748E-2</v>
      </c>
      <c r="I320" s="126">
        <f t="shared" si="45"/>
        <v>0.46190688664977786</v>
      </c>
      <c r="J320" s="126">
        <f t="shared" si="46"/>
        <v>-4.7432667226252369E-2</v>
      </c>
      <c r="M320" s="5"/>
      <c r="Y320">
        <f t="shared" si="47"/>
        <v>-0.5</v>
      </c>
    </row>
    <row r="321" spans="2:25" x14ac:dyDescent="0.3">
      <c r="B321" s="126">
        <v>0.46587531534849058</v>
      </c>
      <c r="C321" s="126">
        <f t="shared" si="39"/>
        <v>5.9246136072299435E-2</v>
      </c>
      <c r="D321" s="126">
        <f t="shared" si="40"/>
        <v>1.1799684105260062E-2</v>
      </c>
      <c r="E321" s="126">
        <f t="shared" si="41"/>
        <v>-2.2091628498613177E-2</v>
      </c>
      <c r="F321" s="126">
        <f t="shared" si="42"/>
        <v>-2.2088035684126636E-2</v>
      </c>
      <c r="G321" s="126">
        <f t="shared" si="43"/>
        <v>0.4671838397093801</v>
      </c>
      <c r="H321" s="126">
        <f t="shared" si="44"/>
        <v>7.1031368223596417E-2</v>
      </c>
      <c r="I321" s="126">
        <f t="shared" si="45"/>
        <v>0.46456679098760106</v>
      </c>
      <c r="J321" s="126">
        <f t="shared" si="46"/>
        <v>-4.7432000013076292E-2</v>
      </c>
      <c r="M321" s="5"/>
      <c r="Y321">
        <f t="shared" si="47"/>
        <v>-0.5</v>
      </c>
    </row>
    <row r="322" spans="2:25" x14ac:dyDescent="0.3">
      <c r="B322" s="126">
        <v>0.46853920019186157</v>
      </c>
      <c r="C322" s="126">
        <f t="shared" ref="C322:C385" si="48">IF(B322&lt;$N$1, ($A$7/0.2)*($O$1*SQRT(B322)+$P$1*B322+$Q$1*(B322^2)+$R$1*(B322^3)), ($A$7/0.2)*($S$1+$T$1*(1-B322)+$U$1*((1-B322)^2)+$V$1*((1-B322)^3)))</f>
        <v>5.9184176708610502E-2</v>
      </c>
      <c r="D322" s="126">
        <f t="shared" ref="D322:D385" si="49" xml:space="preserve"> IF(B322&lt;$A$8, ($A$10/6)*((B322^3)-3*$A$8*(B322^2)+($A$8^2)*(3-$A$8)*B322), (($A$10*($A$8^3))/6)*(1-B322))</f>
        <v>1.1740834550937223E-2</v>
      </c>
      <c r="E322" s="126">
        <f t="shared" ref="E322:E385" si="50">IF(B322&lt;$A$8, ($A$10/6)*(3*(B322^2)-6*$A$8*B322+($A$8^2)*(3-$A$8)), -($A$10*($A$8^3))/6)</f>
        <v>-2.2091628498613177E-2</v>
      </c>
      <c r="F322" s="126">
        <f t="shared" ref="F322:F385" si="51" xml:space="preserve"> ATAN(E322)</f>
        <v>-2.2088035684126636E-2</v>
      </c>
      <c r="G322" s="126">
        <f t="shared" ref="G322:G385" si="52">B322-C322*SIN(F322)</f>
        <v>0.46984635610339476</v>
      </c>
      <c r="H322" s="126">
        <f t="shared" ref="H322:H385" si="53">D322+C322*COS(F322)</f>
        <v>7.0910574419378231E-2</v>
      </c>
      <c r="I322" s="126">
        <f t="shared" ref="I322:I385" si="54">B322+C322*SIN(F322)</f>
        <v>0.46723204428032838</v>
      </c>
      <c r="J322" s="126">
        <f t="shared" ref="J322:J385" si="55">D322-C322*COS(F322)</f>
        <v>-4.7428905317503788E-2</v>
      </c>
      <c r="M322" s="5"/>
      <c r="Y322">
        <f t="shared" ref="Y322:Y385" si="56">IF($Z$1, D322, -0.5)</f>
        <v>-0.5</v>
      </c>
    </row>
    <row r="323" spans="2:25" x14ac:dyDescent="0.3">
      <c r="B323" s="126">
        <v>0.47120835138307604</v>
      </c>
      <c r="C323" s="126">
        <f t="shared" si="48"/>
        <v>5.9119660699311141E-2</v>
      </c>
      <c r="D323" s="126">
        <f t="shared" si="49"/>
        <v>1.1681868654414283E-2</v>
      </c>
      <c r="E323" s="126">
        <f t="shared" si="50"/>
        <v>-2.2091628498613177E-2</v>
      </c>
      <c r="F323" s="126">
        <f t="shared" si="51"/>
        <v>-2.2088035684126636E-2</v>
      </c>
      <c r="G323" s="126">
        <f t="shared" si="52"/>
        <v>0.47251408237856518</v>
      </c>
      <c r="H323" s="126">
        <f t="shared" si="53"/>
        <v>7.0787108250993991E-2</v>
      </c>
      <c r="I323" s="126">
        <f t="shared" si="54"/>
        <v>0.4699026203875869</v>
      </c>
      <c r="J323" s="126">
        <f t="shared" si="55"/>
        <v>-4.7423370942165421E-2</v>
      </c>
      <c r="M323" s="5"/>
      <c r="Y323">
        <f t="shared" si="56"/>
        <v>-0.5</v>
      </c>
    </row>
    <row r="324" spans="2:25" x14ac:dyDescent="0.3">
      <c r="B324" s="126">
        <v>0.47388274247299855</v>
      </c>
      <c r="C324" s="126">
        <f t="shared" si="48"/>
        <v>5.9052576522729765E-2</v>
      </c>
      <c r="D324" s="126">
        <f t="shared" si="49"/>
        <v>1.1622786999995713E-2</v>
      </c>
      <c r="E324" s="126">
        <f t="shared" si="50"/>
        <v>-2.2091628498613177E-2</v>
      </c>
      <c r="F324" s="126">
        <f t="shared" si="51"/>
        <v>-2.2088035684126636E-2</v>
      </c>
      <c r="G324" s="126">
        <f t="shared" si="52"/>
        <v>0.4751869918312856</v>
      </c>
      <c r="H324" s="126">
        <f t="shared" si="53"/>
        <v>7.0660958783887048E-2</v>
      </c>
      <c r="I324" s="126">
        <f t="shared" si="54"/>
        <v>0.47257849311471151</v>
      </c>
      <c r="J324" s="126">
        <f t="shared" si="55"/>
        <v>-4.741538478389562E-2</v>
      </c>
      <c r="M324" s="5"/>
      <c r="Y324">
        <f t="shared" si="56"/>
        <v>-0.5</v>
      </c>
    </row>
    <row r="325" spans="2:25" x14ac:dyDescent="0.3">
      <c r="B325" s="126">
        <v>0.47656234696057043</v>
      </c>
      <c r="C325" s="126">
        <f t="shared" si="48"/>
        <v>5.8982912753190037E-2</v>
      </c>
      <c r="D325" s="126">
        <f t="shared" si="49"/>
        <v>1.1563590173133059E-2</v>
      </c>
      <c r="E325" s="126">
        <f t="shared" si="50"/>
        <v>-2.2091628498613177E-2</v>
      </c>
      <c r="F325" s="126">
        <f t="shared" si="51"/>
        <v>-2.2088035684126636E-2</v>
      </c>
      <c r="G325" s="126">
        <f t="shared" si="52"/>
        <v>0.47786505770814702</v>
      </c>
      <c r="H325" s="126">
        <f t="shared" si="53"/>
        <v>7.0532115180619692E-2</v>
      </c>
      <c r="I325" s="126">
        <f t="shared" si="54"/>
        <v>0.47525963621299383</v>
      </c>
      <c r="J325" s="126">
        <f t="shared" si="55"/>
        <v>-4.7404934834353582E-2</v>
      </c>
      <c r="M325" s="5"/>
      <c r="Y325">
        <f t="shared" si="56"/>
        <v>-0.5</v>
      </c>
    </row>
    <row r="326" spans="2:25" x14ac:dyDescent="0.3">
      <c r="B326" s="126">
        <v>0.47924713829307297</v>
      </c>
      <c r="C326" s="126">
        <f t="shared" si="48"/>
        <v>5.8910658061620519E-2</v>
      </c>
      <c r="D326" s="126">
        <f t="shared" si="49"/>
        <v>1.1504278760419116E-2</v>
      </c>
      <c r="E326" s="126">
        <f t="shared" si="50"/>
        <v>-2.2091628498613177E-2</v>
      </c>
      <c r="F326" s="126">
        <f t="shared" si="51"/>
        <v>-2.2088035684126636E-2</v>
      </c>
      <c r="G326" s="126">
        <f t="shared" si="52"/>
        <v>0.48054825320621419</v>
      </c>
      <c r="H326" s="126">
        <f t="shared" si="53"/>
        <v>7.0400566701476791E-2</v>
      </c>
      <c r="I326" s="126">
        <f t="shared" si="54"/>
        <v>0.47794602337993175</v>
      </c>
      <c r="J326" s="126">
        <f t="shared" si="55"/>
        <v>-4.7392009180638565E-2</v>
      </c>
      <c r="M326" s="5"/>
      <c r="Y326">
        <f t="shared" si="56"/>
        <v>-0.5</v>
      </c>
    </row>
    <row r="327" spans="2:25" x14ac:dyDescent="0.3">
      <c r="B327" s="126">
        <v>0.48193708986638928</v>
      </c>
      <c r="C327" s="126">
        <f t="shared" si="48"/>
        <v>5.8835801216158896E-2</v>
      </c>
      <c r="D327" s="126">
        <f t="shared" si="49"/>
        <v>1.1444853349582151E-2</v>
      </c>
      <c r="E327" s="126">
        <f t="shared" si="50"/>
        <v>-2.2091628498613177E-2</v>
      </c>
      <c r="F327" s="126">
        <f t="shared" si="51"/>
        <v>-2.2088035684126636E-2</v>
      </c>
      <c r="G327" s="126">
        <f t="shared" si="52"/>
        <v>0.48323655147330058</v>
      </c>
      <c r="H327" s="126">
        <f t="shared" si="53"/>
        <v>7.0266302705064107E-2</v>
      </c>
      <c r="I327" s="126">
        <f t="shared" si="54"/>
        <v>0.48063762825947798</v>
      </c>
      <c r="J327" s="126">
        <f t="shared" si="55"/>
        <v>-4.7376596005899801E-2</v>
      </c>
      <c r="M327" s="5"/>
      <c r="Y327">
        <f t="shared" si="56"/>
        <v>-0.5</v>
      </c>
    </row>
    <row r="328" spans="2:25" x14ac:dyDescent="0.3">
      <c r="B328" s="126">
        <v>0.48463217502526945</v>
      </c>
      <c r="C328" s="126">
        <f t="shared" si="48"/>
        <v>5.875833108275088E-2</v>
      </c>
      <c r="D328" s="126">
        <f t="shared" si="49"/>
        <v>1.1385314529480045E-2</v>
      </c>
      <c r="E328" s="126">
        <f t="shared" si="50"/>
        <v>-2.2091628498613177E-2</v>
      </c>
      <c r="F328" s="126">
        <f t="shared" si="51"/>
        <v>-2.2088035684126636E-2</v>
      </c>
      <c r="G328" s="126">
        <f t="shared" si="52"/>
        <v>0.48592992560824694</v>
      </c>
      <c r="H328" s="126">
        <f t="shared" si="53"/>
        <v>7.0129312648901154E-2</v>
      </c>
      <c r="I328" s="126">
        <f t="shared" si="54"/>
        <v>0.48333442444229197</v>
      </c>
      <c r="J328" s="126">
        <f t="shared" si="55"/>
        <v>-4.735868358994106E-2</v>
      </c>
      <c r="M328" s="5"/>
      <c r="Y328">
        <f t="shared" si="56"/>
        <v>-0.5</v>
      </c>
    </row>
    <row r="329" spans="2:25" x14ac:dyDescent="0.3">
      <c r="B329" s="126">
        <v>0.48733236706359295</v>
      </c>
      <c r="C329" s="126">
        <f t="shared" si="48"/>
        <v>5.8678236625743327E-2</v>
      </c>
      <c r="D329" s="126">
        <f t="shared" si="49"/>
        <v>1.132566289009449E-2</v>
      </c>
      <c r="E329" s="126">
        <f t="shared" si="50"/>
        <v>-2.2091628498613177E-2</v>
      </c>
      <c r="F329" s="126">
        <f t="shared" si="51"/>
        <v>-2.2088035684126636E-2</v>
      </c>
      <c r="G329" s="126">
        <f t="shared" si="52"/>
        <v>0.48862834866119664</v>
      </c>
      <c r="H329" s="126">
        <f t="shared" si="53"/>
        <v>6.998958609000841E-2</v>
      </c>
      <c r="I329" s="126">
        <f t="shared" si="54"/>
        <v>0.48603638546598926</v>
      </c>
      <c r="J329" s="126">
        <f t="shared" si="55"/>
        <v>-4.7338260309819427E-2</v>
      </c>
      <c r="M329" s="5"/>
      <c r="Y329">
        <f t="shared" si="56"/>
        <v>-0.5</v>
      </c>
    </row>
    <row r="330" spans="2:25" x14ac:dyDescent="0.3">
      <c r="B330" s="126">
        <v>0.49003763922463506</v>
      </c>
      <c r="C330" s="126">
        <f t="shared" si="48"/>
        <v>5.8595506908471942E-2</v>
      </c>
      <c r="D330" s="126">
        <f t="shared" si="49"/>
        <v>1.1265899022525106E-2</v>
      </c>
      <c r="E330" s="126">
        <f t="shared" si="50"/>
        <v>-2.2091628498613177E-2</v>
      </c>
      <c r="F330" s="126">
        <f t="shared" si="51"/>
        <v>-2.2088035684126636E-2</v>
      </c>
      <c r="G330" s="126">
        <f t="shared" si="52"/>
        <v>0.49133179363387514</v>
      </c>
      <c r="H330" s="126">
        <f t="shared" si="53"/>
        <v>6.9847112685489002E-2</v>
      </c>
      <c r="I330" s="126">
        <f t="shared" si="54"/>
        <v>0.48874348481539498</v>
      </c>
      <c r="J330" s="126">
        <f t="shared" si="55"/>
        <v>-4.7315314640438783E-2</v>
      </c>
      <c r="M330" s="5"/>
      <c r="Y330">
        <f t="shared" si="56"/>
        <v>-0.5</v>
      </c>
    </row>
    <row r="331" spans="2:25" x14ac:dyDescent="0.3">
      <c r="B331" s="126">
        <v>0.49274796470133042</v>
      </c>
      <c r="C331" s="126">
        <f t="shared" si="48"/>
        <v>5.8510131093843502E-2</v>
      </c>
      <c r="D331" s="126">
        <f t="shared" si="49"/>
        <v>1.1206023518983626E-2</v>
      </c>
      <c r="E331" s="126">
        <f t="shared" si="50"/>
        <v>-2.2091628498613177E-2</v>
      </c>
      <c r="F331" s="126">
        <f t="shared" si="51"/>
        <v>-2.2088035684126636E-2</v>
      </c>
      <c r="G331" s="126">
        <f t="shared" si="52"/>
        <v>0.49404023347986648</v>
      </c>
      <c r="H331" s="126">
        <f t="shared" si="53"/>
        <v>6.9701882193104941E-2</v>
      </c>
      <c r="I331" s="126">
        <f t="shared" si="54"/>
        <v>0.49145569592279437</v>
      </c>
      <c r="J331" s="126">
        <f t="shared" si="55"/>
        <v>-4.7289835155137683E-2</v>
      </c>
      <c r="M331" s="5"/>
      <c r="Y331">
        <f t="shared" si="56"/>
        <v>-0.5</v>
      </c>
    </row>
    <row r="332" spans="2:25" x14ac:dyDescent="0.3">
      <c r="B332" s="126">
        <v>0.4954633166365402</v>
      </c>
      <c r="C332" s="126">
        <f t="shared" si="48"/>
        <v>5.8422098444912203E-2</v>
      </c>
      <c r="D332" s="126">
        <f t="shared" si="49"/>
        <v>1.1146036972787982E-2</v>
      </c>
      <c r="E332" s="126">
        <f t="shared" si="50"/>
        <v>-2.2091628498613177E-2</v>
      </c>
      <c r="F332" s="126">
        <f t="shared" si="51"/>
        <v>-2.2088035684126636E-2</v>
      </c>
      <c r="G332" s="126">
        <f t="shared" si="52"/>
        <v>0.49675364110489306</v>
      </c>
      <c r="H332" s="126">
        <f t="shared" si="53"/>
        <v>6.9553884471847419E-2</v>
      </c>
      <c r="I332" s="126">
        <f t="shared" si="54"/>
        <v>0.49417299216818733</v>
      </c>
      <c r="J332" s="126">
        <f t="shared" si="55"/>
        <v>-4.7261810526271451E-2</v>
      </c>
      <c r="M332" s="5"/>
      <c r="Y332">
        <f t="shared" si="56"/>
        <v>-0.5</v>
      </c>
    </row>
    <row r="333" spans="2:25" x14ac:dyDescent="0.3">
      <c r="B333" s="126">
        <v>0.4981836681233166</v>
      </c>
      <c r="C333" s="126">
        <f t="shared" si="48"/>
        <v>5.8331398325450722E-2</v>
      </c>
      <c r="D333" s="126">
        <f t="shared" si="49"/>
        <v>1.1085939978356467E-2</v>
      </c>
      <c r="E333" s="126">
        <f t="shared" si="50"/>
        <v>-2.2091628498613177E-2</v>
      </c>
      <c r="F333" s="126">
        <f t="shared" si="51"/>
        <v>-2.2088035684126636E-2</v>
      </c>
      <c r="G333" s="126">
        <f t="shared" si="52"/>
        <v>0.49947198936709286</v>
      </c>
      <c r="H333" s="126">
        <f t="shared" si="53"/>
        <v>6.9403109482501904E-2</v>
      </c>
      <c r="I333" s="126">
        <f t="shared" si="54"/>
        <v>0.49689534687954034</v>
      </c>
      <c r="J333" s="126">
        <f t="shared" si="55"/>
        <v>-4.7231229525788967E-2</v>
      </c>
      <c r="M333" s="5"/>
      <c r="Y333">
        <f t="shared" si="56"/>
        <v>-0.5</v>
      </c>
    </row>
    <row r="334" spans="2:25" x14ac:dyDescent="0.3">
      <c r="B334" s="126">
        <v>0.50090899220517071</v>
      </c>
      <c r="C334" s="126">
        <f t="shared" si="48"/>
        <v>5.8238020200515377E-2</v>
      </c>
      <c r="D334" s="126">
        <f t="shared" si="49"/>
        <v>1.1025733131201821E-2</v>
      </c>
      <c r="E334" s="126">
        <f t="shared" si="50"/>
        <v>-2.2091628498613177E-2</v>
      </c>
      <c r="F334" s="126">
        <f t="shared" si="51"/>
        <v>-2.2088035684126636E-2</v>
      </c>
      <c r="G334" s="126">
        <f t="shared" si="52"/>
        <v>0.50219525107729956</v>
      </c>
      <c r="H334" s="126">
        <f t="shared" si="53"/>
        <v>6.9249547288207258E-2</v>
      </c>
      <c r="I334" s="126">
        <f t="shared" si="54"/>
        <v>0.49962273333304186</v>
      </c>
      <c r="J334" s="126">
        <f t="shared" si="55"/>
        <v>-4.7198081025803619E-2</v>
      </c>
      <c r="M334" s="5"/>
      <c r="Y334">
        <f t="shared" si="56"/>
        <v>-0.5</v>
      </c>
    </row>
    <row r="335" spans="2:25" x14ac:dyDescent="0.3">
      <c r="B335" s="126">
        <v>0.50363926187633923</v>
      </c>
      <c r="C335" s="126">
        <f t="shared" si="48"/>
        <v>5.8141953637005708E-2</v>
      </c>
      <c r="D335" s="126">
        <f t="shared" si="49"/>
        <v>1.0965417027925336E-2</v>
      </c>
      <c r="E335" s="126">
        <f t="shared" si="50"/>
        <v>-2.2091628498613177E-2</v>
      </c>
      <c r="F335" s="126">
        <f t="shared" si="51"/>
        <v>-2.2088035684126636E-2</v>
      </c>
      <c r="G335" s="126">
        <f t="shared" si="52"/>
        <v>0.50492339899932204</v>
      </c>
      <c r="H335" s="126">
        <f t="shared" si="53"/>
        <v>6.9093188055009275E-2</v>
      </c>
      <c r="I335" s="126">
        <f t="shared" si="54"/>
        <v>0.50235512475335642</v>
      </c>
      <c r="J335" s="126">
        <f t="shared" si="55"/>
        <v>-4.7162353999158607E-2</v>
      </c>
      <c r="M335" s="5"/>
      <c r="Y335">
        <f t="shared" si="56"/>
        <v>-0.5</v>
      </c>
    </row>
    <row r="336" spans="2:25" x14ac:dyDescent="0.3">
      <c r="B336" s="126">
        <v>0.50637445008205195</v>
      </c>
      <c r="C336" s="126">
        <f t="shared" si="48"/>
        <v>5.8043188304218341E-2</v>
      </c>
      <c r="D336" s="126">
        <f t="shared" si="49"/>
        <v>1.0904992266210943E-2</v>
      </c>
      <c r="E336" s="126">
        <f t="shared" si="50"/>
        <v>-2.2091628498613177E-2</v>
      </c>
      <c r="F336" s="126">
        <f t="shared" si="51"/>
        <v>-2.2088035684126636E-2</v>
      </c>
      <c r="G336" s="126">
        <f t="shared" si="52"/>
        <v>0.50765640585022354</v>
      </c>
      <c r="H336" s="126">
        <f t="shared" si="53"/>
        <v>6.8934022052408478E-2</v>
      </c>
      <c r="I336" s="126">
        <f t="shared" si="54"/>
        <v>0.50509249431388037</v>
      </c>
      <c r="J336" s="126">
        <f t="shared" si="55"/>
        <v>-4.7124037519986589E-2</v>
      </c>
      <c r="M336" s="5"/>
      <c r="Y336">
        <f t="shared" si="56"/>
        <v>-0.5</v>
      </c>
    </row>
    <row r="337" spans="2:25" x14ac:dyDescent="0.3">
      <c r="B337" s="126">
        <v>0.50911452971880011</v>
      </c>
      <c r="C337" s="126">
        <f t="shared" si="48"/>
        <v>5.7941713974395195E-2</v>
      </c>
      <c r="D337" s="126">
        <f t="shared" si="49"/>
        <v>1.0844459444819288E-2</v>
      </c>
      <c r="E337" s="126">
        <f t="shared" si="50"/>
        <v>-2.2091628498613177E-2</v>
      </c>
      <c r="F337" s="126">
        <f t="shared" si="51"/>
        <v>-2.2088035684126636E-2</v>
      </c>
      <c r="G337" s="126">
        <f t="shared" si="52"/>
        <v>0.51039424430060276</v>
      </c>
      <c r="H337" s="126">
        <f t="shared" si="53"/>
        <v>6.87720396539023E-2</v>
      </c>
      <c r="I337" s="126">
        <f t="shared" si="54"/>
        <v>0.50783481513699746</v>
      </c>
      <c r="J337" s="126">
        <f t="shared" si="55"/>
        <v>-4.7083120764263721E-2</v>
      </c>
      <c r="M337" s="5"/>
      <c r="Y337">
        <f t="shared" si="56"/>
        <v>-0.5</v>
      </c>
    </row>
    <row r="338" spans="2:25" x14ac:dyDescent="0.3">
      <c r="B338" s="126">
        <v>0.51185947363460449</v>
      </c>
      <c r="C338" s="126">
        <f t="shared" si="48"/>
        <v>5.7837520523265878E-2</v>
      </c>
      <c r="D338" s="126">
        <f t="shared" si="49"/>
        <v>1.0783819163581808E-2</v>
      </c>
      <c r="E338" s="126">
        <f t="shared" si="50"/>
        <v>-2.2091628498613177E-2</v>
      </c>
      <c r="F338" s="126">
        <f t="shared" si="51"/>
        <v>-2.2088035684126636E-2</v>
      </c>
      <c r="G338" s="126">
        <f t="shared" si="52"/>
        <v>0.51313688697487336</v>
      </c>
      <c r="H338" s="126">
        <f t="shared" si="53"/>
        <v>6.860723133752139E-2</v>
      </c>
      <c r="I338" s="126">
        <f t="shared" si="54"/>
        <v>0.51058206029433562</v>
      </c>
      <c r="J338" s="126">
        <f t="shared" si="55"/>
        <v>-4.7039593010357782E-2</v>
      </c>
      <c r="M338" s="5"/>
      <c r="Y338">
        <f t="shared" si="56"/>
        <v>-0.5</v>
      </c>
    </row>
    <row r="339" spans="2:25" x14ac:dyDescent="0.3">
      <c r="B339" s="126">
        <v>0.51460925462928531</v>
      </c>
      <c r="C339" s="126">
        <f t="shared" si="48"/>
        <v>5.7730597930584271E-2</v>
      </c>
      <c r="D339" s="126">
        <f t="shared" si="49"/>
        <v>1.0723072023394772E-2</v>
      </c>
      <c r="E339" s="126">
        <f t="shared" si="50"/>
        <v>-2.2091628498613177E-2</v>
      </c>
      <c r="F339" s="126">
        <f t="shared" si="51"/>
        <v>-2.2088035684126636E-2</v>
      </c>
      <c r="G339" s="126">
        <f t="shared" si="52"/>
        <v>0.51588430645154593</v>
      </c>
      <c r="H339" s="126">
        <f t="shared" si="53"/>
        <v>6.8439587686360187E-2</v>
      </c>
      <c r="I339" s="126">
        <f t="shared" si="54"/>
        <v>0.51333420280702469</v>
      </c>
      <c r="J339" s="126">
        <f t="shared" si="55"/>
        <v>-4.6993443639570635E-2</v>
      </c>
      <c r="M339" s="5"/>
      <c r="Y339">
        <f t="shared" si="56"/>
        <v>-0.5</v>
      </c>
    </row>
    <row r="340" spans="2:25" x14ac:dyDescent="0.3">
      <c r="B340" s="126">
        <v>0.51736384545473046</v>
      </c>
      <c r="C340" s="126">
        <f t="shared" si="48"/>
        <v>5.7620936280659507E-2</v>
      </c>
      <c r="D340" s="126">
        <f t="shared" si="49"/>
        <v>1.066221862621335E-2</v>
      </c>
      <c r="E340" s="126">
        <f t="shared" si="50"/>
        <v>-2.2091628498613177E-2</v>
      </c>
      <c r="F340" s="126">
        <f t="shared" si="51"/>
        <v>-2.2088035684126636E-2</v>
      </c>
      <c r="G340" s="126">
        <f t="shared" si="52"/>
        <v>0.51863647526350809</v>
      </c>
      <c r="H340" s="126">
        <f t="shared" si="53"/>
        <v>6.8269099389101681E-2</v>
      </c>
      <c r="I340" s="126">
        <f t="shared" si="54"/>
        <v>0.51609121564595284</v>
      </c>
      <c r="J340" s="126">
        <f t="shared" si="55"/>
        <v>-4.6944662136674989E-2</v>
      </c>
      <c r="M340" s="5"/>
      <c r="Y340">
        <f t="shared" si="56"/>
        <v>-0.5</v>
      </c>
    </row>
    <row r="341" spans="2:25" x14ac:dyDescent="0.3">
      <c r="B341" s="126">
        <v>0.52012321881516699</v>
      </c>
      <c r="C341" s="126">
        <f t="shared" si="48"/>
        <v>5.7508525762880874E-2</v>
      </c>
      <c r="D341" s="126">
        <f t="shared" si="49"/>
        <v>1.0601259575045617E-2</v>
      </c>
      <c r="E341" s="126">
        <f t="shared" si="50"/>
        <v>-2.2091628498613177E-2</v>
      </c>
      <c r="F341" s="126">
        <f t="shared" si="51"/>
        <v>-2.2088035684126636E-2</v>
      </c>
      <c r="G341" s="126">
        <f t="shared" si="52"/>
        <v>0.52139336589830743</v>
      </c>
      <c r="H341" s="126">
        <f t="shared" si="53"/>
        <v>6.8095757240536375E-2</v>
      </c>
      <c r="I341" s="126">
        <f t="shared" si="54"/>
        <v>0.51885307173202655</v>
      </c>
      <c r="J341" s="126">
        <f t="shared" si="55"/>
        <v>-4.6893238090445148E-2</v>
      </c>
      <c r="M341" s="5"/>
      <c r="Y341">
        <f t="shared" si="56"/>
        <v>-0.5</v>
      </c>
    </row>
    <row r="342" spans="2:25" x14ac:dyDescent="0.3">
      <c r="B342" s="126">
        <v>0.52288734736743059</v>
      </c>
      <c r="C342" s="126">
        <f t="shared" si="48"/>
        <v>5.7393356672237196E-2</v>
      </c>
      <c r="D342" s="126">
        <f t="shared" si="49"/>
        <v>1.0540195473946599E-2</v>
      </c>
      <c r="E342" s="126">
        <f t="shared" si="50"/>
        <v>-2.2091628498613177E-2</v>
      </c>
      <c r="F342" s="126">
        <f t="shared" si="51"/>
        <v>-2.2088035684126636E-2</v>
      </c>
      <c r="G342" s="126">
        <f t="shared" si="52"/>
        <v>0.52415495079843233</v>
      </c>
      <c r="H342" s="126">
        <f t="shared" si="53"/>
        <v>6.7919552142075484E-2</v>
      </c>
      <c r="I342" s="126">
        <f t="shared" si="54"/>
        <v>0.52161974393642885</v>
      </c>
      <c r="J342" s="126">
        <f t="shared" si="55"/>
        <v>-4.6839161194182286E-2</v>
      </c>
      <c r="M342" s="5"/>
      <c r="Y342">
        <f t="shared" si="56"/>
        <v>-0.5</v>
      </c>
    </row>
    <row r="343" spans="2:25" x14ac:dyDescent="0.3">
      <c r="B343" s="126">
        <v>0.52565620372123711</v>
      </c>
      <c r="C343" s="126">
        <f t="shared" si="48"/>
        <v>5.727541940983006E-2</v>
      </c>
      <c r="D343" s="126">
        <f t="shared" si="49"/>
        <v>1.0479026928012281E-2</v>
      </c>
      <c r="E343" s="126">
        <f t="shared" si="50"/>
        <v>-2.2091628498613177E-2</v>
      </c>
      <c r="F343" s="126">
        <f t="shared" si="51"/>
        <v>-2.2088035684126636E-2</v>
      </c>
      <c r="G343" s="126">
        <f t="shared" si="52"/>
        <v>0.52692120236159512</v>
      </c>
      <c r="H343" s="126">
        <f t="shared" si="53"/>
        <v>6.7740475102258016E-2</v>
      </c>
      <c r="I343" s="126">
        <f t="shared" si="54"/>
        <v>0.52439120508087911</v>
      </c>
      <c r="J343" s="126">
        <f t="shared" si="55"/>
        <v>-4.6782421246233455E-2</v>
      </c>
      <c r="M343" s="5"/>
      <c r="Y343">
        <f t="shared" si="56"/>
        <v>-0.5</v>
      </c>
    </row>
    <row r="344" spans="2:25" x14ac:dyDescent="0.3">
      <c r="B344" s="126">
        <v>0.52842976043945322</v>
      </c>
      <c r="C344" s="126">
        <f t="shared" si="48"/>
        <v>5.7154704483381398E-2</v>
      </c>
      <c r="D344" s="126">
        <f t="shared" si="49"/>
        <v>1.0417754543373618E-2</v>
      </c>
      <c r="E344" s="126">
        <f t="shared" si="50"/>
        <v>-2.2091628498613177E-2</v>
      </c>
      <c r="F344" s="126">
        <f t="shared" si="51"/>
        <v>-2.2088035684126636E-2</v>
      </c>
      <c r="G344" s="126">
        <f t="shared" si="52"/>
        <v>0.52969209294101383</v>
      </c>
      <c r="H344" s="126">
        <f t="shared" si="53"/>
        <v>6.7558517237252341E-2</v>
      </c>
      <c r="I344" s="126">
        <f t="shared" si="54"/>
        <v>0.52716742793789262</v>
      </c>
      <c r="J344" s="126">
        <f t="shared" si="55"/>
        <v>-4.6723008150505098E-2</v>
      </c>
      <c r="M344" s="5"/>
      <c r="Y344">
        <f t="shared" si="56"/>
        <v>-0.5</v>
      </c>
    </row>
    <row r="345" spans="2:25" x14ac:dyDescent="0.3">
      <c r="B345" s="126">
        <v>0.53120799003836905</v>
      </c>
      <c r="C345" s="126">
        <f t="shared" si="48"/>
        <v>5.7031202507735052E-2</v>
      </c>
      <c r="D345" s="126">
        <f t="shared" si="49"/>
        <v>1.0356378927190518E-2</v>
      </c>
      <c r="E345" s="126">
        <f t="shared" si="50"/>
        <v>-2.2091628498613177E-2</v>
      </c>
      <c r="F345" s="126">
        <f t="shared" si="51"/>
        <v>-2.2088035684126636E-2</v>
      </c>
      <c r="G345" s="126">
        <f t="shared" si="52"/>
        <v>0.53246759484569561</v>
      </c>
      <c r="H345" s="126">
        <f t="shared" si="53"/>
        <v>6.7373669771351508E-2</v>
      </c>
      <c r="I345" s="126">
        <f t="shared" si="54"/>
        <v>0.52994838523104248</v>
      </c>
      <c r="J345" s="126">
        <f t="shared" si="55"/>
        <v>-4.6660911916970471E-2</v>
      </c>
      <c r="M345" s="5"/>
      <c r="Y345">
        <f t="shared" si="56"/>
        <v>-0.5</v>
      </c>
    </row>
    <row r="346" spans="2:25" x14ac:dyDescent="0.3">
      <c r="B346" s="126">
        <v>0.53399086498797033</v>
      </c>
      <c r="C346" s="126">
        <f t="shared" si="48"/>
        <v>5.6904904205352463E-2</v>
      </c>
      <c r="D346" s="126">
        <f t="shared" si="49"/>
        <v>1.029490068764583E-2</v>
      </c>
      <c r="E346" s="126">
        <f t="shared" si="50"/>
        <v>-2.2091628498613177E-2</v>
      </c>
      <c r="F346" s="126">
        <f t="shared" si="51"/>
        <v>-2.2088035684126636E-2</v>
      </c>
      <c r="G346" s="126">
        <f t="shared" si="52"/>
        <v>0.53524768034072046</v>
      </c>
      <c r="H346" s="126">
        <f t="shared" si="53"/>
        <v>6.7185924037462916E-2</v>
      </c>
      <c r="I346" s="126">
        <f t="shared" si="54"/>
        <v>0.5327340496352202</v>
      </c>
      <c r="J346" s="126">
        <f t="shared" si="55"/>
        <v>-4.6596122662171252E-2</v>
      </c>
      <c r="M346" s="5"/>
      <c r="Y346">
        <f t="shared" si="56"/>
        <v>-0.5</v>
      </c>
    </row>
    <row r="347" spans="2:25" x14ac:dyDescent="0.3">
      <c r="B347" s="126">
        <v>0.53677835771221083</v>
      </c>
      <c r="C347" s="126">
        <f t="shared" si="48"/>
        <v>5.6775800406802433E-2</v>
      </c>
      <c r="D347" s="126">
        <f t="shared" si="49"/>
        <v>1.0233320433939323E-2</v>
      </c>
      <c r="E347" s="126">
        <f t="shared" si="50"/>
        <v>-2.2091628498613177E-2</v>
      </c>
      <c r="F347" s="126">
        <f t="shared" si="51"/>
        <v>-2.2088035684126636E-2</v>
      </c>
      <c r="G347" s="126">
        <f t="shared" si="52"/>
        <v>0.53803232164752368</v>
      </c>
      <c r="H347" s="126">
        <f t="shared" si="53"/>
        <v>6.6995271477591808E-2</v>
      </c>
      <c r="I347" s="126">
        <f t="shared" si="54"/>
        <v>0.53552439377689798</v>
      </c>
      <c r="J347" s="126">
        <f t="shared" si="55"/>
        <v>-4.652863060971317E-2</v>
      </c>
      <c r="M347" s="5"/>
      <c r="Y347">
        <f t="shared" si="56"/>
        <v>-0.5</v>
      </c>
    </row>
    <row r="348" spans="2:25" x14ac:dyDescent="0.3">
      <c r="B348" s="126">
        <v>0.53957044058928638</v>
      </c>
      <c r="C348" s="126">
        <f t="shared" si="48"/>
        <v>5.6643882051244959E-2</v>
      </c>
      <c r="D348" s="126">
        <f t="shared" si="49"/>
        <v>1.0171638776281629E-2</v>
      </c>
      <c r="E348" s="126">
        <f t="shared" si="50"/>
        <v>-2.2091628498613177E-2</v>
      </c>
      <c r="F348" s="126">
        <f t="shared" si="51"/>
        <v>-2.2088035684126636E-2</v>
      </c>
      <c r="G348" s="126">
        <f t="shared" si="52"/>
        <v>0.5408214909441813</v>
      </c>
      <c r="H348" s="126">
        <f t="shared" si="53"/>
        <v>6.6801703643319069E-2</v>
      </c>
      <c r="I348" s="126">
        <f t="shared" si="54"/>
        <v>0.53831939023439146</v>
      </c>
      <c r="J348" s="126">
        <f t="shared" si="55"/>
        <v>-4.6458426090755817E-2</v>
      </c>
      <c r="M348" s="5"/>
      <c r="Y348">
        <f t="shared" si="56"/>
        <v>-0.5</v>
      </c>
    </row>
    <row r="349" spans="2:25" x14ac:dyDescent="0.3">
      <c r="B349" s="126">
        <v>0.54236708595190763</v>
      </c>
      <c r="C349" s="126">
        <f t="shared" si="48"/>
        <v>5.6509140186909015E-2</v>
      </c>
      <c r="D349" s="126">
        <f t="shared" si="49"/>
        <v>1.0109856325888232E-2</v>
      </c>
      <c r="E349" s="126">
        <f t="shared" si="50"/>
        <v>-2.2091628498613177E-2</v>
      </c>
      <c r="F349" s="126">
        <f t="shared" si="51"/>
        <v>-2.2088035684126636E-2</v>
      </c>
      <c r="G349" s="126">
        <f t="shared" si="52"/>
        <v>0.54361516036569313</v>
      </c>
      <c r="H349" s="126">
        <f t="shared" si="53"/>
        <v>6.6605212196272745E-2</v>
      </c>
      <c r="I349" s="126">
        <f t="shared" si="54"/>
        <v>0.54111901153812214</v>
      </c>
      <c r="J349" s="126">
        <f t="shared" si="55"/>
        <v>-4.6385499544496278E-2</v>
      </c>
      <c r="M349" s="5"/>
      <c r="Y349">
        <f t="shared" si="56"/>
        <v>-0.5</v>
      </c>
    </row>
    <row r="350" spans="2:25" x14ac:dyDescent="0.3">
      <c r="B350" s="126">
        <v>0.54516826608757496</v>
      </c>
      <c r="C350" s="126">
        <f t="shared" si="48"/>
        <v>5.6371565971564473E-2</v>
      </c>
      <c r="D350" s="126">
        <f t="shared" si="49"/>
        <v>1.0047973694973374E-2</v>
      </c>
      <c r="E350" s="126">
        <f t="shared" si="50"/>
        <v>-2.2091628498613177E-2</v>
      </c>
      <c r="F350" s="126">
        <f t="shared" si="51"/>
        <v>-2.2088035684126636E-2</v>
      </c>
      <c r="G350" s="126">
        <f t="shared" si="52"/>
        <v>0.54641330200426774</v>
      </c>
      <c r="H350" s="126">
        <f t="shared" si="53"/>
        <v>6.6405788908593846E-2</v>
      </c>
      <c r="I350" s="126">
        <f t="shared" si="54"/>
        <v>0.54392323017088218</v>
      </c>
      <c r="J350" s="126">
        <f t="shared" si="55"/>
        <v>-4.6309841518647095E-2</v>
      </c>
      <c r="M350" s="5"/>
      <c r="Y350">
        <f t="shared" si="56"/>
        <v>-0.5</v>
      </c>
    </row>
    <row r="351" spans="2:25" x14ac:dyDescent="0.3">
      <c r="B351" s="126">
        <v>0.54797395323885223</v>
      </c>
      <c r="C351" s="126">
        <f t="shared" si="48"/>
        <v>5.623115067298784E-2</v>
      </c>
      <c r="D351" s="126">
        <f t="shared" si="49"/>
        <v>9.985991496744024E-3</v>
      </c>
      <c r="E351" s="126">
        <f t="shared" si="50"/>
        <v>-2.2091628498613177E-2</v>
      </c>
      <c r="F351" s="126">
        <f t="shared" si="51"/>
        <v>-2.2088035684126636E-2</v>
      </c>
      <c r="G351" s="126">
        <f t="shared" si="52"/>
        <v>0.54921588790960718</v>
      </c>
      <c r="H351" s="126">
        <f t="shared" si="53"/>
        <v>6.6203425663395904E-2</v>
      </c>
      <c r="I351" s="126">
        <f t="shared" si="54"/>
        <v>0.54673201856809728</v>
      </c>
      <c r="J351" s="126">
        <f t="shared" si="55"/>
        <v>-4.6231442669907849E-2</v>
      </c>
      <c r="M351" s="5"/>
      <c r="Y351">
        <f t="shared" si="56"/>
        <v>-0.5</v>
      </c>
    </row>
    <row r="352" spans="2:25" x14ac:dyDescent="0.3">
      <c r="B352" s="126">
        <v>0.55078411960364337</v>
      </c>
      <c r="C352" s="126">
        <f t="shared" si="48"/>
        <v>5.608788566942223E-2</v>
      </c>
      <c r="D352" s="126">
        <f t="shared" si="49"/>
        <v>9.9239103453937598E-3</v>
      </c>
      <c r="E352" s="126">
        <f t="shared" si="50"/>
        <v>-2.2091628498613177E-2</v>
      </c>
      <c r="F352" s="126">
        <f t="shared" si="51"/>
        <v>-2.2088035684126636E-2</v>
      </c>
      <c r="G352" s="126">
        <f t="shared" si="52"/>
        <v>0.55202289008919303</v>
      </c>
      <c r="H352" s="126">
        <f t="shared" si="53"/>
        <v>6.599811445521872E-2</v>
      </c>
      <c r="I352" s="126">
        <f t="shared" si="54"/>
        <v>0.54954534911809372</v>
      </c>
      <c r="J352" s="126">
        <f t="shared" si="55"/>
        <v>-4.6150293764431208E-2</v>
      </c>
      <c r="M352" s="5"/>
      <c r="Y352">
        <f t="shared" si="56"/>
        <v>-0.5</v>
      </c>
    </row>
    <row r="353" spans="2:25" x14ac:dyDescent="0.3">
      <c r="B353" s="126">
        <v>0.55359873733546627</v>
      </c>
      <c r="C353" s="126">
        <f t="shared" si="48"/>
        <v>5.5941762450030977E-2</v>
      </c>
      <c r="D353" s="126">
        <f t="shared" si="49"/>
        <v>9.8617308560967204E-3</v>
      </c>
      <c r="E353" s="126">
        <f t="shared" si="50"/>
        <v>-2.2091628498613177E-2</v>
      </c>
      <c r="F353" s="126">
        <f t="shared" si="51"/>
        <v>-2.2088035684126636E-2</v>
      </c>
      <c r="G353" s="126">
        <f t="shared" si="52"/>
        <v>0.55483428050857098</v>
      </c>
      <c r="H353" s="126">
        <f t="shared" si="53"/>
        <v>6.5789847390475831E-2</v>
      </c>
      <c r="I353" s="126">
        <f t="shared" si="54"/>
        <v>0.55236319416236157</v>
      </c>
      <c r="J353" s="126">
        <f t="shared" si="55"/>
        <v>-4.6066385678282397E-2</v>
      </c>
      <c r="M353" s="5"/>
      <c r="Y353">
        <f t="shared" si="56"/>
        <v>-0.5</v>
      </c>
    </row>
    <row r="354" spans="2:25" x14ac:dyDescent="0.3">
      <c r="B354" s="126">
        <v>0.55641777854372954</v>
      </c>
      <c r="C354" s="126">
        <f t="shared" si="48"/>
        <v>5.5792772615345473E-2</v>
      </c>
      <c r="D354" s="126">
        <f t="shared" si="49"/>
        <v>9.7994536450014859E-3</v>
      </c>
      <c r="E354" s="126">
        <f t="shared" si="50"/>
        <v>-2.2091628498613177E-2</v>
      </c>
      <c r="F354" s="126">
        <f t="shared" si="51"/>
        <v>-2.2088035684126636E-2</v>
      </c>
      <c r="G354" s="126">
        <f t="shared" si="52"/>
        <v>0.55765003109163669</v>
      </c>
      <c r="H354" s="126">
        <f t="shared" si="53"/>
        <v>6.5578616687896094E-2</v>
      </c>
      <c r="I354" s="126">
        <f t="shared" si="54"/>
        <v>0.55518552599582238</v>
      </c>
      <c r="J354" s="126">
        <f t="shared" si="55"/>
        <v>-4.5979709397893129E-2</v>
      </c>
      <c r="M354" s="5"/>
      <c r="Y354">
        <f t="shared" si="56"/>
        <v>-0.5</v>
      </c>
    </row>
    <row r="355" spans="2:25" x14ac:dyDescent="0.3">
      <c r="B355" s="126">
        <v>0.55924121529400872</v>
      </c>
      <c r="C355" s="126">
        <f t="shared" si="48"/>
        <v>5.5640907877706813E-2</v>
      </c>
      <c r="D355" s="126">
        <f t="shared" si="49"/>
        <v>9.7370793292249867E-3</v>
      </c>
      <c r="E355" s="126">
        <f t="shared" si="50"/>
        <v>-2.2091628498613177E-2</v>
      </c>
      <c r="F355" s="126">
        <f t="shared" si="51"/>
        <v>-2.2088035684126636E-2</v>
      </c>
      <c r="G355" s="126">
        <f t="shared" si="52"/>
        <v>0.56047011372092281</v>
      </c>
      <c r="H355" s="126">
        <f t="shared" si="53"/>
        <v>6.5364414678959148E-2</v>
      </c>
      <c r="I355" s="126">
        <f t="shared" si="54"/>
        <v>0.55801231686709463</v>
      </c>
      <c r="J355" s="126">
        <f t="shared" si="55"/>
        <v>-4.5890256020509182E-2</v>
      </c>
      <c r="M355" s="5"/>
      <c r="Y355">
        <f t="shared" si="56"/>
        <v>-0.5</v>
      </c>
    </row>
    <row r="356" spans="2:25" x14ac:dyDescent="0.3">
      <c r="B356" s="126">
        <v>0.56206901960832267</v>
      </c>
      <c r="C356" s="126">
        <f t="shared" si="48"/>
        <v>5.5486160061701296E-2</v>
      </c>
      <c r="D356" s="126">
        <f t="shared" si="49"/>
        <v>9.6746085268463872E-3</v>
      </c>
      <c r="E356" s="126">
        <f t="shared" si="50"/>
        <v>-2.2091628498613177E-2</v>
      </c>
      <c r="F356" s="126">
        <f t="shared" si="51"/>
        <v>-2.2088035684126636E-2</v>
      </c>
      <c r="G356" s="126">
        <f t="shared" si="52"/>
        <v>0.56329450023788386</v>
      </c>
      <c r="H356" s="126">
        <f t="shared" si="53"/>
        <v>6.5147233808324698E-2</v>
      </c>
      <c r="I356" s="126">
        <f t="shared" si="54"/>
        <v>0.56084353897876149</v>
      </c>
      <c r="J356" s="126">
        <f t="shared" si="55"/>
        <v>-4.5798016754631923E-2</v>
      </c>
      <c r="M356" s="5"/>
      <c r="Y356">
        <f t="shared" si="56"/>
        <v>-0.5</v>
      </c>
    </row>
    <row r="357" spans="2:25" x14ac:dyDescent="0.3">
      <c r="B357" s="126">
        <v>0.56490116346541219</v>
      </c>
      <c r="C357" s="126">
        <f t="shared" si="48"/>
        <v>5.5328521104589939E-2</v>
      </c>
      <c r="D357" s="126">
        <f t="shared" si="49"/>
        <v>9.6120418569009356E-3</v>
      </c>
      <c r="E357" s="126">
        <f t="shared" si="50"/>
        <v>-2.2091628498613177E-2</v>
      </c>
      <c r="F357" s="126">
        <f t="shared" si="51"/>
        <v>-2.2088035684126636E-2</v>
      </c>
      <c r="G357" s="126">
        <f t="shared" si="52"/>
        <v>0.56612316244318506</v>
      </c>
      <c r="H357" s="126">
        <f t="shared" si="53"/>
        <v>6.4927066634255751E-2</v>
      </c>
      <c r="I357" s="126">
        <f t="shared" si="54"/>
        <v>0.56367916448763933</v>
      </c>
      <c r="J357" s="126">
        <f t="shared" si="55"/>
        <v>-4.5702982920453876E-2</v>
      </c>
      <c r="M357" s="5"/>
      <c r="Y357">
        <f t="shared" si="56"/>
        <v>-0.5</v>
      </c>
    </row>
    <row r="358" spans="2:25" x14ac:dyDescent="0.3">
      <c r="B358" s="126">
        <v>0.56773761880101548</v>
      </c>
      <c r="C358" s="126">
        <f t="shared" si="48"/>
        <v>5.5167983056731838E-2</v>
      </c>
      <c r="D358" s="126">
        <f t="shared" si="49"/>
        <v>9.5493799393738792E-3</v>
      </c>
      <c r="E358" s="126">
        <f t="shared" si="50"/>
        <v>-2.2091628498613177E-2</v>
      </c>
      <c r="F358" s="126">
        <f t="shared" si="51"/>
        <v>-2.2088035684126636E-2</v>
      </c>
      <c r="G358" s="126">
        <f t="shared" si="52"/>
        <v>0.56895607209698706</v>
      </c>
      <c r="H358" s="126">
        <f t="shared" si="53"/>
        <v>6.4703905829035804E-2</v>
      </c>
      <c r="I358" s="126">
        <f t="shared" si="54"/>
        <v>0.56651916550504389</v>
      </c>
      <c r="J358" s="126">
        <f t="shared" si="55"/>
        <v>-4.5605145950288042E-2</v>
      </c>
      <c r="M358" s="5"/>
      <c r="Y358">
        <f t="shared" si="56"/>
        <v>-0.5</v>
      </c>
    </row>
    <row r="359" spans="2:25" x14ac:dyDescent="0.3">
      <c r="B359" s="126">
        <v>0.57057835750814878</v>
      </c>
      <c r="C359" s="126">
        <f t="shared" si="48"/>
        <v>5.5004538082001259E-2</v>
      </c>
      <c r="D359" s="126">
        <f t="shared" si="49"/>
        <v>9.4866233951942588E-3</v>
      </c>
      <c r="E359" s="126">
        <f t="shared" si="50"/>
        <v>-2.2091628498613177E-2</v>
      </c>
      <c r="F359" s="126">
        <f t="shared" si="51"/>
        <v>-2.2088035684126636E-2</v>
      </c>
      <c r="G359" s="126">
        <f t="shared" si="52"/>
        <v>0.57179320091923536</v>
      </c>
      <c r="H359" s="126">
        <f t="shared" si="53"/>
        <v>6.4477744179379654E-2</v>
      </c>
      <c r="I359" s="126">
        <f t="shared" si="54"/>
        <v>0.56936351409706221</v>
      </c>
      <c r="J359" s="126">
        <f t="shared" si="55"/>
        <v>-4.5504497388991129E-2</v>
      </c>
      <c r="M359" s="5"/>
      <c r="Y359">
        <f t="shared" si="56"/>
        <v>-0.5</v>
      </c>
    </row>
    <row r="360" spans="2:25" x14ac:dyDescent="0.3">
      <c r="B360" s="126">
        <v>0.5734233514373821</v>
      </c>
      <c r="C360" s="126">
        <f t="shared" si="48"/>
        <v>5.483817845819889E-2</v>
      </c>
      <c r="D360" s="126">
        <f t="shared" si="49"/>
        <v>9.423772846228827E-3</v>
      </c>
      <c r="E360" s="126">
        <f t="shared" si="50"/>
        <v>-2.2091628498613177E-2</v>
      </c>
      <c r="F360" s="126">
        <f t="shared" si="51"/>
        <v>-2.2088035684126636E-2</v>
      </c>
      <c r="G360" s="126">
        <f t="shared" si="52"/>
        <v>0.5746345205899458</v>
      </c>
      <c r="H360" s="126">
        <f t="shared" si="53"/>
        <v>6.4248574586838414E-2</v>
      </c>
      <c r="I360" s="126">
        <f t="shared" si="54"/>
        <v>0.5722121822848184</v>
      </c>
      <c r="J360" s="126">
        <f t="shared" si="55"/>
        <v>-4.5401028894380753E-2</v>
      </c>
      <c r="M360" s="5"/>
      <c r="Y360">
        <f t="shared" si="56"/>
        <v>-0.5</v>
      </c>
    </row>
    <row r="361" spans="2:25" x14ac:dyDescent="0.3">
      <c r="B361" s="126">
        <v>0.57627257239712093</v>
      </c>
      <c r="C361" s="126">
        <f t="shared" si="48"/>
        <v>5.4668896577456542E-2</v>
      </c>
      <c r="D361" s="126">
        <f t="shared" si="49"/>
        <v>9.3608289152758151E-3</v>
      </c>
      <c r="E361" s="126">
        <f t="shared" si="50"/>
        <v>-2.2091628498613177E-2</v>
      </c>
      <c r="F361" s="126">
        <f t="shared" si="51"/>
        <v>-2.2088035684126636E-2</v>
      </c>
      <c r="G361" s="126">
        <f t="shared" si="52"/>
        <v>0.57748000274949451</v>
      </c>
      <c r="H361" s="126">
        <f t="shared" si="53"/>
        <v>6.4016390068197912E-2</v>
      </c>
      <c r="I361" s="126">
        <f t="shared" si="54"/>
        <v>0.57506514204474735</v>
      </c>
      <c r="J361" s="126">
        <f t="shared" si="55"/>
        <v>-4.5294732237646282E-2</v>
      </c>
      <c r="M361" s="5"/>
      <c r="Y361">
        <f t="shared" si="56"/>
        <v>-0.5</v>
      </c>
    </row>
    <row r="362" spans="2:25" x14ac:dyDescent="0.3">
      <c r="B362" s="126">
        <v>0.5791259921538835</v>
      </c>
      <c r="C362" s="126">
        <f t="shared" si="48"/>
        <v>5.4496684946636072E-2</v>
      </c>
      <c r="D362" s="126">
        <f t="shared" si="49"/>
        <v>9.2977922260588132E-3</v>
      </c>
      <c r="E362" s="126">
        <f t="shared" si="50"/>
        <v>-2.2091628498613177E-2</v>
      </c>
      <c r="F362" s="126">
        <f t="shared" si="51"/>
        <v>-2.2088035684126636E-2</v>
      </c>
      <c r="G362" s="126">
        <f t="shared" si="52"/>
        <v>0.58032961899890456</v>
      </c>
      <c r="H362" s="126">
        <f t="shared" si="53"/>
        <v>6.3781183755871412E-2</v>
      </c>
      <c r="I362" s="126">
        <f t="shared" si="54"/>
        <v>0.57792236530886243</v>
      </c>
      <c r="J362" s="126">
        <f t="shared" si="55"/>
        <v>-4.5185599303753793E-2</v>
      </c>
      <c r="M362" s="5"/>
      <c r="Y362">
        <f t="shared" si="56"/>
        <v>-0.5</v>
      </c>
    </row>
    <row r="363" spans="2:25" x14ac:dyDescent="0.3">
      <c r="B363" s="126">
        <v>0.58198358243258186</v>
      </c>
      <c r="C363" s="126">
        <f t="shared" si="48"/>
        <v>5.4321536187721689E-2</v>
      </c>
      <c r="D363" s="126">
        <f t="shared" si="49"/>
        <v>9.23466340322056E-3</v>
      </c>
      <c r="E363" s="126">
        <f t="shared" si="50"/>
        <v>-2.2091628498613177E-2</v>
      </c>
      <c r="F363" s="126">
        <f t="shared" si="51"/>
        <v>-2.2088035684126636E-2</v>
      </c>
      <c r="G363" s="126">
        <f t="shared" si="52"/>
        <v>0.58318334090013546</v>
      </c>
      <c r="H363" s="126">
        <f t="shared" si="53"/>
        <v>6.3542948898285587E-2</v>
      </c>
      <c r="I363" s="126">
        <f t="shared" si="54"/>
        <v>0.58078382396502826</v>
      </c>
      <c r="J363" s="126">
        <f t="shared" si="55"/>
        <v>-4.507362209184447E-2</v>
      </c>
      <c r="M363" s="5"/>
      <c r="Y363">
        <f t="shared" si="56"/>
        <v>-0.5</v>
      </c>
    </row>
    <row r="364" spans="2:25" x14ac:dyDescent="0.3">
      <c r="B364" s="126">
        <v>0.58484531491680136</v>
      </c>
      <c r="C364" s="126">
        <f t="shared" si="48"/>
        <v>5.4143443038206528E-2</v>
      </c>
      <c r="D364" s="126">
        <f t="shared" si="49"/>
        <v>9.1714430723167702E-3</v>
      </c>
      <c r="E364" s="126">
        <f t="shared" si="50"/>
        <v>-2.2091628498613177E-2</v>
      </c>
      <c r="F364" s="126">
        <f t="shared" si="51"/>
        <v>-2.2088035684126636E-2</v>
      </c>
      <c r="G364" s="126">
        <f t="shared" si="52"/>
        <v>0.58604113997637097</v>
      </c>
      <c r="H364" s="126">
        <f t="shared" si="53"/>
        <v>6.3301678860260835E-2</v>
      </c>
      <c r="I364" s="126">
        <f t="shared" si="54"/>
        <v>0.58364948985723175</v>
      </c>
      <c r="J364" s="126">
        <f t="shared" si="55"/>
        <v>-4.4958792715627291E-2</v>
      </c>
      <c r="M364" s="5"/>
      <c r="Y364">
        <f t="shared" si="56"/>
        <v>-0.5</v>
      </c>
    </row>
    <row r="365" spans="2:25" x14ac:dyDescent="0.3">
      <c r="B365" s="126">
        <v>0.58771116124908085</v>
      </c>
      <c r="C365" s="126">
        <f t="shared" si="48"/>
        <v>5.3962398351472686E-2</v>
      </c>
      <c r="D365" s="126">
        <f t="shared" si="49"/>
        <v>9.1081318598099387E-3</v>
      </c>
      <c r="E365" s="126">
        <f t="shared" si="50"/>
        <v>-2.2091628498613177E-2</v>
      </c>
      <c r="F365" s="126">
        <f t="shared" si="51"/>
        <v>-2.2088035684126636E-2</v>
      </c>
      <c r="G365" s="126">
        <f t="shared" si="52"/>
        <v>0.58890298771230798</v>
      </c>
      <c r="H365" s="126">
        <f t="shared" si="53"/>
        <v>6.3057367123385027E-2</v>
      </c>
      <c r="I365" s="126">
        <f t="shared" si="54"/>
        <v>0.58651933478585372</v>
      </c>
      <c r="J365" s="126">
        <f t="shared" si="55"/>
        <v>-4.4841103403765147E-2</v>
      </c>
      <c r="M365" s="5"/>
      <c r="Y365">
        <f t="shared" si="56"/>
        <v>-0.5</v>
      </c>
    </row>
    <row r="366" spans="2:25" x14ac:dyDescent="0.3">
      <c r="B366" s="126">
        <v>0.59058109303119544</v>
      </c>
      <c r="C366" s="126">
        <f t="shared" si="48"/>
        <v>5.3778395097165053E-2</v>
      </c>
      <c r="D366" s="126">
        <f t="shared" si="49"/>
        <v>9.0447303930631003E-3</v>
      </c>
      <c r="E366" s="126">
        <f t="shared" si="50"/>
        <v>-2.2091628498613177E-2</v>
      </c>
      <c r="F366" s="126">
        <f t="shared" si="51"/>
        <v>-2.2088035684126636E-2</v>
      </c>
      <c r="G366" s="126">
        <f t="shared" si="52"/>
        <v>0.59176885555444769</v>
      </c>
      <c r="H366" s="126">
        <f t="shared" si="53"/>
        <v>6.2810007286381003E-2</v>
      </c>
      <c r="I366" s="126">
        <f t="shared" si="54"/>
        <v>0.58939333050794318</v>
      </c>
      <c r="J366" s="126">
        <f t="shared" si="55"/>
        <v>-4.4720546500254796E-2</v>
      </c>
      <c r="M366" s="5"/>
      <c r="Y366">
        <f t="shared" si="56"/>
        <v>-0.5</v>
      </c>
    </row>
    <row r="367" spans="2:25" x14ac:dyDescent="0.3">
      <c r="B367" s="126">
        <v>0.59345508182443574</v>
      </c>
      <c r="C367" s="126">
        <f t="shared" si="48"/>
        <v>5.35914263615591E-2</v>
      </c>
      <c r="D367" s="126">
        <f t="shared" si="49"/>
        <v>8.9812393003336575E-3</v>
      </c>
      <c r="E367" s="126">
        <f t="shared" si="50"/>
        <v>-2.2091628498613177E-2</v>
      </c>
      <c r="F367" s="126">
        <f t="shared" si="51"/>
        <v>-2.2088035684126636E-2</v>
      </c>
      <c r="G367" s="126">
        <f t="shared" si="52"/>
        <v>0.59463871491138232</v>
      </c>
      <c r="H367" s="126">
        <f t="shared" si="53"/>
        <v>6.2559593065468114E-2</v>
      </c>
      <c r="I367" s="126">
        <f t="shared" si="54"/>
        <v>0.59227144873748916</v>
      </c>
      <c r="J367" s="126">
        <f t="shared" si="55"/>
        <v>-4.4597114464800795E-2</v>
      </c>
      <c r="M367" s="5"/>
      <c r="Y367">
        <f t="shared" si="56"/>
        <v>-0.5</v>
      </c>
    </row>
    <row r="368" spans="2:25" x14ac:dyDescent="0.3">
      <c r="B368" s="126">
        <v>0.59633309914989119</v>
      </c>
      <c r="C368" s="126">
        <f t="shared" si="48"/>
        <v>5.3401485347922231E-2</v>
      </c>
      <c r="D368" s="126">
        <f t="shared" si="49"/>
        <v>8.9176592107671239E-3</v>
      </c>
      <c r="E368" s="126">
        <f t="shared" si="50"/>
        <v>-2.2091628498613177E-2</v>
      </c>
      <c r="F368" s="126">
        <f t="shared" si="51"/>
        <v>-2.2088035684126636E-2</v>
      </c>
      <c r="G368" s="126">
        <f t="shared" si="52"/>
        <v>0.59751253715408725</v>
      </c>
      <c r="H368" s="126">
        <f t="shared" si="53"/>
        <v>6.2306118294717203E-2</v>
      </c>
      <c r="I368" s="126">
        <f t="shared" si="54"/>
        <v>0.59515366114569512</v>
      </c>
      <c r="J368" s="126">
        <f t="shared" si="55"/>
        <v>-4.4470799873182948E-2</v>
      </c>
      <c r="M368" s="5"/>
      <c r="Y368">
        <f t="shared" si="56"/>
        <v>-0.5</v>
      </c>
    </row>
    <row r="369" spans="2:25" x14ac:dyDescent="0.3">
      <c r="B369" s="126">
        <v>0.59921511648873138</v>
      </c>
      <c r="C369" s="126">
        <f t="shared" si="48"/>
        <v>5.3208565376868987E-2</v>
      </c>
      <c r="D369" s="126">
        <f t="shared" si="49"/>
        <v>8.8539907543909047E-3</v>
      </c>
      <c r="E369" s="126">
        <f t="shared" si="50"/>
        <v>-2.2091628498613177E-2</v>
      </c>
      <c r="F369" s="126">
        <f t="shared" si="51"/>
        <v>-2.2088035684126636E-2</v>
      </c>
      <c r="G369" s="126">
        <f t="shared" si="52"/>
        <v>0.60039029361620933</v>
      </c>
      <c r="H369" s="126">
        <f t="shared" si="53"/>
        <v>6.2049576926399515E-2</v>
      </c>
      <c r="I369" s="126">
        <f t="shared" si="54"/>
        <v>0.59803993936125344</v>
      </c>
      <c r="J369" s="126">
        <f t="shared" si="55"/>
        <v>-4.4341595417617709E-2</v>
      </c>
      <c r="M369" s="5"/>
      <c r="Y369">
        <f t="shared" si="56"/>
        <v>-0.5</v>
      </c>
    </row>
    <row r="370" spans="2:25" x14ac:dyDescent="0.3">
      <c r="B370" s="126">
        <v>0.6021011052824895</v>
      </c>
      <c r="C370" s="126">
        <f t="shared" si="48"/>
        <v>5.3012659886709938E-2</v>
      </c>
      <c r="D370" s="126">
        <f t="shared" si="49"/>
        <v>8.7902345621080399E-3</v>
      </c>
      <c r="E370" s="126">
        <f t="shared" si="50"/>
        <v>-2.2091628498613177E-2</v>
      </c>
      <c r="F370" s="126">
        <f t="shared" si="51"/>
        <v>-2.2088035684126636E-2</v>
      </c>
      <c r="G370" s="126">
        <f t="shared" si="52"/>
        <v>0.60327195559435887</v>
      </c>
      <c r="H370" s="126">
        <f t="shared" si="53"/>
        <v>6.1789963031329283E-2</v>
      </c>
      <c r="I370" s="126">
        <f t="shared" si="54"/>
        <v>0.60093025497062014</v>
      </c>
      <c r="J370" s="126">
        <f t="shared" si="55"/>
        <v>-4.42094939071132E-2</v>
      </c>
      <c r="M370" s="5"/>
      <c r="Y370">
        <f t="shared" si="56"/>
        <v>-0.5</v>
      </c>
    </row>
    <row r="371" spans="2:25" x14ac:dyDescent="0.3">
      <c r="B371" s="126">
        <v>0.60499103693334377</v>
      </c>
      <c r="C371" s="126">
        <f t="shared" si="48"/>
        <v>5.2813762433794362E-2</v>
      </c>
      <c r="D371" s="126">
        <f t="shared" si="49"/>
        <v>8.7263912656909831E-3</v>
      </c>
      <c r="E371" s="126">
        <f t="shared" si="50"/>
        <v>-2.2091628498613177E-2</v>
      </c>
      <c r="F371" s="126">
        <f t="shared" si="51"/>
        <v>-2.2088035684126636E-2</v>
      </c>
      <c r="G371" s="126">
        <f t="shared" si="52"/>
        <v>0.60615749434839805</v>
      </c>
      <c r="H371" s="126">
        <f t="shared" si="53"/>
        <v>6.1527270799200021E-2</v>
      </c>
      <c r="I371" s="126">
        <f t="shared" si="54"/>
        <v>0.60382457951828949</v>
      </c>
      <c r="J371" s="126">
        <f t="shared" si="55"/>
        <v>-4.4074488267818054E-2</v>
      </c>
      <c r="M371" s="5"/>
      <c r="Y371">
        <f t="shared" si="56"/>
        <v>-0.5</v>
      </c>
    </row>
    <row r="372" spans="2:25" x14ac:dyDescent="0.3">
      <c r="B372" s="126">
        <v>0.60788488280440323</v>
      </c>
      <c r="C372" s="126">
        <f t="shared" si="48"/>
        <v>5.2611866692846489E-2</v>
      </c>
      <c r="D372" s="126">
        <f t="shared" si="49"/>
        <v>8.6624614977752912E-3</v>
      </c>
      <c r="E372" s="126">
        <f t="shared" si="50"/>
        <v>-2.2091628498613177E-2</v>
      </c>
      <c r="F372" s="126">
        <f t="shared" si="51"/>
        <v>-2.2088035684126636E-2</v>
      </c>
      <c r="G372" s="126">
        <f t="shared" si="52"/>
        <v>0.60904688110173433</v>
      </c>
      <c r="H372" s="126">
        <f t="shared" si="53"/>
        <v>6.1261494538914454E-2</v>
      </c>
      <c r="I372" s="126">
        <f t="shared" si="54"/>
        <v>0.60672288450707212</v>
      </c>
      <c r="J372" s="126">
        <f t="shared" si="55"/>
        <v>-4.3936571543363875E-2</v>
      </c>
      <c r="M372" s="5"/>
      <c r="Y372">
        <f t="shared" si="56"/>
        <v>-0.5</v>
      </c>
    </row>
    <row r="373" spans="2:25" x14ac:dyDescent="0.3">
      <c r="B373" s="126">
        <v>0.61078261421998925</v>
      </c>
      <c r="C373" s="126">
        <f t="shared" si="48"/>
        <v>5.2406966457295638E-2</v>
      </c>
      <c r="D373" s="126">
        <f t="shared" si="49"/>
        <v>8.5984458918534051E-3</v>
      </c>
      <c r="E373" s="126">
        <f t="shared" si="50"/>
        <v>-2.2091628498613177E-2</v>
      </c>
      <c r="F373" s="126">
        <f t="shared" si="51"/>
        <v>-2.2088035684126636E-2</v>
      </c>
      <c r="G373" s="126">
        <f t="shared" si="52"/>
        <v>0.61194008704160929</v>
      </c>
      <c r="H373" s="126">
        <f t="shared" si="53"/>
        <v>6.0992628678908319E-2</v>
      </c>
      <c r="I373" s="126">
        <f t="shared" si="54"/>
        <v>0.60962514139836921</v>
      </c>
      <c r="J373" s="126">
        <f t="shared" si="55"/>
        <v>-4.3795736895201505E-2</v>
      </c>
      <c r="M373" s="5"/>
      <c r="Y373">
        <f t="shared" si="56"/>
        <v>-0.5</v>
      </c>
    </row>
    <row r="374" spans="2:25" x14ac:dyDescent="0.3">
      <c r="B374" s="126">
        <v>0.61368420246592092</v>
      </c>
      <c r="C374" s="126">
        <f t="shared" si="48"/>
        <v>5.2199055639599923E-2</v>
      </c>
      <c r="D374" s="126">
        <f t="shared" si="49"/>
        <v>8.5343450822683402E-3</v>
      </c>
      <c r="E374" s="126">
        <f t="shared" si="50"/>
        <v>-2.2091628498613177E-2</v>
      </c>
      <c r="F374" s="126">
        <f t="shared" si="51"/>
        <v>-2.2088035684126636E-2</v>
      </c>
      <c r="G374" s="126">
        <f t="shared" si="52"/>
        <v>0.61483708331939113</v>
      </c>
      <c r="H374" s="126">
        <f t="shared" si="53"/>
        <v>6.0720667767467679E-2</v>
      </c>
      <c r="I374" s="126">
        <f t="shared" si="54"/>
        <v>0.61253132161245072</v>
      </c>
      <c r="J374" s="126">
        <f t="shared" si="55"/>
        <v>-4.3651977602930991E-2</v>
      </c>
      <c r="M374" s="5"/>
      <c r="Y374">
        <f t="shared" si="56"/>
        <v>-0.5</v>
      </c>
    </row>
    <row r="375" spans="2:25" x14ac:dyDescent="0.3">
      <c r="B375" s="126">
        <v>0.61658961878979923</v>
      </c>
      <c r="C375" s="126">
        <f t="shared" si="48"/>
        <v>5.1988128271563724E-2</v>
      </c>
      <c r="D375" s="126">
        <f t="shared" si="49"/>
        <v>8.4701597042074143E-3</v>
      </c>
      <c r="E375" s="126">
        <f t="shared" si="50"/>
        <v>-2.2091628498613177E-2</v>
      </c>
      <c r="F375" s="126">
        <f t="shared" si="51"/>
        <v>-2.2088035684126636E-2</v>
      </c>
      <c r="G375" s="126">
        <f t="shared" si="52"/>
        <v>0.61773784105086571</v>
      </c>
      <c r="H375" s="126">
        <f t="shared" si="53"/>
        <v>6.0445606473040051E-2</v>
      </c>
      <c r="I375" s="126">
        <f t="shared" si="54"/>
        <v>0.61544139652873275</v>
      </c>
      <c r="J375" s="126">
        <f t="shared" si="55"/>
        <v>-4.3505287064625225E-2</v>
      </c>
      <c r="M375" s="5"/>
      <c r="Y375">
        <f t="shared" si="56"/>
        <v>-0.5</v>
      </c>
    </row>
    <row r="376" spans="2:25" x14ac:dyDescent="0.3">
      <c r="B376" s="126">
        <v>0.61949883440129161</v>
      </c>
      <c r="C376" s="126">
        <f t="shared" si="48"/>
        <v>5.1774178504648806E-2</v>
      </c>
      <c r="D376" s="126">
        <f t="shared" si="49"/>
        <v>8.4058903936959587E-3</v>
      </c>
      <c r="E376" s="126">
        <f t="shared" si="50"/>
        <v>-2.2091628498613177E-2</v>
      </c>
      <c r="F376" s="126">
        <f t="shared" si="51"/>
        <v>-2.2088035684126636E-2</v>
      </c>
      <c r="G376" s="126">
        <f t="shared" si="52"/>
        <v>0.62064233131652846</v>
      </c>
      <c r="H376" s="126">
        <f t="shared" si="53"/>
        <v>6.0167439584539177E-2</v>
      </c>
      <c r="I376" s="126">
        <f t="shared" si="54"/>
        <v>0.61835533748605476</v>
      </c>
      <c r="J376" s="126">
        <f t="shared" si="55"/>
        <v>-4.3355658797147263E-2</v>
      </c>
      <c r="M376" s="5"/>
      <c r="Y376">
        <f t="shared" si="56"/>
        <v>-0.5</v>
      </c>
    </row>
    <row r="377" spans="2:25" x14ac:dyDescent="0.3">
      <c r="B377" s="126">
        <v>0.6224118204724185</v>
      </c>
      <c r="C377" s="126">
        <f t="shared" si="48"/>
        <v>5.1557200610279061E-2</v>
      </c>
      <c r="D377" s="126">
        <f t="shared" si="49"/>
        <v>8.3415377875909885E-3</v>
      </c>
      <c r="E377" s="126">
        <f t="shared" si="50"/>
        <v>-2.2091628498613177E-2</v>
      </c>
      <c r="F377" s="126">
        <f t="shared" si="51"/>
        <v>-2.2088035684126636E-2</v>
      </c>
      <c r="G377" s="126">
        <f t="shared" si="52"/>
        <v>0.62355052516187692</v>
      </c>
      <c r="H377" s="126">
        <f t="shared" si="53"/>
        <v>5.9886162011643346E-2</v>
      </c>
      <c r="I377" s="126">
        <f t="shared" si="54"/>
        <v>0.62127311578296007</v>
      </c>
      <c r="J377" s="126">
        <f t="shared" si="55"/>
        <v>-4.3203086436461369E-2</v>
      </c>
      <c r="M377" s="5"/>
      <c r="Y377">
        <f t="shared" si="56"/>
        <v>-0.5</v>
      </c>
    </row>
    <row r="378" spans="2:25" x14ac:dyDescent="0.3">
      <c r="B378" s="126">
        <v>0.625328548137837</v>
      </c>
      <c r="C378" s="126">
        <f t="shared" si="48"/>
        <v>5.133718898013908E-2</v>
      </c>
      <c r="D378" s="126">
        <f t="shared" si="49"/>
        <v>8.2771025235749349E-3</v>
      </c>
      <c r="E378" s="126">
        <f t="shared" si="50"/>
        <v>-2.2091628498613177E-2</v>
      </c>
      <c r="F378" s="126">
        <f t="shared" si="51"/>
        <v>-2.2088035684126636E-2</v>
      </c>
      <c r="G378" s="126">
        <f t="shared" si="52"/>
        <v>0.62646239359770162</v>
      </c>
      <c r="H378" s="126">
        <f t="shared" si="53"/>
        <v>5.9601768785087612E-2</v>
      </c>
      <c r="I378" s="126">
        <f t="shared" si="54"/>
        <v>0.62419470267797239</v>
      </c>
      <c r="J378" s="126">
        <f t="shared" si="55"/>
        <v>-4.3047563737937743E-2</v>
      </c>
      <c r="M378" s="5"/>
      <c r="Y378">
        <f t="shared" si="56"/>
        <v>-0.5</v>
      </c>
    </row>
    <row r="379" spans="2:25" x14ac:dyDescent="0.3">
      <c r="B379" s="126">
        <v>0.62824898849512922</v>
      </c>
      <c r="C379" s="126">
        <f t="shared" si="48"/>
        <v>5.1114138126466188E-2</v>
      </c>
      <c r="D379" s="126">
        <f t="shared" si="49"/>
        <v>8.2125852401492786E-3</v>
      </c>
      <c r="E379" s="126">
        <f t="shared" si="50"/>
        <v>-2.2091628498613177E-2</v>
      </c>
      <c r="F379" s="126">
        <f t="shared" si="51"/>
        <v>-2.2088035684126636E-2</v>
      </c>
      <c r="G379" s="126">
        <f t="shared" si="52"/>
        <v>0.62937790760038081</v>
      </c>
      <c r="H379" s="126">
        <f t="shared" si="53"/>
        <v>5.9314255056949421E-2</v>
      </c>
      <c r="I379" s="126">
        <f t="shared" si="54"/>
        <v>0.62712006938987763</v>
      </c>
      <c r="J379" s="126">
        <f t="shared" si="55"/>
        <v>-4.2889084576650867E-2</v>
      </c>
      <c r="M379" s="5"/>
      <c r="Y379">
        <f t="shared" si="56"/>
        <v>-0.5</v>
      </c>
    </row>
    <row r="380" spans="2:25" x14ac:dyDescent="0.3">
      <c r="B380" s="126">
        <v>0.63117311260508657</v>
      </c>
      <c r="C380" s="126">
        <f t="shared" si="48"/>
        <v>5.0888042682336286E-2</v>
      </c>
      <c r="D380" s="126">
        <f t="shared" si="49"/>
        <v>8.1479865766282619E-3</v>
      </c>
      <c r="E380" s="126">
        <f t="shared" si="50"/>
        <v>-2.2091628498613177E-2</v>
      </c>
      <c r="F380" s="126">
        <f t="shared" si="51"/>
        <v>-2.2088035684126636E-2</v>
      </c>
      <c r="G380" s="126">
        <f t="shared" si="52"/>
        <v>0.63229703811217053</v>
      </c>
      <c r="H380" s="126">
        <f t="shared" si="53"/>
        <v>5.9023616100928065E-2</v>
      </c>
      <c r="I380" s="126">
        <f t="shared" si="54"/>
        <v>0.63004918709800262</v>
      </c>
      <c r="J380" s="126">
        <f t="shared" si="55"/>
        <v>-4.2727642947671542E-2</v>
      </c>
      <c r="M380" s="5"/>
      <c r="Y380">
        <f t="shared" si="56"/>
        <v>-0.5</v>
      </c>
    </row>
    <row r="381" spans="2:25" x14ac:dyDescent="0.3">
      <c r="B381" s="126">
        <v>0.63410089149199766</v>
      </c>
      <c r="C381" s="126">
        <f t="shared" si="48"/>
        <v>5.0658897401943265E-2</v>
      </c>
      <c r="D381" s="126">
        <f t="shared" si="49"/>
        <v>8.0833071731325392E-3</v>
      </c>
      <c r="E381" s="126">
        <f t="shared" si="50"/>
        <v>-2.2091628498613177E-2</v>
      </c>
      <c r="F381" s="126">
        <f t="shared" si="51"/>
        <v>-2.2088035684126636E-2</v>
      </c>
      <c r="G381" s="126">
        <f t="shared" si="52"/>
        <v>0.63521975604149927</v>
      </c>
      <c r="H381" s="126">
        <f t="shared" si="53"/>
        <v>5.8729847312617711E-2</v>
      </c>
      <c r="I381" s="126">
        <f t="shared" si="54"/>
        <v>0.63298202694249606</v>
      </c>
      <c r="J381" s="126">
        <f t="shared" si="55"/>
        <v>-4.2563232966352629E-2</v>
      </c>
      <c r="M381" s="5"/>
      <c r="Y381">
        <f t="shared" si="56"/>
        <v>-0.5</v>
      </c>
    </row>
    <row r="382" spans="2:25" x14ac:dyDescent="0.3">
      <c r="B382" s="126">
        <v>0.63703229614393531</v>
      </c>
      <c r="C382" s="126">
        <f t="shared" si="48"/>
        <v>5.0426697160872114E-2</v>
      </c>
      <c r="D382" s="126">
        <f t="shared" si="49"/>
        <v>8.0185476705828262E-3</v>
      </c>
      <c r="E382" s="126">
        <f t="shared" si="50"/>
        <v>-2.2091628498613177E-2</v>
      </c>
      <c r="F382" s="126">
        <f t="shared" si="51"/>
        <v>-2.2088035684126636E-2</v>
      </c>
      <c r="G382" s="126">
        <f t="shared" si="52"/>
        <v>0.63814603226326094</v>
      </c>
      <c r="H382" s="126">
        <f t="shared" si="53"/>
        <v>5.8432944209774067E-2</v>
      </c>
      <c r="I382" s="126">
        <f t="shared" si="54"/>
        <v>0.63591856002460967</v>
      </c>
      <c r="J382" s="126">
        <f t="shared" si="55"/>
        <v>-4.2395848868608414E-2</v>
      </c>
      <c r="M382" s="5"/>
      <c r="Y382">
        <f t="shared" si="56"/>
        <v>-0.5</v>
      </c>
    </row>
    <row r="383" spans="2:25" x14ac:dyDescent="0.3">
      <c r="B383" s="126">
        <v>0.63996729751304415</v>
      </c>
      <c r="C383" s="126">
        <f t="shared" si="48"/>
        <v>5.0191436956365562E-2</v>
      </c>
      <c r="D383" s="126">
        <f t="shared" si="49"/>
        <v>7.9537087106935529E-3</v>
      </c>
      <c r="E383" s="126">
        <f t="shared" si="50"/>
        <v>-2.2091628498613177E-2</v>
      </c>
      <c r="F383" s="126">
        <f t="shared" si="51"/>
        <v>-2.2088035684126636E-2</v>
      </c>
      <c r="G383" s="126">
        <f t="shared" si="52"/>
        <v>0.64107583761910791</v>
      </c>
      <c r="H383" s="126">
        <f t="shared" si="53"/>
        <v>5.8132902432574601E-2</v>
      </c>
      <c r="I383" s="126">
        <f t="shared" si="54"/>
        <v>0.63885875740698039</v>
      </c>
      <c r="J383" s="126">
        <f t="shared" si="55"/>
        <v>-4.2225485011187502E-2</v>
      </c>
      <c r="M383" s="5"/>
      <c r="Y383">
        <f t="shared" si="56"/>
        <v>-0.5</v>
      </c>
    </row>
    <row r="384" spans="2:25" x14ac:dyDescent="0.3">
      <c r="B384" s="126">
        <v>0.64290586651582782</v>
      </c>
      <c r="C384" s="126">
        <f t="shared" si="48"/>
        <v>4.9953111907584578E-2</v>
      </c>
      <c r="D384" s="126">
        <f t="shared" si="49"/>
        <v>7.8887909359665158E-3</v>
      </c>
      <c r="E384" s="126">
        <f t="shared" si="50"/>
        <v>-2.2091628498613177E-2</v>
      </c>
      <c r="F384" s="126">
        <f t="shared" si="51"/>
        <v>-2.2088035684126636E-2</v>
      </c>
      <c r="G384" s="126">
        <f t="shared" si="52"/>
        <v>0.64400914291774447</v>
      </c>
      <c r="H384" s="126">
        <f t="shared" si="53"/>
        <v>5.7829717743872688E-2</v>
      </c>
      <c r="I384" s="126">
        <f t="shared" si="54"/>
        <v>0.64180259011391116</v>
      </c>
      <c r="J384" s="126">
        <f t="shared" si="55"/>
        <v>-4.2052135871939664E-2</v>
      </c>
      <c r="M384" s="5"/>
      <c r="Y384">
        <f t="shared" si="56"/>
        <v>-0.5</v>
      </c>
    </row>
    <row r="385" spans="2:25" x14ac:dyDescent="0.3">
      <c r="B385" s="126">
        <v>0.64584797403343797</v>
      </c>
      <c r="C385" s="126">
        <f t="shared" si="48"/>
        <v>4.9711717255862264E-2</v>
      </c>
      <c r="D385" s="126">
        <f t="shared" si="49"/>
        <v>7.823794989684496E-3</v>
      </c>
      <c r="E385" s="126">
        <f t="shared" si="50"/>
        <v>-2.2091628498613177E-2</v>
      </c>
      <c r="F385" s="126">
        <f t="shared" si="51"/>
        <v>-2.2088035684126636E-2</v>
      </c>
      <c r="G385" s="126">
        <f t="shared" si="52"/>
        <v>0.64694591893522135</v>
      </c>
      <c r="H385" s="126">
        <f t="shared" si="53"/>
        <v>5.7523386029444991E-2</v>
      </c>
      <c r="I385" s="126">
        <f t="shared" si="54"/>
        <v>0.64475002913165458</v>
      </c>
      <c r="J385" s="126">
        <f t="shared" si="55"/>
        <v>-4.1875796050075999E-2</v>
      </c>
      <c r="M385" s="5"/>
      <c r="Y385">
        <f t="shared" si="56"/>
        <v>-0.5</v>
      </c>
    </row>
    <row r="386" spans="2:25" x14ac:dyDescent="0.3">
      <c r="B386" s="126">
        <v>0.64879359091196209</v>
      </c>
      <c r="C386" s="126">
        <f t="shared" ref="C386:C449" si="57">IF(B386&lt;$N$1, ($A$7/0.2)*($O$1*SQRT(B386)+$P$1*B386+$Q$1*(B386^2)+$R$1*(B386^3)), ($A$7/0.2)*($S$1+$T$1*(1-B386)+$U$1*((1-B386)^2)+$V$1*((1-B386)^3)))</f>
        <v>4.9467248364951484E-2</v>
      </c>
      <c r="D386" s="126">
        <f t="shared" ref="D386:D449" si="58" xml:space="preserve"> IF(B386&lt;$A$8, ($A$10/6)*((B386^3)-3*$A$8*(B386^2)+($A$8^2)*(3-$A$8)*B386), (($A$10*($A$8^3))/6)*(1-B386))</f>
        <v>7.7587215159048957E-3</v>
      </c>
      <c r="E386" s="126">
        <f t="shared" ref="E386:E449" si="59">IF(B386&lt;$A$8, ($A$10/6)*(3*(B386^2)-6*$A$8*B386+($A$8^2)*(3-$A$8)), -($A$10*($A$8^3))/6)</f>
        <v>-2.2091628498613177E-2</v>
      </c>
      <c r="F386" s="126">
        <f t="shared" ref="F386:F449" si="60" xml:space="preserve"> ATAN(E386)</f>
        <v>-2.2088035684126636E-2</v>
      </c>
      <c r="G386" s="126">
        <f t="shared" ref="G386:G449" si="61">B386-C386*SIN(F386)</f>
        <v>0.64988613641522863</v>
      </c>
      <c r="H386" s="126">
        <f t="shared" ref="H386:H449" si="62">D386+C386*COS(F386)</f>
        <v>5.7213903298232699E-2</v>
      </c>
      <c r="I386" s="126">
        <f t="shared" ref="I386:I449" si="63">B386+C386*SIN(F386)</f>
        <v>0.64770104540869555</v>
      </c>
      <c r="J386" s="126">
        <f t="shared" ref="J386:J449" si="64">D386-C386*COS(F386)</f>
        <v>-4.1696460266422902E-2</v>
      </c>
      <c r="M386" s="5"/>
      <c r="Y386">
        <f t="shared" ref="Y386:Y449" si="65">IF($Z$1, D386, -0.5)</f>
        <v>-0.5</v>
      </c>
    </row>
    <row r="387" spans="2:25" x14ac:dyDescent="0.3">
      <c r="B387" s="126">
        <v>0.65174268796271284</v>
      </c>
      <c r="C387" s="126">
        <f t="shared" si="57"/>
        <v>4.921970072126617E-2</v>
      </c>
      <c r="D387" s="126">
        <f t="shared" si="58"/>
        <v>7.6935711594533548E-3</v>
      </c>
      <c r="E387" s="126">
        <f t="shared" si="59"/>
        <v>-2.2091628498613177E-2</v>
      </c>
      <c r="F387" s="126">
        <f t="shared" si="60"/>
        <v>-2.2088035684126636E-2</v>
      </c>
      <c r="G387" s="126">
        <f t="shared" si="61"/>
        <v>0.65282976606939092</v>
      </c>
      <c r="H387" s="126">
        <f t="shared" si="62"/>
        <v>5.690126568257637E-2</v>
      </c>
      <c r="I387" s="126">
        <f t="shared" si="63"/>
        <v>0.65065560985603477</v>
      </c>
      <c r="J387" s="126">
        <f t="shared" si="64"/>
        <v>-4.1514123363669657E-2</v>
      </c>
      <c r="M387" s="5"/>
      <c r="Y387">
        <f t="shared" si="65"/>
        <v>-0.5</v>
      </c>
    </row>
    <row r="388" spans="2:25" x14ac:dyDescent="0.3">
      <c r="B388" s="126">
        <v>0.65469523596251733</v>
      </c>
      <c r="C388" s="126">
        <f t="shared" si="57"/>
        <v>4.896906993411615E-2</v>
      </c>
      <c r="D388" s="126">
        <f t="shared" si="58"/>
        <v>7.6283445659173508E-3</v>
      </c>
      <c r="E388" s="126">
        <f t="shared" si="59"/>
        <v>-2.2091628498613177E-2</v>
      </c>
      <c r="F388" s="126">
        <f t="shared" si="60"/>
        <v>-2.2088035684126636E-2</v>
      </c>
      <c r="G388" s="126">
        <f t="shared" si="61"/>
        <v>0.65577677857756145</v>
      </c>
      <c r="H388" s="126">
        <f t="shared" si="62"/>
        <v>5.658546943844435E-2</v>
      </c>
      <c r="I388" s="126">
        <f t="shared" si="63"/>
        <v>0.65361369334747321</v>
      </c>
      <c r="J388" s="126">
        <f t="shared" si="64"/>
        <v>-4.132878030660965E-2</v>
      </c>
      <c r="M388" s="5"/>
      <c r="Y388">
        <f t="shared" si="65"/>
        <v>-0.5</v>
      </c>
    </row>
    <row r="389" spans="2:25" x14ac:dyDescent="0.3">
      <c r="B389" s="126">
        <v>0.65765120565400648</v>
      </c>
      <c r="C389" s="126">
        <f t="shared" si="57"/>
        <v>4.8715351735935615E-2</v>
      </c>
      <c r="D389" s="126">
        <f t="shared" si="58"/>
        <v>7.5630423816398125E-3</v>
      </c>
      <c r="E389" s="126">
        <f t="shared" si="59"/>
        <v>-2.2091628498613177E-2</v>
      </c>
      <c r="F389" s="126">
        <f t="shared" si="60"/>
        <v>-2.2088035684126636E-2</v>
      </c>
      <c r="G389" s="126">
        <f t="shared" si="61"/>
        <v>0.65872714458811654</v>
      </c>
      <c r="H389" s="126">
        <f t="shared" si="62"/>
        <v>5.6266510945654755E-2</v>
      </c>
      <c r="I389" s="126">
        <f t="shared" si="63"/>
        <v>0.65657526671989641</v>
      </c>
      <c r="J389" s="126">
        <f t="shared" si="64"/>
        <v>-4.1140426182375123E-2</v>
      </c>
      <c r="M389" s="5"/>
      <c r="Y389">
        <f t="shared" si="65"/>
        <v>-0.5</v>
      </c>
    </row>
    <row r="390" spans="2:25" x14ac:dyDescent="0.3">
      <c r="B390" s="126">
        <v>0.6606105677459051</v>
      </c>
      <c r="C390" s="126">
        <f t="shared" si="57"/>
        <v>4.8458541982505328E-2</v>
      </c>
      <c r="D390" s="126">
        <f t="shared" si="58"/>
        <v>7.4976652537127094E-3</v>
      </c>
      <c r="E390" s="126">
        <f t="shared" si="59"/>
        <v>-2.2091628498613177E-2</v>
      </c>
      <c r="F390" s="126">
        <f t="shared" si="60"/>
        <v>-2.2088035684126636E-2</v>
      </c>
      <c r="G390" s="126">
        <f t="shared" si="61"/>
        <v>0.66168083471825101</v>
      </c>
      <c r="H390" s="126">
        <f t="shared" si="62"/>
        <v>5.5944386708091202E-2</v>
      </c>
      <c r="I390" s="126">
        <f t="shared" si="63"/>
        <v>0.65954030077355918</v>
      </c>
      <c r="J390" s="126">
        <f t="shared" si="64"/>
        <v>-4.094905620066578E-2</v>
      </c>
      <c r="M390" s="5"/>
      <c r="Y390">
        <f t="shared" si="65"/>
        <v>-0.5</v>
      </c>
    </row>
    <row r="391" spans="2:25" x14ac:dyDescent="0.3">
      <c r="B391" s="126">
        <v>0.66357329291332134</v>
      </c>
      <c r="C391" s="126">
        <f t="shared" si="57"/>
        <v>4.8198636653168307E-2</v>
      </c>
      <c r="D391" s="126">
        <f t="shared" si="58"/>
        <v>7.4322138299706582E-3</v>
      </c>
      <c r="E391" s="126">
        <f t="shared" si="59"/>
        <v>-2.2091628498613177E-2</v>
      </c>
      <c r="F391" s="126">
        <f t="shared" si="60"/>
        <v>-2.2088035684126636E-2</v>
      </c>
      <c r="G391" s="126">
        <f t="shared" si="61"/>
        <v>0.6646378195542717</v>
      </c>
      <c r="H391" s="126">
        <f t="shared" si="62"/>
        <v>5.5619093353912089E-2</v>
      </c>
      <c r="I391" s="126">
        <f t="shared" si="63"/>
        <v>0.66250876627237099</v>
      </c>
      <c r="J391" s="126">
        <f t="shared" si="64"/>
        <v>-4.0754665693970779E-2</v>
      </c>
      <c r="M391" s="5"/>
      <c r="Y391">
        <f t="shared" si="65"/>
        <v>-0.5</v>
      </c>
    </row>
    <row r="392" spans="2:25" x14ac:dyDescent="0.3">
      <c r="B392" s="126">
        <v>0.66653935179803925</v>
      </c>
      <c r="C392" s="126">
        <f t="shared" si="57"/>
        <v>4.7935631851039114E-2</v>
      </c>
      <c r="D392" s="126">
        <f t="shared" si="58"/>
        <v>7.3666887589844592E-3</v>
      </c>
      <c r="E392" s="126">
        <f t="shared" si="59"/>
        <v>-2.2091628498613177E-2</v>
      </c>
      <c r="F392" s="126">
        <f t="shared" si="60"/>
        <v>-2.2088035684126636E-2</v>
      </c>
      <c r="G392" s="126">
        <f t="shared" si="61"/>
        <v>0.66759806965189505</v>
      </c>
      <c r="H392" s="126">
        <f t="shared" si="62"/>
        <v>5.5290627635753375E-2</v>
      </c>
      <c r="I392" s="126">
        <f t="shared" si="63"/>
        <v>0.66548063394418344</v>
      </c>
      <c r="J392" s="126">
        <f t="shared" si="64"/>
        <v>-4.0557250117784452E-2</v>
      </c>
      <c r="M392" s="5"/>
      <c r="Y392">
        <f t="shared" si="65"/>
        <v>-0.5</v>
      </c>
    </row>
    <row r="393" spans="2:25" x14ac:dyDescent="0.3">
      <c r="B393" s="126">
        <v>0.66950871500880726</v>
      </c>
      <c r="C393" s="126">
        <f t="shared" si="57"/>
        <v>4.7669523803206895E-2</v>
      </c>
      <c r="D393" s="126">
        <f t="shared" si="58"/>
        <v>7.3010906900547231E-3</v>
      </c>
      <c r="E393" s="126">
        <f t="shared" si="59"/>
        <v>-2.2091628498613177E-2</v>
      </c>
      <c r="F393" s="126">
        <f t="shared" si="60"/>
        <v>-2.2088035684126636E-2</v>
      </c>
      <c r="G393" s="126">
        <f t="shared" si="61"/>
        <v>0.67056155553654018</v>
      </c>
      <c r="H393" s="126">
        <f t="shared" si="62"/>
        <v>5.4958986430925116E-2</v>
      </c>
      <c r="I393" s="126">
        <f t="shared" si="63"/>
        <v>0.66845587448107435</v>
      </c>
      <c r="J393" s="126">
        <f t="shared" si="64"/>
        <v>-4.0356805050815667E-2</v>
      </c>
      <c r="M393" s="5"/>
      <c r="Y393">
        <f t="shared" si="65"/>
        <v>-0.5</v>
      </c>
    </row>
    <row r="394" spans="2:25" x14ac:dyDescent="0.3">
      <c r="B394" s="126">
        <v>0.67248135312163138</v>
      </c>
      <c r="C394" s="126">
        <f t="shared" si="57"/>
        <v>4.740030886093196E-2</v>
      </c>
      <c r="D394" s="126">
        <f t="shared" si="58"/>
        <v>7.2354202732053943E-3</v>
      </c>
      <c r="E394" s="126">
        <f t="shared" si="59"/>
        <v>-2.2091628498613177E-2</v>
      </c>
      <c r="F394" s="126">
        <f t="shared" si="60"/>
        <v>-2.2088035684126636E-2</v>
      </c>
      <c r="G394" s="126">
        <f t="shared" si="61"/>
        <v>0.67352824770362618</v>
      </c>
      <c r="H394" s="126">
        <f t="shared" si="62"/>
        <v>5.4624166741601615E-2</v>
      </c>
      <c r="I394" s="126">
        <f t="shared" si="63"/>
        <v>0.67143445853963657</v>
      </c>
      <c r="J394" s="126">
        <f t="shared" si="64"/>
        <v>-4.0153326195190825E-2</v>
      </c>
      <c r="M394" s="5"/>
      <c r="Y394">
        <f t="shared" si="65"/>
        <v>-0.5</v>
      </c>
    </row>
    <row r="395" spans="2:25" x14ac:dyDescent="0.3">
      <c r="B395" s="126">
        <v>0.6754572366800653</v>
      </c>
      <c r="C395" s="126">
        <f t="shared" si="57"/>
        <v>4.7127983499835983E-2</v>
      </c>
      <c r="D395" s="126">
        <f t="shared" si="58"/>
        <v>7.1696781591773411E-3</v>
      </c>
      <c r="E395" s="126">
        <f t="shared" si="59"/>
        <v>-2.2091628498613177E-2</v>
      </c>
      <c r="F395" s="126">
        <f t="shared" si="60"/>
        <v>-2.2088035684126636E-2</v>
      </c>
      <c r="G395" s="126">
        <f t="shared" si="61"/>
        <v>0.67649811661886639</v>
      </c>
      <c r="H395" s="126">
        <f t="shared" si="62"/>
        <v>5.428616569500512E-2</v>
      </c>
      <c r="I395" s="126">
        <f t="shared" si="63"/>
        <v>0.67441635674126421</v>
      </c>
      <c r="J395" s="126">
        <f t="shared" si="64"/>
        <v>-3.9946809376650433E-2</v>
      </c>
      <c r="M395" s="5"/>
      <c r="Y395">
        <f t="shared" si="65"/>
        <v>-0.5</v>
      </c>
    </row>
    <row r="396" spans="2:25" x14ac:dyDescent="0.3">
      <c r="B396" s="126">
        <v>0.67843633619550392</v>
      </c>
      <c r="C396" s="126">
        <f t="shared" si="57"/>
        <v>4.6852544320085662E-2</v>
      </c>
      <c r="D396" s="126">
        <f t="shared" si="58"/>
        <v>7.1038649994218722E-3</v>
      </c>
      <c r="E396" s="126">
        <f t="shared" si="59"/>
        <v>-2.2091628498613177E-2</v>
      </c>
      <c r="F396" s="126">
        <f t="shared" si="60"/>
        <v>-2.2088035684126636E-2</v>
      </c>
      <c r="G396" s="126">
        <f t="shared" si="61"/>
        <v>0.67947113271856618</v>
      </c>
      <c r="H396" s="126">
        <f t="shared" si="62"/>
        <v>5.394498054358296E-2</v>
      </c>
      <c r="I396" s="126">
        <f t="shared" si="63"/>
        <v>0.67740153967244165</v>
      </c>
      <c r="J396" s="126">
        <f t="shared" si="64"/>
        <v>-3.9737250544739214E-2</v>
      </c>
      <c r="M396" s="5"/>
      <c r="Y396">
        <f t="shared" si="65"/>
        <v>-0.5</v>
      </c>
    </row>
    <row r="397" spans="2:25" x14ac:dyDescent="0.3">
      <c r="B397" s="126">
        <v>0.68141862214747362</v>
      </c>
      <c r="C397" s="126">
        <f t="shared" si="57"/>
        <v>4.6573988046570446E-2</v>
      </c>
      <c r="D397" s="126">
        <f t="shared" si="58"/>
        <v>7.0379814460943243E-3</v>
      </c>
      <c r="E397" s="126">
        <f t="shared" si="59"/>
        <v>-2.2091628498613177E-2</v>
      </c>
      <c r="F397" s="126">
        <f t="shared" si="60"/>
        <v>-2.2088035684126636E-2</v>
      </c>
      <c r="G397" s="126">
        <f t="shared" si="61"/>
        <v>0.68244726640991704</v>
      </c>
      <c r="H397" s="126">
        <f t="shared" si="62"/>
        <v>5.360060866517883E-2</v>
      </c>
      <c r="I397" s="126">
        <f t="shared" si="63"/>
        <v>0.68038997788503019</v>
      </c>
      <c r="J397" s="126">
        <f t="shared" si="64"/>
        <v>-3.9524645772990176E-2</v>
      </c>
      <c r="M397" s="5"/>
      <c r="Y397">
        <f t="shared" si="65"/>
        <v>-0.5</v>
      </c>
    </row>
    <row r="398" spans="2:25" x14ac:dyDescent="0.3">
      <c r="B398" s="126">
        <v>0.68440406498392603</v>
      </c>
      <c r="C398" s="126">
        <f t="shared" si="57"/>
        <v>4.6292311529073323E-2</v>
      </c>
      <c r="D398" s="126">
        <f t="shared" si="58"/>
        <v>6.9720281520475724E-3</v>
      </c>
      <c r="E398" s="126">
        <f t="shared" si="59"/>
        <v>-2.2091628498613177E-2</v>
      </c>
      <c r="F398" s="126">
        <f t="shared" si="60"/>
        <v>-2.2088035684126636E-2</v>
      </c>
      <c r="G398" s="126">
        <f t="shared" si="61"/>
        <v>0.68542648807129425</v>
      </c>
      <c r="H398" s="126">
        <f t="shared" si="62"/>
        <v>5.3253047563197015E-2</v>
      </c>
      <c r="I398" s="126">
        <f t="shared" si="63"/>
        <v>0.68338164189655781</v>
      </c>
      <c r="J398" s="126">
        <f t="shared" si="64"/>
        <v>-3.9308991259101866E-2</v>
      </c>
      <c r="M398" s="5"/>
      <c r="Y398">
        <f t="shared" si="65"/>
        <v>-0.5</v>
      </c>
    </row>
    <row r="399" spans="2:25" x14ac:dyDescent="0.3">
      <c r="B399" s="126">
        <v>0.68739263512153115</v>
      </c>
      <c r="C399" s="126">
        <f t="shared" si="57"/>
        <v>4.6007511742435593E-2</v>
      </c>
      <c r="D399" s="126">
        <f t="shared" si="58"/>
        <v>6.9060057708255507E-3</v>
      </c>
      <c r="E399" s="126">
        <f t="shared" si="59"/>
        <v>-2.2091628498613177E-2</v>
      </c>
      <c r="F399" s="126">
        <f t="shared" si="60"/>
        <v>-2.2088035684126636E-2</v>
      </c>
      <c r="G399" s="126">
        <f t="shared" si="61"/>
        <v>0.68840876805255335</v>
      </c>
      <c r="H399" s="126">
        <f t="shared" si="62"/>
        <v>5.290229486676068E-2</v>
      </c>
      <c r="I399" s="126">
        <f t="shared" si="63"/>
        <v>0.68637650219050894</v>
      </c>
      <c r="J399" s="126">
        <f t="shared" si="64"/>
        <v>-3.9090283325109582E-2</v>
      </c>
      <c r="M399" s="5"/>
      <c r="Y399">
        <f t="shared" si="65"/>
        <v>-0.5</v>
      </c>
    </row>
    <row r="400" spans="2:25" x14ac:dyDescent="0.3">
      <c r="B400" s="126">
        <v>0.6903843029459692</v>
      </c>
      <c r="C400" s="126">
        <f t="shared" si="57"/>
        <v>4.5719585786715151E-2</v>
      </c>
      <c r="D400" s="126">
        <f t="shared" si="58"/>
        <v>6.839914956656811E-3</v>
      </c>
      <c r="E400" s="126">
        <f t="shared" si="59"/>
        <v>-2.2091628498613177E-2</v>
      </c>
      <c r="F400" s="126">
        <f t="shared" si="60"/>
        <v>-2.2088035684126636E-2</v>
      </c>
      <c r="G400" s="126">
        <f t="shared" si="61"/>
        <v>0.69139407667532582</v>
      </c>
      <c r="H400" s="126">
        <f t="shared" si="62"/>
        <v>5.2548348330863671E-2</v>
      </c>
      <c r="I400" s="126">
        <f t="shared" si="63"/>
        <v>0.68937452921661257</v>
      </c>
      <c r="J400" s="126">
        <f t="shared" si="64"/>
        <v>-3.8868518417550048E-2</v>
      </c>
      <c r="M400" s="5"/>
      <c r="Y400">
        <f t="shared" si="65"/>
        <v>-0.5</v>
      </c>
    </row>
    <row r="401" spans="2:25" x14ac:dyDescent="0.3">
      <c r="B401" s="126">
        <v>0.69337903881222562</v>
      </c>
      <c r="C401" s="126">
        <f t="shared" si="57"/>
        <v>4.5428530887338413E-2</v>
      </c>
      <c r="D401" s="126">
        <f t="shared" si="58"/>
        <v>6.773756364448001E-3</v>
      </c>
      <c r="E401" s="126">
        <f t="shared" si="59"/>
        <v>-2.2091628498613177E-2</v>
      </c>
      <c r="F401" s="126">
        <f t="shared" si="60"/>
        <v>-2.2088035684126636E-2</v>
      </c>
      <c r="G401" s="126">
        <f t="shared" si="61"/>
        <v>0.69438238423331711</v>
      </c>
      <c r="H401" s="126">
        <f t="shared" si="62"/>
        <v>5.2191205836515833E-2</v>
      </c>
      <c r="I401" s="126">
        <f t="shared" si="63"/>
        <v>0.69237569339113414</v>
      </c>
      <c r="J401" s="126">
        <f t="shared" si="64"/>
        <v>-3.8643693107619836E-2</v>
      </c>
      <c r="M401" s="5"/>
      <c r="Y401">
        <f t="shared" si="65"/>
        <v>-0.5</v>
      </c>
    </row>
    <row r="402" spans="2:25" x14ac:dyDescent="0.3">
      <c r="B402" s="126">
        <v>0.69637681304488286</v>
      </c>
      <c r="C402" s="126">
        <f t="shared" si="57"/>
        <v>4.5134344395245857E-2</v>
      </c>
      <c r="D402" s="126">
        <f t="shared" si="58"/>
        <v>6.7075306497774226E-3</v>
      </c>
      <c r="E402" s="126">
        <f t="shared" si="59"/>
        <v>-2.2091628498613177E-2</v>
      </c>
      <c r="F402" s="126">
        <f t="shared" si="60"/>
        <v>-2.2088035684126636E-2</v>
      </c>
      <c r="G402" s="126">
        <f t="shared" si="61"/>
        <v>0.6973736609926019</v>
      </c>
      <c r="H402" s="126">
        <f t="shared" si="62"/>
        <v>5.1830865390882157E-2</v>
      </c>
      <c r="I402" s="126">
        <f t="shared" si="63"/>
        <v>0.69537996509716382</v>
      </c>
      <c r="J402" s="126">
        <f t="shared" si="64"/>
        <v>-3.8415804091327312E-2</v>
      </c>
      <c r="M402" s="5"/>
      <c r="Y402">
        <f t="shared" si="65"/>
        <v>-0.5</v>
      </c>
    </row>
    <row r="403" spans="2:25" x14ac:dyDescent="0.3">
      <c r="B403" s="126">
        <v>0.69937759593841675</v>
      </c>
      <c r="C403" s="126">
        <f t="shared" si="57"/>
        <v>4.4837023787031166E-2</v>
      </c>
      <c r="D403" s="126">
        <f t="shared" si="58"/>
        <v>6.6412384688884782E-3</v>
      </c>
      <c r="E403" s="126">
        <f t="shared" si="59"/>
        <v>-2.2091628498613177E-2</v>
      </c>
      <c r="F403" s="126">
        <f t="shared" si="60"/>
        <v>-2.2088035684126636E-2</v>
      </c>
      <c r="G403" s="126">
        <f t="shared" si="61"/>
        <v>0.70036787719192362</v>
      </c>
      <c r="H403" s="126">
        <f t="shared" si="62"/>
        <v>5.1467325127415246E-2</v>
      </c>
      <c r="I403" s="126">
        <f t="shared" si="63"/>
        <v>0.69838731468490989</v>
      </c>
      <c r="J403" s="126">
        <f t="shared" si="64"/>
        <v>-3.8184848189638292E-2</v>
      </c>
      <c r="M403" s="5"/>
      <c r="Y403">
        <f t="shared" si="65"/>
        <v>-0.5</v>
      </c>
    </row>
    <row r="404" spans="2:25" x14ac:dyDescent="0.3">
      <c r="B404" s="126">
        <v>0.70238135775748911</v>
      </c>
      <c r="C404" s="126">
        <f t="shared" si="57"/>
        <v>4.4536566665074058E-2</v>
      </c>
      <c r="D404" s="126">
        <f t="shared" si="58"/>
        <v>6.5748804786832128E-3</v>
      </c>
      <c r="E404" s="126">
        <f t="shared" si="59"/>
        <v>-2.2091628498613177E-2</v>
      </c>
      <c r="F404" s="126">
        <f t="shared" si="60"/>
        <v>-2.2088035684126636E-2</v>
      </c>
      <c r="G404" s="126">
        <f t="shared" si="61"/>
        <v>0.70336500304298943</v>
      </c>
      <c r="H404" s="126">
        <f t="shared" si="62"/>
        <v>5.1100583305981731E-2</v>
      </c>
      <c r="I404" s="126">
        <f t="shared" si="63"/>
        <v>0.70139771247198879</v>
      </c>
      <c r="J404" s="126">
        <f t="shared" si="64"/>
        <v>-3.7950822348615298E-2</v>
      </c>
      <c r="M404" s="5"/>
      <c r="Y404">
        <f t="shared" si="65"/>
        <v>-0.5</v>
      </c>
    </row>
    <row r="405" spans="2:25" x14ac:dyDescent="0.3">
      <c r="B405" s="126">
        <v>0.70538806873724358</v>
      </c>
      <c r="C405" s="126">
        <f t="shared" si="57"/>
        <v>4.4232970757666724E-2</v>
      </c>
      <c r="D405" s="126">
        <f t="shared" si="58"/>
        <v>6.5084573367157764E-3</v>
      </c>
      <c r="E405" s="126">
        <f t="shared" si="59"/>
        <v>-2.2091628498613177E-2</v>
      </c>
      <c r="F405" s="126">
        <f t="shared" si="60"/>
        <v>-2.2088035684126636E-2</v>
      </c>
      <c r="G405" s="126">
        <f t="shared" si="61"/>
        <v>0.70636500873076968</v>
      </c>
      <c r="H405" s="126">
        <f t="shared" si="62"/>
        <v>5.0730638312982072E-2</v>
      </c>
      <c r="I405" s="126">
        <f t="shared" si="63"/>
        <v>0.70441112874371747</v>
      </c>
      <c r="J405" s="126">
        <f t="shared" si="64"/>
        <v>-3.7713723639550521E-2</v>
      </c>
      <c r="M405" s="5"/>
      <c r="Y405">
        <f t="shared" si="65"/>
        <v>-0.5</v>
      </c>
    </row>
    <row r="406" spans="2:25" x14ac:dyDescent="0.3">
      <c r="B406" s="126">
        <v>0.70839769908359895</v>
      </c>
      <c r="C406" s="126">
        <f t="shared" si="57"/>
        <v>4.3926233919133979E-2</v>
      </c>
      <c r="D406" s="126">
        <f t="shared" si="58"/>
        <v>6.4419697011859406E-3</v>
      </c>
      <c r="E406" s="126">
        <f t="shared" si="59"/>
        <v>-2.2091628498613177E-2</v>
      </c>
      <c r="F406" s="126">
        <f t="shared" si="60"/>
        <v>-2.2088035684126636E-2</v>
      </c>
      <c r="G406" s="126">
        <f t="shared" si="61"/>
        <v>0.70936786441379318</v>
      </c>
      <c r="H406" s="126">
        <f t="shared" si="62"/>
        <v>5.0357488661464271E-2</v>
      </c>
      <c r="I406" s="126">
        <f t="shared" si="63"/>
        <v>0.70742753375340472</v>
      </c>
      <c r="J406" s="126">
        <f t="shared" si="64"/>
        <v>-3.7473549259092388E-2</v>
      </c>
      <c r="M406" s="5"/>
      <c r="Y406">
        <f t="shared" si="65"/>
        <v>-0.5</v>
      </c>
    </row>
    <row r="407" spans="2:25" x14ac:dyDescent="0.3">
      <c r="B407" s="126">
        <v>0.71141021897354673</v>
      </c>
      <c r="C407" s="126">
        <f t="shared" si="57"/>
        <v>4.3616354129946897E-2</v>
      </c>
      <c r="D407" s="126">
        <f t="shared" si="58"/>
        <v>6.3754182309325317E-3</v>
      </c>
      <c r="E407" s="126">
        <f t="shared" si="59"/>
        <v>-2.2091628498613177E-2</v>
      </c>
      <c r="F407" s="126">
        <f t="shared" si="60"/>
        <v>-2.2088035684126636E-2</v>
      </c>
      <c r="G407" s="126">
        <f t="shared" si="61"/>
        <v>0.71237354022444777</v>
      </c>
      <c r="H407" s="126">
        <f t="shared" si="62"/>
        <v>4.9981132991230845E-2</v>
      </c>
      <c r="I407" s="126">
        <f t="shared" si="63"/>
        <v>0.71044689772264569</v>
      </c>
      <c r="J407" s="126">
        <f t="shared" si="64"/>
        <v>-3.7230296529365783E-2</v>
      </c>
      <c r="M407" s="5"/>
      <c r="Y407">
        <f t="shared" si="65"/>
        <v>-0.5</v>
      </c>
    </row>
    <row r="408" spans="2:25" x14ac:dyDescent="0.3">
      <c r="B408" s="126">
        <v>0.71442559855544452</v>
      </c>
      <c r="C408" s="126">
        <f t="shared" si="57"/>
        <v>4.3303329496830259E-2</v>
      </c>
      <c r="D408" s="126">
        <f t="shared" si="58"/>
        <v>6.3088035854269421E-3</v>
      </c>
      <c r="E408" s="126">
        <f t="shared" si="59"/>
        <v>-2.2091628498613177E-2</v>
      </c>
      <c r="F408" s="126">
        <f t="shared" si="60"/>
        <v>-2.2088035684126636E-2</v>
      </c>
      <c r="G408" s="126">
        <f t="shared" si="61"/>
        <v>0.71538200626927551</v>
      </c>
      <c r="H408" s="126">
        <f t="shared" si="62"/>
        <v>4.9601570068939803E-2</v>
      </c>
      <c r="I408" s="126">
        <f t="shared" si="63"/>
        <v>0.71346919084161353</v>
      </c>
      <c r="J408" s="126">
        <f t="shared" si="64"/>
        <v>-3.6983962898085913E-2</v>
      </c>
      <c r="M408" s="5"/>
      <c r="Y408">
        <f t="shared" si="65"/>
        <v>-0.5</v>
      </c>
    </row>
    <row r="409" spans="2:25" x14ac:dyDescent="0.3">
      <c r="B409" s="126">
        <v>0.71744380794931262</v>
      </c>
      <c r="C409" s="126">
        <f t="shared" si="57"/>
        <v>4.2987158252863651E-2</v>
      </c>
      <c r="D409" s="126">
        <f t="shared" si="58"/>
        <v>6.2421264247665836E-3</v>
      </c>
      <c r="E409" s="126">
        <f t="shared" si="59"/>
        <v>-2.2091628498613177E-2</v>
      </c>
      <c r="F409" s="126">
        <f t="shared" si="60"/>
        <v>-2.2088035684126636E-2</v>
      </c>
      <c r="G409" s="126">
        <f t="shared" si="61"/>
        <v>0.71839323262927224</v>
      </c>
      <c r="H409" s="126">
        <f t="shared" si="62"/>
        <v>4.9218798788199132E-2</v>
      </c>
      <c r="I409" s="126">
        <f t="shared" si="63"/>
        <v>0.716494383269353</v>
      </c>
      <c r="J409" s="126">
        <f t="shared" si="64"/>
        <v>-3.6734545938665965E-2</v>
      </c>
      <c r="M409" s="5"/>
      <c r="Y409">
        <f t="shared" si="65"/>
        <v>-0.5</v>
      </c>
    </row>
    <row r="410" spans="2:25" x14ac:dyDescent="0.3">
      <c r="B410" s="126">
        <v>0.72046481724713085</v>
      </c>
      <c r="C410" s="126">
        <f t="shared" si="57"/>
        <v>4.266783875757605E-2</v>
      </c>
      <c r="D410" s="126">
        <f t="shared" si="58"/>
        <v>6.1753874096683271E-3</v>
      </c>
      <c r="E410" s="126">
        <f t="shared" si="59"/>
        <v>-2.2091628498613177E-2</v>
      </c>
      <c r="F410" s="126">
        <f t="shared" si="60"/>
        <v>-2.2088035684126636E-2</v>
      </c>
      <c r="G410" s="126">
        <f t="shared" si="61"/>
        <v>0.72140718936018577</v>
      </c>
      <c r="H410" s="126">
        <f t="shared" si="62"/>
        <v>4.883281816965486E-2</v>
      </c>
      <c r="I410" s="126">
        <f t="shared" si="63"/>
        <v>0.71952244513407593</v>
      </c>
      <c r="J410" s="126">
        <f t="shared" si="64"/>
        <v>-3.6482043350318211E-2</v>
      </c>
      <c r="M410" s="5"/>
      <c r="Y410">
        <f t="shared" si="65"/>
        <v>-0.5</v>
      </c>
    </row>
    <row r="411" spans="2:25" x14ac:dyDescent="0.3">
      <c r="B411" s="126">
        <v>0.72348859651313369</v>
      </c>
      <c r="C411" s="126">
        <f t="shared" si="57"/>
        <v>4.2345369497034317E-2</v>
      </c>
      <c r="D411" s="126">
        <f t="shared" si="58"/>
        <v>6.1085872014619829E-3</v>
      </c>
      <c r="E411" s="126">
        <f t="shared" si="59"/>
        <v>-2.2091628498613177E-2</v>
      </c>
      <c r="F411" s="126">
        <f t="shared" si="60"/>
        <v>-2.2088035684126636E-2</v>
      </c>
      <c r="G411" s="126">
        <f t="shared" si="61"/>
        <v>0.72442384649281366</v>
      </c>
      <c r="H411" s="126">
        <f t="shared" si="62"/>
        <v>4.8443627361072945E-2</v>
      </c>
      <c r="I411" s="126">
        <f t="shared" si="63"/>
        <v>0.72255334653345371</v>
      </c>
      <c r="J411" s="126">
        <f t="shared" si="64"/>
        <v>-3.6226452958148976E-2</v>
      </c>
      <c r="M411" s="5"/>
      <c r="Y411">
        <f t="shared" si="65"/>
        <v>-0.5</v>
      </c>
    </row>
    <row r="412" spans="2:25" x14ac:dyDescent="0.3">
      <c r="B412" s="126">
        <v>0.72651511578410766</v>
      </c>
      <c r="C412" s="126">
        <f t="shared" si="57"/>
        <v>4.2019749083925251E-2</v>
      </c>
      <c r="D412" s="126">
        <f t="shared" si="58"/>
        <v>6.0417264620837323E-3</v>
      </c>
      <c r="E412" s="126">
        <f t="shared" si="59"/>
        <v>-2.2091628498613177E-2</v>
      </c>
      <c r="F412" s="126">
        <f t="shared" si="60"/>
        <v>-2.2088035684126636E-2</v>
      </c>
      <c r="G412" s="126">
        <f t="shared" si="61"/>
        <v>0.72744317403330183</v>
      </c>
      <c r="H412" s="126">
        <f t="shared" si="62"/>
        <v>4.805122563741477E-2</v>
      </c>
      <c r="I412" s="126">
        <f t="shared" si="63"/>
        <v>0.72558705753491348</v>
      </c>
      <c r="J412" s="126">
        <f t="shared" si="64"/>
        <v>-3.596777271324731E-2</v>
      </c>
      <c r="M412" s="5"/>
      <c r="Y412">
        <f t="shared" si="65"/>
        <v>-0.5</v>
      </c>
    </row>
    <row r="413" spans="2:25" x14ac:dyDescent="0.3">
      <c r="B413" s="126">
        <v>0.72954434506968779</v>
      </c>
      <c r="C413" s="126">
        <f t="shared" si="57"/>
        <v>4.1690976257631261E-2</v>
      </c>
      <c r="D413" s="126">
        <f t="shared" si="58"/>
        <v>5.9748058540695769E-3</v>
      </c>
      <c r="E413" s="126">
        <f t="shared" si="59"/>
        <v>-2.2091628498613177E-2</v>
      </c>
      <c r="F413" s="126">
        <f t="shared" si="60"/>
        <v>-2.2088035684126636E-2</v>
      </c>
      <c r="G413" s="126">
        <f t="shared" si="61"/>
        <v>0.73046514196344303</v>
      </c>
      <c r="H413" s="126">
        <f t="shared" si="62"/>
        <v>4.7655612400906266E-2</v>
      </c>
      <c r="I413" s="126">
        <f t="shared" si="63"/>
        <v>0.72862354817593256</v>
      </c>
      <c r="J413" s="126">
        <f t="shared" si="64"/>
        <v>-3.5706000692767109E-2</v>
      </c>
      <c r="M413" s="5"/>
      <c r="Y413">
        <f t="shared" si="65"/>
        <v>-0.5</v>
      </c>
    </row>
    <row r="414" spans="2:25" x14ac:dyDescent="0.3">
      <c r="B414" s="126">
        <v>0.73257625435265572</v>
      </c>
      <c r="C414" s="126">
        <f t="shared" si="57"/>
        <v>4.1359049884299871E-2</v>
      </c>
      <c r="D414" s="126">
        <f t="shared" si="58"/>
        <v>5.9078260405487524E-3</v>
      </c>
      <c r="E414" s="126">
        <f t="shared" si="59"/>
        <v>-2.2091628498613177E-2</v>
      </c>
      <c r="F414" s="126">
        <f t="shared" si="60"/>
        <v>-2.2088035684126636E-2</v>
      </c>
      <c r="G414" s="126">
        <f t="shared" si="61"/>
        <v>0.73348972024097636</v>
      </c>
      <c r="H414" s="126">
        <f t="shared" si="62"/>
        <v>4.7256787181100754E-2</v>
      </c>
      <c r="I414" s="126">
        <f t="shared" si="63"/>
        <v>0.73166278846433508</v>
      </c>
      <c r="J414" s="126">
        <f t="shared" si="64"/>
        <v>-3.5441135100003254E-2</v>
      </c>
      <c r="M414" s="5"/>
      <c r="Y414">
        <f t="shared" si="65"/>
        <v>-0.5</v>
      </c>
    </row>
    <row r="415" spans="2:25" x14ac:dyDescent="0.3">
      <c r="B415" s="126">
        <v>0.73561081358923541</v>
      </c>
      <c r="C415" s="126">
        <f t="shared" si="57"/>
        <v>4.1023968956906874E-2</v>
      </c>
      <c r="D415" s="126">
        <f t="shared" si="58"/>
        <v>5.8407876852371986E-3</v>
      </c>
      <c r="E415" s="126">
        <f t="shared" si="59"/>
        <v>-2.2091628498613177E-2</v>
      </c>
      <c r="F415" s="126">
        <f t="shared" si="60"/>
        <v>-2.2088035684126636E-2</v>
      </c>
      <c r="G415" s="126">
        <f t="shared" si="61"/>
        <v>0.73651687879988437</v>
      </c>
      <c r="H415" s="126">
        <f t="shared" si="62"/>
        <v>4.6854749634935626E-2</v>
      </c>
      <c r="I415" s="126">
        <f t="shared" si="63"/>
        <v>0.73470474837858646</v>
      </c>
      <c r="J415" s="126">
        <f t="shared" si="64"/>
        <v>-3.5173174264461225E-2</v>
      </c>
      <c r="M415" s="5"/>
      <c r="Y415">
        <f t="shared" si="65"/>
        <v>-0.5</v>
      </c>
    </row>
    <row r="416" spans="2:25" x14ac:dyDescent="0.3">
      <c r="B416" s="126">
        <v>0.7386479927093933</v>
      </c>
      <c r="C416" s="126">
        <f t="shared" si="57"/>
        <v>4.0685732595313044E-2</v>
      </c>
      <c r="D416" s="126">
        <f t="shared" si="58"/>
        <v>5.7736914524309261E-3</v>
      </c>
      <c r="E416" s="126">
        <f t="shared" si="59"/>
        <v>-2.2091628498613177E-2</v>
      </c>
      <c r="F416" s="126">
        <f t="shared" si="60"/>
        <v>-2.2088035684126636E-2</v>
      </c>
      <c r="G416" s="126">
        <f t="shared" si="61"/>
        <v>0.73954658755069458</v>
      </c>
      <c r="H416" s="126">
        <f t="shared" si="62"/>
        <v>4.6449499546782354E-2</v>
      </c>
      <c r="I416" s="126">
        <f t="shared" si="63"/>
        <v>0.73774939786809202</v>
      </c>
      <c r="J416" s="126">
        <f t="shared" si="64"/>
        <v>-3.4902116641920507E-2</v>
      </c>
      <c r="M416" s="5"/>
      <c r="Y416">
        <f t="shared" si="65"/>
        <v>-0.5</v>
      </c>
    </row>
    <row r="417" spans="2:25" x14ac:dyDescent="0.3">
      <c r="B417" s="126">
        <v>0.74168776161713368</v>
      </c>
      <c r="C417" s="126">
        <f t="shared" si="57"/>
        <v>4.0344340046314896E-2</v>
      </c>
      <c r="D417" s="126">
        <f t="shared" si="58"/>
        <v>5.7065380069994901E-3</v>
      </c>
      <c r="E417" s="126">
        <f t="shared" si="59"/>
        <v>-2.2091628498613177E-2</v>
      </c>
      <c r="F417" s="126">
        <f t="shared" si="60"/>
        <v>-2.2088035684126636E-2</v>
      </c>
      <c r="G417" s="126">
        <f t="shared" si="61"/>
        <v>0.74257881638077583</v>
      </c>
      <c r="H417" s="126">
        <f t="shared" si="62"/>
        <v>4.6041036828490735E-2</v>
      </c>
      <c r="I417" s="126">
        <f t="shared" si="63"/>
        <v>0.74079670685349153</v>
      </c>
      <c r="J417" s="126">
        <f t="shared" si="64"/>
        <v>-3.4627960814491758E-2</v>
      </c>
      <c r="M417" s="5"/>
      <c r="Y417">
        <f t="shared" si="65"/>
        <v>-0.5</v>
      </c>
    </row>
    <row r="418" spans="2:25" x14ac:dyDescent="0.3">
      <c r="B418" s="126">
        <v>0.7447300901907985</v>
      </c>
      <c r="C418" s="126">
        <f t="shared" si="57"/>
        <v>3.9999790683688856E-2</v>
      </c>
      <c r="D418" s="126">
        <f t="shared" si="58"/>
        <v>5.6393280143793717E-3</v>
      </c>
      <c r="E418" s="126">
        <f t="shared" si="59"/>
        <v>-2.2091628498613177E-2</v>
      </c>
      <c r="F418" s="126">
        <f t="shared" si="60"/>
        <v>-2.2088035684126636E-2</v>
      </c>
      <c r="G418" s="126">
        <f t="shared" si="61"/>
        <v>0.74561353515463913</v>
      </c>
      <c r="H418" s="126">
        <f t="shared" si="62"/>
        <v>4.5629361519426433E-2</v>
      </c>
      <c r="I418" s="126">
        <f t="shared" si="63"/>
        <v>0.74384664522695787</v>
      </c>
      <c r="J418" s="126">
        <f t="shared" si="64"/>
        <v>-3.4350705490667689E-2</v>
      </c>
      <c r="M418" s="5"/>
      <c r="Y418">
        <f t="shared" si="65"/>
        <v>-0.5</v>
      </c>
    </row>
    <row r="419" spans="2:25" x14ac:dyDescent="0.3">
      <c r="B419" s="126">
        <v>0.74777494828336577</v>
      </c>
      <c r="C419" s="126">
        <f t="shared" si="57"/>
        <v>3.9652084008229262E-2</v>
      </c>
      <c r="D419" s="126">
        <f t="shared" si="58"/>
        <v>5.5720621405673789E-3</v>
      </c>
      <c r="E419" s="126">
        <f t="shared" si="59"/>
        <v>-2.2091628498613177E-2</v>
      </c>
      <c r="F419" s="126">
        <f t="shared" si="60"/>
        <v>-2.2088035684126636E-2</v>
      </c>
      <c r="G419" s="126">
        <f t="shared" si="61"/>
        <v>0.74865071371423686</v>
      </c>
      <c r="H419" s="126">
        <f t="shared" si="62"/>
        <v>4.5214473786502368E-2</v>
      </c>
      <c r="I419" s="126">
        <f t="shared" si="63"/>
        <v>0.74689918285249468</v>
      </c>
      <c r="J419" s="126">
        <f t="shared" si="64"/>
        <v>-3.4070349505367609E-2</v>
      </c>
      <c r="M419" s="5"/>
      <c r="Y419">
        <f t="shared" si="65"/>
        <v>-0.5</v>
      </c>
    </row>
    <row r="420" spans="2:25" x14ac:dyDescent="0.3">
      <c r="B420" s="126">
        <v>0.75082230572274766</v>
      </c>
      <c r="C420" s="126">
        <f t="shared" si="57"/>
        <v>3.930121964778021E-2</v>
      </c>
      <c r="D420" s="126">
        <f t="shared" si="58"/>
        <v>5.5047410521140696E-3</v>
      </c>
      <c r="E420" s="126">
        <f t="shared" si="59"/>
        <v>-2.2091628498613177E-2</v>
      </c>
      <c r="F420" s="126">
        <f t="shared" si="60"/>
        <v>-2.2088035684126636E-2</v>
      </c>
      <c r="G420" s="126">
        <f t="shared" si="61"/>
        <v>0.75169032187926177</v>
      </c>
      <c r="H420" s="126">
        <f t="shared" si="62"/>
        <v>4.4796373924203971E-2</v>
      </c>
      <c r="I420" s="126">
        <f t="shared" si="63"/>
        <v>0.74995428956623356</v>
      </c>
      <c r="J420" s="126">
        <f t="shared" si="64"/>
        <v>-3.378689181997583E-2</v>
      </c>
      <c r="M420" s="5"/>
      <c r="Y420">
        <f t="shared" si="65"/>
        <v>-0.5</v>
      </c>
    </row>
    <row r="421" spans="2:25" x14ac:dyDescent="0.3">
      <c r="B421" s="126">
        <v>0.75387213231209049</v>
      </c>
      <c r="C421" s="126">
        <f t="shared" si="57"/>
        <v>3.8947197357260981E-2</v>
      </c>
      <c r="D421" s="126">
        <f t="shared" si="58"/>
        <v>5.4373654161171152E-3</v>
      </c>
      <c r="E421" s="126">
        <f t="shared" si="59"/>
        <v>-2.2091628498613177E-2</v>
      </c>
      <c r="F421" s="126">
        <f t="shared" si="60"/>
        <v>-2.2088035684126636E-2</v>
      </c>
      <c r="G421" s="126">
        <f t="shared" si="61"/>
        <v>0.75473232944744717</v>
      </c>
      <c r="H421" s="126">
        <f t="shared" si="62"/>
        <v>4.4375062354607975E-2</v>
      </c>
      <c r="I421" s="126">
        <f t="shared" si="63"/>
        <v>0.75301193517673382</v>
      </c>
      <c r="J421" s="126">
        <f t="shared" si="64"/>
        <v>-3.350033152237375E-2</v>
      </c>
      <c r="M421" s="5"/>
      <c r="Y421">
        <f t="shared" si="65"/>
        <v>-0.5</v>
      </c>
    </row>
    <row r="422" spans="2:25" x14ac:dyDescent="0.3">
      <c r="B422" s="126">
        <v>0.75692439783007204</v>
      </c>
      <c r="C422" s="126">
        <f t="shared" si="57"/>
        <v>3.8590017018685509E-2</v>
      </c>
      <c r="D422" s="126">
        <f t="shared" si="58"/>
        <v>5.3699359002147397E-3</v>
      </c>
      <c r="E422" s="126">
        <f t="shared" si="59"/>
        <v>-2.2091628498613177E-2</v>
      </c>
      <c r="F422" s="126">
        <f t="shared" si="60"/>
        <v>-2.2088035684126636E-2</v>
      </c>
      <c r="G422" s="126">
        <f t="shared" si="61"/>
        <v>0.75777670619486515</v>
      </c>
      <c r="H422" s="126">
        <f t="shared" si="62"/>
        <v>4.3950539627395334E-2</v>
      </c>
      <c r="I422" s="126">
        <f t="shared" si="63"/>
        <v>0.75607208946527893</v>
      </c>
      <c r="J422" s="126">
        <f t="shared" si="64"/>
        <v>-3.3210667826965849E-2</v>
      </c>
      <c r="M422" s="5"/>
      <c r="Y422">
        <f t="shared" si="65"/>
        <v>-0.5</v>
      </c>
    </row>
    <row r="423" spans="2:25" x14ac:dyDescent="0.3">
      <c r="B423" s="126">
        <v>0.75997907203120352</v>
      </c>
      <c r="C423" s="126">
        <f t="shared" si="57"/>
        <v>3.8229678641175178E-2</v>
      </c>
      <c r="D423" s="126">
        <f t="shared" si="58"/>
        <v>5.3024531725790452E-3</v>
      </c>
      <c r="E423" s="126">
        <f t="shared" si="59"/>
        <v>-2.2091628498613177E-2</v>
      </c>
      <c r="F423" s="126">
        <f t="shared" si="60"/>
        <v>-2.2088035684126636E-2</v>
      </c>
      <c r="G423" s="126">
        <f t="shared" si="61"/>
        <v>0.7608234218762282</v>
      </c>
      <c r="H423" s="126">
        <f t="shared" si="62"/>
        <v>4.3522806419857292E-2</v>
      </c>
      <c r="I423" s="126">
        <f t="shared" si="63"/>
        <v>0.75913472218617883</v>
      </c>
      <c r="J423" s="126">
        <f t="shared" si="64"/>
        <v>-3.2917900074699198E-2</v>
      </c>
      <c r="M423" s="5"/>
      <c r="Y423">
        <f t="shared" si="65"/>
        <v>-0.5</v>
      </c>
    </row>
    <row r="424" spans="2:25" x14ac:dyDescent="0.3">
      <c r="B424" s="126">
        <v>0.76303612464612713</v>
      </c>
      <c r="C424" s="126">
        <f t="shared" si="57"/>
        <v>3.7866182360965936E-2</v>
      </c>
      <c r="D424" s="126">
        <f t="shared" si="58"/>
        <v>5.2349179019094381E-3</v>
      </c>
      <c r="E424" s="126">
        <f t="shared" si="59"/>
        <v>-2.2091628498613177E-2</v>
      </c>
      <c r="F424" s="126">
        <f t="shared" si="60"/>
        <v>-2.2088035684126636E-2</v>
      </c>
      <c r="G424" s="126">
        <f t="shared" si="61"/>
        <v>0.76387244622518746</v>
      </c>
      <c r="H424" s="126">
        <f t="shared" si="62"/>
        <v>4.3091863536895966E-2</v>
      </c>
      <c r="I424" s="126">
        <f t="shared" si="63"/>
        <v>0.76219980306706681</v>
      </c>
      <c r="J424" s="126">
        <f t="shared" si="64"/>
        <v>-3.2622027733077097E-2</v>
      </c>
      <c r="M424" s="5"/>
      <c r="Y424">
        <f t="shared" si="65"/>
        <v>-0.5</v>
      </c>
    </row>
    <row r="425" spans="2:25" x14ac:dyDescent="0.3">
      <c r="B425" s="126">
        <v>0.76609552538191783</v>
      </c>
      <c r="C425" s="126">
        <f t="shared" si="57"/>
        <v>3.7499528441408719E-2</v>
      </c>
      <c r="D425" s="126">
        <f t="shared" si="58"/>
        <v>5.1673307574259669E-3</v>
      </c>
      <c r="E425" s="126">
        <f t="shared" si="59"/>
        <v>-2.2091628498613177E-2</v>
      </c>
      <c r="F425" s="126">
        <f t="shared" si="60"/>
        <v>-2.2088035684126636E-2</v>
      </c>
      <c r="G425" s="126">
        <f t="shared" si="61"/>
        <v>0.76692374895463444</v>
      </c>
      <c r="H425" s="126">
        <f t="shared" si="62"/>
        <v>4.2657711911018123E-2</v>
      </c>
      <c r="I425" s="126">
        <f t="shared" si="63"/>
        <v>0.76526730180920122</v>
      </c>
      <c r="J425" s="126">
        <f t="shared" si="64"/>
        <v>-3.2323050396166189E-2</v>
      </c>
      <c r="M425" s="5"/>
      <c r="Y425">
        <f t="shared" si="65"/>
        <v>-0.5</v>
      </c>
    </row>
    <row r="426" spans="2:25" x14ac:dyDescent="0.3">
      <c r="B426" s="126">
        <v>0.76915724392238149</v>
      </c>
      <c r="C426" s="126">
        <f t="shared" si="57"/>
        <v>3.7129717272964123E-2</v>
      </c>
      <c r="D426" s="126">
        <f t="shared" si="58"/>
        <v>5.0996924088627269E-3</v>
      </c>
      <c r="E426" s="126">
        <f t="shared" si="59"/>
        <v>-2.2091628498613177E-2</v>
      </c>
      <c r="F426" s="126">
        <f t="shared" si="60"/>
        <v>-2.2088035684126636E-2</v>
      </c>
      <c r="G426" s="126">
        <f t="shared" si="61"/>
        <v>0.76997729975699869</v>
      </c>
      <c r="H426" s="126">
        <f t="shared" si="62"/>
        <v>4.2220352602323194E-2</v>
      </c>
      <c r="I426" s="126">
        <f t="shared" si="63"/>
        <v>0.7683371880877643</v>
      </c>
      <c r="J426" s="126">
        <f t="shared" si="64"/>
        <v>-3.2020967784597745E-2</v>
      </c>
      <c r="M426" s="5"/>
      <c r="Y426">
        <f t="shared" si="65"/>
        <v>-0.5</v>
      </c>
    </row>
    <row r="427" spans="2:25" x14ac:dyDescent="0.3">
      <c r="B427" s="126">
        <v>0.77222124992835761</v>
      </c>
      <c r="C427" s="126">
        <f t="shared" si="57"/>
        <v>3.6756749373190435E-2</v>
      </c>
      <c r="D427" s="126">
        <f t="shared" si="58"/>
        <v>5.032003526461183E-3</v>
      </c>
      <c r="E427" s="126">
        <f t="shared" si="59"/>
        <v>-2.2091628498613177E-2</v>
      </c>
      <c r="F427" s="126">
        <f t="shared" si="60"/>
        <v>-2.2088035684126636E-2</v>
      </c>
      <c r="G427" s="126">
        <f t="shared" si="61"/>
        <v>0.77303306830455065</v>
      </c>
      <c r="H427" s="126">
        <f t="shared" si="62"/>
        <v>4.1779786798484687E-2</v>
      </c>
      <c r="I427" s="126">
        <f t="shared" si="63"/>
        <v>0.77140943155216457</v>
      </c>
      <c r="J427" s="126">
        <f t="shared" si="64"/>
        <v>-3.1715779745562327E-2</v>
      </c>
      <c r="M427" s="5"/>
      <c r="Y427">
        <f t="shared" si="65"/>
        <v>-0.5</v>
      </c>
    </row>
    <row r="428" spans="2:25" x14ac:dyDescent="0.3">
      <c r="B428" s="126">
        <v>0.77528751303801791</v>
      </c>
      <c r="C428" s="126">
        <f t="shared" si="57"/>
        <v>3.6380625386726012E-2</v>
      </c>
      <c r="D428" s="126">
        <f t="shared" si="58"/>
        <v>4.9642647809635659E-3</v>
      </c>
      <c r="E428" s="126">
        <f t="shared" si="59"/>
        <v>-2.2091628498613177E-2</v>
      </c>
      <c r="F428" s="126">
        <f t="shared" si="60"/>
        <v>-2.2088035684126636E-2</v>
      </c>
      <c r="G428" s="126">
        <f t="shared" si="61"/>
        <v>0.77609102424969978</v>
      </c>
      <c r="H428" s="126">
        <f t="shared" si="62"/>
        <v>4.133601581472595E-2</v>
      </c>
      <c r="I428" s="126">
        <f t="shared" si="63"/>
        <v>0.77448400182633603</v>
      </c>
      <c r="J428" s="126">
        <f t="shared" si="64"/>
        <v>-3.1407486252798815E-2</v>
      </c>
      <c r="M428" s="5"/>
      <c r="Y428">
        <f t="shared" si="65"/>
        <v>-0.5</v>
      </c>
    </row>
    <row r="429" spans="2:25" x14ac:dyDescent="0.3">
      <c r="B429" s="126">
        <v>0.77835600286716788</v>
      </c>
      <c r="C429" s="126">
        <f t="shared" si="57"/>
        <v>3.6001346085265132E-2</v>
      </c>
      <c r="D429" s="126">
        <f t="shared" si="58"/>
        <v>4.8964768436062112E-3</v>
      </c>
      <c r="E429" s="126">
        <f t="shared" si="59"/>
        <v>-2.2091628498613177E-2</v>
      </c>
      <c r="F429" s="126">
        <f t="shared" si="60"/>
        <v>-2.2088035684126636E-2</v>
      </c>
      <c r="G429" s="126">
        <f t="shared" si="61"/>
        <v>0.77915113722529539</v>
      </c>
      <c r="H429" s="126">
        <f t="shared" si="62"/>
        <v>4.0889041093789331E-2</v>
      </c>
      <c r="I429" s="126">
        <f t="shared" si="63"/>
        <v>0.77756086850904038</v>
      </c>
      <c r="J429" s="126">
        <f t="shared" si="64"/>
        <v>-3.1096087406576912E-2</v>
      </c>
      <c r="M429" s="5"/>
      <c r="Y429">
        <f t="shared" si="65"/>
        <v>-0.5</v>
      </c>
    </row>
    <row r="430" spans="2:25" x14ac:dyDescent="0.3">
      <c r="B430" s="126">
        <v>0.78142668900954892</v>
      </c>
      <c r="C430" s="126">
        <f t="shared" si="57"/>
        <v>3.5618912367527691E-2</v>
      </c>
      <c r="D430" s="126">
        <f t="shared" si="58"/>
        <v>4.8286403861128894E-3</v>
      </c>
      <c r="E430" s="126">
        <f t="shared" si="59"/>
        <v>-2.2091628498613177E-2</v>
      </c>
      <c r="F430" s="126">
        <f t="shared" si="60"/>
        <v>-2.2088035684126636E-2</v>
      </c>
      <c r="G430" s="126">
        <f t="shared" si="61"/>
        <v>0.78221337684492809</v>
      </c>
      <c r="H430" s="126">
        <f t="shared" si="62"/>
        <v>4.0438864205899303E-2</v>
      </c>
      <c r="I430" s="126">
        <f t="shared" si="63"/>
        <v>0.78064000117416976</v>
      </c>
      <c r="J430" s="126">
        <f t="shared" si="64"/>
        <v>-3.0781583433673525E-2</v>
      </c>
      <c r="M430" s="5"/>
      <c r="Y430">
        <f t="shared" si="65"/>
        <v>-0.5</v>
      </c>
    </row>
    <row r="431" spans="2:25" x14ac:dyDescent="0.3">
      <c r="B431" s="126">
        <v>0.78449954103713782</v>
      </c>
      <c r="C431" s="126">
        <f t="shared" si="57"/>
        <v>3.523332525922318E-2</v>
      </c>
      <c r="D431" s="126">
        <f t="shared" si="58"/>
        <v>4.7607560806881858E-3</v>
      </c>
      <c r="E431" s="126">
        <f t="shared" si="59"/>
        <v>-2.2091628498613177E-2</v>
      </c>
      <c r="F431" s="126">
        <f t="shared" si="60"/>
        <v>-2.2088035684126636E-2</v>
      </c>
      <c r="G431" s="126">
        <f t="shared" si="61"/>
        <v>0.78527771270322888</v>
      </c>
      <c r="H431" s="126">
        <f t="shared" si="62"/>
        <v>3.9985486848719713E-2</v>
      </c>
      <c r="I431" s="126">
        <f t="shared" si="63"/>
        <v>0.78372136937104675</v>
      </c>
      <c r="J431" s="126">
        <f t="shared" si="64"/>
        <v>-3.0463974687343343E-2</v>
      </c>
      <c r="M431" s="5"/>
      <c r="Y431">
        <f t="shared" si="65"/>
        <v>-0.5</v>
      </c>
    </row>
    <row r="432" spans="2:25" x14ac:dyDescent="0.3">
      <c r="B432" s="126">
        <v>0.78757452850045018</v>
      </c>
      <c r="C432" s="126">
        <f t="shared" si="57"/>
        <v>3.4844585913007965E-2</v>
      </c>
      <c r="D432" s="126">
        <f t="shared" si="58"/>
        <v>4.6928246000107962E-3</v>
      </c>
      <c r="E432" s="126">
        <f t="shared" si="59"/>
        <v>-2.2091628498613177E-2</v>
      </c>
      <c r="F432" s="126">
        <f t="shared" si="60"/>
        <v>-2.2088035684126636E-2</v>
      </c>
      <c r="G432" s="126">
        <f t="shared" si="61"/>
        <v>0.78834411437617102</v>
      </c>
      <c r="H432" s="126">
        <f t="shared" si="62"/>
        <v>3.9528910847304477E-2</v>
      </c>
      <c r="I432" s="126">
        <f t="shared" si="63"/>
        <v>0.78680494262472933</v>
      </c>
      <c r="J432" s="126">
        <f t="shared" si="64"/>
        <v>-3.0143261647282885E-2</v>
      </c>
      <c r="M432" s="5"/>
      <c r="Y432">
        <f t="shared" si="65"/>
        <v>-0.5</v>
      </c>
    </row>
    <row r="433" spans="2:25" x14ac:dyDescent="0.3">
      <c r="B433" s="126">
        <v>0.79065162092883967</v>
      </c>
      <c r="C433" s="126">
        <f t="shared" si="57"/>
        <v>3.4452695608437132E-2</v>
      </c>
      <c r="D433" s="126">
        <f t="shared" si="58"/>
        <v>4.6248466172269199E-3</v>
      </c>
      <c r="E433" s="126">
        <f t="shared" si="59"/>
        <v>-2.2091628498613177E-2</v>
      </c>
      <c r="F433" s="126">
        <f t="shared" si="60"/>
        <v>-2.2088035684126636E-2</v>
      </c>
      <c r="G433" s="126">
        <f t="shared" si="61"/>
        <v>0.7914125514213689</v>
      </c>
      <c r="H433" s="126">
        <f t="shared" si="62"/>
        <v>3.9069138154042747E-2</v>
      </c>
      <c r="I433" s="126">
        <f t="shared" si="63"/>
        <v>0.78989069043631044</v>
      </c>
      <c r="J433" s="126">
        <f t="shared" si="64"/>
        <v>-2.9819444919588909E-2</v>
      </c>
      <c r="M433" s="5"/>
      <c r="Y433">
        <f t="shared" si="65"/>
        <v>-0.5</v>
      </c>
    </row>
    <row r="434" spans="2:25" x14ac:dyDescent="0.3">
      <c r="B434" s="126">
        <v>0.79373078783080309</v>
      </c>
      <c r="C434" s="126">
        <f t="shared" si="57"/>
        <v>3.405765575190952E-2</v>
      </c>
      <c r="D434" s="126">
        <f t="shared" si="58"/>
        <v>4.5568228059435188E-3</v>
      </c>
      <c r="E434" s="126">
        <f t="shared" si="59"/>
        <v>-2.2091628498613177E-2</v>
      </c>
      <c r="F434" s="126">
        <f t="shared" si="60"/>
        <v>-2.2088035684126636E-2</v>
      </c>
      <c r="G434" s="126">
        <f t="shared" si="61"/>
        <v>0.79448299337838135</v>
      </c>
      <c r="H434" s="126">
        <f t="shared" si="62"/>
        <v>3.8606170848597257E-2</v>
      </c>
      <c r="I434" s="126">
        <f t="shared" si="63"/>
        <v>0.79297858228322482</v>
      </c>
      <c r="J434" s="126">
        <f t="shared" si="64"/>
        <v>-2.9492525236710223E-2</v>
      </c>
      <c r="M434" s="5"/>
      <c r="Y434">
        <f t="shared" si="65"/>
        <v>-0.5</v>
      </c>
    </row>
    <row r="435" spans="2:25" x14ac:dyDescent="0.3">
      <c r="B435" s="126">
        <v>0.79681199869427966</v>
      </c>
      <c r="C435" s="126">
        <f t="shared" si="57"/>
        <v>3.3659467876607396E-2</v>
      </c>
      <c r="D435" s="126">
        <f t="shared" si="58"/>
        <v>4.4887538402217028E-3</v>
      </c>
      <c r="E435" s="126">
        <f t="shared" si="59"/>
        <v>-2.2091628498613177E-2</v>
      </c>
      <c r="F435" s="126">
        <f t="shared" si="60"/>
        <v>-2.2088035684126636E-2</v>
      </c>
      <c r="G435" s="126">
        <f t="shared" si="61"/>
        <v>0.79755540976900985</v>
      </c>
      <c r="H435" s="126">
        <f t="shared" si="62"/>
        <v>3.8140011137837403E-2</v>
      </c>
      <c r="I435" s="126">
        <f t="shared" si="63"/>
        <v>0.79606858761954946</v>
      </c>
      <c r="J435" s="126">
        <f t="shared" si="64"/>
        <v>-2.9162503457393997E-2</v>
      </c>
      <c r="M435" s="5"/>
      <c r="Y435">
        <f t="shared" si="65"/>
        <v>-0.5</v>
      </c>
    </row>
    <row r="436" spans="2:25" x14ac:dyDescent="0.3">
      <c r="B436" s="126">
        <v>0.79989522298695537</v>
      </c>
      <c r="C436" s="126">
        <f t="shared" si="57"/>
        <v>3.3258133642429508E-2</v>
      </c>
      <c r="D436" s="126">
        <f t="shared" si="58"/>
        <v>4.4206403945700121E-3</v>
      </c>
      <c r="E436" s="126">
        <f t="shared" si="59"/>
        <v>-2.2091628498613177E-2</v>
      </c>
      <c r="F436" s="126">
        <f t="shared" si="60"/>
        <v>-2.2088035684126636E-2</v>
      </c>
      <c r="G436" s="126">
        <f t="shared" si="61"/>
        <v>0.80062977009760117</v>
      </c>
      <c r="H436" s="126">
        <f t="shared" si="62"/>
        <v>3.7670661355765557E-2</v>
      </c>
      <c r="I436" s="126">
        <f t="shared" si="63"/>
        <v>0.79916067587630957</v>
      </c>
      <c r="J436" s="126">
        <f t="shared" si="64"/>
        <v>-2.8829380566625533E-2</v>
      </c>
      <c r="M436" s="5"/>
      <c r="Y436">
        <f t="shared" si="65"/>
        <v>-0.5</v>
      </c>
    </row>
    <row r="437" spans="2:25" x14ac:dyDescent="0.3">
      <c r="B437" s="126">
        <v>0.80298043015656417</v>
      </c>
      <c r="C437" s="126">
        <f t="shared" si="57"/>
        <v>3.2853654835918518E-2</v>
      </c>
      <c r="D437" s="126">
        <f t="shared" si="58"/>
        <v>4.3524831439377566E-3</v>
      </c>
      <c r="E437" s="126">
        <f t="shared" si="59"/>
        <v>-2.2091628498613177E-2</v>
      </c>
      <c r="F437" s="126">
        <f t="shared" si="60"/>
        <v>-2.2088035684126636E-2</v>
      </c>
      <c r="G437" s="126">
        <f t="shared" si="61"/>
        <v>0.80370604385134747</v>
      </c>
      <c r="H437" s="126">
        <f t="shared" si="62"/>
        <v>3.7198123963437919E-2</v>
      </c>
      <c r="I437" s="126">
        <f t="shared" si="63"/>
        <v>0.80225481646178087</v>
      </c>
      <c r="J437" s="126">
        <f t="shared" si="64"/>
        <v>-2.849315767556241E-2</v>
      </c>
      <c r="M437" s="5"/>
      <c r="Y437">
        <f t="shared" si="65"/>
        <v>-0.5</v>
      </c>
    </row>
    <row r="438" spans="2:25" x14ac:dyDescent="0.3">
      <c r="B438" s="126">
        <v>0.80606758963119207</v>
      </c>
      <c r="C438" s="126">
        <f t="shared" si="57"/>
        <v>3.2446033370182058E-2</v>
      </c>
      <c r="D438" s="126">
        <f t="shared" si="58"/>
        <v>4.2842827637083027E-3</v>
      </c>
      <c r="E438" s="126">
        <f t="shared" si="59"/>
        <v>-2.2091628498613177E-2</v>
      </c>
      <c r="F438" s="126">
        <f t="shared" si="60"/>
        <v>-2.2088035684126636E-2</v>
      </c>
      <c r="G438" s="126">
        <f t="shared" si="61"/>
        <v>0.80678420050058797</v>
      </c>
      <c r="H438" s="126">
        <f t="shared" si="62"/>
        <v>3.6722401548878805E-2</v>
      </c>
      <c r="I438" s="126">
        <f t="shared" si="63"/>
        <v>0.80535097876179618</v>
      </c>
      <c r="J438" s="126">
        <f t="shared" si="64"/>
        <v>-2.8153836021462198E-2</v>
      </c>
      <c r="M438" s="5"/>
      <c r="Y438">
        <f t="shared" si="65"/>
        <v>-0.5</v>
      </c>
    </row>
    <row r="439" spans="2:25" x14ac:dyDescent="0.3">
      <c r="B439" s="126">
        <v>0.80915667081957843</v>
      </c>
      <c r="C439" s="126">
        <f t="shared" si="57"/>
        <v>3.203527128480823E-2</v>
      </c>
      <c r="D439" s="126">
        <f t="shared" si="58"/>
        <v>4.2160399296924172E-3</v>
      </c>
      <c r="E439" s="126">
        <f t="shared" si="59"/>
        <v>-2.2091628498613177E-2</v>
      </c>
      <c r="F439" s="126">
        <f t="shared" si="60"/>
        <v>-2.2088035684126636E-2</v>
      </c>
      <c r="G439" s="126">
        <f t="shared" si="61"/>
        <v>0.80986420949910887</v>
      </c>
      <c r="H439" s="126">
        <f t="shared" si="62"/>
        <v>3.6243496826989574E-2</v>
      </c>
      <c r="I439" s="126">
        <f t="shared" si="63"/>
        <v>0.80844913214004799</v>
      </c>
      <c r="J439" s="126">
        <f t="shared" si="64"/>
        <v>-2.7811416967604738E-2</v>
      </c>
      <c r="M439" s="5"/>
      <c r="Y439">
        <f t="shared" si="65"/>
        <v>-0.5</v>
      </c>
    </row>
    <row r="440" spans="2:25" x14ac:dyDescent="0.3">
      <c r="B440" s="126">
        <v>0.81224764311142017</v>
      </c>
      <c r="C440" s="126">
        <f t="shared" si="57"/>
        <v>3.1621370745774612E-2</v>
      </c>
      <c r="D440" s="126">
        <f t="shared" si="58"/>
        <v>4.1477553181215425E-3</v>
      </c>
      <c r="E440" s="126">
        <f t="shared" si="59"/>
        <v>-2.2091628498613177E-2</v>
      </c>
      <c r="F440" s="126">
        <f t="shared" si="60"/>
        <v>-2.2088035684126636E-2</v>
      </c>
      <c r="G440" s="126">
        <f t="shared" si="61"/>
        <v>0.81294604028444539</v>
      </c>
      <c r="H440" s="126">
        <f t="shared" si="62"/>
        <v>3.5761412639450887E-2</v>
      </c>
      <c r="I440" s="126">
        <f t="shared" si="63"/>
        <v>0.81154924593839495</v>
      </c>
      <c r="J440" s="126">
        <f t="shared" si="64"/>
        <v>-2.7465902003207806E-2</v>
      </c>
      <c r="M440" s="5"/>
      <c r="Y440">
        <f t="shared" si="65"/>
        <v>-0.5</v>
      </c>
    </row>
    <row r="441" spans="2:25" x14ac:dyDescent="0.3">
      <c r="B441" s="126">
        <v>0.81534047587767555</v>
      </c>
      <c r="C441" s="126">
        <f t="shared" si="57"/>
        <v>3.1204334045351584E-2</v>
      </c>
      <c r="D441" s="126">
        <f t="shared" si="58"/>
        <v>4.0794296056410901E-3</v>
      </c>
      <c r="E441" s="126">
        <f t="shared" si="59"/>
        <v>-2.2091628498613177E-2</v>
      </c>
      <c r="F441" s="126">
        <f t="shared" si="60"/>
        <v>-2.2088035684126636E-2</v>
      </c>
      <c r="G441" s="126">
        <f t="shared" si="61"/>
        <v>0.81602966227818352</v>
      </c>
      <c r="H441" s="126">
        <f t="shared" si="62"/>
        <v>3.5276151954619403E-2</v>
      </c>
      <c r="I441" s="126">
        <f t="shared" si="63"/>
        <v>0.81465128947716758</v>
      </c>
      <c r="J441" s="126">
        <f t="shared" si="64"/>
        <v>-2.7117292743337219E-2</v>
      </c>
      <c r="M441" s="5"/>
      <c r="Y441">
        <f t="shared" si="65"/>
        <v>-0.5</v>
      </c>
    </row>
    <row r="442" spans="2:25" x14ac:dyDescent="0.3">
      <c r="B442" s="126">
        <v>0.81843513847086635</v>
      </c>
      <c r="C442" s="126">
        <f t="shared" si="57"/>
        <v>3.0784163601999759E-2</v>
      </c>
      <c r="D442" s="126">
        <f t="shared" si="58"/>
        <v>4.0110634693037639E-3</v>
      </c>
      <c r="E442" s="126">
        <f t="shared" si="59"/>
        <v>-2.2091628498613177E-2</v>
      </c>
      <c r="F442" s="126">
        <f t="shared" si="60"/>
        <v>-2.2088035684126636E-2</v>
      </c>
      <c r="G442" s="126">
        <f t="shared" si="61"/>
        <v>0.81911504488625975</v>
      </c>
      <c r="H442" s="126">
        <f t="shared" si="62"/>
        <v>3.478771786741848E-2</v>
      </c>
      <c r="I442" s="126">
        <f t="shared" si="63"/>
        <v>0.81775523205547296</v>
      </c>
      <c r="J442" s="126">
        <f t="shared" si="64"/>
        <v>-2.6765590928810951E-2</v>
      </c>
      <c r="M442" s="5"/>
      <c r="Y442">
        <f t="shared" si="65"/>
        <v>-0.5</v>
      </c>
    </row>
    <row r="443" spans="2:25" x14ac:dyDescent="0.3">
      <c r="B443" s="126">
        <v>0.82153160022538252</v>
      </c>
      <c r="C443" s="126">
        <f t="shared" si="57"/>
        <v>3.036086196026129E-2</v>
      </c>
      <c r="D443" s="126">
        <f t="shared" si="58"/>
        <v>3.9426575865628291E-3</v>
      </c>
      <c r="E443" s="126">
        <f t="shared" si="59"/>
        <v>-2.2091628498613177E-2</v>
      </c>
      <c r="F443" s="126">
        <f t="shared" si="60"/>
        <v>-2.2088035684126636E-2</v>
      </c>
      <c r="G443" s="126">
        <f t="shared" si="61"/>
        <v>0.82220215749926318</v>
      </c>
      <c r="H443" s="126">
        <f t="shared" si="62"/>
        <v>3.4296113599222848E-2</v>
      </c>
      <c r="I443" s="126">
        <f t="shared" si="63"/>
        <v>0.82086104295150186</v>
      </c>
      <c r="J443" s="126">
        <f t="shared" si="64"/>
        <v>-2.6410798426097191E-2</v>
      </c>
      <c r="M443" s="5"/>
      <c r="Y443">
        <f t="shared" si="65"/>
        <v>-0.5</v>
      </c>
    </row>
    <row r="444" spans="2:25" x14ac:dyDescent="0.3">
      <c r="B444" s="126">
        <v>0.82462983045778548</v>
      </c>
      <c r="C444" s="126">
        <f t="shared" si="57"/>
        <v>2.9934431790645408E-2</v>
      </c>
      <c r="D444" s="126">
        <f t="shared" si="58"/>
        <v>3.8742126352654107E-3</v>
      </c>
      <c r="E444" s="126">
        <f t="shared" si="59"/>
        <v>-2.2091628498613177E-2</v>
      </c>
      <c r="F444" s="126">
        <f t="shared" si="60"/>
        <v>-2.2088035684126636E-2</v>
      </c>
      <c r="G444" s="126">
        <f t="shared" si="61"/>
        <v>0.82529096949273695</v>
      </c>
      <c r="H444" s="126">
        <f t="shared" si="62"/>
        <v>3.3801342497737454E-2</v>
      </c>
      <c r="I444" s="126">
        <f t="shared" si="63"/>
        <v>0.82396869142283402</v>
      </c>
      <c r="J444" s="126">
        <f t="shared" si="64"/>
        <v>-2.605291722720663E-2</v>
      </c>
      <c r="M444" s="5"/>
      <c r="Y444">
        <f t="shared" si="65"/>
        <v>-0.5</v>
      </c>
    </row>
    <row r="445" spans="2:25" x14ac:dyDescent="0.3">
      <c r="B445" s="126">
        <v>0.82772979846711325</v>
      </c>
      <c r="C445" s="126">
        <f t="shared" si="57"/>
        <v>2.9504875889507839E-2</v>
      </c>
      <c r="D445" s="126">
        <f t="shared" si="58"/>
        <v>3.8057292936457565E-3</v>
      </c>
      <c r="E445" s="126">
        <f t="shared" si="59"/>
        <v>-2.2091628498613177E-2</v>
      </c>
      <c r="F445" s="126">
        <f t="shared" si="60"/>
        <v>-2.2088035684126636E-2</v>
      </c>
      <c r="G445" s="126">
        <f t="shared" si="61"/>
        <v>0.82838145022748</v>
      </c>
      <c r="H445" s="126">
        <f t="shared" si="62"/>
        <v>3.3303408036870145E-2</v>
      </c>
      <c r="I445" s="126">
        <f t="shared" si="63"/>
        <v>0.82707814670674651</v>
      </c>
      <c r="J445" s="126">
        <f t="shared" si="64"/>
        <v>-2.569194944957863E-2</v>
      </c>
      <c r="M445" s="5"/>
      <c r="Y445">
        <f t="shared" si="65"/>
        <v>-0.5</v>
      </c>
    </row>
    <row r="446" spans="2:25" x14ac:dyDescent="0.3">
      <c r="B446" s="126">
        <v>0.8308314735351825</v>
      </c>
      <c r="C446" s="126">
        <f t="shared" si="57"/>
        <v>2.9072197178924834E-2</v>
      </c>
      <c r="D446" s="126">
        <f t="shared" si="58"/>
        <v>3.7372082403185599E-3</v>
      </c>
      <c r="E446" s="126">
        <f t="shared" si="59"/>
        <v>-2.2091628498613177E-2</v>
      </c>
      <c r="F446" s="126">
        <f t="shared" si="60"/>
        <v>-2.2088035684126636E-2</v>
      </c>
      <c r="G446" s="126">
        <f t="shared" si="61"/>
        <v>0.83147356904984671</v>
      </c>
      <c r="H446" s="126">
        <f t="shared" si="62"/>
        <v>3.2802313816599087E-2</v>
      </c>
      <c r="I446" s="126">
        <f t="shared" si="63"/>
        <v>0.83018937802051829</v>
      </c>
      <c r="J446" s="126">
        <f t="shared" si="64"/>
        <v>-2.5327897335961965E-2</v>
      </c>
      <c r="M446" s="5"/>
      <c r="Y446">
        <f t="shared" si="65"/>
        <v>-0.5</v>
      </c>
    </row>
    <row r="447" spans="2:25" x14ac:dyDescent="0.3">
      <c r="B447" s="126">
        <v>0.83393482492689608</v>
      </c>
      <c r="C447" s="126">
        <f t="shared" si="57"/>
        <v>2.8636398706560547E-2</v>
      </c>
      <c r="D447" s="126">
        <f t="shared" si="58"/>
        <v>3.6686501542721691E-3</v>
      </c>
      <c r="E447" s="126">
        <f t="shared" si="59"/>
        <v>-2.2091628498613177E-2</v>
      </c>
      <c r="F447" s="126">
        <f t="shared" si="60"/>
        <v>-2.2088035684126636E-2</v>
      </c>
      <c r="G447" s="126">
        <f t="shared" si="61"/>
        <v>0.8345672952920512</v>
      </c>
      <c r="H447" s="126">
        <f t="shared" si="62"/>
        <v>3.2298063562833358E-2</v>
      </c>
      <c r="I447" s="126">
        <f t="shared" si="63"/>
        <v>0.83330235456174095</v>
      </c>
      <c r="J447" s="126">
        <f t="shared" si="64"/>
        <v>-2.4960763254289017E-2</v>
      </c>
      <c r="M447" s="5"/>
      <c r="Y447">
        <f t="shared" si="65"/>
        <v>-0.5</v>
      </c>
    </row>
    <row r="448" spans="2:25" x14ac:dyDescent="0.3">
      <c r="B448" s="126">
        <v>0.83703982189054416</v>
      </c>
      <c r="C448" s="126">
        <f t="shared" si="57"/>
        <v>2.8197483645529518E-2</v>
      </c>
      <c r="D448" s="126">
        <f t="shared" si="58"/>
        <v>3.600055714861934E-3</v>
      </c>
      <c r="E448" s="126">
        <f t="shared" si="59"/>
        <v>-2.2091628498613177E-2</v>
      </c>
      <c r="F448" s="126">
        <f t="shared" si="60"/>
        <v>-2.2088035684126636E-2</v>
      </c>
      <c r="G448" s="126">
        <f t="shared" si="61"/>
        <v>0.83766259827246603</v>
      </c>
      <c r="H448" s="126">
        <f t="shared" si="62"/>
        <v>3.1790661127268825E-2</v>
      </c>
      <c r="I448" s="126">
        <f t="shared" si="63"/>
        <v>0.83641704550862228</v>
      </c>
      <c r="J448" s="126">
        <f t="shared" si="64"/>
        <v>-2.4590549697544959E-2</v>
      </c>
      <c r="M448" s="5"/>
      <c r="Y448">
        <f t="shared" si="65"/>
        <v>-0.5</v>
      </c>
    </row>
    <row r="449" spans="2:25" x14ac:dyDescent="0.3">
      <c r="B449" s="126">
        <v>0.8401464336581117</v>
      </c>
      <c r="C449" s="126">
        <f t="shared" si="57"/>
        <v>2.7755455294252461E-2</v>
      </c>
      <c r="D449" s="126">
        <f t="shared" si="58"/>
        <v>3.5314256018034117E-3</v>
      </c>
      <c r="E449" s="126">
        <f t="shared" si="59"/>
        <v>-2.2091628498613177E-2</v>
      </c>
      <c r="F449" s="126">
        <f t="shared" si="60"/>
        <v>-2.2088035684126636E-2</v>
      </c>
      <c r="G449" s="126">
        <f t="shared" si="61"/>
        <v>0.84075944729592578</v>
      </c>
      <c r="H449" s="126">
        <f t="shared" si="62"/>
        <v>3.1280110487237188E-2</v>
      </c>
      <c r="I449" s="126">
        <f t="shared" si="63"/>
        <v>0.83953342002029763</v>
      </c>
      <c r="J449" s="126">
        <f t="shared" si="64"/>
        <v>-2.4217259283630367E-2</v>
      </c>
      <c r="M449" s="5"/>
      <c r="Y449">
        <f t="shared" si="65"/>
        <v>-0.5</v>
      </c>
    </row>
    <row r="450" spans="2:25" x14ac:dyDescent="0.3">
      <c r="B450" s="126">
        <v>0.84325462944558205</v>
      </c>
      <c r="C450" s="126">
        <f t="shared" ref="C450:C500" si="66">IF(B450&lt;$N$1, ($A$7/0.2)*($O$1*SQRT(B450)+$P$1*B450+$Q$1*(B450^2)+$R$1*(B450^3)), ($A$7/0.2)*($S$1+$T$1*(1-B450)+$U$1*((1-B450)^2)+$V$1*((1-B450)^3)))</f>
        <v>2.7310317076306836E-2</v>
      </c>
      <c r="D450" s="126">
        <f t="shared" ref="D450:D500" si="67" xml:space="preserve"> IF(B450&lt;$A$8, ($A$10/6)*((B450^3)-3*$A$8*(B450^2)+($A$8^2)*(3-$A$8)*B450), (($A$10*($A$8^3))/6)*(1-B450))</f>
        <v>3.4627604951656624E-3</v>
      </c>
      <c r="E450" s="126">
        <f t="shared" ref="E450:E500" si="68">IF(B450&lt;$A$8, ($A$10/6)*(3*(B450^2)-6*$A$8*B450+($A$8^2)*(3-$A$8)), -($A$10*($A$8^3))/6)</f>
        <v>-2.2091628498613177E-2</v>
      </c>
      <c r="F450" s="126">
        <f t="shared" ref="F450:F500" si="69" xml:space="preserve"> ATAN(E450)</f>
        <v>-2.2088035684126636E-2</v>
      </c>
      <c r="G450" s="126">
        <f t="shared" ref="G450:G500" si="70">B450-C450*SIN(F450)</f>
        <v>0.84385781165402773</v>
      </c>
      <c r="H450" s="126">
        <f t="shared" ref="H450:H500" si="71">D450+C450*COS(F450)</f>
        <v>3.0766415745549835E-2</v>
      </c>
      <c r="I450" s="126">
        <f t="shared" ref="I450:I500" si="72">B450+C450*SIN(F450)</f>
        <v>0.84265144723713636</v>
      </c>
      <c r="J450" s="126">
        <f t="shared" ref="J450:J500" si="73">D450-C450*COS(F450)</f>
        <v>-2.3840894755218514E-2</v>
      </c>
      <c r="M450" s="5"/>
      <c r="Y450">
        <f t="shared" ref="Y450:Y500" si="74">IF($Z$1, D450, -0.5)</f>
        <v>-0.5</v>
      </c>
    </row>
    <row r="451" spans="2:25" x14ac:dyDescent="0.3">
      <c r="B451" s="126">
        <v>0.84636437845324164</v>
      </c>
      <c r="C451" s="126">
        <f t="shared" si="66"/>
        <v>2.6862072540271474E-2</v>
      </c>
      <c r="D451" s="126">
        <f t="shared" si="67"/>
        <v>3.3940610753645157E-3</v>
      </c>
      <c r="E451" s="126">
        <f t="shared" si="68"/>
        <v>-2.2091628498613177E-2</v>
      </c>
      <c r="F451" s="126">
        <f t="shared" si="69"/>
        <v>-2.2088035684126636E-2</v>
      </c>
      <c r="G451" s="126">
        <f t="shared" si="70"/>
        <v>0.8469576606254331</v>
      </c>
      <c r="H451" s="126">
        <f t="shared" si="71"/>
        <v>3.0249581130335833E-2</v>
      </c>
      <c r="I451" s="126">
        <f t="shared" si="72"/>
        <v>0.84577109628105018</v>
      </c>
      <c r="J451" s="126">
        <f t="shared" si="73"/>
        <v>-2.3461458979606799E-2</v>
      </c>
      <c r="M451" s="5"/>
      <c r="Y451">
        <f t="shared" si="74"/>
        <v>-0.5</v>
      </c>
    </row>
    <row r="452" spans="2:25" x14ac:dyDescent="0.3">
      <c r="B452" s="126">
        <v>0.84947564986598656</v>
      </c>
      <c r="C452" s="126">
        <f t="shared" si="66"/>
        <v>2.6410725359565221E-2</v>
      </c>
      <c r="D452" s="126">
        <f t="shared" si="67"/>
        <v>3.3253280231557996E-3</v>
      </c>
      <c r="E452" s="126">
        <f t="shared" si="68"/>
        <v>-2.2091628498613177E-2</v>
      </c>
      <c r="F452" s="126">
        <f t="shared" si="69"/>
        <v>-2.2088035684126636E-2</v>
      </c>
      <c r="G452" s="126">
        <f t="shared" si="70"/>
        <v>0.85005896347617005</v>
      </c>
      <c r="H452" s="126">
        <f t="shared" si="71"/>
        <v>2.9729610994873781E-2</v>
      </c>
      <c r="I452" s="126">
        <f t="shared" si="72"/>
        <v>0.84889233625580307</v>
      </c>
      <c r="J452" s="126">
        <f t="shared" si="73"/>
        <v>-2.3078954948562182E-2</v>
      </c>
      <c r="M452" s="5"/>
      <c r="Y452">
        <f t="shared" si="74"/>
        <v>-0.5</v>
      </c>
    </row>
    <row r="453" spans="2:25" x14ac:dyDescent="0.3">
      <c r="B453" s="126">
        <v>0.85258841285362663</v>
      </c>
      <c r="C453" s="126">
        <f t="shared" si="66"/>
        <v>2.5956279332280213E-2</v>
      </c>
      <c r="D453" s="126">
        <f t="shared" si="67"/>
        <v>3.2565620196286218E-3</v>
      </c>
      <c r="E453" s="126">
        <f t="shared" si="68"/>
        <v>-2.2091628498613177E-2</v>
      </c>
      <c r="F453" s="126">
        <f t="shared" si="69"/>
        <v>-2.2088035684126636E-2</v>
      </c>
      <c r="G453" s="126">
        <f t="shared" si="70"/>
        <v>0.85316168945993376</v>
      </c>
      <c r="H453" s="126">
        <f t="shared" si="71"/>
        <v>2.9206509817418465E-2</v>
      </c>
      <c r="I453" s="126">
        <f t="shared" si="72"/>
        <v>0.8520151362473195</v>
      </c>
      <c r="J453" s="126">
        <f t="shared" si="73"/>
        <v>-2.2693385778161219E-2</v>
      </c>
      <c r="M453" s="5"/>
      <c r="Y453">
        <f t="shared" si="74"/>
        <v>-0.5</v>
      </c>
    </row>
    <row r="454" spans="2:25" x14ac:dyDescent="0.3">
      <c r="B454" s="126">
        <v>0.85570263657119128</v>
      </c>
      <c r="C454" s="126">
        <f t="shared" si="66"/>
        <v>2.549873838100921E-2</v>
      </c>
      <c r="D454" s="126">
        <f t="shared" si="67"/>
        <v>3.1877637461986135E-3</v>
      </c>
      <c r="E454" s="126">
        <f t="shared" si="68"/>
        <v>-2.2091628498613177E-2</v>
      </c>
      <c r="F454" s="126">
        <f t="shared" si="69"/>
        <v>-2.2088035684126636E-2</v>
      </c>
      <c r="G454" s="126">
        <f t="shared" si="70"/>
        <v>0.85626580781838924</v>
      </c>
      <c r="H454" s="126">
        <f t="shared" si="71"/>
        <v>2.8680282201021427E-2</v>
      </c>
      <c r="I454" s="126">
        <f t="shared" si="72"/>
        <v>0.85513946532399332</v>
      </c>
      <c r="J454" s="126">
        <f t="shared" si="73"/>
        <v>-2.2304754708624201E-2</v>
      </c>
      <c r="M454" s="5"/>
      <c r="Y454">
        <f t="shared" si="74"/>
        <v>-0.5</v>
      </c>
    </row>
    <row r="455" spans="2:25" x14ac:dyDescent="0.3">
      <c r="B455" s="126">
        <v>0.85881829015923528</v>
      </c>
      <c r="C455" s="126">
        <f t="shared" si="66"/>
        <v>2.5038106552667239E-2</v>
      </c>
      <c r="D455" s="126">
        <f t="shared" si="67"/>
        <v>3.1189338846011744E-3</v>
      </c>
      <c r="E455" s="126">
        <f t="shared" si="68"/>
        <v>-2.2091628498613177E-2</v>
      </c>
      <c r="F455" s="126">
        <f t="shared" si="69"/>
        <v>-2.2088035684126636E-2</v>
      </c>
      <c r="G455" s="126">
        <f t="shared" si="70"/>
        <v>0.85937128778147232</v>
      </c>
      <c r="H455" s="126">
        <f t="shared" si="71"/>
        <v>2.8150932873345927E-2</v>
      </c>
      <c r="I455" s="126">
        <f t="shared" si="72"/>
        <v>0.85826529253699824</v>
      </c>
      <c r="J455" s="126">
        <f t="shared" si="73"/>
        <v>-2.1913065104143578E-2</v>
      </c>
      <c r="M455" s="5"/>
      <c r="Y455">
        <f t="shared" si="74"/>
        <v>-0.5</v>
      </c>
    </row>
    <row r="456" spans="2:25" x14ac:dyDescent="0.3">
      <c r="B456" s="126">
        <v>0.86193534274414518</v>
      </c>
      <c r="C456" s="126">
        <f t="shared" si="66"/>
        <v>2.4574388018307528E-2</v>
      </c>
      <c r="D456" s="126">
        <f t="shared" si="67"/>
        <v>3.0500731168847028E-3</v>
      </c>
      <c r="E456" s="126">
        <f t="shared" si="68"/>
        <v>-2.2091628498613177E-2</v>
      </c>
      <c r="F456" s="126">
        <f t="shared" si="69"/>
        <v>-2.2088035684126636E-2</v>
      </c>
      <c r="G456" s="126">
        <f t="shared" si="70"/>
        <v>0.86247809856769231</v>
      </c>
      <c r="H456" s="126">
        <f t="shared" si="71"/>
        <v>2.7618466686476148E-2</v>
      </c>
      <c r="I456" s="126">
        <f t="shared" si="72"/>
        <v>0.86139258692059806</v>
      </c>
      <c r="J456" s="126">
        <f t="shared" si="73"/>
        <v>-2.1518320452706741E-2</v>
      </c>
      <c r="M456" s="5"/>
      <c r="Y456">
        <f t="shared" si="74"/>
        <v>-0.5</v>
      </c>
    </row>
    <row r="457" spans="2:25" x14ac:dyDescent="0.3">
      <c r="B457" s="126">
        <v>0.86505376343844365</v>
      </c>
      <c r="C457" s="126">
        <f t="shared" si="66"/>
        <v>2.410758707293207E-2</v>
      </c>
      <c r="D457" s="126">
        <f t="shared" si="67"/>
        <v>2.9811821254038737E-3</v>
      </c>
      <c r="E457" s="126">
        <f t="shared" si="68"/>
        <v>-2.2091628498613177E-2</v>
      </c>
      <c r="F457" s="126">
        <f t="shared" si="69"/>
        <v>-2.2088035684126636E-2</v>
      </c>
      <c r="G457" s="126">
        <f t="shared" si="70"/>
        <v>0.86558620938443243</v>
      </c>
      <c r="H457" s="126">
        <f t="shared" si="71"/>
        <v>2.7082888616721073E-2</v>
      </c>
      <c r="I457" s="126">
        <f t="shared" si="72"/>
        <v>0.86452131749245487</v>
      </c>
      <c r="J457" s="126">
        <f t="shared" si="73"/>
        <v>-2.1120524365913326E-2</v>
      </c>
      <c r="M457" s="5"/>
      <c r="Y457">
        <f t="shared" si="74"/>
        <v>-0.5</v>
      </c>
    </row>
    <row r="458" spans="2:25" x14ac:dyDescent="0.3">
      <c r="B458" s="126">
        <v>0.86817352134109738</v>
      </c>
      <c r="C458" s="126">
        <f t="shared" si="66"/>
        <v>2.3637708135296077E-2</v>
      </c>
      <c r="D458" s="126">
        <f t="shared" si="67"/>
        <v>2.912261592812835E-3</v>
      </c>
      <c r="E458" s="126">
        <f t="shared" si="68"/>
        <v>-2.2091628498613177E-2</v>
      </c>
      <c r="F458" s="126">
        <f t="shared" si="69"/>
        <v>-2.2088035684126636E-2</v>
      </c>
      <c r="G458" s="126">
        <f t="shared" si="70"/>
        <v>0.86869558942825309</v>
      </c>
      <c r="H458" s="126">
        <f t="shared" si="71"/>
        <v>2.6544203764412189E-2</v>
      </c>
      <c r="I458" s="126">
        <f t="shared" si="72"/>
        <v>0.86765145325394166</v>
      </c>
      <c r="J458" s="126">
        <f t="shared" si="73"/>
        <v>-2.0719680578786516E-2</v>
      </c>
      <c r="M458" s="5"/>
      <c r="Y458">
        <f t="shared" si="74"/>
        <v>-0.5</v>
      </c>
    </row>
    <row r="459" spans="2:25" x14ac:dyDescent="0.3">
      <c r="B459" s="126">
        <v>0.87129458553782158</v>
      </c>
      <c r="C459" s="126">
        <f t="shared" si="66"/>
        <v>2.3164755747707343E-2</v>
      </c>
      <c r="D459" s="126">
        <f t="shared" si="67"/>
        <v>2.8433122020584812E-3</v>
      </c>
      <c r="E459" s="126">
        <f t="shared" si="68"/>
        <v>-2.2091628498613177E-2</v>
      </c>
      <c r="F459" s="126">
        <f t="shared" si="69"/>
        <v>-2.2088035684126636E-2</v>
      </c>
      <c r="G459" s="126">
        <f t="shared" si="70"/>
        <v>0.87180620788519192</v>
      </c>
      <c r="H459" s="126">
        <f t="shared" si="71"/>
        <v>2.600241735369618E-2</v>
      </c>
      <c r="I459" s="126">
        <f t="shared" si="72"/>
        <v>0.87078296319045123</v>
      </c>
      <c r="J459" s="126">
        <f t="shared" si="73"/>
        <v>-2.0315792949579217E-2</v>
      </c>
      <c r="M459" s="5"/>
      <c r="Y459">
        <f t="shared" si="74"/>
        <v>-0.5</v>
      </c>
    </row>
    <row r="460" spans="2:25" x14ac:dyDescent="0.3">
      <c r="B460" s="126">
        <v>0.87441692510138791</v>
      </c>
      <c r="C460" s="126">
        <f t="shared" si="66"/>
        <v>2.268873457581954E-2</v>
      </c>
      <c r="D460" s="126">
        <f t="shared" si="67"/>
        <v>2.774334636373652E-3</v>
      </c>
      <c r="E460" s="126">
        <f t="shared" si="68"/>
        <v>-2.2091628498613177E-2</v>
      </c>
      <c r="F460" s="126">
        <f t="shared" si="69"/>
        <v>-2.2088035684126636E-2</v>
      </c>
      <c r="G460" s="126">
        <f t="shared" si="70"/>
        <v>0.87491803393106726</v>
      </c>
      <c r="H460" s="126">
        <f t="shared" si="71"/>
        <v>2.5457534732321454E-2</v>
      </c>
      <c r="I460" s="126">
        <f t="shared" si="72"/>
        <v>0.87391581627170856</v>
      </c>
      <c r="J460" s="126">
        <f t="shared" si="73"/>
        <v>-1.9908865459574151E-2</v>
      </c>
      <c r="M460" s="5"/>
      <c r="Y460">
        <f t="shared" si="74"/>
        <v>-0.5</v>
      </c>
    </row>
    <row r="461" spans="2:25" x14ac:dyDescent="0.3">
      <c r="B461" s="126">
        <v>0.87754050909192971</v>
      </c>
      <c r="C461" s="126">
        <f t="shared" si="66"/>
        <v>2.2209649408420372E-2</v>
      </c>
      <c r="D461" s="126">
        <f t="shared" si="67"/>
        <v>2.7053295792703867E-3</v>
      </c>
      <c r="E461" s="126">
        <f t="shared" si="68"/>
        <v>-2.2091628498613177E-2</v>
      </c>
      <c r="F461" s="126">
        <f t="shared" si="69"/>
        <v>-2.2088035684126636E-2</v>
      </c>
      <c r="G461" s="126">
        <f t="shared" si="70"/>
        <v>0.87803103673177896</v>
      </c>
      <c r="H461" s="126">
        <f t="shared" si="71"/>
        <v>2.4909561371419635E-2</v>
      </c>
      <c r="I461" s="126">
        <f t="shared" si="72"/>
        <v>0.87704998145208046</v>
      </c>
      <c r="J461" s="126">
        <f t="shared" si="73"/>
        <v>-1.9498902212878859E-2</v>
      </c>
      <c r="M461" s="5"/>
      <c r="Y461">
        <f t="shared" si="74"/>
        <v>-0.5</v>
      </c>
    </row>
    <row r="462" spans="2:25" x14ac:dyDescent="0.3">
      <c r="B462" s="126">
        <v>0.88066530655724884</v>
      </c>
      <c r="C462" s="126">
        <f t="shared" si="66"/>
        <v>2.1727505157213927E-2</v>
      </c>
      <c r="D462" s="126">
        <f t="shared" si="67"/>
        <v>2.6362977145331485E-3</v>
      </c>
      <c r="E462" s="126">
        <f t="shared" si="68"/>
        <v>-2.2091628498613177E-2</v>
      </c>
      <c r="F462" s="126">
        <f t="shared" si="69"/>
        <v>-2.2088035684126636E-2</v>
      </c>
      <c r="G462" s="126">
        <f t="shared" si="70"/>
        <v>0.88114518544360987</v>
      </c>
      <c r="H462" s="126">
        <f t="shared" si="71"/>
        <v>2.4358502865281143E-2</v>
      </c>
      <c r="I462" s="126">
        <f t="shared" si="72"/>
        <v>0.88018542767088781</v>
      </c>
      <c r="J462" s="126">
        <f t="shared" si="73"/>
        <v>-1.9085907436214848E-2</v>
      </c>
      <c r="M462" s="5"/>
      <c r="Y462">
        <f t="shared" si="74"/>
        <v>-0.5</v>
      </c>
    </row>
    <row r="463" spans="2:25" x14ac:dyDescent="0.3">
      <c r="B463" s="126">
        <v>0.88379128653312367</v>
      </c>
      <c r="C463" s="126">
        <f t="shared" si="66"/>
        <v>2.1242306856597427E-2</v>
      </c>
      <c r="D463" s="126">
        <f t="shared" si="67"/>
        <v>2.5672397262120183E-3</v>
      </c>
      <c r="E463" s="126">
        <f t="shared" si="68"/>
        <v>-2.2091628498613177E-2</v>
      </c>
      <c r="F463" s="126">
        <f t="shared" si="69"/>
        <v>-2.2088035684126636E-2</v>
      </c>
      <c r="G463" s="126">
        <f t="shared" si="70"/>
        <v>0.8842604492135292</v>
      </c>
      <c r="H463" s="126">
        <f t="shared" si="71"/>
        <v>2.3804364931125248E-2</v>
      </c>
      <c r="I463" s="126">
        <f t="shared" si="72"/>
        <v>0.88332212385271813</v>
      </c>
      <c r="J463" s="126">
        <f t="shared" si="73"/>
        <v>-1.8669885478701215E-2</v>
      </c>
      <c r="M463" s="5"/>
      <c r="Y463">
        <f t="shared" si="74"/>
        <v>-0.5</v>
      </c>
    </row>
    <row r="464" spans="2:25" x14ac:dyDescent="0.3">
      <c r="B464" s="126">
        <v>0.88691841804361304</v>
      </c>
      <c r="C464" s="126">
        <f t="shared" si="66"/>
        <v>2.0754059663433088E-2</v>
      </c>
      <c r="D464" s="126">
        <f t="shared" si="67"/>
        <v>2.4981562986159797E-3</v>
      </c>
      <c r="E464" s="126">
        <f t="shared" si="68"/>
        <v>-2.2091628498613177E-2</v>
      </c>
      <c r="F464" s="126">
        <f t="shared" si="69"/>
        <v>-2.2088035684126636E-2</v>
      </c>
      <c r="G464" s="126">
        <f t="shared" si="70"/>
        <v>0.88737679717949147</v>
      </c>
      <c r="H464" s="126">
        <f t="shared" si="71"/>
        <v>2.3247153408865229E-2</v>
      </c>
      <c r="I464" s="126">
        <f t="shared" si="72"/>
        <v>0.88646003890773462</v>
      </c>
      <c r="J464" s="126">
        <f t="shared" si="73"/>
        <v>-1.8250840811633268E-2</v>
      </c>
      <c r="M464" s="5"/>
      <c r="Y464">
        <f t="shared" si="74"/>
        <v>-0.5</v>
      </c>
    </row>
    <row r="465" spans="2:25" x14ac:dyDescent="0.3">
      <c r="B465" s="126">
        <v>0.89004667010136695</v>
      </c>
      <c r="C465" s="126">
        <f t="shared" si="66"/>
        <v>2.0262768856813478E-2</v>
      </c>
      <c r="D465" s="126">
        <f t="shared" si="67"/>
        <v>2.4290481163060582E-3</v>
      </c>
      <c r="E465" s="126">
        <f t="shared" si="68"/>
        <v>-2.2091628498613177E-2</v>
      </c>
      <c r="F465" s="126">
        <f t="shared" si="69"/>
        <v>-2.2088035684126636E-2</v>
      </c>
      <c r="G465" s="126">
        <f t="shared" si="70"/>
        <v>0.89049419847074207</v>
      </c>
      <c r="H465" s="126">
        <f t="shared" si="71"/>
        <v>2.2686874260866945E-2</v>
      </c>
      <c r="I465" s="126">
        <f t="shared" si="72"/>
        <v>0.88959914173199184</v>
      </c>
      <c r="J465" s="126">
        <f t="shared" si="73"/>
        <v>-1.7828778028254829E-2</v>
      </c>
      <c r="M465" s="5"/>
      <c r="Y465">
        <f t="shared" si="74"/>
        <v>-0.5</v>
      </c>
    </row>
    <row r="466" spans="2:25" x14ac:dyDescent="0.3">
      <c r="B466" s="126">
        <v>0.89317601170793026</v>
      </c>
      <c r="C466" s="126">
        <f t="shared" si="66"/>
        <v>1.9768439837822574E-2</v>
      </c>
      <c r="D466" s="126">
        <f t="shared" si="67"/>
        <v>2.3599158640886081E-3</v>
      </c>
      <c r="E466" s="126">
        <f t="shared" si="68"/>
        <v>-2.2091628498613177E-2</v>
      </c>
      <c r="F466" s="126">
        <f t="shared" si="69"/>
        <v>-2.2088035684126636E-2</v>
      </c>
      <c r="G466" s="126">
        <f t="shared" si="70"/>
        <v>0.89361262220811555</v>
      </c>
      <c r="H466" s="126">
        <f t="shared" si="71"/>
        <v>2.2123533571703238E-2</v>
      </c>
      <c r="I466" s="126">
        <f t="shared" si="72"/>
        <v>0.89273940120774498</v>
      </c>
      <c r="J466" s="126">
        <f t="shared" si="73"/>
        <v>-1.7403701843526024E-2</v>
      </c>
      <c r="M466" s="5"/>
      <c r="Y466">
        <f t="shared" si="74"/>
        <v>-0.5</v>
      </c>
    </row>
    <row r="467" spans="2:25" x14ac:dyDescent="0.3">
      <c r="B467" s="126">
        <v>0.89630641185405224</v>
      </c>
      <c r="C467" s="126">
        <f t="shared" si="66"/>
        <v>1.9271078129290447E-2</v>
      </c>
      <c r="D467" s="126">
        <f t="shared" si="67"/>
        <v>2.2907602270084769E-3</v>
      </c>
      <c r="E467" s="126">
        <f t="shared" si="68"/>
        <v>-2.2091628498613177E-2</v>
      </c>
      <c r="F467" s="126">
        <f t="shared" si="69"/>
        <v>-2.2088035684126636E-2</v>
      </c>
      <c r="G467" s="126">
        <f t="shared" si="70"/>
        <v>0.8967320375043395</v>
      </c>
      <c r="H467" s="126">
        <f t="shared" si="71"/>
        <v>2.1557137547901839E-2</v>
      </c>
      <c r="I467" s="126">
        <f t="shared" si="72"/>
        <v>0.89588078620376499</v>
      </c>
      <c r="J467" s="126">
        <f t="shared" si="73"/>
        <v>-1.6975617093884884E-2</v>
      </c>
      <c r="M467" s="5"/>
      <c r="Y467">
        <f t="shared" si="74"/>
        <v>-0.5</v>
      </c>
    </row>
    <row r="468" spans="2:25" x14ac:dyDescent="0.3">
      <c r="B468" s="126">
        <v>0.8994378395199919</v>
      </c>
      <c r="C468" s="126">
        <f t="shared" si="66"/>
        <v>1.8770689375543322E-2</v>
      </c>
      <c r="D468" s="126">
        <f t="shared" si="67"/>
        <v>2.2215818903422589E-3</v>
      </c>
      <c r="E468" s="126">
        <f t="shared" si="68"/>
        <v>-2.2091628498613177E-2</v>
      </c>
      <c r="F468" s="126">
        <f t="shared" si="69"/>
        <v>-2.2088035684126636E-2</v>
      </c>
      <c r="G468" s="126">
        <f t="shared" si="70"/>
        <v>0.89985241346433509</v>
      </c>
      <c r="H468" s="126">
        <f t="shared" si="71"/>
        <v>2.0987692517688745E-2</v>
      </c>
      <c r="I468" s="126">
        <f t="shared" si="72"/>
        <v>0.89902326557564871</v>
      </c>
      <c r="J468" s="126">
        <f t="shared" si="73"/>
        <v>-1.6544528737004228E-2</v>
      </c>
      <c r="M468" s="5"/>
      <c r="Y468">
        <f t="shared" si="74"/>
        <v>-0.5</v>
      </c>
    </row>
    <row r="469" spans="2:25" x14ac:dyDescent="0.3">
      <c r="B469" s="126">
        <v>0.9025702636758276</v>
      </c>
      <c r="C469" s="126">
        <f t="shared" si="66"/>
        <v>1.8267279342147533E-2</v>
      </c>
      <c r="D469" s="126">
        <f t="shared" si="67"/>
        <v>2.1523815395914545E-3</v>
      </c>
      <c r="E469" s="126">
        <f t="shared" si="68"/>
        <v>-2.2091628498613177E-2</v>
      </c>
      <c r="F469" s="126">
        <f t="shared" si="69"/>
        <v>-2.2088035684126636E-2</v>
      </c>
      <c r="G469" s="126">
        <f t="shared" si="70"/>
        <v>0.90297371918552027</v>
      </c>
      <c r="H469" s="126">
        <f t="shared" si="71"/>
        <v>2.0415204930725385E-2</v>
      </c>
      <c r="I469" s="126">
        <f t="shared" si="72"/>
        <v>0.90216680816613493</v>
      </c>
      <c r="J469" s="126">
        <f t="shared" si="73"/>
        <v>-1.6110441851542479E-2</v>
      </c>
      <c r="M469" s="5"/>
      <c r="Y469">
        <f t="shared" si="74"/>
        <v>-0.5</v>
      </c>
    </row>
    <row r="470" spans="2:25" x14ac:dyDescent="0.3">
      <c r="B470" s="126">
        <v>0.90570365328176206</v>
      </c>
      <c r="C470" s="126">
        <f t="shared" si="66"/>
        <v>1.7760853915648925E-2</v>
      </c>
      <c r="D470" s="126">
        <f t="shared" si="67"/>
        <v>2.0831598604757343E-3</v>
      </c>
      <c r="E470" s="126">
        <f t="shared" si="68"/>
        <v>-2.2091628498613177E-2</v>
      </c>
      <c r="F470" s="126">
        <f t="shared" si="69"/>
        <v>-2.2088035684126636E-2</v>
      </c>
      <c r="G470" s="126">
        <f t="shared" si="70"/>
        <v>0.90609592375810954</v>
      </c>
      <c r="H470" s="126">
        <f t="shared" si="71"/>
        <v>1.9839681357841369E-2</v>
      </c>
      <c r="I470" s="126">
        <f t="shared" si="72"/>
        <v>0.90531138280541457</v>
      </c>
      <c r="J470" s="126">
        <f t="shared" si="73"/>
        <v>-1.5673361636889902E-2</v>
      </c>
      <c r="M470" s="5"/>
      <c r="Y470">
        <f t="shared" si="74"/>
        <v>-0.5</v>
      </c>
    </row>
    <row r="471" spans="2:25" x14ac:dyDescent="0.3">
      <c r="B471" s="126">
        <v>0.90883797728843208</v>
      </c>
      <c r="C471" s="126">
        <f t="shared" si="66"/>
        <v>1.7251419103306194E-2</v>
      </c>
      <c r="D471" s="126">
        <f t="shared" si="67"/>
        <v>2.0139175389260956E-3</v>
      </c>
      <c r="E471" s="126">
        <f t="shared" si="68"/>
        <v>-2.2091628498613177E-2</v>
      </c>
      <c r="F471" s="126">
        <f t="shared" si="69"/>
        <v>-2.2088035684126636E-2</v>
      </c>
      <c r="G471" s="126">
        <f t="shared" si="70"/>
        <v>0.90921899626541725</v>
      </c>
      <c r="H471" s="126">
        <f t="shared" si="71"/>
        <v>1.9261128490761035E-2</v>
      </c>
      <c r="I471" s="126">
        <f t="shared" si="72"/>
        <v>0.9084569583114469</v>
      </c>
      <c r="J471" s="126">
        <f t="shared" si="73"/>
        <v>-1.5233293412908844E-2</v>
      </c>
      <c r="M471" s="5"/>
      <c r="Y471">
        <f t="shared" si="74"/>
        <v>-0.5</v>
      </c>
    </row>
    <row r="472" spans="2:25" x14ac:dyDescent="0.3">
      <c r="B472" s="126">
        <v>0.91197320463721476</v>
      </c>
      <c r="C472" s="126">
        <f t="shared" si="66"/>
        <v>1.6738981032819518E-2</v>
      </c>
      <c r="D472" s="126">
        <f t="shared" si="67"/>
        <v>1.9446552610780966E-3</v>
      </c>
      <c r="E472" s="126">
        <f t="shared" si="68"/>
        <v>-2.2091628498613177E-2</v>
      </c>
      <c r="F472" s="126">
        <f t="shared" si="69"/>
        <v>-2.2088035684126636E-2</v>
      </c>
      <c r="G472" s="126">
        <f t="shared" si="70"/>
        <v>0.91234290578415844</v>
      </c>
      <c r="H472" s="126">
        <f t="shared" si="71"/>
        <v>1.8679553141825386E-2</v>
      </c>
      <c r="I472" s="126">
        <f t="shared" si="72"/>
        <v>0.91160350349027108</v>
      </c>
      <c r="J472" s="126">
        <f t="shared" si="73"/>
        <v>-1.4790242619669193E-2</v>
      </c>
      <c r="M472" s="5"/>
      <c r="Y472">
        <f t="shared" si="74"/>
        <v>-0.5</v>
      </c>
    </row>
    <row r="473" spans="2:25" x14ac:dyDescent="0.3">
      <c r="B473" s="126">
        <v>0.91510930426053605</v>
      </c>
      <c r="C473" s="126">
        <f t="shared" si="66"/>
        <v>1.6223545952053577E-2</v>
      </c>
      <c r="D473" s="126">
        <f t="shared" si="67"/>
        <v>1.8753737132650419E-3</v>
      </c>
      <c r="E473" s="126">
        <f t="shared" si="68"/>
        <v>-2.2091628498613177E-2</v>
      </c>
      <c r="F473" s="126">
        <f t="shared" si="69"/>
        <v>-2.2088035684126636E-2</v>
      </c>
      <c r="G473" s="126">
        <f t="shared" si="70"/>
        <v>0.91546762138475102</v>
      </c>
      <c r="H473" s="126">
        <f t="shared" si="71"/>
        <v>1.8094962243708358E-2</v>
      </c>
      <c r="I473" s="126">
        <f t="shared" si="72"/>
        <v>0.91475098713632108</v>
      </c>
      <c r="J473" s="126">
        <f t="shared" si="73"/>
        <v>-1.4344214817178276E-2</v>
      </c>
      <c r="M473" s="5"/>
      <c r="Y473">
        <f t="shared" si="74"/>
        <v>-0.5</v>
      </c>
    </row>
    <row r="474" spans="2:25" x14ac:dyDescent="0.3">
      <c r="B474" s="126">
        <v>0.91824624508217823</v>
      </c>
      <c r="C474" s="126">
        <f t="shared" si="66"/>
        <v>1.5705120228755483E-2</v>
      </c>
      <c r="D474" s="126">
        <f t="shared" si="67"/>
        <v>1.8060735820111886E-3</v>
      </c>
      <c r="E474" s="126">
        <f t="shared" si="68"/>
        <v>-2.2091628498613177E-2</v>
      </c>
      <c r="F474" s="126">
        <f t="shared" si="69"/>
        <v>-2.2088035684126636E-2</v>
      </c>
      <c r="G474" s="126">
        <f t="shared" si="70"/>
        <v>0.91859311213161665</v>
      </c>
      <c r="H474" s="126">
        <f t="shared" si="71"/>
        <v>1.750736284912803E-2</v>
      </c>
      <c r="I474" s="126">
        <f t="shared" si="72"/>
        <v>0.9178993780327398</v>
      </c>
      <c r="J474" s="126">
        <f t="shared" si="73"/>
        <v>-1.3895215685105653E-2</v>
      </c>
      <c r="M474" s="5"/>
      <c r="Y474">
        <f t="shared" si="74"/>
        <v>-0.5</v>
      </c>
    </row>
    <row r="475" spans="2:25" x14ac:dyDescent="0.3">
      <c r="B475" s="126">
        <v>0.92138399601758791</v>
      </c>
      <c r="C475" s="126">
        <f t="shared" si="66"/>
        <v>1.5183710350267507E-2</v>
      </c>
      <c r="D475" s="126">
        <f t="shared" si="67"/>
        <v>1.7367555540249418E-3</v>
      </c>
      <c r="E475" s="126">
        <f t="shared" si="68"/>
        <v>-2.2091628498613177E-2</v>
      </c>
      <c r="F475" s="126">
        <f t="shared" si="69"/>
        <v>-2.2088035684126636E-2</v>
      </c>
      <c r="G475" s="126">
        <f t="shared" si="70"/>
        <v>0.92171934708348302</v>
      </c>
      <c r="H475" s="126">
        <f t="shared" si="71"/>
        <v>1.6916762130552623E-2</v>
      </c>
      <c r="I475" s="126">
        <f t="shared" si="72"/>
        <v>0.92104864495169281</v>
      </c>
      <c r="J475" s="126">
        <f t="shared" si="73"/>
        <v>-1.3443251022502739E-2</v>
      </c>
      <c r="M475" s="5"/>
      <c r="Y475">
        <f t="shared" si="74"/>
        <v>-0.5</v>
      </c>
    </row>
    <row r="476" spans="2:25" x14ac:dyDescent="0.3">
      <c r="B476" s="126">
        <v>0.92452252597418461</v>
      </c>
      <c r="C476" s="126">
        <f t="shared" si="66"/>
        <v>1.4659322923234467E-2</v>
      </c>
      <c r="D476" s="126">
        <f t="shared" si="67"/>
        <v>1.6674203161920391E-3</v>
      </c>
      <c r="E476" s="126">
        <f t="shared" si="68"/>
        <v>-2.2091628498613177E-2</v>
      </c>
      <c r="F476" s="126">
        <f t="shared" si="69"/>
        <v>-2.2088035684126636E-2</v>
      </c>
      <c r="G476" s="126">
        <f t="shared" si="70"/>
        <v>0.92484629529368567</v>
      </c>
      <c r="H476" s="126">
        <f t="shared" si="71"/>
        <v>1.6323167379901121E-2</v>
      </c>
      <c r="I476" s="126">
        <f t="shared" si="72"/>
        <v>0.92419875665468354</v>
      </c>
      <c r="J476" s="126">
        <f t="shared" si="73"/>
        <v>-1.2988326747517041E-2</v>
      </c>
      <c r="M476" s="5"/>
      <c r="Y476">
        <f t="shared" si="74"/>
        <v>-0.5</v>
      </c>
    </row>
    <row r="477" spans="2:25" x14ac:dyDescent="0.3">
      <c r="B477" s="126">
        <v>0.92766180385166763</v>
      </c>
      <c r="C477" s="126">
        <f t="shared" si="66"/>
        <v>1.4131964673306303E-2</v>
      </c>
      <c r="D477" s="126">
        <f t="shared" si="67"/>
        <v>1.5980685555687694E-3</v>
      </c>
      <c r="E477" s="126">
        <f t="shared" si="68"/>
        <v>-2.2091628498613177E-2</v>
      </c>
      <c r="F477" s="126">
        <f t="shared" si="69"/>
        <v>-2.2088035684126636E-2</v>
      </c>
      <c r="G477" s="126">
        <f t="shared" si="70"/>
        <v>0.92797392581046823</v>
      </c>
      <c r="H477" s="126">
        <f t="shared" si="71"/>
        <v>1.572658600823916E-2</v>
      </c>
      <c r="I477" s="126">
        <f t="shared" si="72"/>
        <v>0.92734968189286704</v>
      </c>
      <c r="J477" s="126">
        <f t="shared" si="73"/>
        <v>-1.2530448897101622E-2</v>
      </c>
      <c r="M477" s="5"/>
      <c r="Y477">
        <f t="shared" si="74"/>
        <v>-0.5</v>
      </c>
    </row>
    <row r="478" spans="2:25" x14ac:dyDescent="0.3">
      <c r="B478" s="126">
        <v>0.93080179854232581</v>
      </c>
      <c r="C478" s="126">
        <f t="shared" si="66"/>
        <v>1.3601642444835065E-2</v>
      </c>
      <c r="D478" s="126">
        <f t="shared" si="67"/>
        <v>1.528700959375131E-3</v>
      </c>
      <c r="E478" s="126">
        <f t="shared" si="68"/>
        <v>-2.2091628498613177E-2</v>
      </c>
      <c r="F478" s="126">
        <f t="shared" si="69"/>
        <v>-2.2088035684126636E-2</v>
      </c>
      <c r="G478" s="126">
        <f t="shared" si="70"/>
        <v>0.93110220767728535</v>
      </c>
      <c r="H478" s="126">
        <f t="shared" si="71"/>
        <v>1.5127025545469245E-2</v>
      </c>
      <c r="I478" s="126">
        <f t="shared" si="72"/>
        <v>0.93050138940736626</v>
      </c>
      <c r="J478" s="126">
        <f t="shared" si="73"/>
        <v>-1.2069623626718984E-2</v>
      </c>
      <c r="M478" s="5"/>
      <c r="Y478">
        <f t="shared" si="74"/>
        <v>-0.5</v>
      </c>
    </row>
    <row r="479" spans="2:25" x14ac:dyDescent="0.3">
      <c r="B479" s="126">
        <v>0.93394247893134419</v>
      </c>
      <c r="C479" s="126">
        <f t="shared" si="66"/>
        <v>1.3068363200567283E-2</v>
      </c>
      <c r="D479" s="126">
        <f t="shared" si="67"/>
        <v>1.4593182149880571E-3</v>
      </c>
      <c r="E479" s="126">
        <f t="shared" si="68"/>
        <v>-2.2091628498613177E-2</v>
      </c>
      <c r="F479" s="126">
        <f t="shared" si="69"/>
        <v>-2.2088035684126636E-2</v>
      </c>
      <c r="G479" s="126">
        <f t="shared" si="70"/>
        <v>0.9342311099331031</v>
      </c>
      <c r="H479" s="126">
        <f t="shared" si="71"/>
        <v>1.4524493640016411E-2</v>
      </c>
      <c r="I479" s="126">
        <f t="shared" si="72"/>
        <v>0.93365384792958528</v>
      </c>
      <c r="J479" s="126">
        <f t="shared" si="73"/>
        <v>-1.1605857210040295E-2</v>
      </c>
      <c r="M479" s="5"/>
      <c r="Y479">
        <f t="shared" si="74"/>
        <v>-0.5</v>
      </c>
    </row>
    <row r="480" spans="2:25" x14ac:dyDescent="0.3">
      <c r="B480" s="126">
        <v>0.9370838138971137</v>
      </c>
      <c r="C480" s="126">
        <f t="shared" si="66"/>
        <v>1.2532134021330835E-2</v>
      </c>
      <c r="D480" s="126">
        <f t="shared" si="67"/>
        <v>1.3899210099345733E-3</v>
      </c>
      <c r="E480" s="126">
        <f t="shared" si="68"/>
        <v>-2.2091628498613177E-2</v>
      </c>
      <c r="F480" s="126">
        <f t="shared" si="69"/>
        <v>-2.2088035684126636E-2</v>
      </c>
      <c r="G480" s="126">
        <f t="shared" si="70"/>
        <v>0.93736060161270129</v>
      </c>
      <c r="H480" s="126">
        <f t="shared" si="71"/>
        <v>1.3918998058508325E-2</v>
      </c>
      <c r="I480" s="126">
        <f t="shared" si="72"/>
        <v>0.93680702618152611</v>
      </c>
      <c r="J480" s="126">
        <f t="shared" si="73"/>
        <v>-1.1139156038639179E-2</v>
      </c>
      <c r="M480" s="5"/>
      <c r="Y480">
        <f t="shared" si="74"/>
        <v>-0.5</v>
      </c>
    </row>
    <row r="481" spans="2:25" x14ac:dyDescent="0.3">
      <c r="B481" s="126">
        <v>0.94022577231153837</v>
      </c>
      <c r="C481" s="126">
        <f t="shared" si="66"/>
        <v>1.1992962105717177E-2</v>
      </c>
      <c r="D481" s="126">
        <f t="shared" si="67"/>
        <v>1.320510031885012E-3</v>
      </c>
      <c r="E481" s="126">
        <f t="shared" si="68"/>
        <v>-2.2091628498613177E-2</v>
      </c>
      <c r="F481" s="126">
        <f t="shared" si="69"/>
        <v>-2.2088035684126636E-2</v>
      </c>
      <c r="G481" s="126">
        <f t="shared" si="70"/>
        <v>0.94049065174697366</v>
      </c>
      <c r="H481" s="126">
        <f t="shared" si="71"/>
        <v>1.3310546685450824E-2</v>
      </c>
      <c r="I481" s="126">
        <f t="shared" si="72"/>
        <v>0.93996089287610307</v>
      </c>
      <c r="J481" s="126">
        <f t="shared" si="73"/>
        <v>-1.0669526621680799E-2</v>
      </c>
      <c r="M481" s="5"/>
      <c r="Y481">
        <f t="shared" si="74"/>
        <v>-0.5</v>
      </c>
    </row>
    <row r="482" spans="2:25" x14ac:dyDescent="0.3">
      <c r="B482" s="126">
        <v>0.94336832304034501</v>
      </c>
      <c r="C482" s="126">
        <f t="shared" si="66"/>
        <v>1.1450854769758129E-2</v>
      </c>
      <c r="D482" s="126">
        <f t="shared" si="67"/>
        <v>1.2510859686461694E-3</v>
      </c>
      <c r="E482" s="126">
        <f t="shared" si="68"/>
        <v>-2.2091628498613177E-2</v>
      </c>
      <c r="F482" s="126">
        <f t="shared" si="69"/>
        <v>-2.2088035684126636E-2</v>
      </c>
      <c r="G482" s="126">
        <f t="shared" si="70"/>
        <v>0.94362122936323078</v>
      </c>
      <c r="H482" s="126">
        <f t="shared" si="71"/>
        <v>1.2699147522897915E-2</v>
      </c>
      <c r="I482" s="126">
        <f t="shared" si="72"/>
        <v>0.94311541671745924</v>
      </c>
      <c r="J482" s="126">
        <f t="shared" si="73"/>
        <v>-1.0196975585605577E-2</v>
      </c>
      <c r="M482" s="5"/>
      <c r="Y482">
        <f t="shared" si="74"/>
        <v>-0.5</v>
      </c>
    </row>
    <row r="483" spans="2:25" x14ac:dyDescent="0.3">
      <c r="B483" s="126">
        <v>0.94651143494339052</v>
      </c>
      <c r="C483" s="126">
        <f t="shared" si="66"/>
        <v>1.0905819446598141E-2</v>
      </c>
      <c r="D483" s="126">
        <f t="shared" si="67"/>
        <v>1.181649508154519E-3</v>
      </c>
      <c r="E483" s="126">
        <f t="shared" si="68"/>
        <v>-2.2091628498613177E-2</v>
      </c>
      <c r="F483" s="126">
        <f t="shared" si="69"/>
        <v>-2.2088035684126636E-2</v>
      </c>
      <c r="G483" s="126">
        <f t="shared" si="70"/>
        <v>0.94675230348549966</v>
      </c>
      <c r="H483" s="126">
        <f t="shared" si="71"/>
        <v>1.2084808690117349E-2</v>
      </c>
      <c r="I483" s="126">
        <f t="shared" si="72"/>
        <v>0.94627056640128138</v>
      </c>
      <c r="J483" s="126">
        <f t="shared" si="73"/>
        <v>-9.7215096738083127E-3</v>
      </c>
      <c r="M483" s="5"/>
      <c r="Y483">
        <f t="shared" si="74"/>
        <v>-0.5</v>
      </c>
    </row>
    <row r="484" spans="2:25" x14ac:dyDescent="0.3">
      <c r="B484" s="126">
        <v>0.9496550768749713</v>
      </c>
      <c r="C484" s="126">
        <f t="shared" si="66"/>
        <v>1.0357863686161211E-2</v>
      </c>
      <c r="D484" s="126">
        <f t="shared" si="67"/>
        <v>1.1122013384693736E-3</v>
      </c>
      <c r="E484" s="126">
        <f t="shared" si="68"/>
        <v>-2.2091628498613177E-2</v>
      </c>
      <c r="F484" s="126">
        <f t="shared" si="69"/>
        <v>-2.2088035684126636E-2</v>
      </c>
      <c r="G484" s="126">
        <f t="shared" si="70"/>
        <v>0.94988384313482621</v>
      </c>
      <c r="H484" s="126">
        <f t="shared" si="71"/>
        <v>1.1467538423250783E-2</v>
      </c>
      <c r="I484" s="126">
        <f t="shared" si="72"/>
        <v>0.9494263106151164</v>
      </c>
      <c r="J484" s="126">
        <f t="shared" si="73"/>
        <v>-9.2431357463120343E-3</v>
      </c>
      <c r="M484" s="5"/>
      <c r="Y484">
        <f t="shared" si="74"/>
        <v>-0.5</v>
      </c>
    </row>
    <row r="485" spans="2:25" x14ac:dyDescent="0.3">
      <c r="B485" s="126">
        <v>0.95279921768413134</v>
      </c>
      <c r="C485" s="126">
        <f t="shared" si="66"/>
        <v>9.8069951548131595E-3</v>
      </c>
      <c r="D485" s="126">
        <f t="shared" si="67"/>
        <v>1.042742147766081E-3</v>
      </c>
      <c r="E485" s="126">
        <f t="shared" si="68"/>
        <v>-2.2091628498613177E-2</v>
      </c>
      <c r="F485" s="126">
        <f t="shared" si="69"/>
        <v>-2.2088035684126636E-2</v>
      </c>
      <c r="G485" s="126">
        <f t="shared" si="70"/>
        <v>0.95301581732957552</v>
      </c>
      <c r="H485" s="126">
        <f t="shared" si="71"/>
        <v>1.0847345074969317E-2</v>
      </c>
      <c r="I485" s="126">
        <f t="shared" si="72"/>
        <v>0.95258261803868716</v>
      </c>
      <c r="J485" s="126">
        <f t="shared" si="73"/>
        <v>-8.7618607794371535E-3</v>
      </c>
      <c r="M485" s="5"/>
      <c r="Y485">
        <f t="shared" si="74"/>
        <v>-0.5</v>
      </c>
    </row>
    <row r="486" spans="2:25" x14ac:dyDescent="0.3">
      <c r="B486" s="126">
        <v>0.9559438262149712</v>
      </c>
      <c r="C486" s="126">
        <f t="shared" si="66"/>
        <v>9.2532216350188178E-3</v>
      </c>
      <c r="D486" s="126">
        <f t="shared" si="67"/>
        <v>9.7327262432919692E-4</v>
      </c>
      <c r="E486" s="126">
        <f t="shared" si="68"/>
        <v>-2.2091628498613177E-2</v>
      </c>
      <c r="F486" s="126">
        <f t="shared" si="69"/>
        <v>-2.2088035684126636E-2</v>
      </c>
      <c r="G486" s="126">
        <f t="shared" si="70"/>
        <v>0.95614819508573357</v>
      </c>
      <c r="H486" s="126">
        <f t="shared" si="71"/>
        <v>1.0224237114123957E-2</v>
      </c>
      <c r="I486" s="126">
        <f t="shared" si="72"/>
        <v>0.95573945734420884</v>
      </c>
      <c r="J486" s="126">
        <f t="shared" si="73"/>
        <v>-8.277691865465564E-3</v>
      </c>
      <c r="M486" s="5"/>
      <c r="Y486">
        <f t="shared" si="74"/>
        <v>-0.5</v>
      </c>
    </row>
    <row r="487" spans="2:25" x14ac:dyDescent="0.3">
      <c r="B487" s="126">
        <v>0.95908887130695719</v>
      </c>
      <c r="C487" s="126">
        <f t="shared" si="66"/>
        <v>8.696551024994361E-3</v>
      </c>
      <c r="D487" s="126">
        <f t="shared" si="67"/>
        <v>9.0379345654565573E-4</v>
      </c>
      <c r="E487" s="126">
        <f t="shared" si="68"/>
        <v>-2.2091628498613177E-2</v>
      </c>
      <c r="F487" s="126">
        <f t="shared" si="69"/>
        <v>-2.2088035684126636E-2</v>
      </c>
      <c r="G487" s="126">
        <f t="shared" si="70"/>
        <v>0.95928094541720865</v>
      </c>
      <c r="H487" s="126">
        <f t="shared" si="71"/>
        <v>9.5982231253911969E-3</v>
      </c>
      <c r="I487" s="126">
        <f t="shared" si="72"/>
        <v>0.95889679719670573</v>
      </c>
      <c r="J487" s="126">
        <f t="shared" si="73"/>
        <v>-7.7906362122998861E-3</v>
      </c>
      <c r="M487" s="5"/>
      <c r="Y487">
        <f t="shared" si="74"/>
        <v>-0.5</v>
      </c>
    </row>
    <row r="488" spans="2:25" x14ac:dyDescent="0.3">
      <c r="B488" s="126">
        <v>0.96223432179522894</v>
      </c>
      <c r="C488" s="126">
        <f t="shared" si="66"/>
        <v>8.1369913383550832E-3</v>
      </c>
      <c r="D488" s="126">
        <f t="shared" si="67"/>
        <v>8.3430533289797484E-4</v>
      </c>
      <c r="E488" s="126">
        <f t="shared" si="68"/>
        <v>-2.2091628498613177E-2</v>
      </c>
      <c r="F488" s="126">
        <f t="shared" si="69"/>
        <v>-2.2088035684126636E-2</v>
      </c>
      <c r="G488" s="126">
        <f t="shared" si="70"/>
        <v>0.96241403733613096</v>
      </c>
      <c r="H488" s="126">
        <f t="shared" si="71"/>
        <v>8.9693118089140805E-3</v>
      </c>
      <c r="I488" s="126">
        <f t="shared" si="72"/>
        <v>0.96205460625432693</v>
      </c>
      <c r="J488" s="126">
        <f t="shared" si="73"/>
        <v>-7.3007011431181299E-3</v>
      </c>
      <c r="M488" s="5"/>
      <c r="Y488">
        <f t="shared" si="74"/>
        <v>-0.5</v>
      </c>
    </row>
    <row r="489" spans="2:25" x14ac:dyDescent="0.3">
      <c r="B489" s="126">
        <v>0.96538014651090975</v>
      </c>
      <c r="C489" s="126">
        <f t="shared" si="66"/>
        <v>7.5745507037578864E-3</v>
      </c>
      <c r="D489" s="126">
        <f t="shared" si="67"/>
        <v>7.6480894195739898E-4</v>
      </c>
      <c r="E489" s="126">
        <f t="shared" si="68"/>
        <v>-2.2091628498613177E-2</v>
      </c>
      <c r="F489" s="126">
        <f t="shared" si="69"/>
        <v>-2.2088035684126636E-2</v>
      </c>
      <c r="G489" s="126">
        <f t="shared" si="70"/>
        <v>0.96554743985315516</v>
      </c>
      <c r="H489" s="126">
        <f t="shared" si="71"/>
        <v>8.337511979937923E-3</v>
      </c>
      <c r="I489" s="126">
        <f t="shared" si="72"/>
        <v>0.96521285316866434</v>
      </c>
      <c r="J489" s="126">
        <f t="shared" si="73"/>
        <v>-6.8078940960231253E-3</v>
      </c>
      <c r="M489" s="5"/>
      <c r="Y489">
        <f t="shared" si="74"/>
        <v>-0.5</v>
      </c>
    </row>
    <row r="490" spans="2:25" x14ac:dyDescent="0.3">
      <c r="B490" s="126">
        <v>0.96852631428141356</v>
      </c>
      <c r="C490" s="126">
        <f t="shared" si="66"/>
        <v>7.0092373645396023E-3</v>
      </c>
      <c r="D490" s="126">
        <f t="shared" si="67"/>
        <v>6.9530497237711882E-4</v>
      </c>
      <c r="E490" s="126">
        <f t="shared" si="68"/>
        <v>-2.2091628498613177E-2</v>
      </c>
      <c r="F490" s="126">
        <f t="shared" si="69"/>
        <v>-2.2088035684126636E-2</v>
      </c>
      <c r="G490" s="126">
        <f t="shared" si="70"/>
        <v>0.96868112197775957</v>
      </c>
      <c r="H490" s="126">
        <f t="shared" si="71"/>
        <v>7.7028325684419469E-3</v>
      </c>
      <c r="I490" s="126">
        <f t="shared" si="72"/>
        <v>0.96837150658506754</v>
      </c>
      <c r="J490" s="126">
        <f t="shared" si="73"/>
        <v>-6.3122226236877093E-3</v>
      </c>
      <c r="M490" s="5"/>
      <c r="Y490">
        <f t="shared" si="74"/>
        <v>-0.5</v>
      </c>
    </row>
    <row r="491" spans="2:25" x14ac:dyDescent="0.3">
      <c r="B491" s="126">
        <v>0.9716727939307559</v>
      </c>
      <c r="C491" s="126">
        <f t="shared" si="66"/>
        <v>6.44105967834987E-3</v>
      </c>
      <c r="D491" s="126">
        <f t="shared" si="67"/>
        <v>6.2579411288540116E-4</v>
      </c>
      <c r="E491" s="126">
        <f t="shared" si="68"/>
        <v>-2.2091628498613177E-2</v>
      </c>
      <c r="F491" s="126">
        <f t="shared" si="69"/>
        <v>-2.2088035684126636E-2</v>
      </c>
      <c r="G491" s="126">
        <f t="shared" si="70"/>
        <v>0.97181505271854884</v>
      </c>
      <c r="H491" s="126">
        <f t="shared" si="71"/>
        <v>7.0652826187653679E-3</v>
      </c>
      <c r="I491" s="126">
        <f t="shared" si="72"/>
        <v>0.97153053514296295</v>
      </c>
      <c r="J491" s="126">
        <f t="shared" si="73"/>
        <v>-5.8136943929945652E-3</v>
      </c>
      <c r="M491" s="5"/>
      <c r="Y491">
        <f t="shared" si="74"/>
        <v>-0.5</v>
      </c>
    </row>
    <row r="492" spans="2:25" x14ac:dyDescent="0.3">
      <c r="B492" s="126">
        <v>0.97481955427986144</v>
      </c>
      <c r="C492" s="126">
        <f t="shared" si="66"/>
        <v>5.8700261167799143E-3</v>
      </c>
      <c r="D492" s="126">
        <f t="shared" si="67"/>
        <v>5.562770522787951E-4</v>
      </c>
      <c r="E492" s="126">
        <f t="shared" si="68"/>
        <v>-2.2091628498613177E-2</v>
      </c>
      <c r="F492" s="126">
        <f t="shared" si="69"/>
        <v>-2.2088035684126636E-2</v>
      </c>
      <c r="G492" s="126">
        <f t="shared" si="70"/>
        <v>0.97494920108355321</v>
      </c>
      <c r="H492" s="126">
        <f t="shared" si="71"/>
        <v>6.4248712892294784E-3</v>
      </c>
      <c r="I492" s="126">
        <f t="shared" si="72"/>
        <v>0.97468990747616968</v>
      </c>
      <c r="J492" s="126">
        <f t="shared" si="73"/>
        <v>-5.3123171846718885E-3</v>
      </c>
      <c r="M492" s="5"/>
      <c r="Y492">
        <f t="shared" si="74"/>
        <v>-0.5</v>
      </c>
    </row>
    <row r="493" spans="2:25" x14ac:dyDescent="0.3">
      <c r="B493" s="126">
        <v>0.977966564146873</v>
      </c>
      <c r="C493" s="126">
        <f t="shared" si="66"/>
        <v>5.2961452649863934E-3</v>
      </c>
      <c r="D493" s="126">
        <f t="shared" si="67"/>
        <v>4.8675447941530584E-4</v>
      </c>
      <c r="E493" s="126">
        <f t="shared" si="68"/>
        <v>-2.2091628498613177E-2</v>
      </c>
      <c r="F493" s="126">
        <f t="shared" si="69"/>
        <v>-2.2088035684126636E-2</v>
      </c>
      <c r="G493" s="126">
        <f t="shared" si="70"/>
        <v>0.97808353608052934</v>
      </c>
      <c r="H493" s="126">
        <f t="shared" si="71"/>
        <v>5.7816078517547598E-3</v>
      </c>
      <c r="I493" s="126">
        <f t="shared" si="72"/>
        <v>0.97784959221321666</v>
      </c>
      <c r="J493" s="126">
        <f t="shared" si="73"/>
        <v>-4.808098892924148E-3</v>
      </c>
      <c r="M493" s="5"/>
      <c r="Y493">
        <f t="shared" si="74"/>
        <v>-0.5</v>
      </c>
    </row>
    <row r="494" spans="2:25" x14ac:dyDescent="0.3">
      <c r="B494" s="126">
        <v>0.98111379234746177</v>
      </c>
      <c r="C494" s="126">
        <f t="shared" si="66"/>
        <v>4.7194258213103706E-3</v>
      </c>
      <c r="D494" s="126">
        <f t="shared" si="67"/>
        <v>4.1722708320753992E-4</v>
      </c>
      <c r="E494" s="126">
        <f t="shared" si="68"/>
        <v>-2.2091628498613177E-2</v>
      </c>
      <c r="F494" s="126">
        <f t="shared" si="69"/>
        <v>-2.2088035684126636E-2</v>
      </c>
      <c r="G494" s="126">
        <f t="shared" si="70"/>
        <v>0.98121802671726199</v>
      </c>
      <c r="H494" s="126">
        <f t="shared" si="71"/>
        <v>5.1355016914730878E-3</v>
      </c>
      <c r="I494" s="126">
        <f t="shared" si="72"/>
        <v>0.98100955797766154</v>
      </c>
      <c r="J494" s="126">
        <f t="shared" si="73"/>
        <v>-4.301047525058008E-3</v>
      </c>
      <c r="M494" s="5"/>
      <c r="Y494">
        <f t="shared" si="74"/>
        <v>-0.5</v>
      </c>
    </row>
    <row r="495" spans="2:25" x14ac:dyDescent="0.3">
      <c r="B495" s="126">
        <v>0.98426120769513414</v>
      </c>
      <c r="C495" s="126">
        <f t="shared" si="66"/>
        <v>4.1398765968922949E-3</v>
      </c>
      <c r="D495" s="126">
        <f t="shared" si="67"/>
        <v>3.476955526159283E-4</v>
      </c>
      <c r="E495" s="126">
        <f t="shared" si="68"/>
        <v>-2.2091628498613177E-2</v>
      </c>
      <c r="F495" s="126">
        <f t="shared" si="69"/>
        <v>-2.2088035684126636E-2</v>
      </c>
      <c r="G495" s="126">
        <f t="shared" si="70"/>
        <v>0.98435264200186257</v>
      </c>
      <c r="H495" s="126">
        <f t="shared" si="71"/>
        <v>4.486562306336035E-3</v>
      </c>
      <c r="I495" s="126">
        <f t="shared" si="72"/>
        <v>0.98416977338840572</v>
      </c>
      <c r="J495" s="126">
        <f t="shared" si="73"/>
        <v>-3.7911712011041787E-3</v>
      </c>
      <c r="M495" s="5"/>
      <c r="Y495">
        <f t="shared" si="74"/>
        <v>-0.5</v>
      </c>
    </row>
    <row r="496" spans="2:25" x14ac:dyDescent="0.3">
      <c r="B496" s="126">
        <v>0.98740877900154345</v>
      </c>
      <c r="C496" s="126">
        <f t="shared" si="66"/>
        <v>3.5575065152815117E-3</v>
      </c>
      <c r="D496" s="126">
        <f t="shared" si="67"/>
        <v>2.7816057664183948E-4</v>
      </c>
      <c r="E496" s="126">
        <f t="shared" si="68"/>
        <v>-2.2091628498613177E-2</v>
      </c>
      <c r="F496" s="126">
        <f t="shared" si="69"/>
        <v>-2.2088035684126636E-2</v>
      </c>
      <c r="G496" s="126">
        <f t="shared" si="70"/>
        <v>0.98748735094307205</v>
      </c>
      <c r="H496" s="126">
        <f t="shared" si="71"/>
        <v>3.8347993067175878E-3</v>
      </c>
      <c r="I496" s="126">
        <f t="shared" si="72"/>
        <v>0.98733020706001484</v>
      </c>
      <c r="J496" s="126">
        <f t="shared" si="73"/>
        <v>-3.2784781534339084E-3</v>
      </c>
      <c r="M496" s="5"/>
      <c r="Y496">
        <f t="shared" si="74"/>
        <v>-0.5</v>
      </c>
    </row>
    <row r="497" spans="2:25" x14ac:dyDescent="0.3">
      <c r="B497" s="126">
        <v>0.99055647507679634</v>
      </c>
      <c r="C497" s="126">
        <f t="shared" si="66"/>
        <v>2.9723246120421844E-3</v>
      </c>
      <c r="D497" s="126">
        <f t="shared" si="67"/>
        <v>2.0862284432080982E-4</v>
      </c>
      <c r="E497" s="126">
        <f t="shared" si="68"/>
        <v>-2.2091628498613177E-2</v>
      </c>
      <c r="F497" s="126">
        <f t="shared" si="69"/>
        <v>-2.2088035684126636E-2</v>
      </c>
      <c r="G497" s="126">
        <f t="shared" si="70"/>
        <v>0.9906221225505587</v>
      </c>
      <c r="H497" s="126">
        <f t="shared" si="71"/>
        <v>3.1802224150133921E-3</v>
      </c>
      <c r="I497" s="126">
        <f t="shared" si="72"/>
        <v>0.99049082760303397</v>
      </c>
      <c r="J497" s="126">
        <f t="shared" si="73"/>
        <v>-2.7629767263717725E-3</v>
      </c>
      <c r="M497" s="5"/>
      <c r="Y497">
        <f t="shared" si="74"/>
        <v>-0.5</v>
      </c>
    </row>
    <row r="498" spans="2:25" x14ac:dyDescent="0.3">
      <c r="B498" s="126">
        <v>0.99370426472976414</v>
      </c>
      <c r="C498" s="126">
        <f t="shared" si="66"/>
        <v>2.3843400343538054E-3</v>
      </c>
      <c r="D498" s="126">
        <f t="shared" si="67"/>
        <v>1.390830447156666E-4</v>
      </c>
      <c r="E498" s="126">
        <f t="shared" si="68"/>
        <v>-2.2091628498613177E-2</v>
      </c>
      <c r="F498" s="126">
        <f t="shared" si="69"/>
        <v>-2.2088035684126636E-2</v>
      </c>
      <c r="G498" s="126">
        <f t="shared" si="70"/>
        <v>0.99375692583522068</v>
      </c>
      <c r="H498" s="126">
        <f t="shared" si="71"/>
        <v>2.5228414652344907E-3</v>
      </c>
      <c r="I498" s="126">
        <f t="shared" si="72"/>
        <v>0.9936516036243076</v>
      </c>
      <c r="J498" s="126">
        <f t="shared" si="73"/>
        <v>-2.2446753758031579E-3</v>
      </c>
      <c r="M498" s="5"/>
      <c r="Y498">
        <f t="shared" si="74"/>
        <v>-0.5</v>
      </c>
    </row>
    <row r="499" spans="2:25" x14ac:dyDescent="0.3">
      <c r="B499" s="126">
        <v>0.99685211676839014</v>
      </c>
      <c r="C499" s="126">
        <f t="shared" si="66"/>
        <v>1.7935620406079485E-3</v>
      </c>
      <c r="D499" s="126">
        <f t="shared" si="67"/>
        <v>6.9541866909738931E-5</v>
      </c>
      <c r="E499" s="126">
        <f t="shared" si="68"/>
        <v>-2.2091628498613177E-2</v>
      </c>
      <c r="F499" s="126">
        <f t="shared" si="69"/>
        <v>-2.2088035684126636E-2</v>
      </c>
      <c r="G499" s="126">
        <f t="shared" si="70"/>
        <v>0.99689172980948426</v>
      </c>
      <c r="H499" s="126">
        <f t="shared" si="71"/>
        <v>1.8626664025973806E-3</v>
      </c>
      <c r="I499" s="126">
        <f t="shared" si="72"/>
        <v>0.99681250372729602</v>
      </c>
      <c r="J499" s="126">
        <f t="shared" si="73"/>
        <v>-1.7235826687779028E-3</v>
      </c>
      <c r="M499" s="5"/>
      <c r="Y499">
        <f t="shared" si="74"/>
        <v>-0.5</v>
      </c>
    </row>
    <row r="500" spans="2:25" x14ac:dyDescent="0.3">
      <c r="B500" s="126">
        <v>0.99999999999999989</v>
      </c>
      <c r="C500" s="126">
        <f t="shared" si="66"/>
        <v>1.2000000000000211E-3</v>
      </c>
      <c r="D500" s="126">
        <f t="shared" si="67"/>
        <v>2.4526634610625627E-18</v>
      </c>
      <c r="E500" s="126">
        <f t="shared" si="68"/>
        <v>-2.2091628498613177E-2</v>
      </c>
      <c r="F500" s="126">
        <f t="shared" si="69"/>
        <v>-2.2088035684126636E-2</v>
      </c>
      <c r="G500" s="126">
        <f t="shared" si="70"/>
        <v>1.0000265034876055</v>
      </c>
      <c r="H500" s="126">
        <f t="shared" si="71"/>
        <v>1.1997072831090093E-3</v>
      </c>
      <c r="I500" s="126">
        <f t="shared" si="72"/>
        <v>0.99997349651239431</v>
      </c>
      <c r="J500" s="126">
        <f t="shared" si="73"/>
        <v>-1.1997072831090045E-3</v>
      </c>
      <c r="M500" s="5"/>
      <c r="Y500">
        <f t="shared" si="74"/>
        <v>-0.5</v>
      </c>
    </row>
    <row r="501" spans="2:25" x14ac:dyDescent="0.3">
      <c r="G501" s="126">
        <v>1</v>
      </c>
      <c r="H501" s="126">
        <v>0</v>
      </c>
      <c r="I501" s="126">
        <v>1</v>
      </c>
      <c r="J501" s="126">
        <v>0</v>
      </c>
    </row>
  </sheetData>
  <sheetProtection algorithmName="SHA-512" hashValue="yUcHdgxmlNCusA7po8lS+uQ3i6xOt/vyROx4dVjAm0Lt5oiGGw047c7JeyMVryn1ihQdr5M5L0j5MtRBoNuw8Q==" saltValue="0dL7QQmTb3z30qV5Z5NMog==" spinCount="100000" sheet="1" objects="1" scenarios="1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9038-884D-4D04-A5FD-AE9176065A52}">
  <sheetPr codeName="Sheet9">
    <pageSetUpPr fitToPage="1"/>
  </sheetPr>
  <dimension ref="A1:I6"/>
  <sheetViews>
    <sheetView showGridLines="0" showRowColHeaders="0" zoomScale="130" zoomScaleNormal="130" workbookViewId="0"/>
  </sheetViews>
  <sheetFormatPr defaultRowHeight="14.4" x14ac:dyDescent="0.3"/>
  <cols>
    <col min="1" max="1" width="7.109375" customWidth="1"/>
    <col min="2" max="2" width="8.109375" customWidth="1"/>
    <col min="3" max="3" width="24.5546875" customWidth="1"/>
    <col min="4" max="4" width="22.88671875" customWidth="1"/>
    <col min="5" max="5" width="8.88671875" customWidth="1"/>
    <col min="6" max="6" width="22.77734375" customWidth="1"/>
    <col min="7" max="7" width="21.88671875" customWidth="1"/>
    <col min="8" max="8" width="8.21875" customWidth="1"/>
    <col min="9" max="9" width="24.88671875" customWidth="1"/>
  </cols>
  <sheetData>
    <row r="1" spans="1:9" ht="21.6" customHeight="1" x14ac:dyDescent="0.3">
      <c r="A1" s="131" t="s">
        <v>16</v>
      </c>
      <c r="B1" s="21"/>
      <c r="C1" s="26" t="s">
        <v>4</v>
      </c>
      <c r="D1" s="128">
        <f>Data4!A2*10^6+Data4!A3*10^5+Data4!A4*100+Data4!M1*10+Data4!N2</f>
        <v>2301264</v>
      </c>
      <c r="E1" s="55"/>
      <c r="F1" s="56"/>
      <c r="G1" s="56"/>
      <c r="I1" s="93"/>
    </row>
    <row r="2" spans="1:9" ht="27" customHeight="1" x14ac:dyDescent="0.3">
      <c r="B2" s="20"/>
      <c r="C2" s="73" t="s">
        <v>14</v>
      </c>
      <c r="D2" s="77">
        <f>Data4!A6</f>
        <v>0.02</v>
      </c>
      <c r="E2" s="20"/>
      <c r="F2" s="71" t="s">
        <v>0</v>
      </c>
      <c r="G2" s="58">
        <f>Data4!$AA$2</f>
        <v>1.5866929799999999E-2</v>
      </c>
      <c r="H2" s="91"/>
      <c r="I2" s="95"/>
    </row>
    <row r="3" spans="1:9" ht="27.6" customHeight="1" x14ac:dyDescent="0.3">
      <c r="B3" s="20"/>
      <c r="C3" s="74" t="s">
        <v>10</v>
      </c>
      <c r="D3" s="78">
        <f>Data4!A5</f>
        <v>0.15000000000000002</v>
      </c>
      <c r="E3" s="21"/>
      <c r="F3" s="72" t="s">
        <v>13</v>
      </c>
      <c r="G3" s="144">
        <f>DEGREES(2*ATAN(Data4!$T$1*(D4/0.2)))</f>
        <v>21.405314988403294</v>
      </c>
      <c r="H3" s="92"/>
      <c r="I3" s="91"/>
    </row>
    <row r="4" spans="1:9" ht="26.4" customHeight="1" x14ac:dyDescent="0.3">
      <c r="B4" s="20"/>
      <c r="C4" s="75" t="s">
        <v>9</v>
      </c>
      <c r="D4" s="81">
        <f>Data4!A7</f>
        <v>0.12</v>
      </c>
      <c r="E4" s="121"/>
      <c r="F4" s="118"/>
      <c r="G4" s="118"/>
      <c r="H4" s="157"/>
      <c r="I4" s="94"/>
    </row>
    <row r="5" spans="1:9" ht="26.4" customHeight="1" x14ac:dyDescent="0.3">
      <c r="B5" s="20"/>
      <c r="C5" s="75" t="s">
        <v>15</v>
      </c>
      <c r="D5" s="79">
        <f>Data4!M1</f>
        <v>6</v>
      </c>
      <c r="E5" s="121"/>
    </row>
    <row r="6" spans="1:9" ht="27" customHeight="1" x14ac:dyDescent="0.3">
      <c r="B6" s="20"/>
      <c r="C6" s="76" t="s">
        <v>7</v>
      </c>
      <c r="D6" s="80">
        <f>Data4!N1</f>
        <v>0.4</v>
      </c>
    </row>
  </sheetData>
  <sheetProtection algorithmName="SHA-512" hashValue="GU6cw8Uv2lNmVrCe3e121qYkVClfI2exFsauQOptyBOC6RY5VJjQBeqdkrBAk7F50O9Nl5tB4mpLlp387VKQnw==" saltValue="LhzpKHYz92amVYfUliO3HA==" spinCount="100000" sheet="1" objects="1" scenarios="1"/>
  <hyperlinks>
    <hyperlink ref="A1" location="Start_page!A1" display="BACK" xr:uid="{B7FF6F5F-F6E4-463B-BB9E-E93F79F7CBB4}"/>
  </hyperlinks>
  <pageMargins left="0.25" right="0.25" top="0.75" bottom="0.75" header="0.3" footer="0.3"/>
  <pageSetup paperSize="9" scale="85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43" r:id="rId4" name="Spinner 11">
              <controlPr locked="0" defaultSize="0" autoPict="0">
                <anchor moveWithCells="1" sizeWithCells="1">
                  <from>
                    <xdr:col>4</xdr:col>
                    <xdr:colOff>0</xdr:colOff>
                    <xdr:row>5</xdr:row>
                    <xdr:rowOff>30480</xdr:rowOff>
                  </from>
                  <to>
                    <xdr:col>4</xdr:col>
                    <xdr:colOff>144780</xdr:colOff>
                    <xdr:row>5</xdr:row>
                    <xdr:rowOff>320040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4" r:id="rId5" name="Spinner 12">
              <controlPr locked="0" defaultSize="0" autoPict="0">
                <anchor moveWithCells="1" sizeWithCells="1">
                  <from>
                    <xdr:col>4</xdr:col>
                    <xdr:colOff>0</xdr:colOff>
                    <xdr:row>4</xdr:row>
                    <xdr:rowOff>15240</xdr:rowOff>
                  </from>
                  <to>
                    <xdr:col>4</xdr:col>
                    <xdr:colOff>144780</xdr:colOff>
                    <xdr:row>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5" r:id="rId6" name="Spinner 13">
              <controlPr locked="0" defaultSize="0" autoPict="0">
                <anchor moveWithCells="1" sizeWithCells="1">
                  <from>
                    <xdr:col>4</xdr:col>
                    <xdr:colOff>0</xdr:colOff>
                    <xdr:row>1</xdr:row>
                    <xdr:rowOff>7620</xdr:rowOff>
                  </from>
                  <to>
                    <xdr:col>4</xdr:col>
                    <xdr:colOff>144780</xdr:colOff>
                    <xdr:row>1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6" r:id="rId7" name="Spinner 14">
              <controlPr locked="0" defaultSize="0" autoPict="0">
                <anchor moveWithCells="1" sizeWithCells="1">
                  <from>
                    <xdr:col>4</xdr:col>
                    <xdr:colOff>0</xdr:colOff>
                    <xdr:row>2</xdr:row>
                    <xdr:rowOff>15240</xdr:rowOff>
                  </from>
                  <to>
                    <xdr:col>4</xdr:col>
                    <xdr:colOff>144780</xdr:colOff>
                    <xdr:row>2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7" r:id="rId8" name="Spinner 15">
              <controlPr locked="0" defaultSize="0" autoPict="0">
                <anchor moveWithCells="1" sizeWithCells="1">
                  <from>
                    <xdr:col>4</xdr:col>
                    <xdr:colOff>0</xdr:colOff>
                    <xdr:row>3</xdr:row>
                    <xdr:rowOff>15240</xdr:rowOff>
                  </from>
                  <to>
                    <xdr:col>4</xdr:col>
                    <xdr:colOff>144780</xdr:colOff>
                    <xdr:row>3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9" r:id="rId9" name="Check Box 17">
              <controlPr locked="0" defaultSize="0" autoFill="0" autoLine="0" autoPict="0">
                <anchor moveWithCells="1">
                  <from>
                    <xdr:col>8</xdr:col>
                    <xdr:colOff>129540</xdr:colOff>
                    <xdr:row>1</xdr:row>
                    <xdr:rowOff>30480</xdr:rowOff>
                  </from>
                  <to>
                    <xdr:col>8</xdr:col>
                    <xdr:colOff>1059180</xdr:colOff>
                    <xdr:row>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0" r:id="rId10" name="Check Box 18">
              <controlPr locked="0" defaultSize="0" autoFill="0" autoLine="0" autoPict="0">
                <anchor moveWithCells="1">
                  <from>
                    <xdr:col>8</xdr:col>
                    <xdr:colOff>129540</xdr:colOff>
                    <xdr:row>1</xdr:row>
                    <xdr:rowOff>335280</xdr:rowOff>
                  </from>
                  <to>
                    <xdr:col>8</xdr:col>
                    <xdr:colOff>1592580</xdr:colOff>
                    <xdr:row>2</xdr:row>
                    <xdr:rowOff>320040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1" r:id="rId11" name="Check Box 19">
              <controlPr locked="0" defaultSize="0" autoFill="0" autoLine="0" autoPict="0">
                <anchor moveWithCells="1">
                  <from>
                    <xdr:col>8</xdr:col>
                    <xdr:colOff>129540</xdr:colOff>
                    <xdr:row>2</xdr:row>
                    <xdr:rowOff>289560</xdr:rowOff>
                  </from>
                  <to>
                    <xdr:col>8</xdr:col>
                    <xdr:colOff>1592580</xdr:colOff>
                    <xdr:row>3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16031-0AE5-472D-BAAD-7D922E74477A}">
  <sheetPr codeName="Sheet10"/>
  <dimension ref="A1:AD1000"/>
  <sheetViews>
    <sheetView topLeftCell="E1" zoomScale="83" zoomScaleNormal="70" workbookViewId="0">
      <selection activeCell="L499" sqref="L499"/>
    </sheetView>
  </sheetViews>
  <sheetFormatPr defaultRowHeight="14.4" x14ac:dyDescent="0.3"/>
  <cols>
    <col min="2" max="2" width="9" style="122" bestFit="1" customWidth="1"/>
    <col min="3" max="3" width="9.21875" style="126" bestFit="1" customWidth="1"/>
    <col min="4" max="4" width="8.88671875" style="126"/>
    <col min="5" max="7" width="9.44140625" style="126" bestFit="1" customWidth="1"/>
    <col min="8" max="9" width="8.88671875" style="126"/>
    <col min="10" max="10" width="9.44140625" style="126" bestFit="1" customWidth="1"/>
    <col min="11" max="11" width="8.88671875" style="126"/>
    <col min="12" max="13" width="9.21875" bestFit="1" customWidth="1"/>
    <col min="14" max="14" width="10.109375" customWidth="1"/>
    <col min="15" max="15" width="9.5546875" customWidth="1"/>
    <col min="16" max="16" width="10.21875" customWidth="1"/>
    <col min="17" max="17" width="10.5546875" customWidth="1"/>
    <col min="18" max="18" width="10.44140625" customWidth="1"/>
    <col min="19" max="19" width="10.33203125" customWidth="1"/>
    <col min="20" max="21" width="10.21875" customWidth="1"/>
    <col min="22" max="22" width="9.5546875" customWidth="1"/>
    <col min="23" max="23" width="9.88671875" customWidth="1"/>
    <col min="25" max="25" width="8.88671875" style="126"/>
    <col min="28" max="30" width="8.88671875" style="5"/>
  </cols>
  <sheetData>
    <row r="1" spans="1:30" x14ac:dyDescent="0.3">
      <c r="A1" s="40">
        <f>0.005*A4</f>
        <v>0</v>
      </c>
      <c r="B1" s="122" cm="1">
        <f t="array" ref="B1:B500">0.5*(1-COS((_xlfn.SEQUENCE(500,1,0,1)*PI())/(500-1)))</f>
        <v>0</v>
      </c>
      <c r="C1" s="122">
        <f t="shared" ref="C1:C64" si="0">IF($A$1=0, 0, IF(B1&lt;=$A$2, ($A$1/$A$2^2)*(2*$A$2*B1-B1^2), ($A$1/(1-$A$2)^2)*((1-2*$A$2)+2*$A$2*B1-B1^2)))</f>
        <v>0</v>
      </c>
      <c r="D1" s="126">
        <f t="shared" ref="D1:D64" si="1">IF(B1&lt;$N$1, ($A$3/0.2)*($O$1*SQRT(B1)+$P$1*B1+$Q$1*(B1^2)+$R$1*(B1^3)), ($A$3/0.2)*($S$1+$T$1*(1-B1)+$U$1*((1-B1)^2)+$V$1*((1-B1)^3)))</f>
        <v>0</v>
      </c>
      <c r="E1" s="122">
        <f t="shared" ref="E1:E64" si="2">IF($A$1=0, 0, IF(B1&lt;=$A$2, ($A$1/$A$2^2) *(2*$A$2-2*B1), ($A$1/(1-$A$2)^2)*(2*$A$2-2*B1)))</f>
        <v>0</v>
      </c>
      <c r="F1" s="122">
        <f t="shared" ref="F1:F64" si="3">IF($A$1=0, 0,  ATAN(E1))</f>
        <v>0</v>
      </c>
      <c r="G1" s="122">
        <f t="shared" ref="G1:G64" si="4">B1-D1*SIN(F1)</f>
        <v>0</v>
      </c>
      <c r="H1" s="122">
        <f t="shared" ref="H1:H64" si="5">C1+D1*COS(F1)</f>
        <v>0</v>
      </c>
      <c r="I1" s="122">
        <f t="shared" ref="I1:I64" si="6">B1+D1*SIN(F1)</f>
        <v>0</v>
      </c>
      <c r="J1" s="122">
        <f t="shared" ref="J1:J64" si="7">C1-D1*COS(F1)</f>
        <v>0</v>
      </c>
      <c r="K1" s="122"/>
      <c r="L1">
        <f>A4/10</f>
        <v>0</v>
      </c>
      <c r="M1" s="133">
        <v>4</v>
      </c>
      <c r="N1" s="29">
        <f>0.5</f>
        <v>0.5</v>
      </c>
      <c r="O1" s="28">
        <f>IF($M$1=9, 0.2969*SQRT(3),0.2969*(M1/6))</f>
        <v>0.19793333333333332</v>
      </c>
      <c r="P1" s="28">
        <f>(0.3/N1)-1.875*(O1/SQRT(N1))-0.1*(N1/W1)</f>
        <v>-4.7850008335714789E-2</v>
      </c>
      <c r="Q1" s="28">
        <f>-(0.3/(N1^2))+1.25*(O1/POWER(N1, 3/2))+(0.2/W1)</f>
        <v>-8.199988885713716E-3</v>
      </c>
      <c r="R1" s="28">
        <f>(0.1/N1^3)-0.375*(O1/POWER(N1, 5/2))-(0.1/(W1*N1))</f>
        <v>-0.11188000666857156</v>
      </c>
      <c r="S1" s="28">
        <f>IF(Z3, 0, 0.002)</f>
        <v>2E-3</v>
      </c>
      <c r="T1" s="28">
        <f>IF(N1=0.2, 0.2, IF(N1=0.3, 0.234, IF(N1=0.4, 0.315, IF(N1=0.5, 0.465, 0.7))))</f>
        <v>0.46500000000000002</v>
      </c>
      <c r="U1" s="28">
        <f>(3*(0.1-S1)-2*(1-N1)*T1)/((1-N1)^2)</f>
        <v>-0.68399999999999994</v>
      </c>
      <c r="V1" s="28">
        <f>(-2*(0.1-S1)+(1-N1)*T1)/((1-N1)^3)</f>
        <v>0.29200000000000004</v>
      </c>
      <c r="W1" s="27">
        <f>0.2*((1-N1)^2/(0.588-2*T1*(1-N1)))</f>
        <v>0.40650406504065062</v>
      </c>
      <c r="Y1" s="126">
        <f>IF($Z$1, C1, -0.5)</f>
        <v>-0.5</v>
      </c>
      <c r="Z1" s="19" t="b">
        <v>0</v>
      </c>
      <c r="AA1" s="126">
        <f>$F$1</f>
        <v>0</v>
      </c>
      <c r="AB1" s="5" cm="1">
        <f t="array" ref="AB1:AB50">_xlfn.SEQUENCE(50, 1, 0, (2*PI())/(50-1))</f>
        <v>0</v>
      </c>
      <c r="AC1" s="5">
        <f t="shared" ref="AC1:AC32" si="8">$AA$2*(COS($AA$1)+COS(AB1))</f>
        <v>1.4103937599999998E-2</v>
      </c>
      <c r="AD1" s="5">
        <f>IF($Z$2, $AA$2*(SIN($AA$1)+SIN(AB1)), -0.5)</f>
        <v>-0.5</v>
      </c>
    </row>
    <row r="2" spans="1:30" x14ac:dyDescent="0.3">
      <c r="A2" s="134">
        <f>0.5</f>
        <v>0.5</v>
      </c>
      <c r="B2" s="122">
        <v>9.9091688398611488E-6</v>
      </c>
      <c r="C2" s="122">
        <f t="shared" si="0"/>
        <v>0</v>
      </c>
      <c r="D2" s="126">
        <f t="shared" si="1"/>
        <v>3.7355811981606724E-4</v>
      </c>
      <c r="E2" s="122">
        <f t="shared" si="2"/>
        <v>0</v>
      </c>
      <c r="F2" s="122">
        <f t="shared" si="3"/>
        <v>0</v>
      </c>
      <c r="G2" s="122">
        <f t="shared" si="4"/>
        <v>9.9091688398611488E-6</v>
      </c>
      <c r="H2" s="122">
        <f t="shared" si="5"/>
        <v>3.7355811981606724E-4</v>
      </c>
      <c r="I2" s="122">
        <f t="shared" si="6"/>
        <v>9.9091688398611488E-6</v>
      </c>
      <c r="J2" s="122">
        <f t="shared" si="7"/>
        <v>-3.7355811981606724E-4</v>
      </c>
      <c r="K2" s="122"/>
      <c r="M2" s="27"/>
      <c r="N2" s="133"/>
      <c r="O2" s="27"/>
      <c r="P2" s="27"/>
      <c r="Q2" s="27"/>
      <c r="R2" s="27"/>
      <c r="S2" s="27"/>
      <c r="T2" s="27"/>
      <c r="U2" s="27"/>
      <c r="V2" s="27"/>
      <c r="W2" s="27"/>
      <c r="Y2" s="126">
        <f t="shared" ref="Y2:Y65" si="9">IF($Z$1, C2, -0.5)</f>
        <v>-0.5</v>
      </c>
      <c r="Z2" s="19" t="b">
        <v>0</v>
      </c>
      <c r="AA2">
        <f>0.5*(0.2969*($M$1/6)*($A$3/0.2))^2</f>
        <v>7.051968799999999E-3</v>
      </c>
      <c r="AB2" s="5">
        <v>0.12822827157509359</v>
      </c>
      <c r="AC2" s="5">
        <f t="shared" si="8"/>
        <v>1.4046041033633098E-2</v>
      </c>
      <c r="AD2" s="5">
        <f t="shared" ref="AD2:AD50" si="10">IF($Z$2, $AA$2*(SIN($AA$1)+SIN(AB2)), -0.5)</f>
        <v>-0.5</v>
      </c>
    </row>
    <row r="3" spans="1:30" x14ac:dyDescent="0.3">
      <c r="A3">
        <f>A5/100</f>
        <v>0.12</v>
      </c>
      <c r="B3" s="122">
        <v>3.9636282592903083E-5</v>
      </c>
      <c r="C3" s="122">
        <f t="shared" si="0"/>
        <v>0</v>
      </c>
      <c r="D3" s="126">
        <f t="shared" si="1"/>
        <v>7.4654355508817541E-4</v>
      </c>
      <c r="E3" s="122">
        <f t="shared" si="2"/>
        <v>0</v>
      </c>
      <c r="F3" s="122">
        <f t="shared" si="3"/>
        <v>0</v>
      </c>
      <c r="G3" s="122">
        <f t="shared" si="4"/>
        <v>3.9636282592903083E-5</v>
      </c>
      <c r="H3" s="122">
        <f t="shared" si="5"/>
        <v>7.4654355508817541E-4</v>
      </c>
      <c r="I3" s="122">
        <f t="shared" si="6"/>
        <v>3.9636282592903083E-5</v>
      </c>
      <c r="J3" s="122">
        <f t="shared" si="7"/>
        <v>-7.4654355508817541E-4</v>
      </c>
      <c r="K3" s="122"/>
      <c r="Y3" s="126">
        <f t="shared" si="9"/>
        <v>-0.5</v>
      </c>
      <c r="Z3" s="19" t="b">
        <v>0</v>
      </c>
      <c r="AB3" s="5">
        <v>0.25645654315018718</v>
      </c>
      <c r="AC3" s="5">
        <f t="shared" si="8"/>
        <v>1.3873301994551506E-2</v>
      </c>
      <c r="AD3" s="5">
        <f t="shared" si="10"/>
        <v>-0.5</v>
      </c>
    </row>
    <row r="4" spans="1:30" x14ac:dyDescent="0.3">
      <c r="A4" s="19">
        <v>0</v>
      </c>
      <c r="B4" s="122">
        <v>8.9180162975155408E-5</v>
      </c>
      <c r="C4" s="122">
        <f t="shared" si="0"/>
        <v>0</v>
      </c>
      <c r="D4" s="126">
        <f t="shared" si="1"/>
        <v>1.1189526177777208E-3</v>
      </c>
      <c r="E4" s="122">
        <f t="shared" si="2"/>
        <v>0</v>
      </c>
      <c r="F4" s="122">
        <f t="shared" si="3"/>
        <v>0</v>
      </c>
      <c r="G4" s="122">
        <f t="shared" si="4"/>
        <v>8.9180162975155408E-5</v>
      </c>
      <c r="H4" s="122">
        <f t="shared" si="5"/>
        <v>1.1189526177777208E-3</v>
      </c>
      <c r="I4" s="122">
        <f t="shared" si="6"/>
        <v>8.9180162975155408E-5</v>
      </c>
      <c r="J4" s="122">
        <f t="shared" si="7"/>
        <v>-1.1189526177777208E-3</v>
      </c>
      <c r="K4" s="122"/>
      <c r="Y4" s="126">
        <f t="shared" si="9"/>
        <v>-0.5</v>
      </c>
      <c r="AB4" s="5">
        <v>0.38468481472528077</v>
      </c>
      <c r="AC4" s="5">
        <f t="shared" si="8"/>
        <v>1.3588556853001314E-2</v>
      </c>
      <c r="AD4" s="5">
        <f t="shared" si="10"/>
        <v>-0.5</v>
      </c>
    </row>
    <row r="5" spans="1:30" x14ac:dyDescent="0.3">
      <c r="A5" s="19">
        <v>12</v>
      </c>
      <c r="B5" s="122">
        <v>1.5853884623195924E-4</v>
      </c>
      <c r="C5" s="122">
        <f t="shared" si="0"/>
        <v>0</v>
      </c>
      <c r="D5" s="126">
        <f t="shared" si="1"/>
        <v>1.4907816307790059E-3</v>
      </c>
      <c r="E5" s="122">
        <f t="shared" si="2"/>
        <v>0</v>
      </c>
      <c r="F5" s="122">
        <f t="shared" si="3"/>
        <v>0</v>
      </c>
      <c r="G5" s="122">
        <f t="shared" si="4"/>
        <v>1.5853884623195924E-4</v>
      </c>
      <c r="H5" s="122">
        <f t="shared" si="5"/>
        <v>1.4907816307790059E-3</v>
      </c>
      <c r="I5" s="122">
        <f t="shared" si="6"/>
        <v>1.5853884623195924E-4</v>
      </c>
      <c r="J5" s="122">
        <f t="shared" si="7"/>
        <v>-1.4907816307790059E-3</v>
      </c>
      <c r="K5" s="122"/>
      <c r="Y5" s="126">
        <f t="shared" si="9"/>
        <v>-0.5</v>
      </c>
      <c r="AB5" s="5">
        <v>0.51291308630037435</v>
      </c>
      <c r="AC5" s="5">
        <f t="shared" si="8"/>
        <v>1.3196481116334572E-2</v>
      </c>
      <c r="AD5" s="5">
        <f t="shared" si="10"/>
        <v>-0.5</v>
      </c>
    </row>
    <row r="6" spans="1:30" x14ac:dyDescent="0.3">
      <c r="B6" s="122">
        <v>2.4770958321568282E-4</v>
      </c>
      <c r="C6" s="122">
        <f t="shared" si="0"/>
        <v>0</v>
      </c>
      <c r="D6" s="126">
        <f t="shared" si="1"/>
        <v>1.8620269278414763E-3</v>
      </c>
      <c r="E6" s="122">
        <f t="shared" si="2"/>
        <v>0</v>
      </c>
      <c r="F6" s="122">
        <f t="shared" si="3"/>
        <v>0</v>
      </c>
      <c r="G6" s="122">
        <f t="shared" si="4"/>
        <v>2.4770958321568282E-4</v>
      </c>
      <c r="H6" s="122">
        <f t="shared" si="5"/>
        <v>1.8620269278414763E-3</v>
      </c>
      <c r="I6" s="122">
        <f t="shared" si="6"/>
        <v>2.4770958321568282E-4</v>
      </c>
      <c r="J6" s="122">
        <f t="shared" si="7"/>
        <v>-1.8620269278414763E-3</v>
      </c>
      <c r="K6" s="122"/>
      <c r="Y6" s="126">
        <f t="shared" si="9"/>
        <v>-0.5</v>
      </c>
      <c r="AB6" s="5">
        <v>0.64114135787546789</v>
      </c>
      <c r="AC6" s="5">
        <f t="shared" si="8"/>
        <v>1.2703512657307828E-2</v>
      </c>
      <c r="AD6" s="5">
        <f t="shared" si="10"/>
        <v>-0.5</v>
      </c>
    </row>
    <row r="7" spans="1:30" x14ac:dyDescent="0.3">
      <c r="B7" s="122">
        <v>3.566888394948009E-4</v>
      </c>
      <c r="C7" s="122">
        <f t="shared" si="0"/>
        <v>0</v>
      </c>
      <c r="D7" s="126">
        <f t="shared" si="1"/>
        <v>2.232684853447678E-3</v>
      </c>
      <c r="E7" s="122">
        <f t="shared" si="2"/>
        <v>0</v>
      </c>
      <c r="F7" s="122">
        <f t="shared" si="3"/>
        <v>0</v>
      </c>
      <c r="G7" s="122">
        <f t="shared" si="4"/>
        <v>3.566888394948009E-4</v>
      </c>
      <c r="H7" s="122">
        <f t="shared" si="5"/>
        <v>2.232684853447678E-3</v>
      </c>
      <c r="I7" s="122">
        <f t="shared" si="6"/>
        <v>3.566888394948009E-4</v>
      </c>
      <c r="J7" s="122">
        <f t="shared" si="7"/>
        <v>-2.232684853447678E-3</v>
      </c>
      <c r="K7" s="122"/>
      <c r="Y7" s="126">
        <f t="shared" si="9"/>
        <v>-0.5</v>
      </c>
      <c r="AB7" s="5">
        <v>0.76936962945056142</v>
      </c>
      <c r="AC7" s="5">
        <f t="shared" si="8"/>
        <v>1.2117746004389451E-2</v>
      </c>
      <c r="AD7" s="5">
        <f t="shared" si="10"/>
        <v>-0.5</v>
      </c>
    </row>
    <row r="8" spans="1:30" x14ac:dyDescent="0.3">
      <c r="B8" s="122">
        <v>4.8547229549383841E-4</v>
      </c>
      <c r="C8" s="122">
        <f t="shared" si="0"/>
        <v>0</v>
      </c>
      <c r="D8" s="126">
        <f t="shared" si="1"/>
        <v>2.6027517626444709E-3</v>
      </c>
      <c r="E8" s="122">
        <f t="shared" si="2"/>
        <v>0</v>
      </c>
      <c r="F8" s="122">
        <f t="shared" si="3"/>
        <v>0</v>
      </c>
      <c r="G8" s="122">
        <f t="shared" si="4"/>
        <v>4.8547229549383841E-4</v>
      </c>
      <c r="H8" s="122">
        <f t="shared" si="5"/>
        <v>2.6027517626444709E-3</v>
      </c>
      <c r="I8" s="122">
        <f t="shared" si="6"/>
        <v>4.8547229549383841E-4</v>
      </c>
      <c r="J8" s="122">
        <f t="shared" si="7"/>
        <v>-2.6027517626444709E-3</v>
      </c>
      <c r="K8" s="122"/>
      <c r="Y8" s="126">
        <f t="shared" si="9"/>
        <v>-0.5</v>
      </c>
      <c r="AB8" s="5">
        <v>0.89759790102565495</v>
      </c>
      <c r="AC8" s="5">
        <f t="shared" si="8"/>
        <v>1.1448799429825971E-2</v>
      </c>
      <c r="AD8" s="5">
        <f t="shared" si="10"/>
        <v>-0.5</v>
      </c>
    </row>
    <row r="9" spans="1:30" x14ac:dyDescent="0.3">
      <c r="B9" s="122">
        <v>6.3405484666484435E-4</v>
      </c>
      <c r="C9" s="122">
        <f t="shared" si="0"/>
        <v>0</v>
      </c>
      <c r="D9" s="126">
        <f t="shared" si="1"/>
        <v>2.9722240208303612E-3</v>
      </c>
      <c r="E9" s="122">
        <f t="shared" si="2"/>
        <v>0</v>
      </c>
      <c r="F9" s="122">
        <f t="shared" si="3"/>
        <v>0</v>
      </c>
      <c r="G9" s="122">
        <f t="shared" si="4"/>
        <v>6.3405484666484435E-4</v>
      </c>
      <c r="H9" s="122">
        <f t="shared" si="5"/>
        <v>2.9722240208303612E-3</v>
      </c>
      <c r="I9" s="122">
        <f t="shared" si="6"/>
        <v>6.3405484666484435E-4</v>
      </c>
      <c r="J9" s="122">
        <f t="shared" si="7"/>
        <v>-2.9722240208303612E-3</v>
      </c>
      <c r="K9" s="122"/>
      <c r="Y9" s="126">
        <f t="shared" si="9"/>
        <v>-0.5</v>
      </c>
      <c r="AB9" s="5">
        <v>1.0258261726007485</v>
      </c>
      <c r="AC9" s="5">
        <f t="shared" si="8"/>
        <v>1.0707657017877691E-2</v>
      </c>
      <c r="AD9" s="5">
        <f t="shared" si="10"/>
        <v>-0.5</v>
      </c>
    </row>
    <row r="10" spans="1:30" x14ac:dyDescent="0.3">
      <c r="B10" s="122">
        <v>8.0243060368939689E-4</v>
      </c>
      <c r="C10" s="122">
        <f t="shared" si="0"/>
        <v>0</v>
      </c>
      <c r="D10" s="126">
        <f t="shared" si="1"/>
        <v>3.3410980034959126E-3</v>
      </c>
      <c r="E10" s="122">
        <f t="shared" si="2"/>
        <v>0</v>
      </c>
      <c r="F10" s="122">
        <f t="shared" si="3"/>
        <v>0</v>
      </c>
      <c r="G10" s="122">
        <f t="shared" si="4"/>
        <v>8.0243060368939689E-4</v>
      </c>
      <c r="H10" s="122">
        <f t="shared" si="5"/>
        <v>3.3410980034959126E-3</v>
      </c>
      <c r="I10" s="122">
        <f t="shared" si="6"/>
        <v>8.0243060368939689E-4</v>
      </c>
      <c r="J10" s="122">
        <f t="shared" si="7"/>
        <v>-3.3410980034959126E-3</v>
      </c>
      <c r="K10" s="122"/>
      <c r="Y10" s="126">
        <f t="shared" si="9"/>
        <v>-0.5</v>
      </c>
      <c r="AB10" s="5">
        <v>1.154054444175842</v>
      </c>
      <c r="AC10" s="5">
        <f t="shared" si="8"/>
        <v>9.9064883064588164E-3</v>
      </c>
      <c r="AD10" s="5">
        <f t="shared" si="10"/>
        <v>-0.5</v>
      </c>
    </row>
    <row r="11" spans="1:30" x14ac:dyDescent="0.3">
      <c r="B11" s="122">
        <v>9.9059289271236084E-4</v>
      </c>
      <c r="C11" s="122">
        <f t="shared" si="0"/>
        <v>0</v>
      </c>
      <c r="D11" s="126">
        <f t="shared" si="1"/>
        <v>3.7093700959209526E-3</v>
      </c>
      <c r="E11" s="122">
        <f t="shared" si="2"/>
        <v>0</v>
      </c>
      <c r="F11" s="122">
        <f t="shared" si="3"/>
        <v>0</v>
      </c>
      <c r="G11" s="122">
        <f t="shared" si="4"/>
        <v>9.9059289271236084E-4</v>
      </c>
      <c r="H11" s="122">
        <f t="shared" si="5"/>
        <v>3.7093700959209526E-3</v>
      </c>
      <c r="I11" s="122">
        <f t="shared" si="6"/>
        <v>9.9059289271236084E-4</v>
      </c>
      <c r="J11" s="122">
        <f t="shared" si="7"/>
        <v>-3.7093700959209526E-3</v>
      </c>
      <c r="K11" s="122"/>
      <c r="Y11" s="126">
        <f t="shared" si="9"/>
        <v>-0.5</v>
      </c>
      <c r="AB11" s="5">
        <v>1.2822827157509356</v>
      </c>
      <c r="AC11" s="5">
        <f t="shared" si="8"/>
        <v>9.0584484636613387E-3</v>
      </c>
      <c r="AD11" s="5">
        <f t="shared" si="10"/>
        <v>-0.5</v>
      </c>
    </row>
    <row r="12" spans="1:30" x14ac:dyDescent="0.3">
      <c r="B12" s="122">
        <v>1.1985342556060652E-3</v>
      </c>
      <c r="C12" s="122">
        <f t="shared" si="0"/>
        <v>0</v>
      </c>
      <c r="D12" s="126">
        <f t="shared" si="1"/>
        <v>4.0770366928253726E-3</v>
      </c>
      <c r="E12" s="122">
        <f t="shared" si="2"/>
        <v>0</v>
      </c>
      <c r="F12" s="122">
        <f t="shared" si="3"/>
        <v>0</v>
      </c>
      <c r="G12" s="122">
        <f t="shared" si="4"/>
        <v>1.1985342556060652E-3</v>
      </c>
      <c r="H12" s="122">
        <f t="shared" si="5"/>
        <v>4.0770366928253726E-3</v>
      </c>
      <c r="I12" s="122">
        <f t="shared" si="6"/>
        <v>1.1985342556060652E-3</v>
      </c>
      <c r="J12" s="122">
        <f t="shared" si="7"/>
        <v>-4.0770366928253726E-3</v>
      </c>
      <c r="K12" s="122"/>
      <c r="Y12" s="126">
        <f t="shared" si="9"/>
        <v>-0.5</v>
      </c>
      <c r="AB12" s="5">
        <v>1.4105109873260291</v>
      </c>
      <c r="AC12" s="5">
        <f t="shared" si="8"/>
        <v>8.1774622802586669E-3</v>
      </c>
      <c r="AD12" s="5">
        <f t="shared" si="10"/>
        <v>-0.5</v>
      </c>
    </row>
    <row r="13" spans="1:30" x14ac:dyDescent="0.3">
      <c r="B13" s="122">
        <v>1.4262464502662886E-3</v>
      </c>
      <c r="C13" s="122">
        <f t="shared" si="0"/>
        <v>0</v>
      </c>
      <c r="D13" s="126">
        <f t="shared" si="1"/>
        <v>4.4440941979768589E-3</v>
      </c>
      <c r="E13" s="122">
        <f t="shared" si="2"/>
        <v>0</v>
      </c>
      <c r="F13" s="122">
        <f t="shared" si="3"/>
        <v>0</v>
      </c>
      <c r="G13" s="122">
        <f t="shared" si="4"/>
        <v>1.4262464502662886E-3</v>
      </c>
      <c r="H13" s="122">
        <f t="shared" si="5"/>
        <v>4.4440941979768589E-3</v>
      </c>
      <c r="I13" s="122">
        <f t="shared" si="6"/>
        <v>1.4262464502662886E-3</v>
      </c>
      <c r="J13" s="122">
        <f t="shared" si="7"/>
        <v>-4.4440941979768589E-3</v>
      </c>
      <c r="K13" s="122"/>
      <c r="Y13" s="126">
        <f t="shared" si="9"/>
        <v>-0.5</v>
      </c>
      <c r="AB13" s="5">
        <v>1.5387392589011226</v>
      </c>
      <c r="AC13" s="5">
        <f t="shared" si="8"/>
        <v>7.2779955250260962E-3</v>
      </c>
      <c r="AD13" s="5">
        <f t="shared" si="10"/>
        <v>-0.5</v>
      </c>
    </row>
    <row r="14" spans="1:30" x14ac:dyDescent="0.3">
      <c r="B14" s="122">
        <v>1.6737204509387205E-3</v>
      </c>
      <c r="C14" s="122">
        <f t="shared" si="0"/>
        <v>0</v>
      </c>
      <c r="D14" s="126">
        <f t="shared" si="1"/>
        <v>4.8105390237530793E-3</v>
      </c>
      <c r="E14" s="122">
        <f t="shared" si="2"/>
        <v>0</v>
      </c>
      <c r="F14" s="122">
        <f t="shared" si="3"/>
        <v>0</v>
      </c>
      <c r="G14" s="122">
        <f t="shared" si="4"/>
        <v>1.6737204509387205E-3</v>
      </c>
      <c r="H14" s="122">
        <f t="shared" si="5"/>
        <v>4.8105390237530793E-3</v>
      </c>
      <c r="I14" s="122">
        <f t="shared" si="6"/>
        <v>1.6737204509387205E-3</v>
      </c>
      <c r="J14" s="122">
        <f t="shared" si="7"/>
        <v>-4.8105390237530793E-3</v>
      </c>
      <c r="K14" s="122"/>
      <c r="Y14" s="126">
        <f t="shared" si="9"/>
        <v>-0.5</v>
      </c>
      <c r="AB14" s="5">
        <v>1.6669675304762162</v>
      </c>
      <c r="AC14" s="5">
        <f t="shared" si="8"/>
        <v>6.3748174172174408E-3</v>
      </c>
      <c r="AD14" s="5">
        <f t="shared" si="10"/>
        <v>-0.5</v>
      </c>
    </row>
    <row r="15" spans="1:30" x14ac:dyDescent="0.3">
      <c r="B15" s="122">
        <v>1.9409464485766748E-3</v>
      </c>
      <c r="C15" s="122">
        <f t="shared" si="0"/>
        <v>0</v>
      </c>
      <c r="D15" s="126">
        <f t="shared" si="1"/>
        <v>5.1763675906602658E-3</v>
      </c>
      <c r="E15" s="122">
        <f t="shared" si="2"/>
        <v>0</v>
      </c>
      <c r="F15" s="122">
        <f t="shared" si="3"/>
        <v>0</v>
      </c>
      <c r="G15" s="122">
        <f t="shared" si="4"/>
        <v>1.9409464485766748E-3</v>
      </c>
      <c r="H15" s="122">
        <f t="shared" si="5"/>
        <v>5.1763675906602658E-3</v>
      </c>
      <c r="I15" s="122">
        <f t="shared" si="6"/>
        <v>1.9409464485766748E-3</v>
      </c>
      <c r="J15" s="122">
        <f t="shared" si="7"/>
        <v>-5.1763675906602658E-3</v>
      </c>
      <c r="K15" s="122"/>
      <c r="Y15" s="126">
        <f t="shared" si="9"/>
        <v>-0.5</v>
      </c>
      <c r="AB15" s="5">
        <v>1.7951958020513097</v>
      </c>
      <c r="AC15" s="5">
        <f t="shared" si="8"/>
        <v>5.4827581163932144E-3</v>
      </c>
      <c r="AD15" s="5">
        <f t="shared" si="10"/>
        <v>-0.5</v>
      </c>
    </row>
    <row r="16" spans="1:30" x14ac:dyDescent="0.3">
      <c r="B16" s="122">
        <v>2.2279138512300567E-3</v>
      </c>
      <c r="C16" s="122">
        <f t="shared" si="0"/>
        <v>0</v>
      </c>
      <c r="D16" s="126">
        <f t="shared" si="1"/>
        <v>5.5415763268082561E-3</v>
      </c>
      <c r="E16" s="122">
        <f t="shared" si="2"/>
        <v>0</v>
      </c>
      <c r="F16" s="122">
        <f t="shared" si="3"/>
        <v>0</v>
      </c>
      <c r="G16" s="122">
        <f t="shared" si="4"/>
        <v>2.2279138512300567E-3</v>
      </c>
      <c r="H16" s="122">
        <f t="shared" si="5"/>
        <v>5.5415763268082561E-3</v>
      </c>
      <c r="I16" s="122">
        <f t="shared" si="6"/>
        <v>2.2279138512300567E-3</v>
      </c>
      <c r="J16" s="122">
        <f t="shared" si="7"/>
        <v>-5.5415763268082561E-3</v>
      </c>
      <c r="K16" s="122"/>
      <c r="Y16" s="126">
        <f t="shared" si="9"/>
        <v>-0.5</v>
      </c>
      <c r="AB16" s="5">
        <v>1.9234240736264032</v>
      </c>
      <c r="AC16" s="5">
        <f t="shared" si="8"/>
        <v>4.6164652116106406E-3</v>
      </c>
      <c r="AD16" s="5">
        <f t="shared" si="10"/>
        <v>-0.5</v>
      </c>
    </row>
    <row r="17" spans="2:30" x14ac:dyDescent="0.3">
      <c r="B17" s="122">
        <v>2.534611284465027E-3</v>
      </c>
      <c r="C17" s="122">
        <f t="shared" si="0"/>
        <v>0</v>
      </c>
      <c r="D17" s="126">
        <f t="shared" si="1"/>
        <v>5.9061616673416273E-3</v>
      </c>
      <c r="E17" s="122">
        <f t="shared" si="2"/>
        <v>0</v>
      </c>
      <c r="F17" s="122">
        <f t="shared" si="3"/>
        <v>0</v>
      </c>
      <c r="G17" s="122">
        <f t="shared" si="4"/>
        <v>2.534611284465027E-3</v>
      </c>
      <c r="H17" s="122">
        <f t="shared" si="5"/>
        <v>5.9061616673416273E-3</v>
      </c>
      <c r="I17" s="122">
        <f t="shared" si="6"/>
        <v>2.534611284465027E-3</v>
      </c>
      <c r="J17" s="122">
        <f t="shared" si="7"/>
        <v>-5.9061616673416273E-3</v>
      </c>
      <c r="K17" s="122"/>
      <c r="Y17" s="126">
        <f t="shared" si="9"/>
        <v>-0.5</v>
      </c>
      <c r="AB17" s="5">
        <v>2.051652345201497</v>
      </c>
      <c r="AC17" s="5">
        <f t="shared" si="8"/>
        <v>3.7901632084162886E-3</v>
      </c>
      <c r="AD17" s="5">
        <f t="shared" si="10"/>
        <v>-0.5</v>
      </c>
    </row>
    <row r="18" spans="2:30" x14ac:dyDescent="0.3">
      <c r="B18" s="122">
        <v>2.8610265918151412E-3</v>
      </c>
      <c r="C18" s="122">
        <f t="shared" si="0"/>
        <v>0</v>
      </c>
      <c r="D18" s="126">
        <f t="shared" si="1"/>
        <v>6.2701200538282627E-3</v>
      </c>
      <c r="E18" s="122">
        <f t="shared" si="2"/>
        <v>0</v>
      </c>
      <c r="F18" s="122">
        <f t="shared" si="3"/>
        <v>0</v>
      </c>
      <c r="G18" s="122">
        <f t="shared" si="4"/>
        <v>2.8610265918151412E-3</v>
      </c>
      <c r="H18" s="122">
        <f t="shared" si="5"/>
        <v>6.2701200538282627E-3</v>
      </c>
      <c r="I18" s="122">
        <f t="shared" si="6"/>
        <v>2.8610265918151412E-3</v>
      </c>
      <c r="J18" s="122">
        <f t="shared" si="7"/>
        <v>-6.2701200538282627E-3</v>
      </c>
      <c r="K18" s="122"/>
      <c r="Y18" s="126">
        <f t="shared" si="9"/>
        <v>-0.5</v>
      </c>
      <c r="AB18" s="5">
        <v>2.1798806167765905</v>
      </c>
      <c r="AC18" s="5">
        <f t="shared" si="8"/>
        <v>3.0174199628582588E-3</v>
      </c>
      <c r="AD18" s="5">
        <f t="shared" si="10"/>
        <v>-0.5</v>
      </c>
    </row>
    <row r="19" spans="2:30" x14ac:dyDescent="0.3">
      <c r="B19" s="122">
        <v>3.2071468352626864E-3</v>
      </c>
      <c r="C19" s="122">
        <f t="shared" si="0"/>
        <v>0</v>
      </c>
      <c r="D19" s="126">
        <f t="shared" si="1"/>
        <v>6.6334479336042475E-3</v>
      </c>
      <c r="E19" s="122">
        <f t="shared" si="2"/>
        <v>0</v>
      </c>
      <c r="F19" s="122">
        <f t="shared" si="3"/>
        <v>0</v>
      </c>
      <c r="G19" s="122">
        <f t="shared" si="4"/>
        <v>3.2071468352626864E-3</v>
      </c>
      <c r="H19" s="122">
        <f t="shared" si="5"/>
        <v>6.6334479336042475E-3</v>
      </c>
      <c r="I19" s="122">
        <f t="shared" si="6"/>
        <v>3.2071468352626864E-3</v>
      </c>
      <c r="J19" s="122">
        <f t="shared" si="7"/>
        <v>-6.6334479336042475E-3</v>
      </c>
      <c r="K19" s="122"/>
      <c r="Y19" s="126">
        <f t="shared" si="9"/>
        <v>-0.5</v>
      </c>
      <c r="AB19" s="5">
        <v>2.308108888351684</v>
      </c>
      <c r="AC19" s="5">
        <f t="shared" si="8"/>
        <v>2.3109238976649739E-3</v>
      </c>
      <c r="AD19" s="5">
        <f t="shared" si="10"/>
        <v>-0.5</v>
      </c>
    </row>
    <row r="20" spans="2:30" x14ac:dyDescent="0.3">
      <c r="B20" s="122">
        <v>3.5729582957520489E-3</v>
      </c>
      <c r="C20" s="122">
        <f t="shared" si="0"/>
        <v>0</v>
      </c>
      <c r="D20" s="126">
        <f t="shared" si="1"/>
        <v>6.9961417590776202E-3</v>
      </c>
      <c r="E20" s="122">
        <f t="shared" si="2"/>
        <v>0</v>
      </c>
      <c r="F20" s="122">
        <f t="shared" si="3"/>
        <v>0</v>
      </c>
      <c r="G20" s="122">
        <f t="shared" si="4"/>
        <v>3.5729582957520489E-3</v>
      </c>
      <c r="H20" s="122">
        <f t="shared" si="5"/>
        <v>6.9961417590776202E-3</v>
      </c>
      <c r="I20" s="122">
        <f t="shared" si="6"/>
        <v>3.5729582957520489E-3</v>
      </c>
      <c r="J20" s="122">
        <f t="shared" si="7"/>
        <v>-6.9961417590776202E-3</v>
      </c>
      <c r="K20" s="122"/>
      <c r="Y20" s="126">
        <f t="shared" si="9"/>
        <v>-0.5</v>
      </c>
      <c r="AB20" s="5">
        <v>2.4363371599267776</v>
      </c>
      <c r="AC20" s="5">
        <f t="shared" si="8"/>
        <v>1.6822756586947689E-3</v>
      </c>
      <c r="AD20" s="5">
        <f t="shared" si="10"/>
        <v>-0.5</v>
      </c>
    </row>
    <row r="21" spans="2:30" x14ac:dyDescent="0.3">
      <c r="B21" s="122">
        <v>3.9584464737330016E-3</v>
      </c>
      <c r="C21" s="122">
        <f t="shared" si="0"/>
        <v>0</v>
      </c>
      <c r="D21" s="126">
        <f t="shared" si="1"/>
        <v>7.3581979869890351E-3</v>
      </c>
      <c r="E21" s="122">
        <f t="shared" si="2"/>
        <v>0</v>
      </c>
      <c r="F21" s="122">
        <f t="shared" si="3"/>
        <v>0</v>
      </c>
      <c r="G21" s="122">
        <f t="shared" si="4"/>
        <v>3.9584464737330016E-3</v>
      </c>
      <c r="H21" s="122">
        <f t="shared" si="5"/>
        <v>7.3581979869890351E-3</v>
      </c>
      <c r="I21" s="122">
        <f t="shared" si="6"/>
        <v>3.9584464737330016E-3</v>
      </c>
      <c r="J21" s="122">
        <f t="shared" si="7"/>
        <v>-7.3581979869890351E-3</v>
      </c>
      <c r="K21" s="122"/>
      <c r="Y21" s="126">
        <f t="shared" si="9"/>
        <v>-0.5</v>
      </c>
      <c r="AB21" s="5">
        <v>2.5645654315018711</v>
      </c>
      <c r="AC21" s="5">
        <f t="shared" si="8"/>
        <v>1.1417976326516157E-3</v>
      </c>
      <c r="AD21" s="5">
        <f t="shared" si="10"/>
        <v>-0.5</v>
      </c>
    </row>
    <row r="22" spans="2:30" x14ac:dyDescent="0.3">
      <c r="B22" s="122">
        <v>4.3635960897359105E-3</v>
      </c>
      <c r="C22" s="122">
        <f t="shared" si="0"/>
        <v>0</v>
      </c>
      <c r="D22" s="126">
        <f t="shared" si="1"/>
        <v>7.7196130776319271E-3</v>
      </c>
      <c r="E22" s="122">
        <f t="shared" si="2"/>
        <v>0</v>
      </c>
      <c r="F22" s="122">
        <f t="shared" si="3"/>
        <v>0</v>
      </c>
      <c r="G22" s="122">
        <f t="shared" si="4"/>
        <v>4.3635960897359105E-3</v>
      </c>
      <c r="H22" s="122">
        <f t="shared" si="5"/>
        <v>7.7196130776319271E-3</v>
      </c>
      <c r="I22" s="122">
        <f t="shared" si="6"/>
        <v>4.3635960897359105E-3</v>
      </c>
      <c r="J22" s="122">
        <f t="shared" si="7"/>
        <v>-7.7196130776319271E-3</v>
      </c>
      <c r="K22" s="122"/>
      <c r="Y22" s="126">
        <f t="shared" si="9"/>
        <v>-0.5</v>
      </c>
      <c r="AB22" s="5">
        <v>2.6927937030769646</v>
      </c>
      <c r="AC22" s="5">
        <f t="shared" si="8"/>
        <v>6.9836445378082177E-4</v>
      </c>
      <c r="AD22" s="5">
        <f t="shared" si="10"/>
        <v>-0.5</v>
      </c>
    </row>
    <row r="23" spans="2:30" x14ac:dyDescent="0.3">
      <c r="B23" s="122">
        <v>4.7883910849768618E-3</v>
      </c>
      <c r="C23" s="122">
        <f t="shared" si="0"/>
        <v>0</v>
      </c>
      <c r="D23" s="126">
        <f t="shared" si="1"/>
        <v>8.0803834940307018E-3</v>
      </c>
      <c r="E23" s="122">
        <f t="shared" si="2"/>
        <v>0</v>
      </c>
      <c r="F23" s="122">
        <f t="shared" si="3"/>
        <v>0</v>
      </c>
      <c r="G23" s="122">
        <f t="shared" si="4"/>
        <v>4.7883910849768618E-3</v>
      </c>
      <c r="H23" s="122">
        <f t="shared" si="5"/>
        <v>8.0803834940307018E-3</v>
      </c>
      <c r="I23" s="122">
        <f t="shared" si="6"/>
        <v>4.7883910849768618E-3</v>
      </c>
      <c r="J23" s="122">
        <f t="shared" si="7"/>
        <v>-8.0803834940307018E-3</v>
      </c>
      <c r="K23" s="122"/>
      <c r="Y23" s="126">
        <f t="shared" si="9"/>
        <v>-0.5</v>
      </c>
      <c r="AB23" s="5">
        <v>2.8210219746520582</v>
      </c>
      <c r="AC23" s="5">
        <f t="shared" si="8"/>
        <v>3.5925728262007381E-4</v>
      </c>
      <c r="AD23" s="5">
        <f t="shared" si="10"/>
        <v>-0.5</v>
      </c>
    </row>
    <row r="24" spans="2:30" x14ac:dyDescent="0.3">
      <c r="B24" s="122">
        <v>5.232814621994597E-3</v>
      </c>
      <c r="C24" s="122">
        <f t="shared" si="0"/>
        <v>0</v>
      </c>
      <c r="D24" s="126">
        <f t="shared" si="1"/>
        <v>8.4405057010791991E-3</v>
      </c>
      <c r="E24" s="122">
        <f t="shared" si="2"/>
        <v>0</v>
      </c>
      <c r="F24" s="122">
        <f t="shared" si="3"/>
        <v>0</v>
      </c>
      <c r="G24" s="122">
        <f t="shared" si="4"/>
        <v>5.232814621994597E-3</v>
      </c>
      <c r="H24" s="122">
        <f t="shared" si="5"/>
        <v>8.4405057010791991E-3</v>
      </c>
      <c r="I24" s="122">
        <f t="shared" si="6"/>
        <v>5.232814621994597E-3</v>
      </c>
      <c r="J24" s="122">
        <f t="shared" si="7"/>
        <v>-8.4405057010791991E-3</v>
      </c>
      <c r="K24" s="122"/>
      <c r="Y24" s="126">
        <f t="shared" si="9"/>
        <v>-0.5</v>
      </c>
      <c r="AB24" s="5">
        <v>2.9492502462271517</v>
      </c>
      <c r="AC24" s="5">
        <f t="shared" si="8"/>
        <v>1.3004424954470698E-4</v>
      </c>
      <c r="AD24" s="5">
        <f t="shared" si="10"/>
        <v>-0.5</v>
      </c>
    </row>
    <row r="25" spans="2:30" x14ac:dyDescent="0.3">
      <c r="B25" s="122">
        <v>5.6968490853176457E-3</v>
      </c>
      <c r="C25" s="122">
        <f t="shared" si="0"/>
        <v>0</v>
      </c>
      <c r="D25" s="126">
        <f t="shared" si="1"/>
        <v>8.7999761646385555E-3</v>
      </c>
      <c r="E25" s="122">
        <f t="shared" si="2"/>
        <v>0</v>
      </c>
      <c r="F25" s="122">
        <f t="shared" si="3"/>
        <v>0</v>
      </c>
      <c r="G25" s="122">
        <f t="shared" si="4"/>
        <v>5.6968490853176457E-3</v>
      </c>
      <c r="H25" s="122">
        <f t="shared" si="5"/>
        <v>8.7999761646385555E-3</v>
      </c>
      <c r="I25" s="122">
        <f t="shared" si="6"/>
        <v>5.6968490853176457E-3</v>
      </c>
      <c r="J25" s="122">
        <f t="shared" si="7"/>
        <v>-8.7999761646385555E-3</v>
      </c>
      <c r="K25" s="122"/>
      <c r="Y25" s="126">
        <f t="shared" si="9"/>
        <v>-0.5</v>
      </c>
      <c r="AB25" s="5">
        <v>3.0774785178022452</v>
      </c>
      <c r="AC25" s="5">
        <f t="shared" si="8"/>
        <v>1.4489026220882754E-5</v>
      </c>
      <c r="AD25" s="5">
        <f t="shared" si="10"/>
        <v>-0.5</v>
      </c>
    </row>
    <row r="26" spans="2:30" x14ac:dyDescent="0.3">
      <c r="B26" s="122">
        <v>6.1804760821626559E-3</v>
      </c>
      <c r="C26" s="122">
        <f t="shared" si="0"/>
        <v>0</v>
      </c>
      <c r="D26" s="126">
        <f t="shared" si="1"/>
        <v>9.1587913505958643E-3</v>
      </c>
      <c r="E26" s="122">
        <f t="shared" si="2"/>
        <v>0</v>
      </c>
      <c r="F26" s="122">
        <f t="shared" si="3"/>
        <v>0</v>
      </c>
      <c r="G26" s="122">
        <f t="shared" si="4"/>
        <v>6.1804760821626559E-3</v>
      </c>
      <c r="H26" s="122">
        <f t="shared" si="5"/>
        <v>9.1587913505958643E-3</v>
      </c>
      <c r="I26" s="122">
        <f t="shared" si="6"/>
        <v>6.1804760821626559E-3</v>
      </c>
      <c r="J26" s="122">
        <f t="shared" si="7"/>
        <v>-9.1587913505958643E-3</v>
      </c>
      <c r="K26" s="122"/>
      <c r="Y26" s="126">
        <f t="shared" si="9"/>
        <v>-0.5</v>
      </c>
      <c r="AB26" s="5">
        <v>3.2057067893773388</v>
      </c>
      <c r="AC26" s="5">
        <f t="shared" si="8"/>
        <v>1.4489026220881189E-5</v>
      </c>
      <c r="AD26" s="5">
        <f t="shared" si="10"/>
        <v>-0.5</v>
      </c>
    </row>
    <row r="27" spans="2:30" x14ac:dyDescent="0.3">
      <c r="B27" s="122">
        <v>6.6836764431632556E-3</v>
      </c>
      <c r="C27" s="122">
        <f t="shared" si="0"/>
        <v>0</v>
      </c>
      <c r="D27" s="126">
        <f t="shared" si="1"/>
        <v>9.5169477238836765E-3</v>
      </c>
      <c r="E27" s="122">
        <f t="shared" si="2"/>
        <v>0</v>
      </c>
      <c r="F27" s="122">
        <f t="shared" si="3"/>
        <v>0</v>
      </c>
      <c r="G27" s="122">
        <f t="shared" si="4"/>
        <v>6.6836764431632556E-3</v>
      </c>
      <c r="H27" s="122">
        <f t="shared" si="5"/>
        <v>9.5169477238836765E-3</v>
      </c>
      <c r="I27" s="122">
        <f t="shared" si="6"/>
        <v>6.6836764431632556E-3</v>
      </c>
      <c r="J27" s="122">
        <f t="shared" si="7"/>
        <v>-9.5169477238836765E-3</v>
      </c>
      <c r="K27" s="122"/>
      <c r="Y27" s="126">
        <f t="shared" si="9"/>
        <v>-0.5</v>
      </c>
      <c r="AB27" s="5">
        <v>3.3339350609524323</v>
      </c>
      <c r="AC27" s="5">
        <f t="shared" si="8"/>
        <v>1.3004424954470305E-4</v>
      </c>
      <c r="AD27" s="5">
        <f t="shared" si="10"/>
        <v>-0.5</v>
      </c>
    </row>
    <row r="28" spans="2:30" x14ac:dyDescent="0.3">
      <c r="B28" s="122">
        <v>7.2064302231302224E-3</v>
      </c>
      <c r="C28" s="122">
        <f t="shared" si="0"/>
        <v>0</v>
      </c>
      <c r="D28" s="126">
        <f t="shared" si="1"/>
        <v>9.8744417474615313E-3</v>
      </c>
      <c r="E28" s="122">
        <f t="shared" si="2"/>
        <v>0</v>
      </c>
      <c r="F28" s="122">
        <f t="shared" si="3"/>
        <v>0</v>
      </c>
      <c r="G28" s="122">
        <f t="shared" si="4"/>
        <v>7.2064302231302224E-3</v>
      </c>
      <c r="H28" s="122">
        <f t="shared" si="5"/>
        <v>9.8744417474615313E-3</v>
      </c>
      <c r="I28" s="122">
        <f t="shared" si="6"/>
        <v>7.2064302231302224E-3</v>
      </c>
      <c r="J28" s="122">
        <f t="shared" si="7"/>
        <v>-9.8744417474615313E-3</v>
      </c>
      <c r="K28" s="122"/>
      <c r="Y28" s="126">
        <f t="shared" si="9"/>
        <v>-0.5</v>
      </c>
      <c r="AB28" s="5">
        <v>3.4621633325275258</v>
      </c>
      <c r="AC28" s="5">
        <f t="shared" si="8"/>
        <v>3.5925728262006833E-4</v>
      </c>
      <c r="AD28" s="5">
        <f t="shared" si="10"/>
        <v>-0.5</v>
      </c>
    </row>
    <row r="29" spans="2:30" x14ac:dyDescent="0.3">
      <c r="B29" s="122">
        <v>7.7487167018416292E-3</v>
      </c>
      <c r="C29" s="122">
        <f t="shared" si="0"/>
        <v>0</v>
      </c>
      <c r="D29" s="126">
        <f t="shared" si="1"/>
        <v>1.0231269881259169E-2</v>
      </c>
      <c r="E29" s="122">
        <f t="shared" si="2"/>
        <v>0</v>
      </c>
      <c r="F29" s="122">
        <f t="shared" si="3"/>
        <v>0</v>
      </c>
      <c r="G29" s="122">
        <f t="shared" si="4"/>
        <v>7.7487167018416292E-3</v>
      </c>
      <c r="H29" s="122">
        <f t="shared" si="5"/>
        <v>1.0231269881259169E-2</v>
      </c>
      <c r="I29" s="122">
        <f t="shared" si="6"/>
        <v>7.7487167018416292E-3</v>
      </c>
      <c r="J29" s="122">
        <f t="shared" si="7"/>
        <v>-1.0231269881259169E-2</v>
      </c>
      <c r="K29" s="122"/>
      <c r="Y29" s="126">
        <f t="shared" si="9"/>
        <v>-0.5</v>
      </c>
      <c r="AB29" s="5">
        <v>3.5903916041026194</v>
      </c>
      <c r="AC29" s="5">
        <f t="shared" si="8"/>
        <v>6.9836445378081396E-4</v>
      </c>
      <c r="AD29" s="5">
        <f t="shared" si="10"/>
        <v>-0.5</v>
      </c>
    </row>
    <row r="30" spans="2:30" x14ac:dyDescent="0.3">
      <c r="B30" s="122">
        <v>8.3105143848644092E-3</v>
      </c>
      <c r="C30" s="122">
        <f t="shared" si="0"/>
        <v>0</v>
      </c>
      <c r="D30" s="126">
        <f t="shared" si="1"/>
        <v>1.058742858108312E-2</v>
      </c>
      <c r="E30" s="122">
        <f t="shared" si="2"/>
        <v>0</v>
      </c>
      <c r="F30" s="122">
        <f t="shared" si="3"/>
        <v>0</v>
      </c>
      <c r="G30" s="122">
        <f t="shared" si="4"/>
        <v>8.3105143848644092E-3</v>
      </c>
      <c r="H30" s="122">
        <f t="shared" si="5"/>
        <v>1.058742858108312E-2</v>
      </c>
      <c r="I30" s="122">
        <f t="shared" si="6"/>
        <v>8.3105143848644092E-3</v>
      </c>
      <c r="J30" s="122">
        <f t="shared" si="7"/>
        <v>-1.058742858108312E-2</v>
      </c>
      <c r="K30" s="122"/>
      <c r="Y30" s="126">
        <f t="shared" si="9"/>
        <v>-0.5</v>
      </c>
      <c r="AB30" s="5">
        <v>3.7186198756777129</v>
      </c>
      <c r="AC30" s="5">
        <f t="shared" si="8"/>
        <v>1.1417976326516062E-3</v>
      </c>
      <c r="AD30" s="5">
        <f t="shared" si="10"/>
        <v>-0.5</v>
      </c>
    </row>
    <row r="31" spans="2:30" x14ac:dyDescent="0.3">
      <c r="B31" s="122">
        <v>8.8918010044061191E-3</v>
      </c>
      <c r="C31" s="122">
        <f t="shared" si="0"/>
        <v>0</v>
      </c>
      <c r="D31" s="126">
        <f t="shared" si="1"/>
        <v>1.0942914297486478E-2</v>
      </c>
      <c r="E31" s="122">
        <f t="shared" si="2"/>
        <v>0</v>
      </c>
      <c r="F31" s="122">
        <f t="shared" si="3"/>
        <v>0</v>
      </c>
      <c r="G31" s="122">
        <f t="shared" si="4"/>
        <v>8.8918010044061191E-3</v>
      </c>
      <c r="H31" s="122">
        <f t="shared" si="5"/>
        <v>1.0942914297486478E-2</v>
      </c>
      <c r="I31" s="122">
        <f t="shared" si="6"/>
        <v>8.8918010044061191E-3</v>
      </c>
      <c r="J31" s="122">
        <f t="shared" si="7"/>
        <v>-1.0942914297486478E-2</v>
      </c>
      <c r="K31" s="122"/>
      <c r="Y31" s="126">
        <f t="shared" si="9"/>
        <v>-0.5</v>
      </c>
      <c r="AB31" s="5">
        <v>3.8468481472528064</v>
      </c>
      <c r="AC31" s="5">
        <f t="shared" si="8"/>
        <v>1.6822756586947572E-3</v>
      </c>
      <c r="AD31" s="5">
        <f t="shared" si="10"/>
        <v>-0.5</v>
      </c>
    </row>
    <row r="32" spans="2:30" x14ac:dyDescent="0.3">
      <c r="B32" s="122">
        <v>9.4925535201977329E-3</v>
      </c>
      <c r="C32" s="122">
        <f t="shared" si="0"/>
        <v>0</v>
      </c>
      <c r="D32" s="126">
        <f t="shared" si="1"/>
        <v>1.1297723474603094E-2</v>
      </c>
      <c r="E32" s="122">
        <f t="shared" si="2"/>
        <v>0</v>
      </c>
      <c r="F32" s="122">
        <f t="shared" si="3"/>
        <v>0</v>
      </c>
      <c r="G32" s="122">
        <f t="shared" si="4"/>
        <v>9.4925535201977329E-3</v>
      </c>
      <c r="H32" s="122">
        <f t="shared" si="5"/>
        <v>1.1297723474603094E-2</v>
      </c>
      <c r="I32" s="122">
        <f t="shared" si="6"/>
        <v>9.4925535201977329E-3</v>
      </c>
      <c r="J32" s="122">
        <f t="shared" si="7"/>
        <v>-1.1297723474603094E-2</v>
      </c>
      <c r="K32" s="122"/>
      <c r="Y32" s="126">
        <f t="shared" si="9"/>
        <v>-0.5</v>
      </c>
      <c r="AB32" s="5">
        <v>3.9750764188279</v>
      </c>
      <c r="AC32" s="5">
        <f t="shared" si="8"/>
        <v>2.3109238976649613E-3</v>
      </c>
      <c r="AD32" s="5">
        <f t="shared" si="10"/>
        <v>-0.5</v>
      </c>
    </row>
    <row r="33" spans="2:30" x14ac:dyDescent="0.3">
      <c r="B33" s="122">
        <v>1.0112748120406856E-2</v>
      </c>
      <c r="C33" s="122">
        <f t="shared" si="0"/>
        <v>0</v>
      </c>
      <c r="D33" s="126">
        <f t="shared" si="1"/>
        <v>1.1651852548946559E-2</v>
      </c>
      <c r="E33" s="122">
        <f t="shared" si="2"/>
        <v>0</v>
      </c>
      <c r="F33" s="122">
        <f t="shared" si="3"/>
        <v>0</v>
      </c>
      <c r="G33" s="122">
        <f t="shared" si="4"/>
        <v>1.0112748120406856E-2</v>
      </c>
      <c r="H33" s="122">
        <f t="shared" si="5"/>
        <v>1.1651852548946559E-2</v>
      </c>
      <c r="I33" s="122">
        <f t="shared" si="6"/>
        <v>1.0112748120406856E-2</v>
      </c>
      <c r="J33" s="122">
        <f t="shared" si="7"/>
        <v>-1.1651852548946559E-2</v>
      </c>
      <c r="K33" s="122"/>
      <c r="Y33" s="126">
        <f t="shared" si="9"/>
        <v>-0.5</v>
      </c>
      <c r="AB33" s="5">
        <v>4.1033046904029939</v>
      </c>
      <c r="AC33" s="5">
        <f t="shared" ref="AC33:AC50" si="11">$AA$2*(COS($AA$1)+COS(AB33))</f>
        <v>3.017419962858247E-3</v>
      </c>
      <c r="AD33" s="5">
        <f t="shared" si="10"/>
        <v>-0.5</v>
      </c>
    </row>
    <row r="34" spans="2:30" x14ac:dyDescent="0.3">
      <c r="B34" s="122">
        <v>1.075236022258147E-2</v>
      </c>
      <c r="C34" s="122">
        <f t="shared" si="0"/>
        <v>0</v>
      </c>
      <c r="D34" s="126">
        <f t="shared" si="1"/>
        <v>1.2005297948174721E-2</v>
      </c>
      <c r="E34" s="122">
        <f t="shared" si="2"/>
        <v>0</v>
      </c>
      <c r="F34" s="122">
        <f t="shared" si="3"/>
        <v>0</v>
      </c>
      <c r="G34" s="122">
        <f t="shared" si="4"/>
        <v>1.075236022258147E-2</v>
      </c>
      <c r="H34" s="122">
        <f t="shared" si="5"/>
        <v>1.2005297948174721E-2</v>
      </c>
      <c r="I34" s="122">
        <f t="shared" si="6"/>
        <v>1.075236022258147E-2</v>
      </c>
      <c r="J34" s="122">
        <f t="shared" si="7"/>
        <v>-1.2005297948174721E-2</v>
      </c>
      <c r="K34" s="122"/>
      <c r="Y34" s="126">
        <f t="shared" si="9"/>
        <v>-0.5</v>
      </c>
      <c r="AB34" s="5">
        <v>4.2315329619780879</v>
      </c>
      <c r="AC34" s="5">
        <f t="shared" si="11"/>
        <v>3.7901632084162786E-3</v>
      </c>
      <c r="AD34" s="5">
        <f t="shared" si="10"/>
        <v>-0.5</v>
      </c>
    </row>
    <row r="35" spans="2:30" x14ac:dyDescent="0.3">
      <c r="B35" s="122">
        <v>1.1411364474624264E-2</v>
      </c>
      <c r="C35" s="122">
        <f t="shared" si="0"/>
        <v>0</v>
      </c>
      <c r="D35" s="126">
        <f t="shared" si="1"/>
        <v>1.2358056089820596E-2</v>
      </c>
      <c r="E35" s="122">
        <f t="shared" si="2"/>
        <v>0</v>
      </c>
      <c r="F35" s="122">
        <f t="shared" si="3"/>
        <v>0</v>
      </c>
      <c r="G35" s="122">
        <f t="shared" si="4"/>
        <v>1.1411364474624264E-2</v>
      </c>
      <c r="H35" s="122">
        <f t="shared" si="5"/>
        <v>1.2358056089820596E-2</v>
      </c>
      <c r="I35" s="122">
        <f t="shared" si="6"/>
        <v>1.1411364474624264E-2</v>
      </c>
      <c r="J35" s="122">
        <f t="shared" si="7"/>
        <v>-1.2358056089820596E-2</v>
      </c>
      <c r="K35" s="122"/>
      <c r="Y35" s="126">
        <f t="shared" si="9"/>
        <v>-0.5</v>
      </c>
      <c r="AB35" s="5">
        <v>4.3597612335531819</v>
      </c>
      <c r="AC35" s="5">
        <f t="shared" si="11"/>
        <v>4.6164652116106319E-3</v>
      </c>
      <c r="AD35" s="5">
        <f t="shared" si="10"/>
        <v>-0.5</v>
      </c>
    </row>
    <row r="36" spans="2:30" x14ac:dyDescent="0.3">
      <c r="B36" s="122">
        <v>1.2089734755797665E-2</v>
      </c>
      <c r="C36" s="122">
        <f t="shared" si="0"/>
        <v>0</v>
      </c>
      <c r="D36" s="126">
        <f t="shared" si="1"/>
        <v>1.2710123379990421E-2</v>
      </c>
      <c r="E36" s="122">
        <f t="shared" si="2"/>
        <v>0</v>
      </c>
      <c r="F36" s="122">
        <f t="shared" si="3"/>
        <v>0</v>
      </c>
      <c r="G36" s="122">
        <f t="shared" si="4"/>
        <v>1.2089734755797665E-2</v>
      </c>
      <c r="H36" s="122">
        <f t="shared" si="5"/>
        <v>1.2710123379990421E-2</v>
      </c>
      <c r="I36" s="122">
        <f t="shared" si="6"/>
        <v>1.2089734755797665E-2</v>
      </c>
      <c r="J36" s="122">
        <f t="shared" si="7"/>
        <v>-1.2710123379990421E-2</v>
      </c>
      <c r="K36" s="122"/>
      <c r="Y36" s="126">
        <f t="shared" si="9"/>
        <v>-0.5</v>
      </c>
      <c r="AB36" s="5">
        <v>4.4879895051282759</v>
      </c>
      <c r="AC36" s="5">
        <f t="shared" si="11"/>
        <v>5.4827581163932083E-3</v>
      </c>
      <c r="AD36" s="5">
        <f t="shared" si="10"/>
        <v>-0.5</v>
      </c>
    </row>
    <row r="37" spans="2:30" x14ac:dyDescent="0.3">
      <c r="B37" s="122">
        <v>1.2787444177759066E-2</v>
      </c>
      <c r="C37" s="122">
        <f t="shared" si="0"/>
        <v>0</v>
      </c>
      <c r="D37" s="126">
        <f t="shared" si="1"/>
        <v>1.3061496212029502E-2</v>
      </c>
      <c r="E37" s="122">
        <f t="shared" si="2"/>
        <v>0</v>
      </c>
      <c r="F37" s="122">
        <f t="shared" si="3"/>
        <v>0</v>
      </c>
      <c r="G37" s="122">
        <f t="shared" si="4"/>
        <v>1.2787444177759066E-2</v>
      </c>
      <c r="H37" s="122">
        <f t="shared" si="5"/>
        <v>1.3061496212029502E-2</v>
      </c>
      <c r="I37" s="122">
        <f t="shared" si="6"/>
        <v>1.2787444177759066E-2</v>
      </c>
      <c r="J37" s="122">
        <f t="shared" si="7"/>
        <v>-1.3061496212029502E-2</v>
      </c>
      <c r="K37" s="122"/>
      <c r="Y37" s="126">
        <f t="shared" si="9"/>
        <v>-0.5</v>
      </c>
      <c r="AB37" s="5">
        <v>4.6162177767033699</v>
      </c>
      <c r="AC37" s="5">
        <f t="shared" si="11"/>
        <v>6.3748174172174373E-3</v>
      </c>
      <c r="AD37" s="5">
        <f t="shared" si="10"/>
        <v>-0.5</v>
      </c>
    </row>
    <row r="38" spans="2:30" x14ac:dyDescent="0.3">
      <c r="B38" s="122">
        <v>1.3504465085626582E-2</v>
      </c>
      <c r="C38" s="122">
        <f t="shared" si="0"/>
        <v>0</v>
      </c>
      <c r="D38" s="126">
        <f t="shared" si="1"/>
        <v>1.3412170965156685E-2</v>
      </c>
      <c r="E38" s="122">
        <f t="shared" si="2"/>
        <v>0</v>
      </c>
      <c r="F38" s="122">
        <f t="shared" si="3"/>
        <v>0</v>
      </c>
      <c r="G38" s="122">
        <f t="shared" si="4"/>
        <v>1.3504465085626582E-2</v>
      </c>
      <c r="H38" s="122">
        <f t="shared" si="5"/>
        <v>1.3412170965156685E-2</v>
      </c>
      <c r="I38" s="122">
        <f t="shared" si="6"/>
        <v>1.3504465085626582E-2</v>
      </c>
      <c r="J38" s="122">
        <f t="shared" si="7"/>
        <v>-1.3412170965156685E-2</v>
      </c>
      <c r="K38" s="122"/>
      <c r="Y38" s="126">
        <f t="shared" si="9"/>
        <v>-0.5</v>
      </c>
      <c r="AB38" s="5">
        <v>4.7444460482784638</v>
      </c>
      <c r="AC38" s="5">
        <f t="shared" si="11"/>
        <v>7.2779955250260944E-3</v>
      </c>
      <c r="AD38" s="5">
        <f t="shared" si="10"/>
        <v>-0.5</v>
      </c>
    </row>
    <row r="39" spans="2:30" x14ac:dyDescent="0.3">
      <c r="B39" s="122">
        <v>1.4240769059075342E-2</v>
      </c>
      <c r="C39" s="122">
        <f t="shared" si="0"/>
        <v>0</v>
      </c>
      <c r="D39" s="126">
        <f t="shared" si="1"/>
        <v>1.3762144003068468E-2</v>
      </c>
      <c r="E39" s="122">
        <f t="shared" si="2"/>
        <v>0</v>
      </c>
      <c r="F39" s="122">
        <f t="shared" si="3"/>
        <v>0</v>
      </c>
      <c r="G39" s="122">
        <f t="shared" si="4"/>
        <v>1.4240769059075342E-2</v>
      </c>
      <c r="H39" s="122">
        <f t="shared" si="5"/>
        <v>1.3762144003068468E-2</v>
      </c>
      <c r="I39" s="122">
        <f t="shared" si="6"/>
        <v>1.4240769059075342E-2</v>
      </c>
      <c r="J39" s="122">
        <f t="shared" si="7"/>
        <v>-1.3762144003068468E-2</v>
      </c>
      <c r="K39" s="122"/>
      <c r="Y39" s="126">
        <f t="shared" si="9"/>
        <v>-0.5</v>
      </c>
      <c r="AB39" s="5">
        <v>4.8726743198535578</v>
      </c>
      <c r="AC39" s="5">
        <f t="shared" si="11"/>
        <v>8.1774622802586704E-3</v>
      </c>
      <c r="AD39" s="5">
        <f t="shared" si="10"/>
        <v>-0.5</v>
      </c>
    </row>
    <row r="40" spans="2:30" x14ac:dyDescent="0.3">
      <c r="B40" s="122">
        <v>1.4996326913463753E-2</v>
      </c>
      <c r="C40" s="122">
        <f t="shared" si="0"/>
        <v>0</v>
      </c>
      <c r="D40" s="126">
        <f t="shared" si="1"/>
        <v>1.4111411672513159E-2</v>
      </c>
      <c r="E40" s="122">
        <f t="shared" si="2"/>
        <v>0</v>
      </c>
      <c r="F40" s="122">
        <f t="shared" si="3"/>
        <v>0</v>
      </c>
      <c r="G40" s="122">
        <f t="shared" si="4"/>
        <v>1.4996326913463753E-2</v>
      </c>
      <c r="H40" s="122">
        <f t="shared" si="5"/>
        <v>1.4111411672513159E-2</v>
      </c>
      <c r="I40" s="122">
        <f t="shared" si="6"/>
        <v>1.4996326913463753E-2</v>
      </c>
      <c r="J40" s="122">
        <f t="shared" si="7"/>
        <v>-1.4111411672513159E-2</v>
      </c>
      <c r="K40" s="122"/>
      <c r="Y40" s="126">
        <f t="shared" si="9"/>
        <v>-0.5</v>
      </c>
      <c r="AB40" s="5">
        <v>5.0009025914286518</v>
      </c>
      <c r="AC40" s="5">
        <f t="shared" si="11"/>
        <v>9.0584484636613456E-3</v>
      </c>
      <c r="AD40" s="5">
        <f t="shared" si="10"/>
        <v>-0.5</v>
      </c>
    </row>
    <row r="41" spans="2:30" x14ac:dyDescent="0.3">
      <c r="B41" s="122">
        <v>1.5771108700990411E-2</v>
      </c>
      <c r="C41" s="122">
        <f t="shared" si="0"/>
        <v>0</v>
      </c>
      <c r="D41" s="126">
        <f t="shared" si="1"/>
        <v>1.4459970301836426E-2</v>
      </c>
      <c r="E41" s="122">
        <f t="shared" si="2"/>
        <v>0</v>
      </c>
      <c r="F41" s="122">
        <f t="shared" si="3"/>
        <v>0</v>
      </c>
      <c r="G41" s="122">
        <f t="shared" si="4"/>
        <v>1.5771108700990411E-2</v>
      </c>
      <c r="H41" s="122">
        <f t="shared" si="5"/>
        <v>1.4459970301836426E-2</v>
      </c>
      <c r="I41" s="122">
        <f t="shared" si="6"/>
        <v>1.5771108700990411E-2</v>
      </c>
      <c r="J41" s="122">
        <f t="shared" si="7"/>
        <v>-1.4459970301836426E-2</v>
      </c>
      <c r="K41" s="122"/>
      <c r="Y41" s="126">
        <f t="shared" si="9"/>
        <v>-0.5</v>
      </c>
      <c r="AB41" s="5">
        <v>5.1291308630037458</v>
      </c>
      <c r="AC41" s="5">
        <f t="shared" si="11"/>
        <v>9.9064883064588268E-3</v>
      </c>
      <c r="AD41" s="5">
        <f t="shared" si="10"/>
        <v>-0.5</v>
      </c>
    </row>
    <row r="42" spans="2:30" x14ac:dyDescent="0.3">
      <c r="B42" s="122">
        <v>1.656508371188109E-2</v>
      </c>
      <c r="C42" s="122">
        <f t="shared" si="0"/>
        <v>0</v>
      </c>
      <c r="D42" s="126">
        <f t="shared" si="1"/>
        <v>1.4807816199498804E-2</v>
      </c>
      <c r="E42" s="122">
        <f t="shared" si="2"/>
        <v>0</v>
      </c>
      <c r="F42" s="122">
        <f t="shared" si="3"/>
        <v>0</v>
      </c>
      <c r="G42" s="122">
        <f t="shared" si="4"/>
        <v>1.656508371188109E-2</v>
      </c>
      <c r="H42" s="122">
        <f t="shared" si="5"/>
        <v>1.4807816199498804E-2</v>
      </c>
      <c r="I42" s="122">
        <f t="shared" si="6"/>
        <v>1.656508371188109E-2</v>
      </c>
      <c r="J42" s="122">
        <f t="shared" si="7"/>
        <v>-1.4807816199498804E-2</v>
      </c>
      <c r="K42" s="122"/>
      <c r="Y42" s="126">
        <f t="shared" si="9"/>
        <v>-0.5</v>
      </c>
      <c r="AB42" s="5">
        <v>5.2573591345788397</v>
      </c>
      <c r="AC42" s="5">
        <f t="shared" si="11"/>
        <v>1.0707657017877702E-2</v>
      </c>
      <c r="AD42" s="5">
        <f t="shared" si="10"/>
        <v>-0.5</v>
      </c>
    </row>
    <row r="43" spans="2:30" x14ac:dyDescent="0.3">
      <c r="B43" s="122">
        <v>1.737822047560611E-2</v>
      </c>
      <c r="C43" s="122">
        <f t="shared" si="0"/>
        <v>0</v>
      </c>
      <c r="D43" s="126">
        <f t="shared" si="1"/>
        <v>1.5154945652566157E-2</v>
      </c>
      <c r="E43" s="122">
        <f t="shared" si="2"/>
        <v>0</v>
      </c>
      <c r="F43" s="122">
        <f t="shared" si="3"/>
        <v>0</v>
      </c>
      <c r="G43" s="122">
        <f t="shared" si="4"/>
        <v>1.737822047560611E-2</v>
      </c>
      <c r="H43" s="122">
        <f t="shared" si="5"/>
        <v>1.5154945652566157E-2</v>
      </c>
      <c r="I43" s="122">
        <f t="shared" si="6"/>
        <v>1.737822047560611E-2</v>
      </c>
      <c r="J43" s="122">
        <f t="shared" si="7"/>
        <v>-1.5154945652566157E-2</v>
      </c>
      <c r="K43" s="122"/>
      <c r="Y43" s="126">
        <f t="shared" si="9"/>
        <v>-0.5</v>
      </c>
      <c r="AB43" s="5">
        <v>5.3855874061539337</v>
      </c>
      <c r="AC43" s="5">
        <f t="shared" si="11"/>
        <v>1.1448799429825985E-2</v>
      </c>
      <c r="AD43" s="5">
        <f t="shared" si="10"/>
        <v>-0.5</v>
      </c>
    </row>
    <row r="44" spans="2:30" x14ac:dyDescent="0.3">
      <c r="B44" s="122">
        <v>1.8210486762127498E-2</v>
      </c>
      <c r="C44" s="122">
        <f t="shared" si="0"/>
        <v>0</v>
      </c>
      <c r="D44" s="126">
        <f t="shared" si="1"/>
        <v>1.5501354925173865E-2</v>
      </c>
      <c r="E44" s="122">
        <f t="shared" si="2"/>
        <v>0</v>
      </c>
      <c r="F44" s="122">
        <f t="shared" si="3"/>
        <v>0</v>
      </c>
      <c r="G44" s="122">
        <f t="shared" si="4"/>
        <v>1.8210486762127498E-2</v>
      </c>
      <c r="H44" s="122">
        <f t="shared" si="5"/>
        <v>1.5501354925173865E-2</v>
      </c>
      <c r="I44" s="122">
        <f t="shared" si="6"/>
        <v>1.8210486762127498E-2</v>
      </c>
      <c r="J44" s="122">
        <f t="shared" si="7"/>
        <v>-1.5501354925173865E-2</v>
      </c>
      <c r="K44" s="122"/>
      <c r="Y44" s="126">
        <f t="shared" si="9"/>
        <v>-0.5</v>
      </c>
      <c r="AB44" s="5">
        <v>5.5138156777290277</v>
      </c>
      <c r="AC44" s="5">
        <f t="shared" si="11"/>
        <v>1.2117746004389465E-2</v>
      </c>
      <c r="AD44" s="5">
        <f t="shared" si="10"/>
        <v>-0.5</v>
      </c>
    </row>
    <row r="45" spans="2:30" x14ac:dyDescent="0.3">
      <c r="B45" s="122">
        <v>1.9061849583176638E-2</v>
      </c>
      <c r="C45" s="122">
        <f t="shared" si="0"/>
        <v>0</v>
      </c>
      <c r="D45" s="126">
        <f t="shared" si="1"/>
        <v>1.5847040256965938E-2</v>
      </c>
      <c r="E45" s="122">
        <f t="shared" si="2"/>
        <v>0</v>
      </c>
      <c r="F45" s="122">
        <f t="shared" si="3"/>
        <v>0</v>
      </c>
      <c r="G45" s="122">
        <f t="shared" si="4"/>
        <v>1.9061849583176638E-2</v>
      </c>
      <c r="H45" s="122">
        <f t="shared" si="5"/>
        <v>1.5847040256965938E-2</v>
      </c>
      <c r="I45" s="122">
        <f t="shared" si="6"/>
        <v>1.9061849583176638E-2</v>
      </c>
      <c r="J45" s="122">
        <f t="shared" si="7"/>
        <v>-1.5847040256965938E-2</v>
      </c>
      <c r="K45" s="122"/>
      <c r="Y45" s="126">
        <f t="shared" si="9"/>
        <v>-0.5</v>
      </c>
      <c r="AB45" s="5">
        <v>5.6420439493041217</v>
      </c>
      <c r="AC45" s="5">
        <f t="shared" si="11"/>
        <v>1.270351265730784E-2</v>
      </c>
      <c r="AD45" s="5">
        <f t="shared" si="10"/>
        <v>-0.5</v>
      </c>
    </row>
    <row r="46" spans="2:30" x14ac:dyDescent="0.3">
      <c r="B46" s="122">
        <v>1.9932275193561888E-2</v>
      </c>
      <c r="C46" s="122">
        <f t="shared" si="0"/>
        <v>0</v>
      </c>
      <c r="D46" s="126">
        <f t="shared" si="1"/>
        <v>1.6191997861509769E-2</v>
      </c>
      <c r="E46" s="122">
        <f t="shared" si="2"/>
        <v>0</v>
      </c>
      <c r="F46" s="122">
        <f t="shared" si="3"/>
        <v>0</v>
      </c>
      <c r="G46" s="122">
        <f t="shared" si="4"/>
        <v>1.9932275193561888E-2</v>
      </c>
      <c r="H46" s="122">
        <f t="shared" si="5"/>
        <v>1.6191997861509769E-2</v>
      </c>
      <c r="I46" s="122">
        <f t="shared" si="6"/>
        <v>1.9932275193561888E-2</v>
      </c>
      <c r="J46" s="122">
        <f t="shared" si="7"/>
        <v>-1.6191997861509769E-2</v>
      </c>
      <c r="K46" s="122"/>
      <c r="Y46" s="126">
        <f t="shared" si="9"/>
        <v>-0.5</v>
      </c>
      <c r="AB46" s="5">
        <v>5.7702722208792157</v>
      </c>
      <c r="AC46" s="5">
        <f t="shared" si="11"/>
        <v>1.3196481116334584E-2</v>
      </c>
      <c r="AD46" s="5">
        <f t="shared" si="10"/>
        <v>-0.5</v>
      </c>
    </row>
    <row r="47" spans="2:30" x14ac:dyDescent="0.3">
      <c r="B47" s="122">
        <v>2.0821729092505736E-2</v>
      </c>
      <c r="C47" s="122">
        <f t="shared" si="0"/>
        <v>0</v>
      </c>
      <c r="D47" s="126">
        <f t="shared" si="1"/>
        <v>1.6536223924687381E-2</v>
      </c>
      <c r="E47" s="122">
        <f t="shared" si="2"/>
        <v>0</v>
      </c>
      <c r="F47" s="122">
        <f t="shared" si="3"/>
        <v>0</v>
      </c>
      <c r="G47" s="122">
        <f t="shared" si="4"/>
        <v>2.0821729092505736E-2</v>
      </c>
      <c r="H47" s="122">
        <f t="shared" si="5"/>
        <v>1.6536223924687381E-2</v>
      </c>
      <c r="I47" s="122">
        <f t="shared" si="6"/>
        <v>2.0821729092505736E-2</v>
      </c>
      <c r="J47" s="122">
        <f t="shared" si="7"/>
        <v>-1.6536223924687381E-2</v>
      </c>
      <c r="K47" s="122"/>
      <c r="Y47" s="126">
        <f t="shared" si="9"/>
        <v>-0.5</v>
      </c>
      <c r="AB47" s="5">
        <v>5.8985004924543096</v>
      </c>
      <c r="AC47" s="5">
        <f t="shared" si="11"/>
        <v>1.3588556853001326E-2</v>
      </c>
      <c r="AD47" s="5">
        <f t="shared" si="10"/>
        <v>-0.5</v>
      </c>
    </row>
    <row r="48" spans="2:30" x14ac:dyDescent="0.3">
      <c r="B48" s="122">
        <v>2.1730176025012815E-2</v>
      </c>
      <c r="C48" s="122">
        <f t="shared" si="0"/>
        <v>0</v>
      </c>
      <c r="D48" s="126">
        <f t="shared" si="1"/>
        <v>1.6879714603064727E-2</v>
      </c>
      <c r="E48" s="122">
        <f t="shared" si="2"/>
        <v>0</v>
      </c>
      <c r="F48" s="122">
        <f t="shared" si="3"/>
        <v>0</v>
      </c>
      <c r="G48" s="122">
        <f t="shared" si="4"/>
        <v>2.1730176025012815E-2</v>
      </c>
      <c r="H48" s="122">
        <f t="shared" si="5"/>
        <v>1.6879714603064727E-2</v>
      </c>
      <c r="I48" s="122">
        <f t="shared" si="6"/>
        <v>2.1730176025012815E-2</v>
      </c>
      <c r="J48" s="122">
        <f t="shared" si="7"/>
        <v>-1.6879714603064727E-2</v>
      </c>
      <c r="K48" s="122"/>
      <c r="Y48" s="126">
        <f t="shared" si="9"/>
        <v>-0.5</v>
      </c>
      <c r="AB48" s="5">
        <v>6.0267287640294036</v>
      </c>
      <c r="AC48" s="5">
        <f t="shared" si="11"/>
        <v>1.3873301994551515E-2</v>
      </c>
      <c r="AD48" s="5">
        <f t="shared" si="10"/>
        <v>-0.5</v>
      </c>
    </row>
    <row r="49" spans="2:30" x14ac:dyDescent="0.3">
      <c r="B49" s="122">
        <v>2.2657579983267062E-2</v>
      </c>
      <c r="C49" s="122">
        <f t="shared" si="0"/>
        <v>0</v>
      </c>
      <c r="D49" s="126">
        <f t="shared" si="1"/>
        <v>1.722246602223923E-2</v>
      </c>
      <c r="E49" s="122">
        <f t="shared" si="2"/>
        <v>0</v>
      </c>
      <c r="F49" s="122">
        <f t="shared" si="3"/>
        <v>0</v>
      </c>
      <c r="G49" s="122">
        <f t="shared" si="4"/>
        <v>2.2657579983267062E-2</v>
      </c>
      <c r="H49" s="122">
        <f t="shared" si="5"/>
        <v>1.722246602223923E-2</v>
      </c>
      <c r="I49" s="122">
        <f t="shared" si="6"/>
        <v>2.2657579983267062E-2</v>
      </c>
      <c r="J49" s="122">
        <f t="shared" si="7"/>
        <v>-1.722246602223923E-2</v>
      </c>
      <c r="K49" s="122"/>
      <c r="Y49" s="126">
        <f t="shared" si="9"/>
        <v>-0.5</v>
      </c>
      <c r="AB49" s="5">
        <v>6.1549570356044976</v>
      </c>
      <c r="AC49" s="5">
        <f t="shared" si="11"/>
        <v>1.4046041033633102E-2</v>
      </c>
      <c r="AD49" s="5">
        <f t="shared" si="10"/>
        <v>-0.5</v>
      </c>
    </row>
    <row r="50" spans="2:30" x14ac:dyDescent="0.3">
      <c r="B50" s="122">
        <v>2.360390420805869E-2</v>
      </c>
      <c r="C50" s="122">
        <f t="shared" si="0"/>
        <v>0</v>
      </c>
      <c r="D50" s="126">
        <f t="shared" si="1"/>
        <v>1.7564474275167063E-2</v>
      </c>
      <c r="E50" s="122">
        <f t="shared" si="2"/>
        <v>0</v>
      </c>
      <c r="F50" s="122">
        <f t="shared" si="3"/>
        <v>0</v>
      </c>
      <c r="G50" s="122">
        <f t="shared" si="4"/>
        <v>2.360390420805869E-2</v>
      </c>
      <c r="H50" s="122">
        <f t="shared" si="5"/>
        <v>1.7564474275167063E-2</v>
      </c>
      <c r="I50" s="122">
        <f t="shared" si="6"/>
        <v>2.360390420805869E-2</v>
      </c>
      <c r="J50" s="122">
        <f t="shared" si="7"/>
        <v>-1.7564474275167063E-2</v>
      </c>
      <c r="K50" s="122"/>
      <c r="Y50" s="126">
        <f t="shared" si="9"/>
        <v>-0.5</v>
      </c>
      <c r="AB50" s="5">
        <v>6.2831853071795916</v>
      </c>
      <c r="AC50" s="5">
        <f t="shared" si="11"/>
        <v>1.4103937599999998E-2</v>
      </c>
      <c r="AD50" s="5">
        <f t="shared" si="10"/>
        <v>-0.5</v>
      </c>
    </row>
    <row r="51" spans="2:30" x14ac:dyDescent="0.3">
      <c r="B51" s="122">
        <v>2.4569111190241799E-2</v>
      </c>
      <c r="C51" s="122">
        <f t="shared" si="0"/>
        <v>0</v>
      </c>
      <c r="D51" s="126">
        <f t="shared" si="1"/>
        <v>1.7905735420471344E-2</v>
      </c>
      <c r="E51" s="122">
        <f t="shared" si="2"/>
        <v>0</v>
      </c>
      <c r="F51" s="122">
        <f t="shared" si="3"/>
        <v>0</v>
      </c>
      <c r="G51" s="122">
        <f t="shared" si="4"/>
        <v>2.4569111190241799E-2</v>
      </c>
      <c r="H51" s="122">
        <f t="shared" si="5"/>
        <v>1.7905735420471344E-2</v>
      </c>
      <c r="I51" s="122">
        <f t="shared" si="6"/>
        <v>2.4569111190241799E-2</v>
      </c>
      <c r="J51" s="122">
        <f t="shared" si="7"/>
        <v>-1.7905735420471344E-2</v>
      </c>
      <c r="K51" s="122"/>
      <c r="Y51" s="126">
        <f t="shared" si="9"/>
        <v>-0.5</v>
      </c>
    </row>
    <row r="52" spans="2:30" x14ac:dyDescent="0.3">
      <c r="B52" s="122">
        <v>2.5553162672220409E-2</v>
      </c>
      <c r="C52" s="122">
        <f t="shared" si="0"/>
        <v>0</v>
      </c>
      <c r="D52" s="126">
        <f t="shared" si="1"/>
        <v>1.8246245480731605E-2</v>
      </c>
      <c r="E52" s="122">
        <f t="shared" si="2"/>
        <v>0</v>
      </c>
      <c r="F52" s="122">
        <f t="shared" si="3"/>
        <v>0</v>
      </c>
      <c r="G52" s="122">
        <f t="shared" si="4"/>
        <v>2.5553162672220409E-2</v>
      </c>
      <c r="H52" s="122">
        <f t="shared" si="5"/>
        <v>1.8246245480731605E-2</v>
      </c>
      <c r="I52" s="122">
        <f t="shared" si="6"/>
        <v>2.5553162672220409E-2</v>
      </c>
      <c r="J52" s="122">
        <f t="shared" si="7"/>
        <v>-1.8246245480731605E-2</v>
      </c>
      <c r="K52" s="122"/>
      <c r="Y52" s="126">
        <f t="shared" si="9"/>
        <v>-0.5</v>
      </c>
    </row>
    <row r="53" spans="2:30" x14ac:dyDescent="0.3">
      <c r="B53" s="122">
        <v>2.6556019649465523E-2</v>
      </c>
      <c r="C53" s="122">
        <f t="shared" si="0"/>
        <v>0</v>
      </c>
      <c r="D53" s="126">
        <f t="shared" si="1"/>
        <v>1.8586000440756496E-2</v>
      </c>
      <c r="E53" s="122">
        <f t="shared" si="2"/>
        <v>0</v>
      </c>
      <c r="F53" s="122">
        <f t="shared" si="3"/>
        <v>0</v>
      </c>
      <c r="G53" s="122">
        <f t="shared" si="4"/>
        <v>2.6556019649465523E-2</v>
      </c>
      <c r="H53" s="122">
        <f t="shared" si="5"/>
        <v>1.8586000440756496E-2</v>
      </c>
      <c r="I53" s="122">
        <f t="shared" si="6"/>
        <v>2.6556019649465523E-2</v>
      </c>
      <c r="J53" s="122">
        <f t="shared" si="7"/>
        <v>-1.8586000440756496E-2</v>
      </c>
      <c r="K53" s="122"/>
      <c r="Y53" s="126">
        <f t="shared" si="9"/>
        <v>-0.5</v>
      </c>
    </row>
    <row r="54" spans="2:30" x14ac:dyDescent="0.3">
      <c r="B54" s="122">
        <v>2.7577642372060673E-2</v>
      </c>
      <c r="C54" s="122">
        <f t="shared" si="0"/>
        <v>0</v>
      </c>
      <c r="D54" s="126">
        <f t="shared" si="1"/>
        <v>1.8924996245839869E-2</v>
      </c>
      <c r="E54" s="122">
        <f t="shared" si="2"/>
        <v>0</v>
      </c>
      <c r="F54" s="122">
        <f t="shared" si="3"/>
        <v>0</v>
      </c>
      <c r="G54" s="122">
        <f t="shared" si="4"/>
        <v>2.7577642372060673E-2</v>
      </c>
      <c r="H54" s="122">
        <f t="shared" si="5"/>
        <v>1.8924996245839869E-2</v>
      </c>
      <c r="I54" s="122">
        <f t="shared" si="6"/>
        <v>2.7577642372060673E-2</v>
      </c>
      <c r="J54" s="122">
        <f t="shared" si="7"/>
        <v>-1.8924996245839869E-2</v>
      </c>
      <c r="K54" s="122"/>
      <c r="Y54" s="126">
        <f t="shared" si="9"/>
        <v>-0.5</v>
      </c>
    </row>
    <row r="55" spans="2:30" x14ac:dyDescent="0.3">
      <c r="B55" s="122">
        <v>2.86179903462776E-2</v>
      </c>
      <c r="C55" s="122">
        <f t="shared" si="0"/>
        <v>0</v>
      </c>
      <c r="D55" s="126">
        <f t="shared" si="1"/>
        <v>1.9263228800002082E-2</v>
      </c>
      <c r="E55" s="122">
        <f t="shared" si="2"/>
        <v>0</v>
      </c>
      <c r="F55" s="122">
        <f t="shared" si="3"/>
        <v>0</v>
      </c>
      <c r="G55" s="122">
        <f t="shared" si="4"/>
        <v>2.86179903462776E-2</v>
      </c>
      <c r="H55" s="122">
        <f t="shared" si="5"/>
        <v>1.9263228800002082E-2</v>
      </c>
      <c r="I55" s="122">
        <f t="shared" si="6"/>
        <v>2.86179903462776E-2</v>
      </c>
      <c r="J55" s="122">
        <f t="shared" si="7"/>
        <v>-1.9263228800002082E-2</v>
      </c>
      <c r="K55" s="122"/>
      <c r="Y55" s="126">
        <f t="shared" si="9"/>
        <v>-0.5</v>
      </c>
    </row>
    <row r="56" spans="2:30" x14ac:dyDescent="0.3">
      <c r="B56" s="122">
        <v>2.9677022336181469E-2</v>
      </c>
      <c r="C56" s="122">
        <f t="shared" si="0"/>
        <v>0</v>
      </c>
      <c r="D56" s="126">
        <f t="shared" si="1"/>
        <v>1.9600693964217156E-2</v>
      </c>
      <c r="E56" s="122">
        <f t="shared" si="2"/>
        <v>0</v>
      </c>
      <c r="F56" s="122">
        <f t="shared" si="3"/>
        <v>0</v>
      </c>
      <c r="G56" s="122">
        <f t="shared" si="4"/>
        <v>2.9677022336181469E-2</v>
      </c>
      <c r="H56" s="122">
        <f t="shared" si="5"/>
        <v>1.9600693964217156E-2</v>
      </c>
      <c r="I56" s="122">
        <f t="shared" si="6"/>
        <v>2.9677022336181469E-2</v>
      </c>
      <c r="J56" s="122">
        <f t="shared" si="7"/>
        <v>-1.9600693964217156E-2</v>
      </c>
      <c r="K56" s="122"/>
      <c r="Y56" s="126">
        <f t="shared" si="9"/>
        <v>-0.5</v>
      </c>
    </row>
    <row r="57" spans="2:30" x14ac:dyDescent="0.3">
      <c r="B57" s="122">
        <v>3.0754696365265011E-2</v>
      </c>
      <c r="C57" s="122">
        <f t="shared" si="0"/>
        <v>0</v>
      </c>
      <c r="D57" s="126">
        <f t="shared" si="1"/>
        <v>1.9937387554627036E-2</v>
      </c>
      <c r="E57" s="122">
        <f t="shared" si="2"/>
        <v>0</v>
      </c>
      <c r="F57" s="122">
        <f t="shared" si="3"/>
        <v>0</v>
      </c>
      <c r="G57" s="122">
        <f t="shared" si="4"/>
        <v>3.0754696365265011E-2</v>
      </c>
      <c r="H57" s="122">
        <f t="shared" si="5"/>
        <v>1.9937387554627036E-2</v>
      </c>
      <c r="I57" s="122">
        <f t="shared" si="6"/>
        <v>3.0754696365265011E-2</v>
      </c>
      <c r="J57" s="122">
        <f t="shared" si="7"/>
        <v>-1.9937387554627036E-2</v>
      </c>
      <c r="K57" s="122"/>
      <c r="Y57" s="126">
        <f t="shared" si="9"/>
        <v>-0.5</v>
      </c>
    </row>
    <row r="58" spans="2:30" x14ac:dyDescent="0.3">
      <c r="B58" s="122">
        <v>3.1850969718112687E-2</v>
      </c>
      <c r="C58" s="122">
        <f t="shared" si="0"/>
        <v>0</v>
      </c>
      <c r="D58" s="126">
        <f t="shared" si="1"/>
        <v>2.0273305340744133E-2</v>
      </c>
      <c r="E58" s="122">
        <f t="shared" si="2"/>
        <v>0</v>
      </c>
      <c r="F58" s="122">
        <f t="shared" si="3"/>
        <v>0</v>
      </c>
      <c r="G58" s="122">
        <f t="shared" si="4"/>
        <v>3.1850969718112687E-2</v>
      </c>
      <c r="H58" s="122">
        <f t="shared" si="5"/>
        <v>2.0273305340744133E-2</v>
      </c>
      <c r="I58" s="122">
        <f t="shared" si="6"/>
        <v>3.1850969718112687E-2</v>
      </c>
      <c r="J58" s="122">
        <f t="shared" si="7"/>
        <v>-2.0273305340744133E-2</v>
      </c>
      <c r="K58" s="122"/>
      <c r="Y58" s="126">
        <f t="shared" si="9"/>
        <v>-0.5</v>
      </c>
    </row>
    <row r="59" spans="2:30" x14ac:dyDescent="0.3">
      <c r="B59" s="122">
        <v>3.2965798942093449E-2</v>
      </c>
      <c r="C59" s="122">
        <f t="shared" si="0"/>
        <v>0</v>
      </c>
      <c r="D59" s="126">
        <f t="shared" si="1"/>
        <v>2.0608443043643111E-2</v>
      </c>
      <c r="E59" s="122">
        <f t="shared" si="2"/>
        <v>0</v>
      </c>
      <c r="F59" s="122">
        <f t="shared" si="3"/>
        <v>0</v>
      </c>
      <c r="G59" s="122">
        <f t="shared" si="4"/>
        <v>3.2965798942093449E-2</v>
      </c>
      <c r="H59" s="122">
        <f t="shared" si="5"/>
        <v>2.0608443043643111E-2</v>
      </c>
      <c r="I59" s="122">
        <f t="shared" si="6"/>
        <v>3.2965798942093449E-2</v>
      </c>
      <c r="J59" s="122">
        <f t="shared" si="7"/>
        <v>-2.0608443043643111E-2</v>
      </c>
      <c r="K59" s="122"/>
      <c r="Y59" s="126">
        <f t="shared" si="9"/>
        <v>-0.5</v>
      </c>
    </row>
    <row r="60" spans="2:30" x14ac:dyDescent="0.3">
      <c r="B60" s="122">
        <v>3.4099139849083304E-2</v>
      </c>
      <c r="C60" s="122">
        <f t="shared" si="0"/>
        <v>0</v>
      </c>
      <c r="D60" s="126">
        <f t="shared" si="1"/>
        <v>2.094279633414324E-2</v>
      </c>
      <c r="E60" s="122">
        <f t="shared" si="2"/>
        <v>0</v>
      </c>
      <c r="F60" s="122">
        <f t="shared" si="3"/>
        <v>0</v>
      </c>
      <c r="G60" s="122">
        <f t="shared" si="4"/>
        <v>3.4099139849083304E-2</v>
      </c>
      <c r="H60" s="122">
        <f t="shared" si="5"/>
        <v>2.094279633414324E-2</v>
      </c>
      <c r="I60" s="122">
        <f t="shared" si="6"/>
        <v>3.4099139849083304E-2</v>
      </c>
      <c r="J60" s="122">
        <f t="shared" si="7"/>
        <v>-2.094279633414324E-2</v>
      </c>
      <c r="K60" s="122"/>
      <c r="Y60" s="126">
        <f t="shared" si="9"/>
        <v>-0.5</v>
      </c>
    </row>
    <row r="61" spans="2:30" x14ac:dyDescent="0.3">
      <c r="B61" s="122">
        <v>3.525094751721658E-2</v>
      </c>
      <c r="C61" s="122">
        <f t="shared" si="0"/>
        <v>0</v>
      </c>
      <c r="D61" s="126">
        <f t="shared" si="1"/>
        <v>2.1276360830982312E-2</v>
      </c>
      <c r="E61" s="122">
        <f t="shared" si="2"/>
        <v>0</v>
      </c>
      <c r="F61" s="122">
        <f t="shared" si="3"/>
        <v>0</v>
      </c>
      <c r="G61" s="122">
        <f t="shared" si="4"/>
        <v>3.525094751721658E-2</v>
      </c>
      <c r="H61" s="122">
        <f t="shared" si="5"/>
        <v>2.1276360830982312E-2</v>
      </c>
      <c r="I61" s="122">
        <f t="shared" si="6"/>
        <v>3.525094751721658E-2</v>
      </c>
      <c r="J61" s="122">
        <f t="shared" si="7"/>
        <v>-2.1276360830982312E-2</v>
      </c>
      <c r="K61" s="122"/>
      <c r="Y61" s="126">
        <f t="shared" si="9"/>
        <v>-0.5</v>
      </c>
    </row>
    <row r="62" spans="2:30" x14ac:dyDescent="0.3">
      <c r="B62" s="122">
        <v>3.6421176292666779E-2</v>
      </c>
      <c r="C62" s="122">
        <f t="shared" si="0"/>
        <v>0</v>
      </c>
      <c r="D62" s="126">
        <f t="shared" si="1"/>
        <v>2.1609132098983422E-2</v>
      </c>
      <c r="E62" s="122">
        <f t="shared" si="2"/>
        <v>0</v>
      </c>
      <c r="F62" s="122">
        <f t="shared" si="3"/>
        <v>0</v>
      </c>
      <c r="G62" s="122">
        <f t="shared" si="4"/>
        <v>3.6421176292666779E-2</v>
      </c>
      <c r="H62" s="122">
        <f t="shared" si="5"/>
        <v>2.1609132098983422E-2</v>
      </c>
      <c r="I62" s="122">
        <f t="shared" si="6"/>
        <v>3.6421176292666779E-2</v>
      </c>
      <c r="J62" s="122">
        <f t="shared" si="7"/>
        <v>-2.1609132098983422E-2</v>
      </c>
      <c r="K62" s="122"/>
      <c r="Y62" s="126">
        <f t="shared" si="9"/>
        <v>-0.5</v>
      </c>
    </row>
    <row r="63" spans="2:30" x14ac:dyDescent="0.3">
      <c r="B63" s="122">
        <v>3.7609779791455689E-2</v>
      </c>
      <c r="C63" s="122">
        <f t="shared" si="0"/>
        <v>0</v>
      </c>
      <c r="D63" s="126">
        <f t="shared" si="1"/>
        <v>2.1941105647215589E-2</v>
      </c>
      <c r="E63" s="122">
        <f t="shared" si="2"/>
        <v>0</v>
      </c>
      <c r="F63" s="122">
        <f t="shared" si="3"/>
        <v>0</v>
      </c>
      <c r="G63" s="122">
        <f t="shared" si="4"/>
        <v>3.7609779791455689E-2</v>
      </c>
      <c r="H63" s="122">
        <f t="shared" si="5"/>
        <v>2.1941105647215589E-2</v>
      </c>
      <c r="I63" s="122">
        <f t="shared" si="6"/>
        <v>3.7609779791455689E-2</v>
      </c>
      <c r="J63" s="122">
        <f t="shared" si="7"/>
        <v>-2.1941105647215589E-2</v>
      </c>
      <c r="K63" s="122"/>
      <c r="Y63" s="126">
        <f t="shared" si="9"/>
        <v>-0.5</v>
      </c>
    </row>
    <row r="64" spans="2:30" x14ac:dyDescent="0.3">
      <c r="B64" s="122">
        <v>3.8816710901292406E-2</v>
      </c>
      <c r="C64" s="122">
        <f t="shared" si="0"/>
        <v>0</v>
      </c>
      <c r="D64" s="126">
        <f t="shared" si="1"/>
        <v>2.227227692714967E-2</v>
      </c>
      <c r="E64" s="122">
        <f t="shared" si="2"/>
        <v>0</v>
      </c>
      <c r="F64" s="122">
        <f t="shared" si="3"/>
        <v>0</v>
      </c>
      <c r="G64" s="122">
        <f t="shared" si="4"/>
        <v>3.8816710901292406E-2</v>
      </c>
      <c r="H64" s="122">
        <f t="shared" si="5"/>
        <v>2.227227692714967E-2</v>
      </c>
      <c r="I64" s="122">
        <f t="shared" si="6"/>
        <v>3.8816710901292406E-2</v>
      </c>
      <c r="J64" s="122">
        <f t="shared" si="7"/>
        <v>-2.227227692714967E-2</v>
      </c>
      <c r="K64" s="122"/>
      <c r="Y64" s="126">
        <f t="shared" si="9"/>
        <v>-0.5</v>
      </c>
    </row>
    <row r="65" spans="2:25" x14ac:dyDescent="0.3">
      <c r="B65" s="122">
        <v>4.0041921783440293E-2</v>
      </c>
      <c r="C65" s="122">
        <f t="shared" ref="C65:C128" si="12">IF($A$1=0, 0, IF(B65&lt;=$A$2, ($A$1/$A$2^2)*(2*$A$2*B65-B65^2), ($A$1/(1-$A$2)^2)*((1-2*$A$2)+2*$A$2*B65-B65^2)))</f>
        <v>0</v>
      </c>
      <c r="D65" s="126">
        <f t="shared" ref="D65:D128" si="13">IF(B65&lt;$N$1, ($A$3/0.2)*($O$1*SQRT(B65)+$P$1*B65+$Q$1*(B65^2)+$R$1*(B65^3)), ($A$3/0.2)*($S$1+$T$1*(1-B65)+$U$1*((1-B65)^2)+$V$1*((1-B65)^3)))</f>
        <v>2.2602641330810424E-2</v>
      </c>
      <c r="E65" s="122">
        <f t="shared" ref="E65:E128" si="14">IF($A$1=0, 0, IF(B65&lt;=$A$2, ($A$1/$A$2^2) *(2*$A$2-2*B65), ($A$1/(1-$A$2)^2)*(2*$A$2-2*B65)))</f>
        <v>0</v>
      </c>
      <c r="F65" s="122">
        <f t="shared" ref="F65:F128" si="15">IF($A$1=0, 0,  ATAN(E65))</f>
        <v>0</v>
      </c>
      <c r="G65" s="122">
        <f t="shared" ref="G65:G128" si="16">B65-D65*SIN(F65)</f>
        <v>4.0041921783440293E-2</v>
      </c>
      <c r="H65" s="122">
        <f t="shared" ref="H65:H128" si="17">C65+D65*COS(F65)</f>
        <v>2.2602641330810424E-2</v>
      </c>
      <c r="I65" s="122">
        <f t="shared" ref="I65:I128" si="18">B65+D65*SIN(F65)</f>
        <v>4.0041921783440293E-2</v>
      </c>
      <c r="J65" s="122">
        <f t="shared" ref="J65:J128" si="19">C65-D65*COS(F65)</f>
        <v>-2.2602641330810424E-2</v>
      </c>
      <c r="K65" s="122"/>
      <c r="Y65" s="126">
        <f t="shared" si="9"/>
        <v>-0.5</v>
      </c>
    </row>
    <row r="66" spans="2:25" x14ac:dyDescent="0.3">
      <c r="B66" s="122">
        <v>4.1285363874613346E-2</v>
      </c>
      <c r="C66" s="122">
        <f t="shared" si="12"/>
        <v>0</v>
      </c>
      <c r="D66" s="126">
        <f t="shared" si="13"/>
        <v>2.2932194188926187E-2</v>
      </c>
      <c r="E66" s="122">
        <f t="shared" si="14"/>
        <v>0</v>
      </c>
      <c r="F66" s="122">
        <f t="shared" si="15"/>
        <v>0</v>
      </c>
      <c r="G66" s="122">
        <f t="shared" si="16"/>
        <v>4.1285363874613346E-2</v>
      </c>
      <c r="H66" s="122">
        <f t="shared" si="17"/>
        <v>2.2932194188926187E-2</v>
      </c>
      <c r="I66" s="122">
        <f t="shared" si="18"/>
        <v>4.1285363874613346E-2</v>
      </c>
      <c r="J66" s="122">
        <f t="shared" si="19"/>
        <v>-2.2932194188926187E-2</v>
      </c>
      <c r="K66" s="122"/>
      <c r="Y66" s="126">
        <f t="shared" ref="Y66:Y129" si="20">IF($Z$1, C66, -0.5)</f>
        <v>-0.5</v>
      </c>
    </row>
    <row r="67" spans="2:25" x14ac:dyDescent="0.3">
      <c r="B67" s="122">
        <v>4.2546987888901155E-2</v>
      </c>
      <c r="C67" s="122">
        <f t="shared" si="12"/>
        <v>0</v>
      </c>
      <c r="D67" s="126">
        <f t="shared" si="13"/>
        <v>2.3260930769077311E-2</v>
      </c>
      <c r="E67" s="122">
        <f t="shared" si="14"/>
        <v>0</v>
      </c>
      <c r="F67" s="122">
        <f t="shared" si="15"/>
        <v>0</v>
      </c>
      <c r="G67" s="122">
        <f t="shared" si="16"/>
        <v>4.2546987888901155E-2</v>
      </c>
      <c r="H67" s="122">
        <f t="shared" si="17"/>
        <v>2.3260930769077311E-2</v>
      </c>
      <c r="I67" s="122">
        <f t="shared" si="18"/>
        <v>4.2546987888901155E-2</v>
      </c>
      <c r="J67" s="122">
        <f t="shared" si="19"/>
        <v>-2.3260930769077311E-2</v>
      </c>
      <c r="K67" s="122"/>
      <c r="Y67" s="126">
        <f t="shared" si="20"/>
        <v>-0.5</v>
      </c>
    </row>
    <row r="68" spans="2:25" x14ac:dyDescent="0.3">
      <c r="B68" s="122">
        <v>4.382674381972218E-2</v>
      </c>
      <c r="C68" s="122">
        <f t="shared" si="12"/>
        <v>0</v>
      </c>
      <c r="D68" s="126">
        <f t="shared" si="13"/>
        <v>2.3588846273844322E-2</v>
      </c>
      <c r="E68" s="122">
        <f t="shared" si="14"/>
        <v>0</v>
      </c>
      <c r="F68" s="122">
        <f t="shared" si="15"/>
        <v>0</v>
      </c>
      <c r="G68" s="122">
        <f t="shared" si="16"/>
        <v>4.382674381972218E-2</v>
      </c>
      <c r="H68" s="122">
        <f t="shared" si="17"/>
        <v>2.3588846273844322E-2</v>
      </c>
      <c r="I68" s="122">
        <f t="shared" si="18"/>
        <v>4.382674381972218E-2</v>
      </c>
      <c r="J68" s="122">
        <f t="shared" si="19"/>
        <v>-2.3588846273844322E-2</v>
      </c>
      <c r="K68" s="122"/>
      <c r="Y68" s="126">
        <f t="shared" si="20"/>
        <v>-0.5</v>
      </c>
    </row>
    <row r="69" spans="2:25" x14ac:dyDescent="0.3">
      <c r="B69" s="122">
        <v>4.5124580941806103E-2</v>
      </c>
      <c r="C69" s="122">
        <f t="shared" si="12"/>
        <v>0</v>
      </c>
      <c r="D69" s="126">
        <f t="shared" si="13"/>
        <v>2.3915935838957462E-2</v>
      </c>
      <c r="E69" s="122">
        <f t="shared" si="14"/>
        <v>0</v>
      </c>
      <c r="F69" s="122">
        <f t="shared" si="15"/>
        <v>0</v>
      </c>
      <c r="G69" s="122">
        <f t="shared" si="16"/>
        <v>4.5124580941806103E-2</v>
      </c>
      <c r="H69" s="122">
        <f t="shared" si="17"/>
        <v>2.3915935838957462E-2</v>
      </c>
      <c r="I69" s="122">
        <f t="shared" si="18"/>
        <v>4.5124580941806103E-2</v>
      </c>
      <c r="J69" s="122">
        <f t="shared" si="19"/>
        <v>-2.3915935838957462E-2</v>
      </c>
      <c r="K69" s="122"/>
      <c r="Y69" s="126">
        <f t="shared" si="20"/>
        <v>-0.5</v>
      </c>
    </row>
    <row r="70" spans="2:25" x14ac:dyDescent="0.3">
      <c r="B70" s="122">
        <v>4.6440447813204166E-2</v>
      </c>
      <c r="C70" s="122">
        <f t="shared" si="12"/>
        <v>0</v>
      </c>
      <c r="D70" s="126">
        <f t="shared" si="13"/>
        <v>2.4242194531448404E-2</v>
      </c>
      <c r="E70" s="122">
        <f t="shared" si="14"/>
        <v>0</v>
      </c>
      <c r="F70" s="122">
        <f t="shared" si="15"/>
        <v>0</v>
      </c>
      <c r="G70" s="122">
        <f t="shared" si="16"/>
        <v>4.6440447813204166E-2</v>
      </c>
      <c r="H70" s="122">
        <f t="shared" si="17"/>
        <v>2.4242194531448404E-2</v>
      </c>
      <c r="I70" s="122">
        <f t="shared" si="18"/>
        <v>4.6440447813204166E-2</v>
      </c>
      <c r="J70" s="122">
        <f t="shared" si="19"/>
        <v>-2.4242194531448404E-2</v>
      </c>
      <c r="K70" s="122"/>
      <c r="Y70" s="126">
        <f t="shared" si="20"/>
        <v>-0.5</v>
      </c>
    </row>
    <row r="71" spans="2:25" x14ac:dyDescent="0.3">
      <c r="B71" s="122">
        <v>4.7774292277328378E-2</v>
      </c>
      <c r="C71" s="122">
        <f t="shared" si="12"/>
        <v>0</v>
      </c>
      <c r="D71" s="126">
        <f t="shared" si="13"/>
        <v>2.4567617347805628E-2</v>
      </c>
      <c r="E71" s="122">
        <f t="shared" si="14"/>
        <v>0</v>
      </c>
      <c r="F71" s="122">
        <f t="shared" si="15"/>
        <v>0</v>
      </c>
      <c r="G71" s="122">
        <f t="shared" si="16"/>
        <v>4.7774292277328378E-2</v>
      </c>
      <c r="H71" s="122">
        <f t="shared" si="17"/>
        <v>2.4567617347805628E-2</v>
      </c>
      <c r="I71" s="122">
        <f t="shared" si="18"/>
        <v>4.7774292277328378E-2</v>
      </c>
      <c r="J71" s="122">
        <f t="shared" si="19"/>
        <v>-2.4567617347805628E-2</v>
      </c>
      <c r="K71" s="122"/>
      <c r="Y71" s="126">
        <f t="shared" si="20"/>
        <v>-0.5</v>
      </c>
    </row>
    <row r="72" spans="2:25" x14ac:dyDescent="0.3">
      <c r="B72" s="122">
        <v>4.9126061465018855E-2</v>
      </c>
      <c r="C72" s="122">
        <f t="shared" si="12"/>
        <v>0</v>
      </c>
      <c r="D72" s="126">
        <f t="shared" si="13"/>
        <v>2.4892199212134637E-2</v>
      </c>
      <c r="E72" s="122">
        <f t="shared" si="14"/>
        <v>0</v>
      </c>
      <c r="F72" s="122">
        <f t="shared" si="15"/>
        <v>0</v>
      </c>
      <c r="G72" s="122">
        <f t="shared" si="16"/>
        <v>4.9126061465018855E-2</v>
      </c>
      <c r="H72" s="122">
        <f t="shared" si="17"/>
        <v>2.4892199212134637E-2</v>
      </c>
      <c r="I72" s="122">
        <f t="shared" si="18"/>
        <v>4.9126061465018855E-2</v>
      </c>
      <c r="J72" s="122">
        <f t="shared" si="19"/>
        <v>-2.4892199212134637E-2</v>
      </c>
      <c r="K72" s="122"/>
      <c r="Y72" s="126">
        <f t="shared" si="20"/>
        <v>-0.5</v>
      </c>
    </row>
    <row r="73" spans="2:25" x14ac:dyDescent="0.3">
      <c r="B73" s="122">
        <v>5.0495701796638981E-2</v>
      </c>
      <c r="C73" s="122">
        <f t="shared" si="12"/>
        <v>0</v>
      </c>
      <c r="D73" s="126">
        <f t="shared" si="13"/>
        <v>2.5215934974324058E-2</v>
      </c>
      <c r="E73" s="122">
        <f t="shared" si="14"/>
        <v>0</v>
      </c>
      <c r="F73" s="122">
        <f t="shared" si="15"/>
        <v>0</v>
      </c>
      <c r="G73" s="122">
        <f t="shared" si="16"/>
        <v>5.0495701796638981E-2</v>
      </c>
      <c r="H73" s="122">
        <f t="shared" si="17"/>
        <v>2.5215934974324058E-2</v>
      </c>
      <c r="I73" s="122">
        <f t="shared" si="18"/>
        <v>5.0495701796638981E-2</v>
      </c>
      <c r="J73" s="122">
        <f t="shared" si="19"/>
        <v>-2.5215934974324058E-2</v>
      </c>
      <c r="K73" s="122"/>
      <c r="Y73" s="126">
        <f t="shared" si="20"/>
        <v>-0.5</v>
      </c>
    </row>
    <row r="74" spans="2:25" x14ac:dyDescent="0.3">
      <c r="B74" s="122">
        <v>5.1883158984199651E-2</v>
      </c>
      <c r="C74" s="122">
        <f t="shared" si="12"/>
        <v>0</v>
      </c>
      <c r="D74" s="126">
        <f t="shared" si="13"/>
        <v>2.5538819408219299E-2</v>
      </c>
      <c r="E74" s="122">
        <f t="shared" si="14"/>
        <v>0</v>
      </c>
      <c r="F74" s="122">
        <f t="shared" si="15"/>
        <v>0</v>
      </c>
      <c r="G74" s="122">
        <f t="shared" si="16"/>
        <v>5.1883158984199651E-2</v>
      </c>
      <c r="H74" s="122">
        <f t="shared" si="17"/>
        <v>2.5538819408219299E-2</v>
      </c>
      <c r="I74" s="122">
        <f t="shared" si="18"/>
        <v>5.1883158984199651E-2</v>
      </c>
      <c r="J74" s="122">
        <f t="shared" si="19"/>
        <v>-2.5538819408219299E-2</v>
      </c>
      <c r="K74" s="122"/>
      <c r="Y74" s="126">
        <f t="shared" si="20"/>
        <v>-0.5</v>
      </c>
    </row>
    <row r="75" spans="2:25" x14ac:dyDescent="0.3">
      <c r="B75" s="122">
        <v>5.3288378033510775E-2</v>
      </c>
      <c r="C75" s="122">
        <f t="shared" si="12"/>
        <v>0</v>
      </c>
      <c r="D75" s="126">
        <f t="shared" si="13"/>
        <v>2.586084720980443E-2</v>
      </c>
      <c r="E75" s="122">
        <f t="shared" si="14"/>
        <v>0</v>
      </c>
      <c r="F75" s="122">
        <f t="shared" si="15"/>
        <v>0</v>
      </c>
      <c r="G75" s="122">
        <f t="shared" si="16"/>
        <v>5.3288378033510775E-2</v>
      </c>
      <c r="H75" s="122">
        <f t="shared" si="17"/>
        <v>2.586084720980443E-2</v>
      </c>
      <c r="I75" s="122">
        <f t="shared" si="18"/>
        <v>5.3288378033510775E-2</v>
      </c>
      <c r="J75" s="122">
        <f t="shared" si="19"/>
        <v>-2.586084720980443E-2</v>
      </c>
      <c r="K75" s="122"/>
      <c r="Y75" s="126">
        <f t="shared" si="20"/>
        <v>-0.5</v>
      </c>
    </row>
    <row r="76" spans="2:25" x14ac:dyDescent="0.3">
      <c r="B76" s="122">
        <v>5.4711303246361032E-2</v>
      </c>
      <c r="C76" s="122">
        <f t="shared" si="12"/>
        <v>0</v>
      </c>
      <c r="D76" s="126">
        <f t="shared" si="13"/>
        <v>2.6182012995394063E-2</v>
      </c>
      <c r="E76" s="122">
        <f t="shared" si="14"/>
        <v>0</v>
      </c>
      <c r="F76" s="122">
        <f t="shared" si="15"/>
        <v>0</v>
      </c>
      <c r="G76" s="122">
        <f t="shared" si="16"/>
        <v>5.4711303246361032E-2</v>
      </c>
      <c r="H76" s="122">
        <f t="shared" si="17"/>
        <v>2.6182012995394063E-2</v>
      </c>
      <c r="I76" s="122">
        <f t="shared" si="18"/>
        <v>5.4711303246361032E-2</v>
      </c>
      <c r="J76" s="122">
        <f t="shared" si="19"/>
        <v>-2.6182012995394063E-2</v>
      </c>
      <c r="K76" s="122"/>
      <c r="Y76" s="126">
        <f t="shared" si="20"/>
        <v>-0.5</v>
      </c>
    </row>
    <row r="77" spans="2:25" x14ac:dyDescent="0.3">
      <c r="B77" s="122">
        <v>5.6151878222725771E-2</v>
      </c>
      <c r="C77" s="122">
        <f t="shared" si="12"/>
        <v>0</v>
      </c>
      <c r="D77" s="126">
        <f t="shared" si="13"/>
        <v>2.6502311299836122E-2</v>
      </c>
      <c r="E77" s="122">
        <f t="shared" si="14"/>
        <v>0</v>
      </c>
      <c r="F77" s="122">
        <f t="shared" si="15"/>
        <v>0</v>
      </c>
      <c r="G77" s="122">
        <f t="shared" si="16"/>
        <v>5.6151878222725771E-2</v>
      </c>
      <c r="H77" s="122">
        <f t="shared" si="17"/>
        <v>2.6502311299836122E-2</v>
      </c>
      <c r="I77" s="122">
        <f t="shared" si="18"/>
        <v>5.6151878222725771E-2</v>
      </c>
      <c r="J77" s="122">
        <f t="shared" si="19"/>
        <v>-2.6502311299836122E-2</v>
      </c>
      <c r="K77" s="122"/>
      <c r="Y77" s="126">
        <f t="shared" si="20"/>
        <v>-0.5</v>
      </c>
    </row>
    <row r="78" spans="2:25" x14ac:dyDescent="0.3">
      <c r="B78" s="122">
        <v>5.7610045863002224E-2</v>
      </c>
      <c r="C78" s="122">
        <f t="shared" si="12"/>
        <v>0</v>
      </c>
      <c r="D78" s="126">
        <f t="shared" si="13"/>
        <v>2.68217365747269E-2</v>
      </c>
      <c r="E78" s="122">
        <f t="shared" si="14"/>
        <v>0</v>
      </c>
      <c r="F78" s="122">
        <f t="shared" si="15"/>
        <v>0</v>
      </c>
      <c r="G78" s="122">
        <f t="shared" si="16"/>
        <v>5.7610045863002224E-2</v>
      </c>
      <c r="H78" s="122">
        <f t="shared" si="17"/>
        <v>2.68217365747269E-2</v>
      </c>
      <c r="I78" s="122">
        <f t="shared" si="18"/>
        <v>5.7610045863002224E-2</v>
      </c>
      <c r="J78" s="122">
        <f t="shared" si="19"/>
        <v>-2.68217365747269E-2</v>
      </c>
      <c r="K78" s="122"/>
      <c r="Y78" s="126">
        <f t="shared" si="20"/>
        <v>-0.5</v>
      </c>
    </row>
    <row r="79" spans="2:25" x14ac:dyDescent="0.3">
      <c r="B79" s="122">
        <v>5.9085748370273083E-2</v>
      </c>
      <c r="C79" s="122">
        <f t="shared" si="12"/>
        <v>0</v>
      </c>
      <c r="D79" s="126">
        <f t="shared" si="13"/>
        <v>2.7140283186639667E-2</v>
      </c>
      <c r="E79" s="122">
        <f t="shared" si="14"/>
        <v>0</v>
      </c>
      <c r="F79" s="122">
        <f t="shared" si="15"/>
        <v>0</v>
      </c>
      <c r="G79" s="122">
        <f t="shared" si="16"/>
        <v>5.9085748370273083E-2</v>
      </c>
      <c r="H79" s="122">
        <f t="shared" si="17"/>
        <v>2.7140283186639667E-2</v>
      </c>
      <c r="I79" s="122">
        <f t="shared" si="18"/>
        <v>5.9085748370273083E-2</v>
      </c>
      <c r="J79" s="122">
        <f t="shared" si="19"/>
        <v>-2.7140283186639667E-2</v>
      </c>
      <c r="K79" s="122"/>
      <c r="Y79" s="126">
        <f t="shared" si="20"/>
        <v>-0.5</v>
      </c>
    </row>
    <row r="80" spans="2:25" x14ac:dyDescent="0.3">
      <c r="B80" s="122">
        <v>6.0578927252597115E-2</v>
      </c>
      <c r="C80" s="122">
        <f t="shared" si="12"/>
        <v>0</v>
      </c>
      <c r="D80" s="126">
        <f t="shared" si="13"/>
        <v>2.7457945415367994E-2</v>
      </c>
      <c r="E80" s="122">
        <f t="shared" si="14"/>
        <v>0</v>
      </c>
      <c r="F80" s="122">
        <f t="shared" si="15"/>
        <v>0</v>
      </c>
      <c r="G80" s="122">
        <f t="shared" si="16"/>
        <v>6.0578927252597115E-2</v>
      </c>
      <c r="H80" s="122">
        <f t="shared" si="17"/>
        <v>2.7457945415367994E-2</v>
      </c>
      <c r="I80" s="122">
        <f t="shared" si="18"/>
        <v>6.0578927252597115E-2</v>
      </c>
      <c r="J80" s="122">
        <f t="shared" si="19"/>
        <v>-2.7457945415367994E-2</v>
      </c>
      <c r="K80" s="122"/>
      <c r="Y80" s="126">
        <f t="shared" si="20"/>
        <v>-0.5</v>
      </c>
    </row>
    <row r="81" spans="2:25" x14ac:dyDescent="0.3">
      <c r="B81" s="122">
        <v>6.2089523325327745E-2</v>
      </c>
      <c r="C81" s="122">
        <f t="shared" si="12"/>
        <v>0</v>
      </c>
      <c r="D81" s="126">
        <f t="shared" si="13"/>
        <v>2.7774717452185092E-2</v>
      </c>
      <c r="E81" s="122">
        <f t="shared" si="14"/>
        <v>0</v>
      </c>
      <c r="F81" s="122">
        <f t="shared" si="15"/>
        <v>0</v>
      </c>
      <c r="G81" s="122">
        <f t="shared" si="16"/>
        <v>6.2089523325327745E-2</v>
      </c>
      <c r="H81" s="122">
        <f t="shared" si="17"/>
        <v>2.7774717452185092E-2</v>
      </c>
      <c r="I81" s="122">
        <f t="shared" si="18"/>
        <v>6.2089523325327745E-2</v>
      </c>
      <c r="J81" s="122">
        <f t="shared" si="19"/>
        <v>-2.7774717452185092E-2</v>
      </c>
      <c r="K81" s="122"/>
      <c r="Y81" s="126">
        <f t="shared" si="20"/>
        <v>-0.5</v>
      </c>
    </row>
    <row r="82" spans="2:25" x14ac:dyDescent="0.3">
      <c r="B82" s="122">
        <v>6.3617476713458798E-2</v>
      </c>
      <c r="C82" s="122">
        <f t="shared" si="12"/>
        <v>0</v>
      </c>
      <c r="D82" s="126">
        <f t="shared" si="13"/>
        <v>2.8090593398120384E-2</v>
      </c>
      <c r="E82" s="122">
        <f t="shared" si="14"/>
        <v>0</v>
      </c>
      <c r="F82" s="122">
        <f t="shared" si="15"/>
        <v>0</v>
      </c>
      <c r="G82" s="122">
        <f t="shared" si="16"/>
        <v>6.3617476713458798E-2</v>
      </c>
      <c r="H82" s="122">
        <f t="shared" si="17"/>
        <v>2.8090593398120384E-2</v>
      </c>
      <c r="I82" s="122">
        <f t="shared" si="18"/>
        <v>6.3617476713458798E-2</v>
      </c>
      <c r="J82" s="122">
        <f t="shared" si="19"/>
        <v>-2.8090593398120384E-2</v>
      </c>
      <c r="K82" s="122"/>
      <c r="Y82" s="126">
        <f t="shared" si="20"/>
        <v>-0.5</v>
      </c>
    </row>
    <row r="83" spans="2:25" x14ac:dyDescent="0.3">
      <c r="B83" s="122">
        <v>6.5162726853997877E-2</v>
      </c>
      <c r="C83" s="122">
        <f t="shared" si="12"/>
        <v>0</v>
      </c>
      <c r="D83" s="126">
        <f t="shared" si="13"/>
        <v>2.8405567262254645E-2</v>
      </c>
      <c r="E83" s="122">
        <f t="shared" si="14"/>
        <v>0</v>
      </c>
      <c r="F83" s="122">
        <f t="shared" si="15"/>
        <v>0</v>
      </c>
      <c r="G83" s="122">
        <f t="shared" si="16"/>
        <v>6.5162726853997877E-2</v>
      </c>
      <c r="H83" s="122">
        <f t="shared" si="17"/>
        <v>2.8405567262254645E-2</v>
      </c>
      <c r="I83" s="122">
        <f t="shared" si="18"/>
        <v>6.5162726853997877E-2</v>
      </c>
      <c r="J83" s="122">
        <f t="shared" si="19"/>
        <v>-2.8405567262254645E-2</v>
      </c>
      <c r="K83" s="122"/>
      <c r="Y83" s="126">
        <f t="shared" si="20"/>
        <v>-0.5</v>
      </c>
    </row>
    <row r="84" spans="2:25" x14ac:dyDescent="0.3">
      <c r="B84" s="122">
        <v>6.672521249836677E-2</v>
      </c>
      <c r="C84" s="122">
        <f t="shared" si="12"/>
        <v>0</v>
      </c>
      <c r="D84" s="126">
        <f t="shared" si="13"/>
        <v>2.8719632960034852E-2</v>
      </c>
      <c r="E84" s="122">
        <f t="shared" si="14"/>
        <v>0</v>
      </c>
      <c r="F84" s="122">
        <f t="shared" si="15"/>
        <v>0</v>
      </c>
      <c r="G84" s="122">
        <f t="shared" si="16"/>
        <v>6.672521249836677E-2</v>
      </c>
      <c r="H84" s="122">
        <f t="shared" si="17"/>
        <v>2.8719632960034852E-2</v>
      </c>
      <c r="I84" s="122">
        <f t="shared" si="18"/>
        <v>6.672521249836677E-2</v>
      </c>
      <c r="J84" s="122">
        <f t="shared" si="19"/>
        <v>-2.8719632960034852E-2</v>
      </c>
      <c r="K84" s="122"/>
      <c r="Y84" s="126">
        <f t="shared" si="20"/>
        <v>-0.5</v>
      </c>
    </row>
    <row r="85" spans="2:25" x14ac:dyDescent="0.3">
      <c r="B85" s="122">
        <v>6.8304871714829296E-2</v>
      </c>
      <c r="C85" s="122">
        <f t="shared" si="12"/>
        <v>0</v>
      </c>
      <c r="D85" s="126">
        <f t="shared" si="13"/>
        <v>2.9032784311610001E-2</v>
      </c>
      <c r="E85" s="122">
        <f t="shared" si="14"/>
        <v>0</v>
      </c>
      <c r="F85" s="122">
        <f t="shared" si="15"/>
        <v>0</v>
      </c>
      <c r="G85" s="122">
        <f t="shared" si="16"/>
        <v>6.8304871714829296E-2</v>
      </c>
      <c r="H85" s="122">
        <f t="shared" si="17"/>
        <v>2.9032784311610001E-2</v>
      </c>
      <c r="I85" s="122">
        <f t="shared" si="18"/>
        <v>6.8304871714829296E-2</v>
      </c>
      <c r="J85" s="122">
        <f t="shared" si="19"/>
        <v>-2.9032784311610001E-2</v>
      </c>
      <c r="K85" s="122"/>
      <c r="Y85" s="126">
        <f t="shared" si="20"/>
        <v>-0.5</v>
      </c>
    </row>
    <row r="86" spans="2:25" x14ac:dyDescent="0.3">
      <c r="B86" s="122">
        <v>6.9901641890945942E-2</v>
      </c>
      <c r="C86" s="122">
        <f t="shared" si="12"/>
        <v>0</v>
      </c>
      <c r="D86" s="126">
        <f t="shared" si="13"/>
        <v>2.9345015040189139E-2</v>
      </c>
      <c r="E86" s="122">
        <f t="shared" si="14"/>
        <v>0</v>
      </c>
      <c r="F86" s="122">
        <f t="shared" si="15"/>
        <v>0</v>
      </c>
      <c r="G86" s="122">
        <f t="shared" si="16"/>
        <v>6.9901641890945942E-2</v>
      </c>
      <c r="H86" s="122">
        <f t="shared" si="17"/>
        <v>2.9345015040189139E-2</v>
      </c>
      <c r="I86" s="122">
        <f t="shared" si="18"/>
        <v>6.9901641890945942E-2</v>
      </c>
      <c r="J86" s="122">
        <f t="shared" si="19"/>
        <v>-2.9345015040189139E-2</v>
      </c>
      <c r="K86" s="122"/>
      <c r="Y86" s="126">
        <f t="shared" si="20"/>
        <v>-0.5</v>
      </c>
    </row>
    <row r="87" spans="2:25" x14ac:dyDescent="0.3">
      <c r="B87" s="122">
        <v>7.1515459736055498E-2</v>
      </c>
      <c r="C87" s="122">
        <f t="shared" si="12"/>
        <v>0</v>
      </c>
      <c r="D87" s="126">
        <f t="shared" si="13"/>
        <v>2.9656318770422966E-2</v>
      </c>
      <c r="E87" s="122">
        <f t="shared" si="14"/>
        <v>0</v>
      </c>
      <c r="F87" s="122">
        <f t="shared" si="15"/>
        <v>0</v>
      </c>
      <c r="G87" s="122">
        <f t="shared" si="16"/>
        <v>7.1515459736055498E-2</v>
      </c>
      <c r="H87" s="122">
        <f t="shared" si="17"/>
        <v>2.9656318770422966E-2</v>
      </c>
      <c r="I87" s="122">
        <f t="shared" si="18"/>
        <v>7.1515459736055498E-2</v>
      </c>
      <c r="J87" s="122">
        <f t="shared" si="19"/>
        <v>-2.9656318770422966E-2</v>
      </c>
      <c r="K87" s="122"/>
      <c r="Y87" s="126">
        <f t="shared" si="20"/>
        <v>-0.5</v>
      </c>
    </row>
    <row r="88" spans="2:25" x14ac:dyDescent="0.3">
      <c r="B88" s="122">
        <v>7.3146261283784042E-2</v>
      </c>
      <c r="C88" s="122">
        <f t="shared" si="12"/>
        <v>0</v>
      </c>
      <c r="D88" s="126">
        <f t="shared" si="13"/>
        <v>2.9966689026810059E-2</v>
      </c>
      <c r="E88" s="122">
        <f t="shared" si="14"/>
        <v>0</v>
      </c>
      <c r="F88" s="122">
        <f t="shared" si="15"/>
        <v>0</v>
      </c>
      <c r="G88" s="122">
        <f t="shared" si="16"/>
        <v>7.3146261283784042E-2</v>
      </c>
      <c r="H88" s="122">
        <f t="shared" si="17"/>
        <v>2.9966689026810059E-2</v>
      </c>
      <c r="I88" s="122">
        <f t="shared" si="18"/>
        <v>7.3146261283784042E-2</v>
      </c>
      <c r="J88" s="122">
        <f t="shared" si="19"/>
        <v>-2.9966689026810059E-2</v>
      </c>
      <c r="K88" s="122"/>
      <c r="Y88" s="126">
        <f t="shared" si="20"/>
        <v>-0.5</v>
      </c>
    </row>
    <row r="89" spans="2:25" x14ac:dyDescent="0.3">
      <c r="B89" s="122">
        <v>7.4793981894580031E-2</v>
      </c>
      <c r="C89" s="122">
        <f t="shared" si="12"/>
        <v>0</v>
      </c>
      <c r="D89" s="126">
        <f t="shared" si="13"/>
        <v>3.0276119232128983E-2</v>
      </c>
      <c r="E89" s="122">
        <f t="shared" si="14"/>
        <v>0</v>
      </c>
      <c r="F89" s="122">
        <f t="shared" si="15"/>
        <v>0</v>
      </c>
      <c r="G89" s="122">
        <f t="shared" si="16"/>
        <v>7.4793981894580031E-2</v>
      </c>
      <c r="H89" s="122">
        <f t="shared" si="17"/>
        <v>3.0276119232128983E-2</v>
      </c>
      <c r="I89" s="122">
        <f t="shared" si="18"/>
        <v>7.4793981894580031E-2</v>
      </c>
      <c r="J89" s="122">
        <f t="shared" si="19"/>
        <v>-3.0276119232128983E-2</v>
      </c>
      <c r="K89" s="122"/>
      <c r="Y89" s="126">
        <f t="shared" si="20"/>
        <v>-0.5</v>
      </c>
    </row>
    <row r="90" spans="2:25" x14ac:dyDescent="0.3">
      <c r="B90" s="122">
        <v>7.6458556258276578E-2</v>
      </c>
      <c r="C90" s="122">
        <f t="shared" si="12"/>
        <v>0</v>
      </c>
      <c r="D90" s="126">
        <f t="shared" si="13"/>
        <v>3.0584602705897648E-2</v>
      </c>
      <c r="E90" s="122">
        <f t="shared" si="14"/>
        <v>0</v>
      </c>
      <c r="F90" s="122">
        <f t="shared" si="15"/>
        <v>0</v>
      </c>
      <c r="G90" s="122">
        <f t="shared" si="16"/>
        <v>7.6458556258276578E-2</v>
      </c>
      <c r="H90" s="122">
        <f t="shared" si="17"/>
        <v>3.0584602705897648E-2</v>
      </c>
      <c r="I90" s="122">
        <f t="shared" si="18"/>
        <v>7.6458556258276578E-2</v>
      </c>
      <c r="J90" s="122">
        <f t="shared" si="19"/>
        <v>-3.0584602705897648E-2</v>
      </c>
      <c r="K90" s="122"/>
      <c r="Y90" s="126">
        <f t="shared" si="20"/>
        <v>-0.5</v>
      </c>
    </row>
    <row r="91" spans="2:25" x14ac:dyDescent="0.3">
      <c r="B91" s="122">
        <v>7.8139918396679942E-2</v>
      </c>
      <c r="C91" s="122">
        <f t="shared" si="12"/>
        <v>0</v>
      </c>
      <c r="D91" s="126">
        <f t="shared" si="13"/>
        <v>3.0892132662860936E-2</v>
      </c>
      <c r="E91" s="122">
        <f t="shared" si="14"/>
        <v>0</v>
      </c>
      <c r="F91" s="122">
        <f t="shared" si="15"/>
        <v>0</v>
      </c>
      <c r="G91" s="122">
        <f t="shared" si="16"/>
        <v>7.8139918396679942E-2</v>
      </c>
      <c r="H91" s="122">
        <f t="shared" si="17"/>
        <v>3.0892132662860936E-2</v>
      </c>
      <c r="I91" s="122">
        <f t="shared" si="18"/>
        <v>7.8139918396679942E-2</v>
      </c>
      <c r="J91" s="122">
        <f t="shared" si="19"/>
        <v>-3.0892132662860936E-2</v>
      </c>
      <c r="K91" s="122"/>
      <c r="Y91" s="126">
        <f t="shared" si="20"/>
        <v>-0.5</v>
      </c>
    </row>
    <row r="92" spans="2:25" x14ac:dyDescent="0.3">
      <c r="B92" s="122">
        <v>7.9838001666184821E-2</v>
      </c>
      <c r="C92" s="122">
        <f t="shared" si="12"/>
        <v>0</v>
      </c>
      <c r="D92" s="126">
        <f t="shared" si="13"/>
        <v>3.1198702211508004E-2</v>
      </c>
      <c r="E92" s="122">
        <f t="shared" si="14"/>
        <v>0</v>
      </c>
      <c r="F92" s="122">
        <f t="shared" si="15"/>
        <v>0</v>
      </c>
      <c r="G92" s="122">
        <f t="shared" si="16"/>
        <v>7.9838001666184821E-2</v>
      </c>
      <c r="H92" s="122">
        <f t="shared" si="17"/>
        <v>3.1198702211508004E-2</v>
      </c>
      <c r="I92" s="122">
        <f t="shared" si="18"/>
        <v>7.9838001666184821E-2</v>
      </c>
      <c r="J92" s="122">
        <f t="shared" si="19"/>
        <v>-3.1198702211508004E-2</v>
      </c>
      <c r="K92" s="122"/>
      <c r="Y92" s="126">
        <f t="shared" si="20"/>
        <v>-0.5</v>
      </c>
    </row>
    <row r="93" spans="2:25" x14ac:dyDescent="0.3">
      <c r="B93" s="122">
        <v>8.1552738760416077E-2</v>
      </c>
      <c r="C93" s="122">
        <f t="shared" si="12"/>
        <v>0</v>
      </c>
      <c r="D93" s="126">
        <f t="shared" si="13"/>
        <v>3.150430435262034E-2</v>
      </c>
      <c r="E93" s="122">
        <f t="shared" si="14"/>
        <v>0</v>
      </c>
      <c r="F93" s="122">
        <f t="shared" si="15"/>
        <v>0</v>
      </c>
      <c r="G93" s="122">
        <f t="shared" si="16"/>
        <v>8.1552738760416077E-2</v>
      </c>
      <c r="H93" s="122">
        <f t="shared" si="17"/>
        <v>3.150430435262034E-2</v>
      </c>
      <c r="I93" s="122">
        <f t="shared" si="18"/>
        <v>8.1552738760416077E-2</v>
      </c>
      <c r="J93" s="122">
        <f t="shared" si="19"/>
        <v>-3.150430435262034E-2</v>
      </c>
      <c r="K93" s="122"/>
      <c r="Y93" s="126">
        <f t="shared" si="20"/>
        <v>-0.5</v>
      </c>
    </row>
    <row r="94" spans="2:25" x14ac:dyDescent="0.3">
      <c r="B94" s="122">
        <v>8.3284061712896151E-2</v>
      </c>
      <c r="C94" s="122">
        <f t="shared" si="12"/>
        <v>0</v>
      </c>
      <c r="D94" s="126">
        <f t="shared" si="13"/>
        <v>3.1808931977851715E-2</v>
      </c>
      <c r="E94" s="122">
        <f t="shared" si="14"/>
        <v>0</v>
      </c>
      <c r="F94" s="122">
        <f t="shared" si="15"/>
        <v>0</v>
      </c>
      <c r="G94" s="122">
        <f t="shared" si="16"/>
        <v>8.3284061712896151E-2</v>
      </c>
      <c r="H94" s="122">
        <f t="shared" si="17"/>
        <v>3.1808931977851715E-2</v>
      </c>
      <c r="I94" s="122">
        <f t="shared" si="18"/>
        <v>8.3284061712896151E-2</v>
      </c>
      <c r="J94" s="122">
        <f t="shared" si="19"/>
        <v>-3.1808931977851715E-2</v>
      </c>
      <c r="K94" s="122"/>
      <c r="Y94" s="126">
        <f t="shared" si="20"/>
        <v>-0.5</v>
      </c>
    </row>
    <row r="95" spans="2:25" x14ac:dyDescent="0.3">
      <c r="B95" s="122">
        <v>8.5031901899739193E-2</v>
      </c>
      <c r="C95" s="122">
        <f t="shared" si="12"/>
        <v>0</v>
      </c>
      <c r="D95" s="126">
        <f t="shared" si="13"/>
        <v>3.2112577868341381E-2</v>
      </c>
      <c r="E95" s="122">
        <f t="shared" si="14"/>
        <v>0</v>
      </c>
      <c r="F95" s="122">
        <f t="shared" si="15"/>
        <v>0</v>
      </c>
      <c r="G95" s="122">
        <f t="shared" si="16"/>
        <v>8.5031901899739193E-2</v>
      </c>
      <c r="H95" s="122">
        <f t="shared" si="17"/>
        <v>3.2112577868341381E-2</v>
      </c>
      <c r="I95" s="122">
        <f t="shared" si="18"/>
        <v>8.5031901899739193E-2</v>
      </c>
      <c r="J95" s="122">
        <f t="shared" si="19"/>
        <v>-3.2112577868341381E-2</v>
      </c>
      <c r="K95" s="122"/>
      <c r="Y95" s="126">
        <f t="shared" si="20"/>
        <v>-0.5</v>
      </c>
    </row>
    <row r="96" spans="2:25" x14ac:dyDescent="0.3">
      <c r="B96" s="122">
        <v>8.6796190042371102E-2</v>
      </c>
      <c r="C96" s="122">
        <f t="shared" si="12"/>
        <v>0</v>
      </c>
      <c r="D96" s="126">
        <f t="shared" si="13"/>
        <v>3.2415234693361647E-2</v>
      </c>
      <c r="E96" s="122">
        <f t="shared" si="14"/>
        <v>0</v>
      </c>
      <c r="F96" s="122">
        <f t="shared" si="15"/>
        <v>0</v>
      </c>
      <c r="G96" s="122">
        <f t="shared" si="16"/>
        <v>8.6796190042371102E-2</v>
      </c>
      <c r="H96" s="122">
        <f t="shared" si="17"/>
        <v>3.2415234693361647E-2</v>
      </c>
      <c r="I96" s="122">
        <f t="shared" si="18"/>
        <v>8.6796190042371102E-2</v>
      </c>
      <c r="J96" s="122">
        <f t="shared" si="19"/>
        <v>-3.2415234693361647E-2</v>
      </c>
      <c r="K96" s="122"/>
      <c r="Y96" s="126">
        <f t="shared" si="20"/>
        <v>-0.5</v>
      </c>
    </row>
    <row r="97" spans="2:25" x14ac:dyDescent="0.3">
      <c r="B97" s="122">
        <v>8.8576856210275556E-2</v>
      </c>
      <c r="C97" s="122">
        <f t="shared" si="12"/>
        <v>0</v>
      </c>
      <c r="D97" s="126">
        <f t="shared" si="13"/>
        <v>3.2716895009000907E-2</v>
      </c>
      <c r="E97" s="122">
        <f t="shared" si="14"/>
        <v>0</v>
      </c>
      <c r="F97" s="122">
        <f t="shared" si="15"/>
        <v>0</v>
      </c>
      <c r="G97" s="122">
        <f t="shared" si="16"/>
        <v>8.8576856210275556E-2</v>
      </c>
      <c r="H97" s="122">
        <f t="shared" si="17"/>
        <v>3.2716895009000907E-2</v>
      </c>
      <c r="I97" s="122">
        <f t="shared" si="18"/>
        <v>8.8576856210275556E-2</v>
      </c>
      <c r="J97" s="122">
        <f t="shared" si="19"/>
        <v>-3.2716895009000907E-2</v>
      </c>
      <c r="K97" s="122"/>
      <c r="Y97" s="126">
        <f t="shared" si="20"/>
        <v>-0.5</v>
      </c>
    </row>
    <row r="98" spans="2:25" x14ac:dyDescent="0.3">
      <c r="B98" s="122">
        <v>9.0373829823765794E-2</v>
      </c>
      <c r="C98" s="122">
        <f t="shared" si="12"/>
        <v>0</v>
      </c>
      <c r="D98" s="126">
        <f t="shared" si="13"/>
        <v>3.3017551256883423E-2</v>
      </c>
      <c r="E98" s="122">
        <f t="shared" si="14"/>
        <v>0</v>
      </c>
      <c r="F98" s="122">
        <f t="shared" si="15"/>
        <v>0</v>
      </c>
      <c r="G98" s="122">
        <f t="shared" si="16"/>
        <v>9.0373829823765794E-2</v>
      </c>
      <c r="H98" s="122">
        <f t="shared" si="17"/>
        <v>3.3017551256883423E-2</v>
      </c>
      <c r="I98" s="122">
        <f t="shared" si="18"/>
        <v>9.0373829823765794E-2</v>
      </c>
      <c r="J98" s="122">
        <f t="shared" si="19"/>
        <v>-3.3017551256883423E-2</v>
      </c>
      <c r="K98" s="122"/>
      <c r="Y98" s="126">
        <f t="shared" si="20"/>
        <v>-0.5</v>
      </c>
    </row>
    <row r="99" spans="2:25" x14ac:dyDescent="0.3">
      <c r="B99" s="122">
        <v>9.2187039656781988E-2</v>
      </c>
      <c r="C99" s="122">
        <f t="shared" si="12"/>
        <v>0</v>
      </c>
      <c r="D99" s="126">
        <f t="shared" si="13"/>
        <v>3.3317195762926806E-2</v>
      </c>
      <c r="E99" s="122">
        <f t="shared" si="14"/>
        <v>0</v>
      </c>
      <c r="F99" s="122">
        <f t="shared" si="15"/>
        <v>0</v>
      </c>
      <c r="G99" s="122">
        <f t="shared" si="16"/>
        <v>9.2187039656781988E-2</v>
      </c>
      <c r="H99" s="122">
        <f t="shared" si="17"/>
        <v>3.3317195762926806E-2</v>
      </c>
      <c r="I99" s="122">
        <f t="shared" si="18"/>
        <v>9.2187039656781988E-2</v>
      </c>
      <c r="J99" s="122">
        <f t="shared" si="19"/>
        <v>-3.3317195762926806E-2</v>
      </c>
      <c r="K99" s="122"/>
      <c r="Y99" s="126">
        <f t="shared" si="20"/>
        <v>-0.5</v>
      </c>
    </row>
    <row r="100" spans="2:25" x14ac:dyDescent="0.3">
      <c r="B100" s="122">
        <v>9.4016413839714708E-2</v>
      </c>
      <c r="C100" s="122">
        <f t="shared" si="12"/>
        <v>0</v>
      </c>
      <c r="D100" s="126">
        <f t="shared" si="13"/>
        <v>3.3615820736138717E-2</v>
      </c>
      <c r="E100" s="122">
        <f t="shared" si="14"/>
        <v>0</v>
      </c>
      <c r="F100" s="122">
        <f t="shared" si="15"/>
        <v>0</v>
      </c>
      <c r="G100" s="122">
        <f t="shared" si="16"/>
        <v>9.4016413839714708E-2</v>
      </c>
      <c r="H100" s="122">
        <f t="shared" si="17"/>
        <v>3.3615820736138717E-2</v>
      </c>
      <c r="I100" s="122">
        <f t="shared" si="18"/>
        <v>9.4016413839714708E-2</v>
      </c>
      <c r="J100" s="122">
        <f t="shared" si="19"/>
        <v>-3.3615820736138717E-2</v>
      </c>
      <c r="K100" s="122"/>
      <c r="Y100" s="126">
        <f t="shared" si="20"/>
        <v>-0.5</v>
      </c>
    </row>
    <row r="101" spans="2:25" x14ac:dyDescent="0.3">
      <c r="B101" s="122">
        <v>9.5861879862253307E-2</v>
      </c>
      <c r="C101" s="122">
        <f t="shared" si="12"/>
        <v>0</v>
      </c>
      <c r="D101" s="126">
        <f t="shared" si="13"/>
        <v>3.3913418267453407E-2</v>
      </c>
      <c r="E101" s="122">
        <f t="shared" si="14"/>
        <v>0</v>
      </c>
      <c r="F101" s="122">
        <f t="shared" si="15"/>
        <v>0</v>
      </c>
      <c r="G101" s="122">
        <f t="shared" si="16"/>
        <v>9.5861879862253307E-2</v>
      </c>
      <c r="H101" s="122">
        <f t="shared" si="17"/>
        <v>3.3913418267453407E-2</v>
      </c>
      <c r="I101" s="122">
        <f t="shared" si="18"/>
        <v>9.5861879862253307E-2</v>
      </c>
      <c r="J101" s="122">
        <f t="shared" si="19"/>
        <v>-3.3913418267453407E-2</v>
      </c>
      <c r="K101" s="122"/>
      <c r="Y101" s="126">
        <f t="shared" si="20"/>
        <v>-0.5</v>
      </c>
    </row>
    <row r="102" spans="2:25" x14ac:dyDescent="0.3">
      <c r="B102" s="122">
        <v>9.7723364576260074E-2</v>
      </c>
      <c r="C102" s="122">
        <f t="shared" si="12"/>
        <v>0</v>
      </c>
      <c r="D102" s="126">
        <f t="shared" si="13"/>
        <v>3.4209980328609675E-2</v>
      </c>
      <c r="E102" s="122">
        <f t="shared" si="14"/>
        <v>0</v>
      </c>
      <c r="F102" s="122">
        <f t="shared" si="15"/>
        <v>0</v>
      </c>
      <c r="G102" s="122">
        <f t="shared" si="16"/>
        <v>9.7723364576260074E-2</v>
      </c>
      <c r="H102" s="122">
        <f t="shared" si="17"/>
        <v>3.4209980328609675E-2</v>
      </c>
      <c r="I102" s="122">
        <f t="shared" si="18"/>
        <v>9.7723364576260074E-2</v>
      </c>
      <c r="J102" s="122">
        <f t="shared" si="19"/>
        <v>-3.4209980328609675E-2</v>
      </c>
      <c r="K102" s="122"/>
      <c r="Y102" s="126">
        <f t="shared" si="20"/>
        <v>-0.5</v>
      </c>
    </row>
    <row r="103" spans="2:25" x14ac:dyDescent="0.3">
      <c r="B103" s="122">
        <v>9.9600794198669851E-2</v>
      </c>
      <c r="C103" s="122">
        <f t="shared" si="12"/>
        <v>0</v>
      </c>
      <c r="D103" s="126">
        <f t="shared" si="13"/>
        <v>3.450549877107114E-2</v>
      </c>
      <c r="E103" s="122">
        <f t="shared" si="14"/>
        <v>0</v>
      </c>
      <c r="F103" s="122">
        <f t="shared" si="15"/>
        <v>0</v>
      </c>
      <c r="G103" s="122">
        <f t="shared" si="16"/>
        <v>9.9600794198669851E-2</v>
      </c>
      <c r="H103" s="122">
        <f t="shared" si="17"/>
        <v>3.450549877107114E-2</v>
      </c>
      <c r="I103" s="122">
        <f t="shared" si="18"/>
        <v>9.9600794198669851E-2</v>
      </c>
      <c r="J103" s="122">
        <f t="shared" si="19"/>
        <v>-3.450549877107114E-2</v>
      </c>
      <c r="K103" s="122"/>
      <c r="Y103" s="126">
        <f t="shared" si="20"/>
        <v>-0.5</v>
      </c>
    </row>
    <row r="104" spans="2:25" x14ac:dyDescent="0.3">
      <c r="B104" s="122">
        <v>0.1014940943144142</v>
      </c>
      <c r="C104" s="122">
        <f t="shared" si="12"/>
        <v>0</v>
      </c>
      <c r="D104" s="126">
        <f t="shared" si="13"/>
        <v>3.4799965324989857E-2</v>
      </c>
      <c r="E104" s="122">
        <f t="shared" si="14"/>
        <v>0</v>
      </c>
      <c r="F104" s="122">
        <f t="shared" si="15"/>
        <v>0</v>
      </c>
      <c r="G104" s="122">
        <f t="shared" si="16"/>
        <v>0.1014940943144142</v>
      </c>
      <c r="H104" s="122">
        <f t="shared" si="17"/>
        <v>3.4799965324989857E-2</v>
      </c>
      <c r="I104" s="122">
        <f t="shared" si="18"/>
        <v>0.1014940943144142</v>
      </c>
      <c r="J104" s="122">
        <f t="shared" si="19"/>
        <v>-3.4799965324989857E-2</v>
      </c>
      <c r="K104" s="122"/>
      <c r="Y104" s="126">
        <f t="shared" si="20"/>
        <v>-0.5</v>
      </c>
    </row>
    <row r="105" spans="2:25" x14ac:dyDescent="0.3">
      <c r="B105" s="122">
        <v>0.10340318987937097</v>
      </c>
      <c r="C105" s="122">
        <f t="shared" si="12"/>
        <v>0</v>
      </c>
      <c r="D105" s="126">
        <f t="shared" si="13"/>
        <v>3.5093371598214511E-2</v>
      </c>
      <c r="E105" s="122">
        <f t="shared" si="14"/>
        <v>0</v>
      </c>
      <c r="F105" s="122">
        <f t="shared" si="15"/>
        <v>0</v>
      </c>
      <c r="G105" s="122">
        <f t="shared" si="16"/>
        <v>0.10340318987937097</v>
      </c>
      <c r="H105" s="122">
        <f t="shared" si="17"/>
        <v>3.5093371598214511E-2</v>
      </c>
      <c r="I105" s="122">
        <f t="shared" si="18"/>
        <v>0.10340318987937097</v>
      </c>
      <c r="J105" s="122">
        <f t="shared" si="19"/>
        <v>-3.5093371598214511E-2</v>
      </c>
      <c r="K105" s="122"/>
      <c r="Y105" s="126">
        <f t="shared" si="20"/>
        <v>-0.5</v>
      </c>
    </row>
    <row r="106" spans="2:25" x14ac:dyDescent="0.3">
      <c r="B106" s="122">
        <v>0.10532800522333907</v>
      </c>
      <c r="C106" s="122">
        <f t="shared" si="12"/>
        <v>0</v>
      </c>
      <c r="D106" s="126">
        <f t="shared" si="13"/>
        <v>3.5385709075344211E-2</v>
      </c>
      <c r="E106" s="122">
        <f t="shared" si="14"/>
        <v>0</v>
      </c>
      <c r="F106" s="122">
        <f t="shared" si="15"/>
        <v>0</v>
      </c>
      <c r="G106" s="122">
        <f t="shared" si="16"/>
        <v>0.10532800522333907</v>
      </c>
      <c r="H106" s="122">
        <f t="shared" si="17"/>
        <v>3.5385709075344211E-2</v>
      </c>
      <c r="I106" s="122">
        <f t="shared" si="18"/>
        <v>0.10532800522333907</v>
      </c>
      <c r="J106" s="122">
        <f t="shared" si="19"/>
        <v>-3.5385709075344211E-2</v>
      </c>
      <c r="K106" s="122"/>
      <c r="Y106" s="126">
        <f t="shared" si="20"/>
        <v>-0.5</v>
      </c>
    </row>
    <row r="107" spans="2:25" x14ac:dyDescent="0.3">
      <c r="B107" s="122">
        <v>0.10726846405303753</v>
      </c>
      <c r="C107" s="122">
        <f t="shared" si="12"/>
        <v>0</v>
      </c>
      <c r="D107" s="126">
        <f t="shared" si="13"/>
        <v>3.5676969116828883E-2</v>
      </c>
      <c r="E107" s="122">
        <f t="shared" si="14"/>
        <v>0</v>
      </c>
      <c r="F107" s="122">
        <f t="shared" si="15"/>
        <v>0</v>
      </c>
      <c r="G107" s="122">
        <f t="shared" si="16"/>
        <v>0.10726846405303753</v>
      </c>
      <c r="H107" s="122">
        <f t="shared" si="17"/>
        <v>3.5676969116828883E-2</v>
      </c>
      <c r="I107" s="122">
        <f t="shared" si="18"/>
        <v>0.10726846405303753</v>
      </c>
      <c r="J107" s="122">
        <f t="shared" si="19"/>
        <v>-3.5676969116828883E-2</v>
      </c>
      <c r="K107" s="122"/>
      <c r="Y107" s="126">
        <f t="shared" si="20"/>
        <v>-0.5</v>
      </c>
    </row>
    <row r="108" spans="2:25" x14ac:dyDescent="0.3">
      <c r="B108" s="122">
        <v>0.10922448945512975</v>
      </c>
      <c r="C108" s="122">
        <f t="shared" si="12"/>
        <v>0</v>
      </c>
      <c r="D108" s="126">
        <f t="shared" si="13"/>
        <v>3.5967142958117357E-2</v>
      </c>
      <c r="E108" s="122">
        <f t="shared" si="14"/>
        <v>0</v>
      </c>
      <c r="F108" s="122">
        <f t="shared" si="15"/>
        <v>0</v>
      </c>
      <c r="G108" s="122">
        <f t="shared" si="16"/>
        <v>0.10922448945512975</v>
      </c>
      <c r="H108" s="122">
        <f t="shared" si="17"/>
        <v>3.5967142958117357E-2</v>
      </c>
      <c r="I108" s="122">
        <f t="shared" si="18"/>
        <v>0.10922448945512975</v>
      </c>
      <c r="J108" s="122">
        <f t="shared" si="19"/>
        <v>-3.5967142958117357E-2</v>
      </c>
      <c r="K108" s="122"/>
      <c r="Y108" s="126">
        <f t="shared" si="20"/>
        <v>-0.5</v>
      </c>
    </row>
    <row r="109" spans="2:25" x14ac:dyDescent="0.3">
      <c r="B109" s="122">
        <v>0.11119600389927187</v>
      </c>
      <c r="C109" s="122">
        <f t="shared" si="12"/>
        <v>0</v>
      </c>
      <c r="D109" s="126">
        <f t="shared" si="13"/>
        <v>3.6256221708854168E-2</v>
      </c>
      <c r="E109" s="122">
        <f t="shared" si="14"/>
        <v>0</v>
      </c>
      <c r="F109" s="122">
        <f t="shared" si="15"/>
        <v>0</v>
      </c>
      <c r="G109" s="122">
        <f t="shared" si="16"/>
        <v>0.11119600389927187</v>
      </c>
      <c r="H109" s="122">
        <f t="shared" si="17"/>
        <v>3.6256221708854168E-2</v>
      </c>
      <c r="I109" s="122">
        <f t="shared" si="18"/>
        <v>0.11119600389927187</v>
      </c>
      <c r="J109" s="122">
        <f t="shared" si="19"/>
        <v>-3.6256221708854168E-2</v>
      </c>
      <c r="K109" s="122"/>
      <c r="Y109" s="126">
        <f t="shared" si="20"/>
        <v>-0.5</v>
      </c>
    </row>
    <row r="110" spans="2:25" x14ac:dyDescent="0.3">
      <c r="B110" s="122">
        <v>0.11318292924118578</v>
      </c>
      <c r="C110" s="122">
        <f t="shared" si="12"/>
        <v>0</v>
      </c>
      <c r="D110" s="126">
        <f t="shared" si="13"/>
        <v>3.6544196352126017E-2</v>
      </c>
      <c r="E110" s="122">
        <f t="shared" si="14"/>
        <v>0</v>
      </c>
      <c r="F110" s="122">
        <f t="shared" si="15"/>
        <v>0</v>
      </c>
      <c r="G110" s="122">
        <f t="shared" si="16"/>
        <v>0.11318292924118578</v>
      </c>
      <c r="H110" s="122">
        <f t="shared" si="17"/>
        <v>3.6544196352126017E-2</v>
      </c>
      <c r="I110" s="122">
        <f t="shared" si="18"/>
        <v>0.11318292924118578</v>
      </c>
      <c r="J110" s="122">
        <f t="shared" si="19"/>
        <v>-3.6544196352126017E-2</v>
      </c>
      <c r="K110" s="122"/>
      <c r="Y110" s="126">
        <f t="shared" si="20"/>
        <v>-0.5</v>
      </c>
    </row>
    <row r="111" spans="2:25" x14ac:dyDescent="0.3">
      <c r="B111" s="122">
        <v>0.11518518672575695</v>
      </c>
      <c r="C111" s="122">
        <f t="shared" si="12"/>
        <v>0</v>
      </c>
      <c r="D111" s="126">
        <f t="shared" si="13"/>
        <v>3.6831057743759055E-2</v>
      </c>
      <c r="E111" s="122">
        <f t="shared" si="14"/>
        <v>0</v>
      </c>
      <c r="F111" s="122">
        <f t="shared" si="15"/>
        <v>0</v>
      </c>
      <c r="G111" s="122">
        <f t="shared" si="16"/>
        <v>0.11518518672575695</v>
      </c>
      <c r="H111" s="122">
        <f t="shared" si="17"/>
        <v>3.6831057743759055E-2</v>
      </c>
      <c r="I111" s="122">
        <f t="shared" si="18"/>
        <v>0.11518518672575695</v>
      </c>
      <c r="J111" s="122">
        <f t="shared" si="19"/>
        <v>-3.6831057743759055E-2</v>
      </c>
      <c r="K111" s="122"/>
      <c r="Y111" s="126">
        <f t="shared" si="20"/>
        <v>-0.5</v>
      </c>
    </row>
    <row r="112" spans="2:25" x14ac:dyDescent="0.3">
      <c r="B112" s="122">
        <v>0.11720269699015529</v>
      </c>
      <c r="C112" s="122">
        <f t="shared" si="12"/>
        <v>0</v>
      </c>
      <c r="D112" s="126">
        <f t="shared" si="13"/>
        <v>3.7116796611667634E-2</v>
      </c>
      <c r="E112" s="122">
        <f t="shared" si="14"/>
        <v>0</v>
      </c>
      <c r="F112" s="122">
        <f t="shared" si="15"/>
        <v>0</v>
      </c>
      <c r="G112" s="122">
        <f t="shared" si="16"/>
        <v>0.11720269699015529</v>
      </c>
      <c r="H112" s="122">
        <f t="shared" si="17"/>
        <v>3.7116796611667634E-2</v>
      </c>
      <c r="I112" s="122">
        <f t="shared" si="18"/>
        <v>0.11720269699015529</v>
      </c>
      <c r="J112" s="122">
        <f t="shared" si="19"/>
        <v>-3.7116796611667634E-2</v>
      </c>
      <c r="K112" s="122"/>
      <c r="Y112" s="126">
        <f t="shared" si="20"/>
        <v>-0.5</v>
      </c>
    </row>
    <row r="113" spans="2:25" x14ac:dyDescent="0.3">
      <c r="B113" s="122">
        <v>0.11923538006698148</v>
      </c>
      <c r="C113" s="122">
        <f t="shared" si="12"/>
        <v>0</v>
      </c>
      <c r="D113" s="126">
        <f t="shared" si="13"/>
        <v>3.7401403555255966E-2</v>
      </c>
      <c r="E113" s="122">
        <f t="shared" si="14"/>
        <v>0</v>
      </c>
      <c r="F113" s="122">
        <f t="shared" si="15"/>
        <v>0</v>
      </c>
      <c r="G113" s="122">
        <f t="shared" si="16"/>
        <v>0.11923538006698148</v>
      </c>
      <c r="H113" s="122">
        <f t="shared" si="17"/>
        <v>3.7401403555255966E-2</v>
      </c>
      <c r="I113" s="122">
        <f t="shared" si="18"/>
        <v>0.11923538006698148</v>
      </c>
      <c r="J113" s="122">
        <f t="shared" si="19"/>
        <v>-3.7401403555255966E-2</v>
      </c>
      <c r="K113" s="122"/>
      <c r="Y113" s="126">
        <f t="shared" si="20"/>
        <v>-0.5</v>
      </c>
    </row>
    <row r="114" spans="2:25" x14ac:dyDescent="0.3">
      <c r="B114" s="122">
        <v>0.12128315538743634</v>
      </c>
      <c r="C114" s="122">
        <f t="shared" si="12"/>
        <v>0</v>
      </c>
      <c r="D114" s="126">
        <f t="shared" si="13"/>
        <v>3.7684869044873164E-2</v>
      </c>
      <c r="E114" s="122">
        <f t="shared" si="14"/>
        <v>0</v>
      </c>
      <c r="F114" s="122">
        <f t="shared" si="15"/>
        <v>0</v>
      </c>
      <c r="G114" s="122">
        <f t="shared" si="16"/>
        <v>0.12128315538743634</v>
      </c>
      <c r="H114" s="122">
        <f t="shared" si="17"/>
        <v>3.7684869044873164E-2</v>
      </c>
      <c r="I114" s="122">
        <f t="shared" si="18"/>
        <v>0.12128315538743634</v>
      </c>
      <c r="J114" s="122">
        <f t="shared" si="19"/>
        <v>-3.7684869044873164E-2</v>
      </c>
      <c r="K114" s="122"/>
      <c r="Y114" s="126">
        <f t="shared" si="20"/>
        <v>-0.5</v>
      </c>
    </row>
    <row r="115" spans="2:25" x14ac:dyDescent="0.3">
      <c r="B115" s="122">
        <v>0.12334594178451425</v>
      </c>
      <c r="C115" s="122">
        <f t="shared" si="12"/>
        <v>0</v>
      </c>
      <c r="D115" s="126">
        <f t="shared" si="13"/>
        <v>3.7967183421322832E-2</v>
      </c>
      <c r="E115" s="122">
        <f t="shared" si="14"/>
        <v>0</v>
      </c>
      <c r="F115" s="122">
        <f t="shared" si="15"/>
        <v>0</v>
      </c>
      <c r="G115" s="122">
        <f t="shared" si="16"/>
        <v>0.12334594178451425</v>
      </c>
      <c r="H115" s="122">
        <f t="shared" si="17"/>
        <v>3.7967183421322832E-2</v>
      </c>
      <c r="I115" s="122">
        <f t="shared" si="18"/>
        <v>0.12334594178451425</v>
      </c>
      <c r="J115" s="122">
        <f t="shared" si="19"/>
        <v>-3.7967183421322832E-2</v>
      </c>
      <c r="K115" s="122"/>
      <c r="Y115" s="126">
        <f t="shared" si="20"/>
        <v>-0.5</v>
      </c>
    </row>
    <row r="116" spans="2:25" x14ac:dyDescent="0.3">
      <c r="B116" s="122">
        <v>0.12542365749622042</v>
      </c>
      <c r="C116" s="122">
        <f t="shared" si="12"/>
        <v>0</v>
      </c>
      <c r="D116" s="126">
        <f t="shared" si="13"/>
        <v>3.8248336895428149E-2</v>
      </c>
      <c r="E116" s="122">
        <f t="shared" si="14"/>
        <v>0</v>
      </c>
      <c r="F116" s="122">
        <f t="shared" si="15"/>
        <v>0</v>
      </c>
      <c r="G116" s="122">
        <f t="shared" si="16"/>
        <v>0.12542365749622042</v>
      </c>
      <c r="H116" s="122">
        <f t="shared" si="17"/>
        <v>3.8248336895428149E-2</v>
      </c>
      <c r="I116" s="122">
        <f t="shared" si="18"/>
        <v>0.12542365749622042</v>
      </c>
      <c r="J116" s="122">
        <f t="shared" si="19"/>
        <v>-3.8248336895428149E-2</v>
      </c>
      <c r="K116" s="122"/>
      <c r="Y116" s="126">
        <f t="shared" si="20"/>
        <v>-0.5</v>
      </c>
    </row>
    <row r="117" spans="2:25" x14ac:dyDescent="0.3">
      <c r="B117" s="122">
        <v>0.12751622016881176</v>
      </c>
      <c r="C117" s="122">
        <f t="shared" si="12"/>
        <v>0</v>
      </c>
      <c r="D117" s="126">
        <f t="shared" si="13"/>
        <v>3.8528319547653143E-2</v>
      </c>
      <c r="E117" s="122">
        <f t="shared" si="14"/>
        <v>0</v>
      </c>
      <c r="F117" s="122">
        <f t="shared" si="15"/>
        <v>0</v>
      </c>
      <c r="G117" s="122">
        <f t="shared" si="16"/>
        <v>0.12751622016881176</v>
      </c>
      <c r="H117" s="122">
        <f t="shared" si="17"/>
        <v>3.8528319547653143E-2</v>
      </c>
      <c r="I117" s="122">
        <f t="shared" si="18"/>
        <v>0.12751622016881176</v>
      </c>
      <c r="J117" s="122">
        <f t="shared" si="19"/>
        <v>-3.8528319547653143E-2</v>
      </c>
      <c r="K117" s="122"/>
      <c r="Y117" s="126">
        <f t="shared" si="20"/>
        <v>-0.5</v>
      </c>
    </row>
    <row r="118" spans="2:25" x14ac:dyDescent="0.3">
      <c r="B118" s="122">
        <v>0.12962354686006083</v>
      </c>
      <c r="C118" s="122">
        <f t="shared" si="12"/>
        <v>0</v>
      </c>
      <c r="D118" s="126">
        <f t="shared" si="13"/>
        <v>3.8807121327781212E-2</v>
      </c>
      <c r="E118" s="122">
        <f t="shared" si="14"/>
        <v>0</v>
      </c>
      <c r="F118" s="122">
        <f t="shared" si="15"/>
        <v>0</v>
      </c>
      <c r="G118" s="122">
        <f t="shared" si="16"/>
        <v>0.12962354686006083</v>
      </c>
      <c r="H118" s="122">
        <f t="shared" si="17"/>
        <v>3.8807121327781212E-2</v>
      </c>
      <c r="I118" s="122">
        <f t="shared" si="18"/>
        <v>0.12962354686006083</v>
      </c>
      <c r="J118" s="122">
        <f t="shared" si="19"/>
        <v>-3.8807121327781212E-2</v>
      </c>
      <c r="K118" s="122"/>
      <c r="Y118" s="126">
        <f t="shared" si="20"/>
        <v>-0.5</v>
      </c>
    </row>
    <row r="119" spans="2:25" x14ac:dyDescent="0.3">
      <c r="B119" s="122">
        <v>0.13174555404254384</v>
      </c>
      <c r="C119" s="122">
        <f t="shared" si="12"/>
        <v>0</v>
      </c>
      <c r="D119" s="126">
        <f t="shared" si="13"/>
        <v>3.9084732054651607E-2</v>
      </c>
      <c r="E119" s="122">
        <f t="shared" si="14"/>
        <v>0</v>
      </c>
      <c r="F119" s="122">
        <f t="shared" si="15"/>
        <v>0</v>
      </c>
      <c r="G119" s="122">
        <f t="shared" si="16"/>
        <v>0.13174555404254384</v>
      </c>
      <c r="H119" s="122">
        <f t="shared" si="17"/>
        <v>3.9084732054651607E-2</v>
      </c>
      <c r="I119" s="122">
        <f t="shared" si="18"/>
        <v>0.13174555404254384</v>
      </c>
      <c r="J119" s="122">
        <f t="shared" si="19"/>
        <v>-3.9084732054651607E-2</v>
      </c>
      <c r="K119" s="122"/>
      <c r="Y119" s="126">
        <f t="shared" si="20"/>
        <v>-0.5</v>
      </c>
    </row>
    <row r="120" spans="2:25" x14ac:dyDescent="0.3">
      <c r="B120" s="122">
        <v>0.13388215760695088</v>
      </c>
      <c r="C120" s="122">
        <f t="shared" si="12"/>
        <v>0</v>
      </c>
      <c r="D120" s="126">
        <f t="shared" si="13"/>
        <v>3.9361141415954766E-2</v>
      </c>
      <c r="E120" s="122">
        <f t="shared" si="14"/>
        <v>0</v>
      </c>
      <c r="F120" s="122">
        <f t="shared" si="15"/>
        <v>0</v>
      </c>
      <c r="G120" s="122">
        <f t="shared" si="16"/>
        <v>0.13388215760695088</v>
      </c>
      <c r="H120" s="122">
        <f t="shared" si="17"/>
        <v>3.9361141415954766E-2</v>
      </c>
      <c r="I120" s="122">
        <f t="shared" si="18"/>
        <v>0.13388215760695088</v>
      </c>
      <c r="J120" s="122">
        <f t="shared" si="19"/>
        <v>-3.9361141415954766E-2</v>
      </c>
      <c r="K120" s="122"/>
      <c r="Y120" s="126">
        <f t="shared" si="20"/>
        <v>-0.5</v>
      </c>
    </row>
    <row r="121" spans="2:25" x14ac:dyDescent="0.3">
      <c r="B121" s="122">
        <v>0.13603327286542016</v>
      </c>
      <c r="C121" s="122">
        <f t="shared" si="12"/>
        <v>0</v>
      </c>
      <c r="D121" s="126">
        <f t="shared" si="13"/>
        <v>3.9636338968087333E-2</v>
      </c>
      <c r="E121" s="122">
        <f t="shared" si="14"/>
        <v>0</v>
      </c>
      <c r="F121" s="122">
        <f t="shared" si="15"/>
        <v>0</v>
      </c>
      <c r="G121" s="122">
        <f t="shared" si="16"/>
        <v>0.13603327286542016</v>
      </c>
      <c r="H121" s="122">
        <f t="shared" si="17"/>
        <v>3.9636338968087333E-2</v>
      </c>
      <c r="I121" s="122">
        <f t="shared" si="18"/>
        <v>0.13603327286542016</v>
      </c>
      <c r="J121" s="122">
        <f t="shared" si="19"/>
        <v>-3.9636338968087333E-2</v>
      </c>
      <c r="K121" s="122"/>
      <c r="Y121" s="126">
        <f t="shared" si="20"/>
        <v>-0.5</v>
      </c>
    </row>
    <row r="122" spans="2:25" x14ac:dyDescent="0.3">
      <c r="B122" s="122">
        <v>0.13819881455489452</v>
      </c>
      <c r="C122" s="122">
        <f t="shared" si="12"/>
        <v>0</v>
      </c>
      <c r="D122" s="126">
        <f t="shared" si="13"/>
        <v>3.991031413606759E-2</v>
      </c>
      <c r="E122" s="122">
        <f t="shared" si="14"/>
        <v>0</v>
      </c>
      <c r="F122" s="122">
        <f t="shared" si="15"/>
        <v>0</v>
      </c>
      <c r="G122" s="122">
        <f t="shared" si="16"/>
        <v>0.13819881455489452</v>
      </c>
      <c r="H122" s="122">
        <f t="shared" si="17"/>
        <v>3.991031413606759E-2</v>
      </c>
      <c r="I122" s="122">
        <f t="shared" si="18"/>
        <v>0.13819881455489452</v>
      </c>
      <c r="J122" s="122">
        <f t="shared" si="19"/>
        <v>-3.991031413606759E-2</v>
      </c>
      <c r="K122" s="122"/>
      <c r="Y122" s="126">
        <f t="shared" si="20"/>
        <v>-0.5</v>
      </c>
    </row>
    <row r="123" spans="2:25" x14ac:dyDescent="0.3">
      <c r="B123" s="122">
        <v>0.14037869684050097</v>
      </c>
      <c r="C123" s="122">
        <f t="shared" si="12"/>
        <v>0</v>
      </c>
      <c r="D123" s="126">
        <f t="shared" si="13"/>
        <v>4.0183056213512029E-2</v>
      </c>
      <c r="E123" s="122">
        <f t="shared" si="14"/>
        <v>0</v>
      </c>
      <c r="F123" s="122">
        <f t="shared" si="15"/>
        <v>0</v>
      </c>
      <c r="G123" s="122">
        <f t="shared" si="16"/>
        <v>0.14037869684050097</v>
      </c>
      <c r="H123" s="122">
        <f t="shared" si="17"/>
        <v>4.0183056213512029E-2</v>
      </c>
      <c r="I123" s="122">
        <f t="shared" si="18"/>
        <v>0.14037869684050097</v>
      </c>
      <c r="J123" s="122">
        <f t="shared" si="19"/>
        <v>-4.0183056213512029E-2</v>
      </c>
      <c r="K123" s="122"/>
      <c r="Y123" s="126">
        <f t="shared" si="20"/>
        <v>-0.5</v>
      </c>
    </row>
    <row r="124" spans="2:25" x14ac:dyDescent="0.3">
      <c r="B124" s="122">
        <v>0.1425728333189531</v>
      </c>
      <c r="C124" s="122">
        <f t="shared" si="12"/>
        <v>0</v>
      </c>
      <c r="D124" s="126">
        <f t="shared" si="13"/>
        <v>4.0454554362673999E-2</v>
      </c>
      <c r="E124" s="122">
        <f t="shared" si="14"/>
        <v>0</v>
      </c>
      <c r="F124" s="122">
        <f t="shared" si="15"/>
        <v>0</v>
      </c>
      <c r="G124" s="122">
        <f t="shared" si="16"/>
        <v>0.1425728333189531</v>
      </c>
      <c r="H124" s="122">
        <f t="shared" si="17"/>
        <v>4.0454554362673999E-2</v>
      </c>
      <c r="I124" s="122">
        <f t="shared" si="18"/>
        <v>0.1425728333189531</v>
      </c>
      <c r="J124" s="122">
        <f t="shared" si="19"/>
        <v>-4.0454554362673999E-2</v>
      </c>
      <c r="K124" s="122"/>
      <c r="Y124" s="126">
        <f t="shared" si="20"/>
        <v>-0.5</v>
      </c>
    </row>
    <row r="125" spans="2:25" x14ac:dyDescent="0.3">
      <c r="B125" s="122">
        <v>0.14478113702197559</v>
      </c>
      <c r="C125" s="122">
        <f t="shared" si="12"/>
        <v>0</v>
      </c>
      <c r="D125" s="126">
        <f t="shared" si="13"/>
        <v>4.0724797614544908E-2</v>
      </c>
      <c r="E125" s="122">
        <f t="shared" si="14"/>
        <v>0</v>
      </c>
      <c r="F125" s="122">
        <f t="shared" si="15"/>
        <v>0</v>
      </c>
      <c r="G125" s="122">
        <f t="shared" si="16"/>
        <v>0.14478113702197559</v>
      </c>
      <c r="H125" s="122">
        <f t="shared" si="17"/>
        <v>4.0724797614544908E-2</v>
      </c>
      <c r="I125" s="122">
        <f t="shared" si="18"/>
        <v>0.14478113702197559</v>
      </c>
      <c r="J125" s="122">
        <f t="shared" si="19"/>
        <v>-4.0724797614544908E-2</v>
      </c>
      <c r="K125" s="122"/>
      <c r="Y125" s="126">
        <f t="shared" si="20"/>
        <v>-0.5</v>
      </c>
    </row>
    <row r="126" spans="2:25" x14ac:dyDescent="0.3">
      <c r="B126" s="122">
        <v>0.14700352041975151</v>
      </c>
      <c r="C126" s="122">
        <f t="shared" si="12"/>
        <v>0</v>
      </c>
      <c r="D126" s="126">
        <f t="shared" si="13"/>
        <v>4.0993774869018763E-2</v>
      </c>
      <c r="E126" s="122">
        <f t="shared" si="14"/>
        <v>0</v>
      </c>
      <c r="F126" s="122">
        <f t="shared" si="15"/>
        <v>0</v>
      </c>
      <c r="G126" s="122">
        <f t="shared" si="16"/>
        <v>0.14700352041975151</v>
      </c>
      <c r="H126" s="122">
        <f t="shared" si="17"/>
        <v>4.0993774869018763E-2</v>
      </c>
      <c r="I126" s="122">
        <f t="shared" si="18"/>
        <v>0.14700352041975151</v>
      </c>
      <c r="J126" s="122">
        <f t="shared" si="19"/>
        <v>-4.0993774869018763E-2</v>
      </c>
      <c r="K126" s="122"/>
      <c r="Y126" s="126">
        <f t="shared" si="20"/>
        <v>-0.5</v>
      </c>
    </row>
    <row r="127" spans="2:25" x14ac:dyDescent="0.3">
      <c r="B127" s="122">
        <v>0.14923989542439159</v>
      </c>
      <c r="C127" s="122">
        <f t="shared" si="12"/>
        <v>0</v>
      </c>
      <c r="D127" s="126">
        <f t="shared" si="13"/>
        <v>4.12614748951209E-2</v>
      </c>
      <c r="E127" s="122">
        <f t="shared" si="14"/>
        <v>0</v>
      </c>
      <c r="F127" s="122">
        <f t="shared" si="15"/>
        <v>0</v>
      </c>
      <c r="G127" s="122">
        <f t="shared" si="16"/>
        <v>0.14923989542439159</v>
      </c>
      <c r="H127" s="122">
        <f t="shared" si="17"/>
        <v>4.12614748951209E-2</v>
      </c>
      <c r="I127" s="122">
        <f t="shared" si="18"/>
        <v>0.14923989542439159</v>
      </c>
      <c r="J127" s="122">
        <f t="shared" si="19"/>
        <v>-4.12614748951209E-2</v>
      </c>
      <c r="K127" s="122"/>
      <c r="Y127" s="126">
        <f t="shared" si="20"/>
        <v>-0.5</v>
      </c>
    </row>
    <row r="128" spans="2:25" x14ac:dyDescent="0.3">
      <c r="B128" s="122">
        <v>0.15149017339342569</v>
      </c>
      <c r="C128" s="122">
        <f t="shared" si="12"/>
        <v>0</v>
      </c>
      <c r="D128" s="126">
        <f t="shared" si="13"/>
        <v>4.1527886331301229E-2</v>
      </c>
      <c r="E128" s="122">
        <f t="shared" si="14"/>
        <v>0</v>
      </c>
      <c r="F128" s="122">
        <f t="shared" si="15"/>
        <v>0</v>
      </c>
      <c r="G128" s="122">
        <f t="shared" si="16"/>
        <v>0.15149017339342569</v>
      </c>
      <c r="H128" s="122">
        <f t="shared" si="17"/>
        <v>4.1527886331301229E-2</v>
      </c>
      <c r="I128" s="122">
        <f t="shared" si="18"/>
        <v>0.15149017339342569</v>
      </c>
      <c r="J128" s="122">
        <f t="shared" si="19"/>
        <v>-4.1527886331301229E-2</v>
      </c>
      <c r="K128" s="122"/>
      <c r="Y128" s="126">
        <f t="shared" si="20"/>
        <v>-0.5</v>
      </c>
    </row>
    <row r="129" spans="2:25" x14ac:dyDescent="0.3">
      <c r="B129" s="122">
        <v>0.15375426513331653</v>
      </c>
      <c r="C129" s="122">
        <f t="shared" ref="C129:C192" si="21">IF($A$1=0, 0, IF(B129&lt;=$A$2, ($A$1/$A$2^2)*(2*$A$2*B129-B129^2), ($A$1/(1-$A$2)^2)*((1-2*$A$2)+2*$A$2*B129-B129^2)))</f>
        <v>0</v>
      </c>
      <c r="D129" s="126">
        <f t="shared" ref="D129:D192" si="22">IF(B129&lt;$N$1, ($A$3/0.2)*($O$1*SQRT(B129)+$P$1*B129+$Q$1*(B129^2)+$R$1*(B129^3)), ($A$3/0.2)*($S$1+$T$1*(1-B129)+$U$1*((1-B129)^2)+$V$1*((1-B129)^3)))</f>
        <v>4.1792997685792893E-2</v>
      </c>
      <c r="E129" s="122">
        <f t="shared" ref="E129:E192" si="23">IF($A$1=0, 0, IF(B129&lt;=$A$2, ($A$1/$A$2^2) *(2*$A$2-2*B129), ($A$1/(1-$A$2)^2)*(2*$A$2-2*B129)))</f>
        <v>0</v>
      </c>
      <c r="F129" s="122">
        <f t="shared" ref="F129:F192" si="24">IF($A$1=0, 0,  ATAN(E129))</f>
        <v>0</v>
      </c>
      <c r="G129" s="122">
        <f t="shared" ref="G129:G192" si="25">B129-D129*SIN(F129)</f>
        <v>0.15375426513331653</v>
      </c>
      <c r="H129" s="122">
        <f t="shared" ref="H129:H192" si="26">C129+D129*COS(F129)</f>
        <v>4.1792997685792893E-2</v>
      </c>
      <c r="I129" s="122">
        <f t="shared" ref="I129:I192" si="27">B129+D129*SIN(F129)</f>
        <v>0.15375426513331653</v>
      </c>
      <c r="J129" s="122">
        <f t="shared" ref="J129:J192" si="28">C129-D129*COS(F129)</f>
        <v>-4.1792997685792893E-2</v>
      </c>
      <c r="K129" s="122"/>
      <c r="Y129" s="126">
        <f t="shared" si="20"/>
        <v>-0.5</v>
      </c>
    </row>
    <row r="130" spans="2:25" x14ac:dyDescent="0.3">
      <c r="B130" s="122">
        <v>0.15603208090299492</v>
      </c>
      <c r="C130" s="122">
        <f t="shared" si="21"/>
        <v>0</v>
      </c>
      <c r="D130" s="126">
        <f t="shared" si="22"/>
        <v>4.2056797337036871E-2</v>
      </c>
      <c r="E130" s="122">
        <f t="shared" si="23"/>
        <v>0</v>
      </c>
      <c r="F130" s="122">
        <f t="shared" si="24"/>
        <v>0</v>
      </c>
      <c r="G130" s="122">
        <f t="shared" si="25"/>
        <v>0.15603208090299492</v>
      </c>
      <c r="H130" s="122">
        <f t="shared" si="26"/>
        <v>4.2056797337036871E-2</v>
      </c>
      <c r="I130" s="122">
        <f t="shared" si="27"/>
        <v>0.15603208090299492</v>
      </c>
      <c r="J130" s="122">
        <f t="shared" si="28"/>
        <v>-4.2056797337036871E-2</v>
      </c>
      <c r="K130" s="122"/>
      <c r="Y130" s="126">
        <f t="shared" ref="Y130:Y193" si="29">IF($Z$1, C130, -0.5)</f>
        <v>-0.5</v>
      </c>
    </row>
    <row r="131" spans="2:25" x14ac:dyDescent="0.3">
      <c r="B131" s="122">
        <v>0.15832353041741654</v>
      </c>
      <c r="C131" s="122">
        <f t="shared" si="21"/>
        <v>0</v>
      </c>
      <c r="D131" s="126">
        <f t="shared" si="22"/>
        <v>4.2319273534172926E-2</v>
      </c>
      <c r="E131" s="122">
        <f t="shared" si="23"/>
        <v>0</v>
      </c>
      <c r="F131" s="122">
        <f t="shared" si="24"/>
        <v>0</v>
      </c>
      <c r="G131" s="122">
        <f t="shared" si="25"/>
        <v>0.15832353041741654</v>
      </c>
      <c r="H131" s="122">
        <f t="shared" si="26"/>
        <v>4.2319273534172926E-2</v>
      </c>
      <c r="I131" s="122">
        <f t="shared" si="27"/>
        <v>0.15832353041741654</v>
      </c>
      <c r="J131" s="122">
        <f t="shared" si="28"/>
        <v>-4.2319273534172926E-2</v>
      </c>
      <c r="K131" s="122"/>
      <c r="Y131" s="126">
        <f t="shared" si="29"/>
        <v>-0.5</v>
      </c>
    </row>
    <row r="132" spans="2:25" x14ac:dyDescent="0.3">
      <c r="B132" s="122">
        <v>0.1606285228511411</v>
      </c>
      <c r="C132" s="122">
        <f t="shared" si="21"/>
        <v>0</v>
      </c>
      <c r="D132" s="126">
        <f t="shared" si="22"/>
        <v>4.2580414397597868E-2</v>
      </c>
      <c r="E132" s="122">
        <f t="shared" si="23"/>
        <v>0</v>
      </c>
      <c r="F132" s="122">
        <f t="shared" si="24"/>
        <v>0</v>
      </c>
      <c r="G132" s="122">
        <f t="shared" si="25"/>
        <v>0.1606285228511411</v>
      </c>
      <c r="H132" s="122">
        <f t="shared" si="26"/>
        <v>4.2580414397597868E-2</v>
      </c>
      <c r="I132" s="122">
        <f t="shared" si="27"/>
        <v>0.1606285228511411</v>
      </c>
      <c r="J132" s="122">
        <f t="shared" si="28"/>
        <v>-4.2580414397597868E-2</v>
      </c>
      <c r="K132" s="122"/>
      <c r="Y132" s="126">
        <f t="shared" si="29"/>
        <v>-0.5</v>
      </c>
    </row>
    <row r="133" spans="2:25" x14ac:dyDescent="0.3">
      <c r="B133" s="122">
        <v>0.1629469668419315</v>
      </c>
      <c r="C133" s="122">
        <f t="shared" si="21"/>
        <v>0</v>
      </c>
      <c r="D133" s="126">
        <f t="shared" si="22"/>
        <v>4.2840207919591103E-2</v>
      </c>
      <c r="E133" s="122">
        <f t="shared" si="23"/>
        <v>0</v>
      </c>
      <c r="F133" s="122">
        <f t="shared" si="24"/>
        <v>0</v>
      </c>
      <c r="G133" s="122">
        <f t="shared" si="25"/>
        <v>0.1629469668419315</v>
      </c>
      <c r="H133" s="122">
        <f t="shared" si="26"/>
        <v>4.2840207919591103E-2</v>
      </c>
      <c r="I133" s="122">
        <f t="shared" si="27"/>
        <v>0.1629469668419315</v>
      </c>
      <c r="J133" s="122">
        <f t="shared" si="28"/>
        <v>-4.2840207919591103E-2</v>
      </c>
      <c r="K133" s="122"/>
      <c r="Y133" s="126">
        <f t="shared" si="29"/>
        <v>-0.5</v>
      </c>
    </row>
    <row r="134" spans="2:25" x14ac:dyDescent="0.3">
      <c r="B134" s="122">
        <v>0.16527877049437611</v>
      </c>
      <c r="C134" s="122">
        <f t="shared" si="21"/>
        <v>0</v>
      </c>
      <c r="D134" s="126">
        <f t="shared" si="22"/>
        <v>4.3098641965008552E-2</v>
      </c>
      <c r="E134" s="122">
        <f t="shared" si="23"/>
        <v>0</v>
      </c>
      <c r="F134" s="122">
        <f t="shared" si="24"/>
        <v>0</v>
      </c>
      <c r="G134" s="122">
        <f t="shared" si="25"/>
        <v>0.16527877049437611</v>
      </c>
      <c r="H134" s="122">
        <f t="shared" si="26"/>
        <v>4.3098641965008552E-2</v>
      </c>
      <c r="I134" s="122">
        <f t="shared" si="27"/>
        <v>0.16527877049437611</v>
      </c>
      <c r="J134" s="122">
        <f t="shared" si="28"/>
        <v>-4.3098641965008552E-2</v>
      </c>
      <c r="K134" s="122"/>
      <c r="Y134" s="126">
        <f t="shared" si="29"/>
        <v>-0.5</v>
      </c>
    </row>
    <row r="135" spans="2:25" x14ac:dyDescent="0.3">
      <c r="B135" s="122">
        <v>0.16762384138353059</v>
      </c>
      <c r="C135" s="122">
        <f t="shared" si="21"/>
        <v>0</v>
      </c>
      <c r="D135" s="126">
        <f t="shared" si="22"/>
        <v>4.3355704272044993E-2</v>
      </c>
      <c r="E135" s="122">
        <f t="shared" si="23"/>
        <v>0</v>
      </c>
      <c r="F135" s="122">
        <f t="shared" si="24"/>
        <v>0</v>
      </c>
      <c r="G135" s="122">
        <f t="shared" si="25"/>
        <v>0.16762384138353059</v>
      </c>
      <c r="H135" s="122">
        <f t="shared" si="26"/>
        <v>4.3355704272044993E-2</v>
      </c>
      <c r="I135" s="122">
        <f t="shared" si="27"/>
        <v>0.16762384138353059</v>
      </c>
      <c r="J135" s="122">
        <f t="shared" si="28"/>
        <v>-4.3355704272044993E-2</v>
      </c>
      <c r="K135" s="122"/>
      <c r="Y135" s="126">
        <f t="shared" si="29"/>
        <v>-0.5</v>
      </c>
    </row>
    <row r="136" spans="2:25" x14ac:dyDescent="0.3">
      <c r="B136" s="122">
        <v>0.16998208655858127</v>
      </c>
      <c r="C136" s="122">
        <f t="shared" si="21"/>
        <v>0</v>
      </c>
      <c r="D136" s="126">
        <f t="shared" si="22"/>
        <v>4.3611382453065325E-2</v>
      </c>
      <c r="E136" s="122">
        <f t="shared" si="23"/>
        <v>0</v>
      </c>
      <c r="F136" s="122">
        <f t="shared" si="24"/>
        <v>0</v>
      </c>
      <c r="G136" s="122">
        <f t="shared" si="25"/>
        <v>0.16998208655858127</v>
      </c>
      <c r="H136" s="122">
        <f t="shared" si="26"/>
        <v>4.3611382453065325E-2</v>
      </c>
      <c r="I136" s="122">
        <f t="shared" si="27"/>
        <v>0.16998208655858127</v>
      </c>
      <c r="J136" s="122">
        <f t="shared" si="28"/>
        <v>-4.3611382453065325E-2</v>
      </c>
      <c r="K136" s="122"/>
      <c r="Y136" s="126">
        <f t="shared" si="29"/>
        <v>-0.5</v>
      </c>
    </row>
    <row r="137" spans="2:25" x14ac:dyDescent="0.3">
      <c r="B137" s="122">
        <v>0.17235341254652992</v>
      </c>
      <c r="C137" s="122">
        <f t="shared" si="21"/>
        <v>0</v>
      </c>
      <c r="D137" s="126">
        <f t="shared" si="22"/>
        <v>4.3865663995505601E-2</v>
      </c>
      <c r="E137" s="122">
        <f t="shared" si="23"/>
        <v>0</v>
      </c>
      <c r="F137" s="122">
        <f t="shared" si="24"/>
        <v>0</v>
      </c>
      <c r="G137" s="122">
        <f t="shared" si="25"/>
        <v>0.17235341254652992</v>
      </c>
      <c r="H137" s="122">
        <f t="shared" si="26"/>
        <v>4.3865663995505601E-2</v>
      </c>
      <c r="I137" s="122">
        <f t="shared" si="27"/>
        <v>0.17235341254652992</v>
      </c>
      <c r="J137" s="122">
        <f t="shared" si="28"/>
        <v>-4.3865663995505601E-2</v>
      </c>
      <c r="K137" s="122"/>
      <c r="Y137" s="126">
        <f t="shared" si="29"/>
        <v>-0.5</v>
      </c>
    </row>
    <row r="138" spans="2:25" x14ac:dyDescent="0.3">
      <c r="B138" s="122">
        <v>0.17473772535589804</v>
      </c>
      <c r="C138" s="122">
        <f t="shared" si="21"/>
        <v>0</v>
      </c>
      <c r="D138" s="126">
        <f t="shared" si="22"/>
        <v>4.4118536262843559E-2</v>
      </c>
      <c r="E138" s="122">
        <f t="shared" si="23"/>
        <v>0</v>
      </c>
      <c r="F138" s="122">
        <f t="shared" si="24"/>
        <v>0</v>
      </c>
      <c r="G138" s="122">
        <f t="shared" si="25"/>
        <v>0.17473772535589804</v>
      </c>
      <c r="H138" s="122">
        <f t="shared" si="26"/>
        <v>4.4118536262843559E-2</v>
      </c>
      <c r="I138" s="122">
        <f t="shared" si="27"/>
        <v>0.17473772535589804</v>
      </c>
      <c r="J138" s="122">
        <f t="shared" si="28"/>
        <v>-4.4118536262843559E-2</v>
      </c>
      <c r="K138" s="122"/>
      <c r="Y138" s="126">
        <f t="shared" si="29"/>
        <v>-0.5</v>
      </c>
    </row>
    <row r="139" spans="2:25" x14ac:dyDescent="0.3">
      <c r="B139" s="122">
        <v>0.17713493048045287</v>
      </c>
      <c r="C139" s="122">
        <f t="shared" si="21"/>
        <v>0</v>
      </c>
      <c r="D139" s="126">
        <f t="shared" si="22"/>
        <v>4.4369986495639627E-2</v>
      </c>
      <c r="E139" s="122">
        <f t="shared" si="23"/>
        <v>0</v>
      </c>
      <c r="F139" s="122">
        <f t="shared" si="24"/>
        <v>0</v>
      </c>
      <c r="G139" s="122">
        <f t="shared" si="25"/>
        <v>0.17713493048045287</v>
      </c>
      <c r="H139" s="122">
        <f t="shared" si="26"/>
        <v>4.4369986495639627E-2</v>
      </c>
      <c r="I139" s="122">
        <f t="shared" si="27"/>
        <v>0.17713493048045287</v>
      </c>
      <c r="J139" s="122">
        <f t="shared" si="28"/>
        <v>-4.4369986495639627E-2</v>
      </c>
      <c r="K139" s="122"/>
      <c r="Y139" s="126">
        <f t="shared" si="29"/>
        <v>-0.5</v>
      </c>
    </row>
    <row r="140" spans="2:25" x14ac:dyDescent="0.3">
      <c r="B140" s="122">
        <v>0.17954493290295315</v>
      </c>
      <c r="C140" s="122">
        <f t="shared" si="21"/>
        <v>0</v>
      </c>
      <c r="D140" s="126">
        <f t="shared" si="22"/>
        <v>4.4620001812648351E-2</v>
      </c>
      <c r="E140" s="122">
        <f t="shared" si="23"/>
        <v>0</v>
      </c>
      <c r="F140" s="122">
        <f t="shared" si="24"/>
        <v>0</v>
      </c>
      <c r="G140" s="122">
        <f t="shared" si="25"/>
        <v>0.17954493290295315</v>
      </c>
      <c r="H140" s="122">
        <f t="shared" si="26"/>
        <v>4.4620001812648351E-2</v>
      </c>
      <c r="I140" s="122">
        <f t="shared" si="27"/>
        <v>0.17954493290295315</v>
      </c>
      <c r="J140" s="122">
        <f t="shared" si="28"/>
        <v>-4.4620001812648351E-2</v>
      </c>
      <c r="K140" s="122"/>
      <c r="Y140" s="126">
        <f t="shared" si="29"/>
        <v>-0.5</v>
      </c>
    </row>
    <row r="141" spans="2:25" x14ac:dyDescent="0.3">
      <c r="B141" s="122">
        <v>0.18196763709891517</v>
      </c>
      <c r="C141" s="122">
        <f t="shared" si="21"/>
        <v>0</v>
      </c>
      <c r="D141" s="126">
        <f t="shared" si="22"/>
        <v>4.4868569212000824E-2</v>
      </c>
      <c r="E141" s="122">
        <f t="shared" si="23"/>
        <v>0</v>
      </c>
      <c r="F141" s="122">
        <f t="shared" si="24"/>
        <v>0</v>
      </c>
      <c r="G141" s="122">
        <f t="shared" si="25"/>
        <v>0.18196763709891517</v>
      </c>
      <c r="H141" s="122">
        <f t="shared" si="26"/>
        <v>4.4868569212000824E-2</v>
      </c>
      <c r="I141" s="122">
        <f t="shared" si="27"/>
        <v>0.18196763709891517</v>
      </c>
      <c r="J141" s="122">
        <f t="shared" si="28"/>
        <v>-4.4868569212000824E-2</v>
      </c>
      <c r="K141" s="122"/>
      <c r="Y141" s="126">
        <f t="shared" si="29"/>
        <v>-0.5</v>
      </c>
    </row>
    <row r="142" spans="2:25" x14ac:dyDescent="0.3">
      <c r="B142" s="122">
        <v>0.18440294704039933</v>
      </c>
      <c r="C142" s="122">
        <f t="shared" si="21"/>
        <v>0</v>
      </c>
      <c r="D142" s="126">
        <f t="shared" si="22"/>
        <v>4.5115675572458228E-2</v>
      </c>
      <c r="E142" s="122">
        <f t="shared" si="23"/>
        <v>0</v>
      </c>
      <c r="F142" s="122">
        <f t="shared" si="24"/>
        <v>0</v>
      </c>
      <c r="G142" s="122">
        <f t="shared" si="25"/>
        <v>0.18440294704039933</v>
      </c>
      <c r="H142" s="122">
        <f t="shared" si="26"/>
        <v>4.5115675572458228E-2</v>
      </c>
      <c r="I142" s="122">
        <f t="shared" si="27"/>
        <v>0.18440294704039933</v>
      </c>
      <c r="J142" s="122">
        <f t="shared" si="28"/>
        <v>-4.5115675572458228E-2</v>
      </c>
      <c r="K142" s="122"/>
      <c r="Y142" s="126">
        <f t="shared" si="29"/>
        <v>-0.5</v>
      </c>
    </row>
    <row r="143" spans="2:25" x14ac:dyDescent="0.3">
      <c r="B143" s="122">
        <v>0.18685076619981611</v>
      </c>
      <c r="C143" s="122">
        <f t="shared" si="21"/>
        <v>0</v>
      </c>
      <c r="D143" s="126">
        <f t="shared" si="22"/>
        <v>4.5361307654736803E-2</v>
      </c>
      <c r="E143" s="122">
        <f t="shared" si="23"/>
        <v>0</v>
      </c>
      <c r="F143" s="122">
        <f t="shared" si="24"/>
        <v>0</v>
      </c>
      <c r="G143" s="122">
        <f t="shared" si="25"/>
        <v>0.18685076619981611</v>
      </c>
      <c r="H143" s="122">
        <f t="shared" si="26"/>
        <v>4.5361307654736803E-2</v>
      </c>
      <c r="I143" s="122">
        <f t="shared" si="27"/>
        <v>0.18685076619981611</v>
      </c>
      <c r="J143" s="122">
        <f t="shared" si="28"/>
        <v>-4.5361307654736803E-2</v>
      </c>
      <c r="K143" s="122"/>
      <c r="Y143" s="126">
        <f t="shared" si="29"/>
        <v>-0.5</v>
      </c>
    </row>
    <row r="144" spans="2:25" x14ac:dyDescent="0.3">
      <c r="B144" s="122">
        <v>0.18931099755375197</v>
      </c>
      <c r="C144" s="122">
        <f t="shared" si="21"/>
        <v>0</v>
      </c>
      <c r="D144" s="126">
        <f t="shared" si="22"/>
        <v>4.5605452102904571E-2</v>
      </c>
      <c r="E144" s="122">
        <f t="shared" si="23"/>
        <v>0</v>
      </c>
      <c r="F144" s="122">
        <f t="shared" si="24"/>
        <v>0</v>
      </c>
      <c r="G144" s="122">
        <f t="shared" si="25"/>
        <v>0.18931099755375197</v>
      </c>
      <c r="H144" s="122">
        <f t="shared" si="26"/>
        <v>4.5605452102904571E-2</v>
      </c>
      <c r="I144" s="122">
        <f t="shared" si="27"/>
        <v>0.18931099755375197</v>
      </c>
      <c r="J144" s="122">
        <f t="shared" si="28"/>
        <v>-4.5605452102904571E-2</v>
      </c>
      <c r="K144" s="122"/>
      <c r="Y144" s="126">
        <f t="shared" si="29"/>
        <v>-0.5</v>
      </c>
    </row>
    <row r="145" spans="2:25" x14ac:dyDescent="0.3">
      <c r="B145" s="122">
        <v>0.19178354358681554</v>
      </c>
      <c r="C145" s="122">
        <f t="shared" si="21"/>
        <v>0</v>
      </c>
      <c r="D145" s="126">
        <f t="shared" si="22"/>
        <v>4.5848095445849946E-2</v>
      </c>
      <c r="E145" s="122">
        <f t="shared" si="23"/>
        <v>0</v>
      </c>
      <c r="F145" s="122">
        <f t="shared" si="24"/>
        <v>0</v>
      </c>
      <c r="G145" s="122">
        <f t="shared" si="25"/>
        <v>0.19178354358681554</v>
      </c>
      <c r="H145" s="122">
        <f t="shared" si="26"/>
        <v>4.5848095445849946E-2</v>
      </c>
      <c r="I145" s="122">
        <f t="shared" si="27"/>
        <v>0.19178354358681554</v>
      </c>
      <c r="J145" s="122">
        <f t="shared" si="28"/>
        <v>-4.5848095445849946E-2</v>
      </c>
      <c r="K145" s="122"/>
      <c r="Y145" s="126">
        <f t="shared" si="29"/>
        <v>-0.5</v>
      </c>
    </row>
    <row r="146" spans="2:25" x14ac:dyDescent="0.3">
      <c r="B146" s="122">
        <v>0.1942683062955024</v>
      </c>
      <c r="C146" s="122">
        <f t="shared" si="21"/>
        <v>0</v>
      </c>
      <c r="D146" s="126">
        <f t="shared" si="22"/>
        <v>4.6089224098822337E-2</v>
      </c>
      <c r="E146" s="122">
        <f t="shared" si="23"/>
        <v>0</v>
      </c>
      <c r="F146" s="122">
        <f t="shared" si="24"/>
        <v>0</v>
      </c>
      <c r="G146" s="122">
        <f t="shared" si="25"/>
        <v>0.1942683062955024</v>
      </c>
      <c r="H146" s="122">
        <f t="shared" si="26"/>
        <v>4.6089224098822337E-2</v>
      </c>
      <c r="I146" s="122">
        <f t="shared" si="27"/>
        <v>0.1942683062955024</v>
      </c>
      <c r="J146" s="122">
        <f t="shared" si="28"/>
        <v>-4.6089224098822337E-2</v>
      </c>
      <c r="K146" s="122"/>
      <c r="Y146" s="126">
        <f t="shared" si="29"/>
        <v>-0.5</v>
      </c>
    </row>
    <row r="147" spans="2:25" x14ac:dyDescent="0.3">
      <c r="B147" s="122">
        <v>0.19676518719207969</v>
      </c>
      <c r="C147" s="122">
        <f t="shared" si="21"/>
        <v>0</v>
      </c>
      <c r="D147" s="126">
        <f t="shared" si="22"/>
        <v>4.6328824365045006E-2</v>
      </c>
      <c r="E147" s="122">
        <f t="shared" si="23"/>
        <v>0</v>
      </c>
      <c r="F147" s="122">
        <f t="shared" si="24"/>
        <v>0</v>
      </c>
      <c r="G147" s="122">
        <f t="shared" si="25"/>
        <v>0.19676518719207969</v>
      </c>
      <c r="H147" s="122">
        <f t="shared" si="26"/>
        <v>4.6328824365045006E-2</v>
      </c>
      <c r="I147" s="122">
        <f t="shared" si="27"/>
        <v>0.19676518719207969</v>
      </c>
      <c r="J147" s="122">
        <f t="shared" si="28"/>
        <v>-4.6328824365045006E-2</v>
      </c>
      <c r="K147" s="122"/>
      <c r="Y147" s="126">
        <f t="shared" si="29"/>
        <v>-0.5</v>
      </c>
    </row>
    <row r="148" spans="2:25" x14ac:dyDescent="0.3">
      <c r="B148" s="122">
        <v>0.19927408730849</v>
      </c>
      <c r="C148" s="122">
        <f t="shared" si="21"/>
        <v>0</v>
      </c>
      <c r="D148" s="126">
        <f t="shared" si="22"/>
        <v>4.6566882437400391E-2</v>
      </c>
      <c r="E148" s="122">
        <f t="shared" si="23"/>
        <v>0</v>
      </c>
      <c r="F148" s="122">
        <f t="shared" si="24"/>
        <v>0</v>
      </c>
      <c r="G148" s="122">
        <f t="shared" si="25"/>
        <v>0.19927408730849</v>
      </c>
      <c r="H148" s="122">
        <f t="shared" si="26"/>
        <v>4.6566882437400391E-2</v>
      </c>
      <c r="I148" s="122">
        <f t="shared" si="27"/>
        <v>0.19927408730849</v>
      </c>
      <c r="J148" s="122">
        <f t="shared" si="28"/>
        <v>-4.6566882437400391E-2</v>
      </c>
      <c r="K148" s="122"/>
      <c r="Y148" s="126">
        <f t="shared" si="29"/>
        <v>-0.5</v>
      </c>
    </row>
    <row r="149" spans="2:25" x14ac:dyDescent="0.3">
      <c r="B149" s="122">
        <v>0.20179490720027371</v>
      </c>
      <c r="C149" s="122">
        <f t="shared" si="21"/>
        <v>0</v>
      </c>
      <c r="D149" s="126">
        <f t="shared" si="22"/>
        <v>4.6803384400187609E-2</v>
      </c>
      <c r="E149" s="122">
        <f t="shared" si="23"/>
        <v>0</v>
      </c>
      <c r="F149" s="122">
        <f t="shared" si="24"/>
        <v>0</v>
      </c>
      <c r="G149" s="122">
        <f t="shared" si="25"/>
        <v>0.20179490720027371</v>
      </c>
      <c r="H149" s="122">
        <f t="shared" si="26"/>
        <v>4.6803384400187609E-2</v>
      </c>
      <c r="I149" s="122">
        <f t="shared" si="27"/>
        <v>0.20179490720027371</v>
      </c>
      <c r="J149" s="122">
        <f t="shared" si="28"/>
        <v>-4.6803384400187609E-2</v>
      </c>
      <c r="K149" s="122"/>
      <c r="Y149" s="126">
        <f t="shared" si="29"/>
        <v>-0.5</v>
      </c>
    </row>
    <row r="150" spans="2:25" x14ac:dyDescent="0.3">
      <c r="B150" s="122">
        <v>0.20432754695051125</v>
      </c>
      <c r="C150" s="122">
        <f t="shared" si="21"/>
        <v>0</v>
      </c>
      <c r="D150" s="126">
        <f t="shared" si="22"/>
        <v>4.7038316230952705E-2</v>
      </c>
      <c r="E150" s="122">
        <f t="shared" si="23"/>
        <v>0</v>
      </c>
      <c r="F150" s="122">
        <f t="shared" si="24"/>
        <v>0</v>
      </c>
      <c r="G150" s="122">
        <f t="shared" si="25"/>
        <v>0.20432754695051125</v>
      </c>
      <c r="H150" s="122">
        <f t="shared" si="26"/>
        <v>4.7038316230952705E-2</v>
      </c>
      <c r="I150" s="122">
        <f t="shared" si="27"/>
        <v>0.20432754695051125</v>
      </c>
      <c r="J150" s="122">
        <f t="shared" si="28"/>
        <v>-4.7038316230952705E-2</v>
      </c>
      <c r="K150" s="122"/>
      <c r="Y150" s="126">
        <f t="shared" si="29"/>
        <v>-0.5</v>
      </c>
    </row>
    <row r="151" spans="2:25" x14ac:dyDescent="0.3">
      <c r="B151" s="122">
        <v>0.20687190617378309</v>
      </c>
      <c r="C151" s="122">
        <f t="shared" si="21"/>
        <v>0</v>
      </c>
      <c r="D151" s="126">
        <f t="shared" si="22"/>
        <v>4.7271663802391402E-2</v>
      </c>
      <c r="E151" s="122">
        <f t="shared" si="23"/>
        <v>0</v>
      </c>
      <c r="F151" s="122">
        <f t="shared" si="24"/>
        <v>0</v>
      </c>
      <c r="G151" s="122">
        <f t="shared" si="25"/>
        <v>0.20687190617378309</v>
      </c>
      <c r="H151" s="122">
        <f t="shared" si="26"/>
        <v>4.7271663802391402E-2</v>
      </c>
      <c r="I151" s="122">
        <f t="shared" si="27"/>
        <v>0.20687190617378309</v>
      </c>
      <c r="J151" s="122">
        <f t="shared" si="28"/>
        <v>-4.7271663802391402E-2</v>
      </c>
      <c r="K151" s="122"/>
      <c r="Y151" s="126">
        <f t="shared" si="29"/>
        <v>-0.5</v>
      </c>
    </row>
    <row r="152" spans="2:25" x14ac:dyDescent="0.3">
      <c r="B152" s="122">
        <v>0.20942788402014861</v>
      </c>
      <c r="C152" s="122">
        <f t="shared" si="21"/>
        <v>0</v>
      </c>
      <c r="D152" s="126">
        <f t="shared" si="22"/>
        <v>4.7503412884324137E-2</v>
      </c>
      <c r="E152" s="122">
        <f t="shared" si="23"/>
        <v>0</v>
      </c>
      <c r="F152" s="122">
        <f t="shared" si="24"/>
        <v>0</v>
      </c>
      <c r="G152" s="122">
        <f t="shared" si="25"/>
        <v>0.20942788402014861</v>
      </c>
      <c r="H152" s="122">
        <f t="shared" si="26"/>
        <v>4.7503412884324137E-2</v>
      </c>
      <c r="I152" s="122">
        <f t="shared" si="27"/>
        <v>0.20942788402014861</v>
      </c>
      <c r="J152" s="122">
        <f t="shared" si="28"/>
        <v>-4.7503412884324137E-2</v>
      </c>
      <c r="K152" s="122"/>
      <c r="Y152" s="126">
        <f t="shared" si="29"/>
        <v>-0.5</v>
      </c>
    </row>
    <row r="153" spans="2:25" x14ac:dyDescent="0.3">
      <c r="B153" s="122">
        <v>0.21199537917914374</v>
      </c>
      <c r="C153" s="122">
        <f t="shared" si="21"/>
        <v>0</v>
      </c>
      <c r="D153" s="126">
        <f t="shared" si="22"/>
        <v>4.7733549145744049E-2</v>
      </c>
      <c r="E153" s="122">
        <f t="shared" si="23"/>
        <v>0</v>
      </c>
      <c r="F153" s="122">
        <f t="shared" si="24"/>
        <v>0</v>
      </c>
      <c r="G153" s="122">
        <f t="shared" si="25"/>
        <v>0.21199537917914374</v>
      </c>
      <c r="H153" s="122">
        <f t="shared" si="26"/>
        <v>4.7733549145744049E-2</v>
      </c>
      <c r="I153" s="122">
        <f t="shared" si="27"/>
        <v>0.21199537917914374</v>
      </c>
      <c r="J153" s="122">
        <f t="shared" si="28"/>
        <v>-4.7733549145744049E-2</v>
      </c>
      <c r="K153" s="122"/>
      <c r="Y153" s="126">
        <f t="shared" si="29"/>
        <v>-0.5</v>
      </c>
    </row>
    <row r="154" spans="2:25" x14ac:dyDescent="0.3">
      <c r="B154" s="122">
        <v>0.21457428988379634</v>
      </c>
      <c r="C154" s="122">
        <f t="shared" si="21"/>
        <v>0</v>
      </c>
      <c r="D154" s="126">
        <f t="shared" si="22"/>
        <v>4.7962058156937035E-2</v>
      </c>
      <c r="E154" s="122">
        <f t="shared" si="23"/>
        <v>0</v>
      </c>
      <c r="F154" s="122">
        <f t="shared" si="24"/>
        <v>0</v>
      </c>
      <c r="G154" s="122">
        <f t="shared" si="25"/>
        <v>0.21457428988379634</v>
      </c>
      <c r="H154" s="122">
        <f t="shared" si="26"/>
        <v>4.7962058156937035E-2</v>
      </c>
      <c r="I154" s="122">
        <f t="shared" si="27"/>
        <v>0.21457428988379634</v>
      </c>
      <c r="J154" s="122">
        <f t="shared" si="28"/>
        <v>-4.7962058156937035E-2</v>
      </c>
      <c r="K154" s="122"/>
      <c r="Y154" s="126">
        <f t="shared" si="29"/>
        <v>-0.5</v>
      </c>
    </row>
    <row r="155" spans="2:25" x14ac:dyDescent="0.3">
      <c r="B155" s="122">
        <v>0.21716451391466002</v>
      </c>
      <c r="C155" s="122">
        <f t="shared" si="21"/>
        <v>0</v>
      </c>
      <c r="D155" s="126">
        <f t="shared" si="22"/>
        <v>4.8188925391674381E-2</v>
      </c>
      <c r="E155" s="122">
        <f t="shared" si="23"/>
        <v>0</v>
      </c>
      <c r="F155" s="122">
        <f t="shared" si="24"/>
        <v>0</v>
      </c>
      <c r="G155" s="122">
        <f t="shared" si="25"/>
        <v>0.21716451391466002</v>
      </c>
      <c r="H155" s="122">
        <f t="shared" si="26"/>
        <v>4.8188925391674381E-2</v>
      </c>
      <c r="I155" s="122">
        <f t="shared" si="27"/>
        <v>0.21716451391466002</v>
      </c>
      <c r="J155" s="122">
        <f t="shared" si="28"/>
        <v>-4.8188925391674381E-2</v>
      </c>
      <c r="K155" s="122"/>
      <c r="Y155" s="126">
        <f t="shared" si="29"/>
        <v>-0.5</v>
      </c>
    </row>
    <row r="156" spans="2:25" x14ac:dyDescent="0.3">
      <c r="B156" s="122">
        <v>0.21976594860386583</v>
      </c>
      <c r="C156" s="122">
        <f t="shared" si="21"/>
        <v>0</v>
      </c>
      <c r="D156" s="126">
        <f t="shared" si="22"/>
        <v>4.8414136229477718E-2</v>
      </c>
      <c r="E156" s="122">
        <f t="shared" si="23"/>
        <v>0</v>
      </c>
      <c r="F156" s="122">
        <f t="shared" si="24"/>
        <v>0</v>
      </c>
      <c r="G156" s="122">
        <f t="shared" si="25"/>
        <v>0.21976594860386583</v>
      </c>
      <c r="H156" s="122">
        <f t="shared" si="26"/>
        <v>4.8414136229477718E-2</v>
      </c>
      <c r="I156" s="122">
        <f t="shared" si="27"/>
        <v>0.21976594860386583</v>
      </c>
      <c r="J156" s="122">
        <f t="shared" si="28"/>
        <v>-4.8414136229477718E-2</v>
      </c>
      <c r="K156" s="122"/>
      <c r="Y156" s="126">
        <f t="shared" si="29"/>
        <v>-0.5</v>
      </c>
    </row>
    <row r="157" spans="2:25" x14ac:dyDescent="0.3">
      <c r="B157" s="122">
        <v>0.22237849083919142</v>
      </c>
      <c r="C157" s="122">
        <f t="shared" si="21"/>
        <v>0</v>
      </c>
      <c r="D157" s="126">
        <f t="shared" si="22"/>
        <v>4.8637675957955859E-2</v>
      </c>
      <c r="E157" s="122">
        <f t="shared" si="23"/>
        <v>0</v>
      </c>
      <c r="F157" s="122">
        <f t="shared" si="24"/>
        <v>0</v>
      </c>
      <c r="G157" s="122">
        <f t="shared" si="25"/>
        <v>0.22237849083919142</v>
      </c>
      <c r="H157" s="122">
        <f t="shared" si="26"/>
        <v>4.8637675957955859E-2</v>
      </c>
      <c r="I157" s="122">
        <f t="shared" si="27"/>
        <v>0.22237849083919142</v>
      </c>
      <c r="J157" s="122">
        <f t="shared" si="28"/>
        <v>-4.8637675957955859E-2</v>
      </c>
      <c r="K157" s="122"/>
      <c r="Y157" s="126">
        <f t="shared" si="29"/>
        <v>-0.5</v>
      </c>
    </row>
    <row r="158" spans="2:25" x14ac:dyDescent="0.3">
      <c r="B158" s="122">
        <v>0.22500203706814847</v>
      </c>
      <c r="C158" s="122">
        <f t="shared" si="21"/>
        <v>0</v>
      </c>
      <c r="D158" s="126">
        <f t="shared" si="22"/>
        <v>4.8859529775213927E-2</v>
      </c>
      <c r="E158" s="122">
        <f t="shared" si="23"/>
        <v>0</v>
      </c>
      <c r="F158" s="122">
        <f t="shared" si="24"/>
        <v>0</v>
      </c>
      <c r="G158" s="122">
        <f t="shared" si="25"/>
        <v>0.22500203706814847</v>
      </c>
      <c r="H158" s="122">
        <f t="shared" si="26"/>
        <v>4.8859529775213927E-2</v>
      </c>
      <c r="I158" s="122">
        <f t="shared" si="27"/>
        <v>0.22500203706814847</v>
      </c>
      <c r="J158" s="122">
        <f t="shared" si="28"/>
        <v>-4.8859529775213927E-2</v>
      </c>
      <c r="K158" s="122"/>
      <c r="Y158" s="126">
        <f t="shared" si="29"/>
        <v>-0.5</v>
      </c>
    </row>
    <row r="159" spans="2:25" x14ac:dyDescent="0.3">
      <c r="B159" s="122">
        <v>0.22763648330208675</v>
      </c>
      <c r="C159" s="122">
        <f t="shared" si="21"/>
        <v>0</v>
      </c>
      <c r="D159" s="126">
        <f t="shared" si="22"/>
        <v>4.9079682792333941E-2</v>
      </c>
      <c r="E159" s="122">
        <f t="shared" si="23"/>
        <v>0</v>
      </c>
      <c r="F159" s="122">
        <f t="shared" si="24"/>
        <v>0</v>
      </c>
      <c r="G159" s="122">
        <f t="shared" si="25"/>
        <v>0.22763648330208675</v>
      </c>
      <c r="H159" s="122">
        <f t="shared" si="26"/>
        <v>4.9079682792333941E-2</v>
      </c>
      <c r="I159" s="122">
        <f t="shared" si="27"/>
        <v>0.22763648330208675</v>
      </c>
      <c r="J159" s="122">
        <f t="shared" si="28"/>
        <v>-4.9079682792333941E-2</v>
      </c>
      <c r="K159" s="122"/>
      <c r="Y159" s="126">
        <f t="shared" si="29"/>
        <v>-0.5</v>
      </c>
    </row>
    <row r="160" spans="2:25" x14ac:dyDescent="0.3">
      <c r="B160" s="122">
        <v>0.23028172512031608</v>
      </c>
      <c r="C160" s="122">
        <f t="shared" si="21"/>
        <v>0</v>
      </c>
      <c r="D160" s="126">
        <f t="shared" si="22"/>
        <v>4.9298120035927033E-2</v>
      </c>
      <c r="E160" s="122">
        <f t="shared" si="23"/>
        <v>0</v>
      </c>
      <c r="F160" s="122">
        <f t="shared" si="24"/>
        <v>0</v>
      </c>
      <c r="G160" s="122">
        <f t="shared" si="25"/>
        <v>0.23028172512031608</v>
      </c>
      <c r="H160" s="122">
        <f t="shared" si="26"/>
        <v>4.9298120035927033E-2</v>
      </c>
      <c r="I160" s="122">
        <f t="shared" si="27"/>
        <v>0.23028172512031608</v>
      </c>
      <c r="J160" s="122">
        <f t="shared" si="28"/>
        <v>-4.9298120035927033E-2</v>
      </c>
      <c r="K160" s="122"/>
      <c r="Y160" s="126">
        <f t="shared" si="29"/>
        <v>-0.5</v>
      </c>
    </row>
    <row r="161" spans="2:25" x14ac:dyDescent="0.3">
      <c r="B161" s="122">
        <v>0.23293765767424529</v>
      </c>
      <c r="C161" s="122">
        <f t="shared" si="21"/>
        <v>0</v>
      </c>
      <c r="D161" s="126">
        <f t="shared" si="22"/>
        <v>4.9514826450756971E-2</v>
      </c>
      <c r="E161" s="122">
        <f t="shared" si="23"/>
        <v>0</v>
      </c>
      <c r="F161" s="122">
        <f t="shared" si="24"/>
        <v>0</v>
      </c>
      <c r="G161" s="122">
        <f t="shared" si="25"/>
        <v>0.23293765767424529</v>
      </c>
      <c r="H161" s="122">
        <f t="shared" si="26"/>
        <v>4.9514826450756971E-2</v>
      </c>
      <c r="I161" s="122">
        <f t="shared" si="27"/>
        <v>0.23293765767424529</v>
      </c>
      <c r="J161" s="122">
        <f t="shared" si="28"/>
        <v>-4.9514826450756971E-2</v>
      </c>
      <c r="K161" s="122"/>
      <c r="Y161" s="126">
        <f t="shared" si="29"/>
        <v>-0.5</v>
      </c>
    </row>
    <row r="162" spans="2:25" x14ac:dyDescent="0.3">
      <c r="B162" s="122">
        <v>0.23560417569153802</v>
      </c>
      <c r="C162" s="122">
        <f t="shared" si="21"/>
        <v>0</v>
      </c>
      <c r="D162" s="126">
        <f t="shared" si="22"/>
        <v>4.9729786902434597E-2</v>
      </c>
      <c r="E162" s="122">
        <f t="shared" si="23"/>
        <v>0</v>
      </c>
      <c r="F162" s="122">
        <f t="shared" si="24"/>
        <v>0</v>
      </c>
      <c r="G162" s="122">
        <f t="shared" si="25"/>
        <v>0.23560417569153802</v>
      </c>
      <c r="H162" s="122">
        <f t="shared" si="26"/>
        <v>4.9729786902434597E-2</v>
      </c>
      <c r="I162" s="122">
        <f t="shared" si="27"/>
        <v>0.23560417569153802</v>
      </c>
      <c r="J162" s="122">
        <f t="shared" si="28"/>
        <v>-4.9729786902434597E-2</v>
      </c>
      <c r="K162" s="122"/>
      <c r="Y162" s="126">
        <f t="shared" si="29"/>
        <v>-0.5</v>
      </c>
    </row>
    <row r="163" spans="2:25" x14ac:dyDescent="0.3">
      <c r="B163" s="122">
        <v>0.23828117348028521</v>
      </c>
      <c r="C163" s="122">
        <f t="shared" si="21"/>
        <v>0</v>
      </c>
      <c r="D163" s="126">
        <f t="shared" si="22"/>
        <v>4.9942986180182884E-2</v>
      </c>
      <c r="E163" s="122">
        <f t="shared" si="23"/>
        <v>0</v>
      </c>
      <c r="F163" s="122">
        <f t="shared" si="24"/>
        <v>0</v>
      </c>
      <c r="G163" s="122">
        <f t="shared" si="25"/>
        <v>0.23828117348028521</v>
      </c>
      <c r="H163" s="122">
        <f t="shared" si="26"/>
        <v>4.9942986180182884E-2</v>
      </c>
      <c r="I163" s="122">
        <f t="shared" si="27"/>
        <v>0.23828117348028521</v>
      </c>
      <c r="J163" s="122">
        <f t="shared" si="28"/>
        <v>-4.9942986180182884E-2</v>
      </c>
      <c r="K163" s="122"/>
      <c r="Y163" s="126">
        <f t="shared" si="29"/>
        <v>-0.5</v>
      </c>
    </row>
    <row r="164" spans="2:25" x14ac:dyDescent="0.3">
      <c r="B164" s="122">
        <v>0.24096854493319464</v>
      </c>
      <c r="C164" s="122">
        <f t="shared" si="21"/>
        <v>0</v>
      </c>
      <c r="D164" s="126">
        <f t="shared" si="22"/>
        <v>5.0154408999672301E-2</v>
      </c>
      <c r="E164" s="122">
        <f t="shared" si="23"/>
        <v>0</v>
      </c>
      <c r="F164" s="122">
        <f t="shared" si="24"/>
        <v>0</v>
      </c>
      <c r="G164" s="122">
        <f t="shared" si="25"/>
        <v>0.24096854493319464</v>
      </c>
      <c r="H164" s="122">
        <f t="shared" si="26"/>
        <v>5.0154408999672301E-2</v>
      </c>
      <c r="I164" s="122">
        <f t="shared" si="27"/>
        <v>0.24096854493319464</v>
      </c>
      <c r="J164" s="122">
        <f t="shared" si="28"/>
        <v>-5.0154408999672301E-2</v>
      </c>
      <c r="K164" s="122"/>
      <c r="Y164" s="126">
        <f t="shared" si="29"/>
        <v>-0.5</v>
      </c>
    </row>
    <row r="165" spans="2:25" x14ac:dyDescent="0.3">
      <c r="B165" s="122">
        <v>0.24366618353179648</v>
      </c>
      <c r="C165" s="122">
        <f t="shared" si="21"/>
        <v>0</v>
      </c>
      <c r="D165" s="126">
        <f t="shared" si="22"/>
        <v>5.0364040005926126E-2</v>
      </c>
      <c r="E165" s="122">
        <f t="shared" si="23"/>
        <v>0</v>
      </c>
      <c r="F165" s="122">
        <f t="shared" si="24"/>
        <v>0</v>
      </c>
      <c r="G165" s="122">
        <f t="shared" si="25"/>
        <v>0.24366618353179648</v>
      </c>
      <c r="H165" s="122">
        <f t="shared" si="26"/>
        <v>5.0364040005926126E-2</v>
      </c>
      <c r="I165" s="122">
        <f t="shared" si="27"/>
        <v>0.24366618353179648</v>
      </c>
      <c r="J165" s="122">
        <f t="shared" si="28"/>
        <v>-5.0364040005926126E-2</v>
      </c>
      <c r="K165" s="122"/>
      <c r="Y165" s="126">
        <f t="shared" si="29"/>
        <v>-0.5</v>
      </c>
    </row>
    <row r="166" spans="2:25" x14ac:dyDescent="0.3">
      <c r="B166" s="122">
        <v>0.24637398235066521</v>
      </c>
      <c r="C166" s="122">
        <f t="shared" si="21"/>
        <v>0</v>
      </c>
      <c r="D166" s="126">
        <f t="shared" si="22"/>
        <v>5.0571863776295141E-2</v>
      </c>
      <c r="E166" s="122">
        <f t="shared" si="23"/>
        <v>0</v>
      </c>
      <c r="F166" s="122">
        <f t="shared" si="24"/>
        <v>0</v>
      </c>
      <c r="G166" s="122">
        <f t="shared" si="25"/>
        <v>0.24637398235066521</v>
      </c>
      <c r="H166" s="122">
        <f t="shared" si="26"/>
        <v>5.0571863776295141E-2</v>
      </c>
      <c r="I166" s="122">
        <f t="shared" si="27"/>
        <v>0.24637398235066521</v>
      </c>
      <c r="J166" s="122">
        <f t="shared" si="28"/>
        <v>-5.0571863776295141E-2</v>
      </c>
      <c r="K166" s="122"/>
      <c r="Y166" s="126">
        <f t="shared" si="29"/>
        <v>-0.5</v>
      </c>
    </row>
    <row r="167" spans="2:25" x14ac:dyDescent="0.3">
      <c r="B167" s="122">
        <v>0.2490918340616583</v>
      </c>
      <c r="C167" s="122">
        <f t="shared" si="21"/>
        <v>0</v>
      </c>
      <c r="D167" s="126">
        <f t="shared" si="22"/>
        <v>5.0777864823501453E-2</v>
      </c>
      <c r="E167" s="122">
        <f t="shared" si="23"/>
        <v>0</v>
      </c>
      <c r="F167" s="122">
        <f t="shared" si="24"/>
        <v>0</v>
      </c>
      <c r="G167" s="122">
        <f t="shared" si="25"/>
        <v>0.2490918340616583</v>
      </c>
      <c r="H167" s="122">
        <f t="shared" si="26"/>
        <v>5.0777864823501453E-2</v>
      </c>
      <c r="I167" s="122">
        <f t="shared" si="27"/>
        <v>0.2490918340616583</v>
      </c>
      <c r="J167" s="122">
        <f t="shared" si="28"/>
        <v>-5.0777864823501453E-2</v>
      </c>
      <c r="K167" s="122"/>
      <c r="Y167" s="126">
        <f t="shared" si="29"/>
        <v>-0.5</v>
      </c>
    </row>
    <row r="168" spans="2:25" x14ac:dyDescent="0.3">
      <c r="B168" s="122">
        <v>0.25181963093816961</v>
      </c>
      <c r="C168" s="122">
        <f t="shared" si="21"/>
        <v>0</v>
      </c>
      <c r="D168" s="126">
        <f t="shared" si="22"/>
        <v>5.0982027598750992E-2</v>
      </c>
      <c r="E168" s="122">
        <f t="shared" si="23"/>
        <v>0</v>
      </c>
      <c r="F168" s="122">
        <f t="shared" si="24"/>
        <v>0</v>
      </c>
      <c r="G168" s="122">
        <f t="shared" si="25"/>
        <v>0.25181963093816961</v>
      </c>
      <c r="H168" s="122">
        <f t="shared" si="26"/>
        <v>5.0982027598750992E-2</v>
      </c>
      <c r="I168" s="122">
        <f t="shared" si="27"/>
        <v>0.25181963093816961</v>
      </c>
      <c r="J168" s="122">
        <f t="shared" si="28"/>
        <v>-5.0982027598750992E-2</v>
      </c>
      <c r="K168" s="122"/>
      <c r="Y168" s="126">
        <f t="shared" si="29"/>
        <v>-0.5</v>
      </c>
    </row>
    <row r="169" spans="2:25" x14ac:dyDescent="0.3">
      <c r="B169" s="122">
        <v>0.25455726485940006</v>
      </c>
      <c r="C169" s="122">
        <f t="shared" si="21"/>
        <v>0</v>
      </c>
      <c r="D169" s="126">
        <f t="shared" si="22"/>
        <v>5.1184336494913815E-2</v>
      </c>
      <c r="E169" s="122">
        <f t="shared" si="23"/>
        <v>0</v>
      </c>
      <c r="F169" s="122">
        <f t="shared" si="24"/>
        <v>0</v>
      </c>
      <c r="G169" s="122">
        <f t="shared" si="25"/>
        <v>0.25455726485940006</v>
      </c>
      <c r="H169" s="122">
        <f t="shared" si="26"/>
        <v>5.1184336494913815E-2</v>
      </c>
      <c r="I169" s="122">
        <f t="shared" si="27"/>
        <v>0.25455726485940006</v>
      </c>
      <c r="J169" s="122">
        <f t="shared" si="28"/>
        <v>-5.1184336494913815E-2</v>
      </c>
      <c r="K169" s="122"/>
      <c r="Y169" s="126">
        <f t="shared" si="29"/>
        <v>-0.5</v>
      </c>
    </row>
    <row r="170" spans="2:25" x14ac:dyDescent="0.3">
      <c r="B170" s="122">
        <v>0.25730462731464265</v>
      </c>
      <c r="C170" s="122">
        <f t="shared" si="21"/>
        <v>0</v>
      </c>
      <c r="D170" s="126">
        <f t="shared" si="22"/>
        <v>5.1384775849772205E-2</v>
      </c>
      <c r="E170" s="122">
        <f t="shared" si="23"/>
        <v>0</v>
      </c>
      <c r="F170" s="122">
        <f t="shared" si="24"/>
        <v>0</v>
      </c>
      <c r="G170" s="122">
        <f t="shared" si="25"/>
        <v>0.25730462731464265</v>
      </c>
      <c r="H170" s="122">
        <f t="shared" si="26"/>
        <v>5.1384775849772205E-2</v>
      </c>
      <c r="I170" s="122">
        <f t="shared" si="27"/>
        <v>0.25730462731464265</v>
      </c>
      <c r="J170" s="122">
        <f t="shared" si="28"/>
        <v>-5.1384775849772205E-2</v>
      </c>
      <c r="K170" s="122"/>
      <c r="Y170" s="126">
        <f t="shared" si="29"/>
        <v>-0.5</v>
      </c>
    </row>
    <row r="171" spans="2:25" x14ac:dyDescent="0.3">
      <c r="B171" s="122">
        <v>0.26006160940758349</v>
      </c>
      <c r="C171" s="122">
        <f t="shared" si="21"/>
        <v>0</v>
      </c>
      <c r="D171" s="126">
        <f t="shared" si="22"/>
        <v>5.1583329949335628E-2</v>
      </c>
      <c r="E171" s="122">
        <f t="shared" si="23"/>
        <v>0</v>
      </c>
      <c r="F171" s="122">
        <f t="shared" si="24"/>
        <v>0</v>
      </c>
      <c r="G171" s="122">
        <f t="shared" si="25"/>
        <v>0.26006160940758349</v>
      </c>
      <c r="H171" s="122">
        <f t="shared" si="26"/>
        <v>5.1583329949335628E-2</v>
      </c>
      <c r="I171" s="122">
        <f t="shared" si="27"/>
        <v>0.26006160940758349</v>
      </c>
      <c r="J171" s="122">
        <f t="shared" si="28"/>
        <v>-5.1583329949335628E-2</v>
      </c>
      <c r="K171" s="122"/>
      <c r="Y171" s="126">
        <f t="shared" si="29"/>
        <v>-0.5</v>
      </c>
    </row>
    <row r="172" spans="2:25" x14ac:dyDescent="0.3">
      <c r="B172" s="122">
        <v>0.26282810186061856</v>
      </c>
      <c r="C172" s="122">
        <f t="shared" si="21"/>
        <v>0</v>
      </c>
      <c r="D172" s="126">
        <f t="shared" si="22"/>
        <v>5.1779983031222047E-2</v>
      </c>
      <c r="E172" s="122">
        <f t="shared" si="23"/>
        <v>0</v>
      </c>
      <c r="F172" s="122">
        <f t="shared" si="24"/>
        <v>0</v>
      </c>
      <c r="G172" s="122">
        <f t="shared" si="25"/>
        <v>0.26282810186061856</v>
      </c>
      <c r="H172" s="122">
        <f t="shared" si="26"/>
        <v>5.1779983031222047E-2</v>
      </c>
      <c r="I172" s="122">
        <f t="shared" si="27"/>
        <v>0.26282810186061856</v>
      </c>
      <c r="J172" s="122">
        <f t="shared" si="28"/>
        <v>-5.1779983031222047E-2</v>
      </c>
      <c r="K172" s="122"/>
      <c r="Y172" s="126">
        <f t="shared" si="29"/>
        <v>-0.5</v>
      </c>
    </row>
    <row r="173" spans="2:25" x14ac:dyDescent="0.3">
      <c r="B173" s="122">
        <v>0.26560399501918452</v>
      </c>
      <c r="C173" s="122">
        <f t="shared" si="21"/>
        <v>0</v>
      </c>
      <c r="D173" s="126">
        <f t="shared" si="22"/>
        <v>5.1974719288105133E-2</v>
      </c>
      <c r="E173" s="122">
        <f t="shared" si="23"/>
        <v>0</v>
      </c>
      <c r="F173" s="122">
        <f t="shared" si="24"/>
        <v>0</v>
      </c>
      <c r="G173" s="122">
        <f t="shared" si="25"/>
        <v>0.26560399501918452</v>
      </c>
      <c r="H173" s="122">
        <f t="shared" si="26"/>
        <v>5.1974719288105133E-2</v>
      </c>
      <c r="I173" s="122">
        <f t="shared" si="27"/>
        <v>0.26560399501918452</v>
      </c>
      <c r="J173" s="122">
        <f t="shared" si="28"/>
        <v>-5.1974719288105133E-2</v>
      </c>
      <c r="K173" s="122"/>
      <c r="Y173" s="126">
        <f t="shared" si="29"/>
        <v>-0.5</v>
      </c>
    </row>
    <row r="174" spans="2:25" x14ac:dyDescent="0.3">
      <c r="B174" s="122">
        <v>0.26838917885610541</v>
      </c>
      <c r="C174" s="122">
        <f t="shared" si="21"/>
        <v>0</v>
      </c>
      <c r="D174" s="126">
        <f t="shared" si="22"/>
        <v>5.2167522871226411E-2</v>
      </c>
      <c r="E174" s="122">
        <f t="shared" si="23"/>
        <v>0</v>
      </c>
      <c r="F174" s="122">
        <f t="shared" si="24"/>
        <v>0</v>
      </c>
      <c r="G174" s="122">
        <f t="shared" si="25"/>
        <v>0.26838917885610541</v>
      </c>
      <c r="H174" s="122">
        <f t="shared" si="26"/>
        <v>5.2167522871226411E-2</v>
      </c>
      <c r="I174" s="122">
        <f t="shared" si="27"/>
        <v>0.26838917885610541</v>
      </c>
      <c r="J174" s="122">
        <f t="shared" si="28"/>
        <v>-5.2167522871226411E-2</v>
      </c>
      <c r="K174" s="122"/>
      <c r="Y174" s="126">
        <f t="shared" si="29"/>
        <v>-0.5</v>
      </c>
    </row>
    <row r="175" spans="2:25" x14ac:dyDescent="0.3">
      <c r="B175" s="122">
        <v>0.27118354297595382</v>
      </c>
      <c r="C175" s="122">
        <f t="shared" si="21"/>
        <v>0</v>
      </c>
      <c r="D175" s="126">
        <f t="shared" si="22"/>
        <v>5.2358377893971998E-2</v>
      </c>
      <c r="E175" s="122">
        <f t="shared" si="23"/>
        <v>0</v>
      </c>
      <c r="F175" s="122">
        <f t="shared" si="24"/>
        <v>0</v>
      </c>
      <c r="G175" s="122">
        <f t="shared" si="25"/>
        <v>0.27118354297595382</v>
      </c>
      <c r="H175" s="122">
        <f t="shared" si="26"/>
        <v>5.2358377893971998E-2</v>
      </c>
      <c r="I175" s="122">
        <f t="shared" si="27"/>
        <v>0.27118354297595382</v>
      </c>
      <c r="J175" s="122">
        <f t="shared" si="28"/>
        <v>-5.2358377893971998E-2</v>
      </c>
      <c r="K175" s="122"/>
      <c r="Y175" s="126">
        <f t="shared" si="29"/>
        <v>-0.5</v>
      </c>
    </row>
    <row r="176" spans="2:25" x14ac:dyDescent="0.3">
      <c r="B176" s="122">
        <v>0.27398697661942611</v>
      </c>
      <c r="C176" s="122">
        <f t="shared" si="21"/>
        <v>0</v>
      </c>
      <c r="D176" s="126">
        <f t="shared" si="22"/>
        <v>5.2547268435512905E-2</v>
      </c>
      <c r="E176" s="122">
        <f t="shared" si="23"/>
        <v>0</v>
      </c>
      <c r="F176" s="122">
        <f t="shared" si="24"/>
        <v>0</v>
      </c>
      <c r="G176" s="122">
        <f t="shared" si="25"/>
        <v>0.27398697661942611</v>
      </c>
      <c r="H176" s="122">
        <f t="shared" si="26"/>
        <v>5.2547268435512905E-2</v>
      </c>
      <c r="I176" s="122">
        <f t="shared" si="27"/>
        <v>0.27398697661942611</v>
      </c>
      <c r="J176" s="122">
        <f t="shared" si="28"/>
        <v>-5.2547268435512905E-2</v>
      </c>
      <c r="K176" s="122"/>
      <c r="Y176" s="126">
        <f t="shared" si="29"/>
        <v>-0.5</v>
      </c>
    </row>
    <row r="177" spans="2:25" x14ac:dyDescent="0.3">
      <c r="B177" s="122">
        <v>0.27679936866773314</v>
      </c>
      <c r="C177" s="122">
        <f t="shared" si="21"/>
        <v>0</v>
      </c>
      <c r="D177" s="126">
        <f t="shared" si="22"/>
        <v>5.2734178544508521E-2</v>
      </c>
      <c r="E177" s="122">
        <f t="shared" si="23"/>
        <v>0</v>
      </c>
      <c r="F177" s="122">
        <f t="shared" si="24"/>
        <v>0</v>
      </c>
      <c r="G177" s="122">
        <f t="shared" si="25"/>
        <v>0.27679936866773314</v>
      </c>
      <c r="H177" s="122">
        <f t="shared" si="26"/>
        <v>5.2734178544508521E-2</v>
      </c>
      <c r="I177" s="122">
        <f t="shared" si="27"/>
        <v>0.27679936866773314</v>
      </c>
      <c r="J177" s="122">
        <f t="shared" si="28"/>
        <v>-5.2734178544508521E-2</v>
      </c>
      <c r="K177" s="122"/>
      <c r="Y177" s="126">
        <f t="shared" si="29"/>
        <v>-0.5</v>
      </c>
    </row>
    <row r="178" spans="2:25" x14ac:dyDescent="0.3">
      <c r="B178" s="122">
        <v>0.27962060764700436</v>
      </c>
      <c r="C178" s="122">
        <f t="shared" si="21"/>
        <v>0</v>
      </c>
      <c r="D178" s="126">
        <f t="shared" si="22"/>
        <v>5.2919092242872119E-2</v>
      </c>
      <c r="E178" s="122">
        <f t="shared" si="23"/>
        <v>0</v>
      </c>
      <c r="F178" s="122">
        <f t="shared" si="24"/>
        <v>0</v>
      </c>
      <c r="G178" s="122">
        <f t="shared" si="25"/>
        <v>0.27962060764700436</v>
      </c>
      <c r="H178" s="122">
        <f t="shared" si="26"/>
        <v>5.2919092242872119E-2</v>
      </c>
      <c r="I178" s="122">
        <f t="shared" si="27"/>
        <v>0.27962060764700436</v>
      </c>
      <c r="J178" s="122">
        <f t="shared" si="28"/>
        <v>-5.2919092242872119E-2</v>
      </c>
      <c r="K178" s="122"/>
      <c r="Y178" s="126">
        <f t="shared" si="29"/>
        <v>-0.5</v>
      </c>
    </row>
    <row r="179" spans="2:25" x14ac:dyDescent="0.3">
      <c r="B179" s="122">
        <v>0.2824505817327061</v>
      </c>
      <c r="C179" s="122">
        <f t="shared" si="21"/>
        <v>0</v>
      </c>
      <c r="D179" s="126">
        <f t="shared" si="22"/>
        <v>5.3101993529597838E-2</v>
      </c>
      <c r="E179" s="122">
        <f t="shared" si="23"/>
        <v>0</v>
      </c>
      <c r="F179" s="122">
        <f t="shared" si="24"/>
        <v>0</v>
      </c>
      <c r="G179" s="122">
        <f t="shared" si="25"/>
        <v>0.2824505817327061</v>
      </c>
      <c r="H179" s="122">
        <f t="shared" si="26"/>
        <v>5.3101993529597838E-2</v>
      </c>
      <c r="I179" s="122">
        <f t="shared" si="27"/>
        <v>0.2824505817327061</v>
      </c>
      <c r="J179" s="122">
        <f t="shared" si="28"/>
        <v>-5.3101993529597838E-2</v>
      </c>
      <c r="K179" s="122"/>
      <c r="Y179" s="126">
        <f t="shared" si="29"/>
        <v>-0.5</v>
      </c>
    </row>
    <row r="180" spans="2:25" x14ac:dyDescent="0.3">
      <c r="B180" s="122">
        <v>0.28528917875407439</v>
      </c>
      <c r="C180" s="122">
        <f t="shared" si="21"/>
        <v>0</v>
      </c>
      <c r="D180" s="126">
        <f t="shared" si="22"/>
        <v>5.3282866384648402E-2</v>
      </c>
      <c r="E180" s="122">
        <f t="shared" si="23"/>
        <v>0</v>
      </c>
      <c r="F180" s="122">
        <f t="shared" si="24"/>
        <v>0</v>
      </c>
      <c r="G180" s="122">
        <f t="shared" si="25"/>
        <v>0.28528917875407439</v>
      </c>
      <c r="H180" s="122">
        <f t="shared" si="26"/>
        <v>5.3282866384648402E-2</v>
      </c>
      <c r="I180" s="122">
        <f t="shared" si="27"/>
        <v>0.28528917875407439</v>
      </c>
      <c r="J180" s="122">
        <f t="shared" si="28"/>
        <v>-5.3282866384648402E-2</v>
      </c>
      <c r="K180" s="122"/>
      <c r="Y180" s="126">
        <f t="shared" si="29"/>
        <v>-0.5</v>
      </c>
    </row>
    <row r="181" spans="2:25" x14ac:dyDescent="0.3">
      <c r="B181" s="122">
        <v>0.28813628619856047</v>
      </c>
      <c r="C181" s="122">
        <f t="shared" si="21"/>
        <v>0</v>
      </c>
      <c r="D181" s="126">
        <f t="shared" si="22"/>
        <v>5.3461694772902295E-2</v>
      </c>
      <c r="E181" s="122">
        <f t="shared" si="23"/>
        <v>0</v>
      </c>
      <c r="F181" s="122">
        <f t="shared" si="24"/>
        <v>0</v>
      </c>
      <c r="G181" s="122">
        <f t="shared" si="25"/>
        <v>0.28813628619856047</v>
      </c>
      <c r="H181" s="122">
        <f t="shared" si="26"/>
        <v>5.3461694772902295E-2</v>
      </c>
      <c r="I181" s="122">
        <f t="shared" si="27"/>
        <v>0.28813628619856047</v>
      </c>
      <c r="J181" s="122">
        <f t="shared" si="28"/>
        <v>-5.3461694772902295E-2</v>
      </c>
      <c r="K181" s="122"/>
      <c r="Y181" s="126">
        <f t="shared" si="29"/>
        <v>-0.5</v>
      </c>
    </row>
    <row r="182" spans="2:25" x14ac:dyDescent="0.3">
      <c r="B182" s="122">
        <v>0.29099179121629093</v>
      </c>
      <c r="C182" s="122">
        <f t="shared" si="21"/>
        <v>0</v>
      </c>
      <c r="D182" s="126">
        <f t="shared" si="22"/>
        <v>5.3638462648160079E-2</v>
      </c>
      <c r="E182" s="122">
        <f t="shared" si="23"/>
        <v>0</v>
      </c>
      <c r="F182" s="122">
        <f t="shared" si="24"/>
        <v>0</v>
      </c>
      <c r="G182" s="122">
        <f t="shared" si="25"/>
        <v>0.29099179121629093</v>
      </c>
      <c r="H182" s="122">
        <f t="shared" si="26"/>
        <v>5.3638462648160079E-2</v>
      </c>
      <c r="I182" s="122">
        <f t="shared" si="27"/>
        <v>0.29099179121629093</v>
      </c>
      <c r="J182" s="122">
        <f t="shared" si="28"/>
        <v>-5.3638462648160079E-2</v>
      </c>
      <c r="K182" s="122"/>
      <c r="Y182" s="126">
        <f t="shared" si="29"/>
        <v>-0.5</v>
      </c>
    </row>
    <row r="183" spans="2:25" x14ac:dyDescent="0.3">
      <c r="B183" s="122">
        <v>0.29385558062454042</v>
      </c>
      <c r="C183" s="122">
        <f t="shared" si="21"/>
        <v>0</v>
      </c>
      <c r="D183" s="126">
        <f t="shared" si="22"/>
        <v>5.3813153957208461E-2</v>
      </c>
      <c r="E183" s="122">
        <f t="shared" si="23"/>
        <v>0</v>
      </c>
      <c r="F183" s="122">
        <f t="shared" si="24"/>
        <v>0</v>
      </c>
      <c r="G183" s="122">
        <f t="shared" si="25"/>
        <v>0.29385558062454042</v>
      </c>
      <c r="H183" s="122">
        <f t="shared" si="26"/>
        <v>5.3813153957208461E-2</v>
      </c>
      <c r="I183" s="122">
        <f t="shared" si="27"/>
        <v>0.29385558062454042</v>
      </c>
      <c r="J183" s="122">
        <f t="shared" si="28"/>
        <v>-5.3813153957208461E-2</v>
      </c>
      <c r="K183" s="122"/>
      <c r="Y183" s="126">
        <f t="shared" si="29"/>
        <v>-0.5</v>
      </c>
    </row>
    <row r="184" spans="2:25" x14ac:dyDescent="0.3">
      <c r="B184" s="122">
        <v>0.29672754091221787</v>
      </c>
      <c r="C184" s="122">
        <f t="shared" si="21"/>
        <v>0</v>
      </c>
      <c r="D184" s="126">
        <f t="shared" si="22"/>
        <v>5.3985752643941544E-2</v>
      </c>
      <c r="E184" s="122">
        <f t="shared" si="23"/>
        <v>0</v>
      </c>
      <c r="F184" s="122">
        <f t="shared" si="24"/>
        <v>0</v>
      </c>
      <c r="G184" s="122">
        <f t="shared" si="25"/>
        <v>0.29672754091221787</v>
      </c>
      <c r="H184" s="122">
        <f t="shared" si="26"/>
        <v>5.3985752643941544E-2</v>
      </c>
      <c r="I184" s="122">
        <f t="shared" si="27"/>
        <v>0.29672754091221787</v>
      </c>
      <c r="J184" s="122">
        <f t="shared" si="28"/>
        <v>-5.3985752643941544E-2</v>
      </c>
      <c r="K184" s="122"/>
      <c r="Y184" s="126">
        <f t="shared" si="29"/>
        <v>-0.5</v>
      </c>
    </row>
    <row r="185" spans="2:25" x14ac:dyDescent="0.3">
      <c r="B185" s="122">
        <v>0.29960755824436569</v>
      </c>
      <c r="C185" s="122">
        <f t="shared" si="21"/>
        <v>0</v>
      </c>
      <c r="D185" s="126">
        <f t="shared" si="22"/>
        <v>5.4156242653537877E-2</v>
      </c>
      <c r="E185" s="122">
        <f t="shared" si="23"/>
        <v>0</v>
      </c>
      <c r="F185" s="122">
        <f t="shared" si="24"/>
        <v>0</v>
      </c>
      <c r="G185" s="122">
        <f t="shared" si="25"/>
        <v>0.29960755824436569</v>
      </c>
      <c r="H185" s="122">
        <f t="shared" si="26"/>
        <v>5.4156242653537877E-2</v>
      </c>
      <c r="I185" s="122">
        <f t="shared" si="27"/>
        <v>0.29960755824436569</v>
      </c>
      <c r="J185" s="122">
        <f t="shared" si="28"/>
        <v>-5.4156242653537877E-2</v>
      </c>
      <c r="K185" s="122"/>
      <c r="Y185" s="126">
        <f t="shared" si="29"/>
        <v>-0.5</v>
      </c>
    </row>
    <row r="186" spans="2:25" x14ac:dyDescent="0.3">
      <c r="B186" s="122">
        <v>0.30249551846667189</v>
      </c>
      <c r="C186" s="122">
        <f t="shared" si="21"/>
        <v>0</v>
      </c>
      <c r="D186" s="126">
        <f t="shared" si="22"/>
        <v>5.4324607936692873E-2</v>
      </c>
      <c r="E186" s="122">
        <f t="shared" si="23"/>
        <v>0</v>
      </c>
      <c r="F186" s="122">
        <f t="shared" si="24"/>
        <v>0</v>
      </c>
      <c r="G186" s="122">
        <f t="shared" si="25"/>
        <v>0.30249551846667189</v>
      </c>
      <c r="H186" s="122">
        <f t="shared" si="26"/>
        <v>5.4324607936692873E-2</v>
      </c>
      <c r="I186" s="122">
        <f t="shared" si="27"/>
        <v>0.30249551846667189</v>
      </c>
      <c r="J186" s="122">
        <f t="shared" si="28"/>
        <v>-5.4324607936692873E-2</v>
      </c>
      <c r="K186" s="122"/>
      <c r="Y186" s="126">
        <f t="shared" si="29"/>
        <v>-0.5</v>
      </c>
    </row>
    <row r="187" spans="2:25" x14ac:dyDescent="0.3">
      <c r="B187" s="122">
        <v>0.30539130710999463</v>
      </c>
      <c r="C187" s="122">
        <f t="shared" si="21"/>
        <v>0</v>
      </c>
      <c r="D187" s="126">
        <f t="shared" si="22"/>
        <v>5.4490832453905021E-2</v>
      </c>
      <c r="E187" s="122">
        <f t="shared" si="23"/>
        <v>0</v>
      </c>
      <c r="F187" s="122">
        <f t="shared" si="24"/>
        <v>0</v>
      </c>
      <c r="G187" s="122">
        <f t="shared" si="25"/>
        <v>0.30539130710999463</v>
      </c>
      <c r="H187" s="122">
        <f t="shared" si="26"/>
        <v>5.4490832453905021E-2</v>
      </c>
      <c r="I187" s="122">
        <f t="shared" si="27"/>
        <v>0.30539130710999463</v>
      </c>
      <c r="J187" s="122">
        <f t="shared" si="28"/>
        <v>-5.4490832453905021E-2</v>
      </c>
      <c r="K187" s="122"/>
      <c r="Y187" s="126">
        <f t="shared" si="29"/>
        <v>-0.5</v>
      </c>
    </row>
    <row r="188" spans="2:25" x14ac:dyDescent="0.3">
      <c r="B188" s="122">
        <v>0.30829480939489962</v>
      </c>
      <c r="C188" s="122">
        <f t="shared" si="21"/>
        <v>0</v>
      </c>
      <c r="D188" s="126">
        <f t="shared" si="22"/>
        <v>5.4654900179815183E-2</v>
      </c>
      <c r="E188" s="122">
        <f t="shared" si="23"/>
        <v>0</v>
      </c>
      <c r="F188" s="122">
        <f t="shared" si="24"/>
        <v>0</v>
      </c>
      <c r="G188" s="122">
        <f t="shared" si="25"/>
        <v>0.30829480939489962</v>
      </c>
      <c r="H188" s="122">
        <f t="shared" si="26"/>
        <v>5.4654900179815183E-2</v>
      </c>
      <c r="I188" s="122">
        <f t="shared" si="27"/>
        <v>0.30829480939489962</v>
      </c>
      <c r="J188" s="122">
        <f t="shared" si="28"/>
        <v>-5.4654900179815183E-2</v>
      </c>
      <c r="K188" s="122"/>
      <c r="Y188" s="126">
        <f t="shared" si="29"/>
        <v>-0.5</v>
      </c>
    </row>
    <row r="189" spans="2:25" x14ac:dyDescent="0.3">
      <c r="B189" s="122">
        <v>0.31120591023620925</v>
      </c>
      <c r="C189" s="122">
        <f t="shared" si="21"/>
        <v>0</v>
      </c>
      <c r="D189" s="126">
        <f t="shared" si="22"/>
        <v>5.4816795107597842E-2</v>
      </c>
      <c r="E189" s="122">
        <f t="shared" si="23"/>
        <v>0</v>
      </c>
      <c r="F189" s="122">
        <f t="shared" si="24"/>
        <v>0</v>
      </c>
      <c r="G189" s="122">
        <f t="shared" si="25"/>
        <v>0.31120591023620925</v>
      </c>
      <c r="H189" s="122">
        <f t="shared" si="26"/>
        <v>5.4816795107597842E-2</v>
      </c>
      <c r="I189" s="122">
        <f t="shared" si="27"/>
        <v>0.31120591023620925</v>
      </c>
      <c r="J189" s="122">
        <f t="shared" si="28"/>
        <v>-5.4816795107597842E-2</v>
      </c>
      <c r="K189" s="122"/>
      <c r="Y189" s="126">
        <f t="shared" si="29"/>
        <v>-0.5</v>
      </c>
    </row>
    <row r="190" spans="2:25" x14ac:dyDescent="0.3">
      <c r="B190" s="122">
        <v>0.31412449424756461</v>
      </c>
      <c r="C190" s="122">
        <f t="shared" si="21"/>
        <v>0</v>
      </c>
      <c r="D190" s="126">
        <f t="shared" si="22"/>
        <v>5.4976501253403087E-2</v>
      </c>
      <c r="E190" s="122">
        <f t="shared" si="23"/>
        <v>0</v>
      </c>
      <c r="F190" s="122">
        <f t="shared" si="24"/>
        <v>0</v>
      </c>
      <c r="G190" s="122">
        <f t="shared" si="25"/>
        <v>0.31412449424756461</v>
      </c>
      <c r="H190" s="122">
        <f t="shared" si="26"/>
        <v>5.4976501253403087E-2</v>
      </c>
      <c r="I190" s="122">
        <f t="shared" si="27"/>
        <v>0.31412449424756461</v>
      </c>
      <c r="J190" s="122">
        <f t="shared" si="28"/>
        <v>-5.4976501253403087E-2</v>
      </c>
      <c r="K190" s="122"/>
      <c r="Y190" s="126">
        <f t="shared" si="29"/>
        <v>-0.5</v>
      </c>
    </row>
    <row r="191" spans="2:25" x14ac:dyDescent="0.3">
      <c r="B191" s="122">
        <v>0.31705044574599883</v>
      </c>
      <c r="C191" s="122">
        <f t="shared" si="21"/>
        <v>0</v>
      </c>
      <c r="D191" s="126">
        <f t="shared" si="22"/>
        <v>5.5134002660848398E-2</v>
      </c>
      <c r="E191" s="122">
        <f t="shared" si="23"/>
        <v>0</v>
      </c>
      <c r="F191" s="122">
        <f t="shared" si="24"/>
        <v>0</v>
      </c>
      <c r="G191" s="122">
        <f t="shared" si="25"/>
        <v>0.31705044574599883</v>
      </c>
      <c r="H191" s="122">
        <f t="shared" si="26"/>
        <v>5.5134002660848398E-2</v>
      </c>
      <c r="I191" s="122">
        <f t="shared" si="27"/>
        <v>0.31705044574599883</v>
      </c>
      <c r="J191" s="122">
        <f t="shared" si="28"/>
        <v>-5.5134002660848398E-2</v>
      </c>
      <c r="K191" s="122"/>
      <c r="Y191" s="126">
        <f t="shared" si="29"/>
        <v>-0.5</v>
      </c>
    </row>
    <row r="192" spans="2:25" x14ac:dyDescent="0.3">
      <c r="B192" s="122">
        <v>0.31998364875652208</v>
      </c>
      <c r="C192" s="122">
        <f t="shared" si="21"/>
        <v>0</v>
      </c>
      <c r="D192" s="126">
        <f t="shared" si="22"/>
        <v>5.5289283405558838E-2</v>
      </c>
      <c r="E192" s="122">
        <f t="shared" si="23"/>
        <v>0</v>
      </c>
      <c r="F192" s="122">
        <f t="shared" si="24"/>
        <v>0</v>
      </c>
      <c r="G192" s="122">
        <f t="shared" si="25"/>
        <v>0.31998364875652208</v>
      </c>
      <c r="H192" s="122">
        <f t="shared" si="26"/>
        <v>5.5289283405558838E-2</v>
      </c>
      <c r="I192" s="122">
        <f t="shared" si="27"/>
        <v>0.31998364875652208</v>
      </c>
      <c r="J192" s="122">
        <f t="shared" si="28"/>
        <v>-5.5289283405558838E-2</v>
      </c>
      <c r="K192" s="122"/>
      <c r="Y192" s="126">
        <f t="shared" si="29"/>
        <v>-0.5</v>
      </c>
    </row>
    <row r="193" spans="2:25" x14ac:dyDescent="0.3">
      <c r="B193" s="122">
        <v>0.32292398701671898</v>
      </c>
      <c r="C193" s="122">
        <f t="shared" ref="C193:C256" si="30">IF($A$1=0, 0, IF(B193&lt;=$A$2, ($A$1/$A$2^2)*(2*$A$2*B193-B193^2), ($A$1/(1-$A$2)^2)*((1-2*$A$2)+2*$A$2*B193-B193^2)))</f>
        <v>0</v>
      </c>
      <c r="D193" s="126">
        <f t="shared" ref="D193:D256" si="31">IF(B193&lt;$N$1, ($A$3/0.2)*($O$1*SQRT(B193)+$P$1*B193+$Q$1*(B193^2)+$R$1*(B193^3)), ($A$3/0.2)*($S$1+$T$1*(1-B193)+$U$1*((1-B193)^2)+$V$1*((1-B193)^3)))</f>
        <v>5.5442327599754836E-2</v>
      </c>
      <c r="E193" s="122">
        <f t="shared" ref="E193:E256" si="32">IF($A$1=0, 0, IF(B193&lt;=$A$2, ($A$1/$A$2^2) *(2*$A$2-2*B193), ($A$1/(1-$A$2)^2)*(2*$A$2-2*B193)))</f>
        <v>0</v>
      </c>
      <c r="F193" s="122">
        <f t="shared" ref="F193:F256" si="33">IF($A$1=0, 0,  ATAN(E193))</f>
        <v>0</v>
      </c>
      <c r="G193" s="122">
        <f t="shared" ref="G193:G256" si="34">B193-D193*SIN(F193)</f>
        <v>0.32292398701671898</v>
      </c>
      <c r="H193" s="122">
        <f t="shared" ref="H193:H256" si="35">C193+D193*COS(F193)</f>
        <v>5.5442327599754836E-2</v>
      </c>
      <c r="I193" s="122">
        <f t="shared" ref="I193:I256" si="36">B193+D193*SIN(F193)</f>
        <v>0.32292398701671898</v>
      </c>
      <c r="J193" s="122">
        <f t="shared" ref="J193:J256" si="37">C193-D193*COS(F193)</f>
        <v>-5.5442327599754836E-2</v>
      </c>
      <c r="K193" s="122"/>
      <c r="Y193" s="126">
        <f t="shared" si="29"/>
        <v>-0.5</v>
      </c>
    </row>
    <row r="194" spans="2:25" x14ac:dyDescent="0.3">
      <c r="B194" s="122">
        <v>0.32587134398135642</v>
      </c>
      <c r="C194" s="122">
        <f t="shared" si="30"/>
        <v>0</v>
      </c>
      <c r="D194" s="126">
        <f t="shared" si="31"/>
        <v>5.5593119396885944E-2</v>
      </c>
      <c r="E194" s="122">
        <f t="shared" si="32"/>
        <v>0</v>
      </c>
      <c r="F194" s="122">
        <f t="shared" si="33"/>
        <v>0</v>
      </c>
      <c r="G194" s="122">
        <f t="shared" si="34"/>
        <v>0.32587134398135642</v>
      </c>
      <c r="H194" s="122">
        <f t="shared" si="35"/>
        <v>5.5593119396885944E-2</v>
      </c>
      <c r="I194" s="122">
        <f t="shared" si="36"/>
        <v>0.32587134398135642</v>
      </c>
      <c r="J194" s="122">
        <f t="shared" si="37"/>
        <v>-5.5593119396885944E-2</v>
      </c>
      <c r="K194" s="122"/>
      <c r="Y194" s="126">
        <f t="shared" ref="Y194:Y257" si="38">IF($Z$1, C194, -0.5)</f>
        <v>-0.5</v>
      </c>
    </row>
    <row r="195" spans="2:25" x14ac:dyDescent="0.3">
      <c r="B195" s="122">
        <v>0.32882560282700324</v>
      </c>
      <c r="C195" s="122">
        <f t="shared" si="30"/>
        <v>0</v>
      </c>
      <c r="D195" s="126">
        <f t="shared" si="31"/>
        <v>5.5741642996309633E-2</v>
      </c>
      <c r="E195" s="122">
        <f t="shared" si="32"/>
        <v>0</v>
      </c>
      <c r="F195" s="122">
        <f t="shared" si="33"/>
        <v>0</v>
      </c>
      <c r="G195" s="122">
        <f t="shared" si="34"/>
        <v>0.32882560282700324</v>
      </c>
      <c r="H195" s="122">
        <f t="shared" si="35"/>
        <v>5.5741642996309633E-2</v>
      </c>
      <c r="I195" s="122">
        <f t="shared" si="36"/>
        <v>0.32882560282700324</v>
      </c>
      <c r="J195" s="122">
        <f t="shared" si="37"/>
        <v>-5.5741642996309633E-2</v>
      </c>
      <c r="K195" s="122"/>
      <c r="Y195" s="126">
        <f t="shared" si="38"/>
        <v>-0.5</v>
      </c>
    </row>
    <row r="196" spans="2:25" x14ac:dyDescent="0.3">
      <c r="B196" s="122">
        <v>0.33178664645666067</v>
      </c>
      <c r="C196" s="122">
        <f t="shared" si="30"/>
        <v>0</v>
      </c>
      <c r="D196" s="126">
        <f t="shared" si="31"/>
        <v>5.5887882648013781E-2</v>
      </c>
      <c r="E196" s="122">
        <f t="shared" si="32"/>
        <v>0</v>
      </c>
      <c r="F196" s="122">
        <f t="shared" si="33"/>
        <v>0</v>
      </c>
      <c r="G196" s="122">
        <f t="shared" si="34"/>
        <v>0.33178664645666067</v>
      </c>
      <c r="H196" s="122">
        <f t="shared" si="35"/>
        <v>5.5887882648013781E-2</v>
      </c>
      <c r="I196" s="122">
        <f t="shared" si="36"/>
        <v>0.33178664645666067</v>
      </c>
      <c r="J196" s="122">
        <f t="shared" si="37"/>
        <v>-5.5887882648013781E-2</v>
      </c>
      <c r="K196" s="122"/>
      <c r="Y196" s="126">
        <f t="shared" si="38"/>
        <v>-0.5</v>
      </c>
    </row>
    <row r="197" spans="2:25" x14ac:dyDescent="0.3">
      <c r="B197" s="122">
        <v>0.33475435750440363</v>
      </c>
      <c r="C197" s="122">
        <f t="shared" si="30"/>
        <v>0</v>
      </c>
      <c r="D197" s="126">
        <f t="shared" si="31"/>
        <v>5.6031822657381679E-2</v>
      </c>
      <c r="E197" s="122">
        <f t="shared" si="32"/>
        <v>0</v>
      </c>
      <c r="F197" s="122">
        <f t="shared" si="33"/>
        <v>0</v>
      </c>
      <c r="G197" s="122">
        <f t="shared" si="34"/>
        <v>0.33475435750440363</v>
      </c>
      <c r="H197" s="122">
        <f t="shared" si="35"/>
        <v>5.6031822657381679E-2</v>
      </c>
      <c r="I197" s="122">
        <f t="shared" si="36"/>
        <v>0.33475435750440363</v>
      </c>
      <c r="J197" s="122">
        <f t="shared" si="37"/>
        <v>-5.6031822657381679E-2</v>
      </c>
      <c r="K197" s="122"/>
      <c r="Y197" s="126">
        <f t="shared" si="38"/>
        <v>-0.5</v>
      </c>
    </row>
    <row r="198" spans="2:25" x14ac:dyDescent="0.3">
      <c r="B198" s="122">
        <v>0.33772861834003265</v>
      </c>
      <c r="C198" s="122">
        <f t="shared" si="30"/>
        <v>0</v>
      </c>
      <c r="D198" s="126">
        <f t="shared" si="31"/>
        <v>5.6173447389997973E-2</v>
      </c>
      <c r="E198" s="122">
        <f t="shared" si="32"/>
        <v>0</v>
      </c>
      <c r="F198" s="122">
        <f t="shared" si="33"/>
        <v>0</v>
      </c>
      <c r="G198" s="122">
        <f t="shared" si="34"/>
        <v>0.33772861834003265</v>
      </c>
      <c r="H198" s="122">
        <f t="shared" si="35"/>
        <v>5.6173447389997973E-2</v>
      </c>
      <c r="I198" s="122">
        <f t="shared" si="36"/>
        <v>0.33772861834003265</v>
      </c>
      <c r="J198" s="122">
        <f t="shared" si="37"/>
        <v>-5.6173447389997973E-2</v>
      </c>
      <c r="K198" s="122"/>
      <c r="Y198" s="126">
        <f t="shared" si="38"/>
        <v>-0.5</v>
      </c>
    </row>
    <row r="199" spans="2:25" x14ac:dyDescent="0.3">
      <c r="B199" s="122">
        <v>0.34070931107373681</v>
      </c>
      <c r="C199" s="122">
        <f t="shared" si="30"/>
        <v>0</v>
      </c>
      <c r="D199" s="126">
        <f t="shared" si="31"/>
        <v>5.6312741276494688E-2</v>
      </c>
      <c r="E199" s="122">
        <f t="shared" si="32"/>
        <v>0</v>
      </c>
      <c r="F199" s="122">
        <f t="shared" si="33"/>
        <v>0</v>
      </c>
      <c r="G199" s="122">
        <f t="shared" si="34"/>
        <v>0.34070931107373681</v>
      </c>
      <c r="H199" s="122">
        <f t="shared" si="35"/>
        <v>5.6312741276494688E-2</v>
      </c>
      <c r="I199" s="122">
        <f t="shared" si="36"/>
        <v>0.34070931107373681</v>
      </c>
      <c r="J199" s="122">
        <f t="shared" si="37"/>
        <v>-5.6312741276494688E-2</v>
      </c>
      <c r="K199" s="122"/>
      <c r="Y199" s="126">
        <f t="shared" si="38"/>
        <v>-0.5</v>
      </c>
    </row>
    <row r="200" spans="2:25" x14ac:dyDescent="0.3">
      <c r="B200" s="122">
        <v>0.34369631756076557</v>
      </c>
      <c r="C200" s="122">
        <f t="shared" si="30"/>
        <v>0</v>
      </c>
      <c r="D200" s="126">
        <f t="shared" si="31"/>
        <v>5.6449688817435492E-2</v>
      </c>
      <c r="E200" s="122">
        <f t="shared" si="32"/>
        <v>0</v>
      </c>
      <c r="F200" s="122">
        <f t="shared" si="33"/>
        <v>0</v>
      </c>
      <c r="G200" s="122">
        <f t="shared" si="34"/>
        <v>0.34369631756076557</v>
      </c>
      <c r="H200" s="122">
        <f t="shared" si="35"/>
        <v>5.6449688817435492E-2</v>
      </c>
      <c r="I200" s="122">
        <f t="shared" si="36"/>
        <v>0.34369631756076557</v>
      </c>
      <c r="J200" s="122">
        <f t="shared" si="37"/>
        <v>-5.6449688817435492E-2</v>
      </c>
      <c r="K200" s="122"/>
      <c r="Y200" s="126">
        <f t="shared" si="38"/>
        <v>-0.5</v>
      </c>
    </row>
    <row r="201" spans="2:25" x14ac:dyDescent="0.3">
      <c r="B201" s="122">
        <v>0.34668951940611281</v>
      </c>
      <c r="C201" s="122">
        <f t="shared" si="30"/>
        <v>0</v>
      </c>
      <c r="D201" s="126">
        <f t="shared" si="31"/>
        <v>5.658427458823731E-2</v>
      </c>
      <c r="E201" s="122">
        <f t="shared" si="32"/>
        <v>0</v>
      </c>
      <c r="F201" s="122">
        <f t="shared" si="33"/>
        <v>0</v>
      </c>
      <c r="G201" s="122">
        <f t="shared" si="34"/>
        <v>0.34668951940611281</v>
      </c>
      <c r="H201" s="122">
        <f t="shared" si="35"/>
        <v>5.658427458823731E-2</v>
      </c>
      <c r="I201" s="122">
        <f t="shared" si="36"/>
        <v>0.34668951940611281</v>
      </c>
      <c r="J201" s="122">
        <f t="shared" si="37"/>
        <v>-5.658427458823731E-2</v>
      </c>
      <c r="K201" s="122"/>
      <c r="Y201" s="126">
        <f t="shared" si="38"/>
        <v>-0.5</v>
      </c>
    </row>
    <row r="202" spans="2:25" x14ac:dyDescent="0.3">
      <c r="B202" s="122">
        <v>0.34968879796920838</v>
      </c>
      <c r="C202" s="122">
        <f t="shared" si="30"/>
        <v>0</v>
      </c>
      <c r="D202" s="126">
        <f t="shared" si="31"/>
        <v>5.6716483244127418E-2</v>
      </c>
      <c r="E202" s="122">
        <f t="shared" si="32"/>
        <v>0</v>
      </c>
      <c r="F202" s="122">
        <f t="shared" si="33"/>
        <v>0</v>
      </c>
      <c r="G202" s="122">
        <f t="shared" si="34"/>
        <v>0.34968879796920838</v>
      </c>
      <c r="H202" s="122">
        <f t="shared" si="35"/>
        <v>5.6716483244127418E-2</v>
      </c>
      <c r="I202" s="122">
        <f t="shared" si="36"/>
        <v>0.34968879796920838</v>
      </c>
      <c r="J202" s="122">
        <f t="shared" si="37"/>
        <v>-5.6716483244127418E-2</v>
      </c>
      <c r="K202" s="122"/>
      <c r="Y202" s="126">
        <f t="shared" si="38"/>
        <v>-0.5</v>
      </c>
    </row>
    <row r="203" spans="2:25" x14ac:dyDescent="0.3">
      <c r="B203" s="122">
        <v>0.35269403436862179</v>
      </c>
      <c r="C203" s="122">
        <f t="shared" si="30"/>
        <v>0</v>
      </c>
      <c r="D203" s="126">
        <f t="shared" si="31"/>
        <v>5.6846299525135098E-2</v>
      </c>
      <c r="E203" s="122">
        <f t="shared" si="32"/>
        <v>0</v>
      </c>
      <c r="F203" s="122">
        <f t="shared" si="33"/>
        <v>0</v>
      </c>
      <c r="G203" s="122">
        <f t="shared" si="34"/>
        <v>0.35269403436862179</v>
      </c>
      <c r="H203" s="122">
        <f t="shared" si="35"/>
        <v>5.6846299525135098E-2</v>
      </c>
      <c r="I203" s="122">
        <f t="shared" si="36"/>
        <v>0.35269403436862179</v>
      </c>
      <c r="J203" s="122">
        <f t="shared" si="37"/>
        <v>-5.6846299525135098E-2</v>
      </c>
      <c r="K203" s="122"/>
      <c r="Y203" s="126">
        <f t="shared" si="38"/>
        <v>-0.5</v>
      </c>
    </row>
    <row r="204" spans="2:25" x14ac:dyDescent="0.3">
      <c r="B204" s="122">
        <v>0.35570510948677336</v>
      </c>
      <c r="C204" s="122">
        <f t="shared" si="30"/>
        <v>0</v>
      </c>
      <c r="D204" s="126">
        <f t="shared" si="31"/>
        <v>5.6973708261116071E-2</v>
      </c>
      <c r="E204" s="122">
        <f t="shared" si="32"/>
        <v>0</v>
      </c>
      <c r="F204" s="122">
        <f t="shared" si="33"/>
        <v>0</v>
      </c>
      <c r="G204" s="122">
        <f t="shared" si="34"/>
        <v>0.35570510948677336</v>
      </c>
      <c r="H204" s="122">
        <f t="shared" si="35"/>
        <v>5.6973708261116071E-2</v>
      </c>
      <c r="I204" s="122">
        <f t="shared" si="36"/>
        <v>0.35570510948677336</v>
      </c>
      <c r="J204" s="122">
        <f t="shared" si="37"/>
        <v>-5.6973708261116071E-2</v>
      </c>
      <c r="K204" s="122"/>
      <c r="Y204" s="126">
        <f t="shared" si="38"/>
        <v>-0.5</v>
      </c>
    </row>
    <row r="205" spans="2:25" x14ac:dyDescent="0.3">
      <c r="B205" s="122">
        <v>0.35872190397465631</v>
      </c>
      <c r="C205" s="122">
        <f t="shared" si="30"/>
        <v>0</v>
      </c>
      <c r="D205" s="126">
        <f t="shared" si="31"/>
        <v>5.7098694376808451E-2</v>
      </c>
      <c r="E205" s="122">
        <f t="shared" si="32"/>
        <v>0</v>
      </c>
      <c r="F205" s="122">
        <f t="shared" si="33"/>
        <v>0</v>
      </c>
      <c r="G205" s="122">
        <f t="shared" si="34"/>
        <v>0.35872190397465631</v>
      </c>
      <c r="H205" s="122">
        <f t="shared" si="35"/>
        <v>5.7098694376808451E-2</v>
      </c>
      <c r="I205" s="122">
        <f t="shared" si="36"/>
        <v>0.35872190397465631</v>
      </c>
      <c r="J205" s="122">
        <f t="shared" si="37"/>
        <v>-5.7098694376808451E-2</v>
      </c>
      <c r="K205" s="122"/>
      <c r="Y205" s="126">
        <f t="shared" si="38"/>
        <v>-0.5</v>
      </c>
    </row>
    <row r="206" spans="2:25" x14ac:dyDescent="0.3">
      <c r="B206" s="122">
        <v>0.36174429825656684</v>
      </c>
      <c r="C206" s="122">
        <f t="shared" si="30"/>
        <v>0</v>
      </c>
      <c r="D206" s="126">
        <f t="shared" si="31"/>
        <v>5.7221242896918517E-2</v>
      </c>
      <c r="E206" s="122">
        <f t="shared" si="32"/>
        <v>0</v>
      </c>
      <c r="F206" s="122">
        <f t="shared" si="33"/>
        <v>0</v>
      </c>
      <c r="G206" s="122">
        <f t="shared" si="34"/>
        <v>0.36174429825656684</v>
      </c>
      <c r="H206" s="122">
        <f t="shared" si="35"/>
        <v>5.7221242896918517E-2</v>
      </c>
      <c r="I206" s="122">
        <f t="shared" si="36"/>
        <v>0.36174429825656684</v>
      </c>
      <c r="J206" s="122">
        <f t="shared" si="37"/>
        <v>-5.7221242896918517E-2</v>
      </c>
      <c r="K206" s="122"/>
      <c r="Y206" s="126">
        <f t="shared" si="38"/>
        <v>-0.5</v>
      </c>
    </row>
    <row r="207" spans="2:25" x14ac:dyDescent="0.3">
      <c r="B207" s="122">
        <v>0.3647721725348439</v>
      </c>
      <c r="C207" s="122">
        <f t="shared" si="30"/>
        <v>0</v>
      </c>
      <c r="D207" s="126">
        <f t="shared" si="31"/>
        <v>5.7341338951235332E-2</v>
      </c>
      <c r="E207" s="122">
        <f t="shared" si="32"/>
        <v>0</v>
      </c>
      <c r="F207" s="122">
        <f t="shared" si="33"/>
        <v>0</v>
      </c>
      <c r="G207" s="122">
        <f t="shared" si="34"/>
        <v>0.3647721725348439</v>
      </c>
      <c r="H207" s="122">
        <f t="shared" si="35"/>
        <v>5.7341338951235332E-2</v>
      </c>
      <c r="I207" s="122">
        <f t="shared" si="36"/>
        <v>0.3647721725348439</v>
      </c>
      <c r="J207" s="122">
        <f t="shared" si="37"/>
        <v>-5.7341338951235332E-2</v>
      </c>
      <c r="K207" s="122"/>
      <c r="Y207" s="126">
        <f t="shared" si="38"/>
        <v>-0.5</v>
      </c>
    </row>
    <row r="208" spans="2:25" x14ac:dyDescent="0.3">
      <c r="B208" s="122">
        <v>0.36780540679461771</v>
      </c>
      <c r="C208" s="122">
        <f t="shared" si="30"/>
        <v>0</v>
      </c>
      <c r="D208" s="126">
        <f t="shared" si="31"/>
        <v>5.7458967779771941E-2</v>
      </c>
      <c r="E208" s="122">
        <f t="shared" si="32"/>
        <v>0</v>
      </c>
      <c r="F208" s="122">
        <f t="shared" si="33"/>
        <v>0</v>
      </c>
      <c r="G208" s="122">
        <f t="shared" si="34"/>
        <v>0.36780540679461771</v>
      </c>
      <c r="H208" s="122">
        <f t="shared" si="35"/>
        <v>5.7458967779771941E-2</v>
      </c>
      <c r="I208" s="122">
        <f t="shared" si="36"/>
        <v>0.36780540679461771</v>
      </c>
      <c r="J208" s="122">
        <f t="shared" si="37"/>
        <v>-5.7458967779771941E-2</v>
      </c>
      <c r="K208" s="122"/>
      <c r="Y208" s="126">
        <f t="shared" si="38"/>
        <v>-0.5</v>
      </c>
    </row>
    <row r="209" spans="2:25" x14ac:dyDescent="0.3">
      <c r="B209" s="122">
        <v>0.37084388080856684</v>
      </c>
      <c r="C209" s="122">
        <f t="shared" si="30"/>
        <v>0</v>
      </c>
      <c r="D209" s="126">
        <f t="shared" si="31"/>
        <v>5.757411473793235E-2</v>
      </c>
      <c r="E209" s="122">
        <f t="shared" si="32"/>
        <v>0</v>
      </c>
      <c r="F209" s="122">
        <f t="shared" si="33"/>
        <v>0</v>
      </c>
      <c r="G209" s="122">
        <f t="shared" si="34"/>
        <v>0.37084388080856684</v>
      </c>
      <c r="H209" s="122">
        <f t="shared" si="35"/>
        <v>5.757411473793235E-2</v>
      </c>
      <c r="I209" s="122">
        <f t="shared" si="36"/>
        <v>0.37084388080856684</v>
      </c>
      <c r="J209" s="122">
        <f t="shared" si="37"/>
        <v>-5.757411473793235E-2</v>
      </c>
      <c r="K209" s="122"/>
      <c r="Y209" s="126">
        <f t="shared" si="38"/>
        <v>-0.5</v>
      </c>
    </row>
    <row r="210" spans="2:25" x14ac:dyDescent="0.3">
      <c r="B210" s="122">
        <v>0.37388747414168289</v>
      </c>
      <c r="C210" s="122">
        <f t="shared" si="30"/>
        <v>0</v>
      </c>
      <c r="D210" s="126">
        <f t="shared" si="31"/>
        <v>5.7686765301702296E-2</v>
      </c>
      <c r="E210" s="122">
        <f t="shared" si="32"/>
        <v>0</v>
      </c>
      <c r="F210" s="122">
        <f t="shared" si="33"/>
        <v>0</v>
      </c>
      <c r="G210" s="122">
        <f t="shared" si="34"/>
        <v>0.37388747414168289</v>
      </c>
      <c r="H210" s="122">
        <f t="shared" si="35"/>
        <v>5.7686765301702296E-2</v>
      </c>
      <c r="I210" s="122">
        <f t="shared" si="36"/>
        <v>0.37388747414168289</v>
      </c>
      <c r="J210" s="122">
        <f t="shared" si="37"/>
        <v>-5.7686765301702296E-2</v>
      </c>
      <c r="K210" s="122"/>
      <c r="Y210" s="126">
        <f t="shared" si="38"/>
        <v>-0.5</v>
      </c>
    </row>
    <row r="211" spans="2:25" x14ac:dyDescent="0.3">
      <c r="B211" s="122">
        <v>0.37693606615604525</v>
      </c>
      <c r="C211" s="122">
        <f t="shared" si="30"/>
        <v>0</v>
      </c>
      <c r="D211" s="126">
        <f t="shared" si="31"/>
        <v>5.7796905072862448E-2</v>
      </c>
      <c r="E211" s="122">
        <f t="shared" si="32"/>
        <v>0</v>
      </c>
      <c r="F211" s="122">
        <f t="shared" si="33"/>
        <v>0</v>
      </c>
      <c r="G211" s="122">
        <f t="shared" si="34"/>
        <v>0.37693606615604525</v>
      </c>
      <c r="H211" s="122">
        <f t="shared" si="35"/>
        <v>5.7796905072862448E-2</v>
      </c>
      <c r="I211" s="122">
        <f t="shared" si="36"/>
        <v>0.37693606615604525</v>
      </c>
      <c r="J211" s="122">
        <f t="shared" si="37"/>
        <v>-5.7796905072862448E-2</v>
      </c>
      <c r="K211" s="122"/>
      <c r="Y211" s="126">
        <f t="shared" si="38"/>
        <v>-0.5</v>
      </c>
    </row>
    <row r="212" spans="2:25" x14ac:dyDescent="0.3">
      <c r="B212" s="122">
        <v>0.37998953601560176</v>
      </c>
      <c r="C212" s="122">
        <f t="shared" si="30"/>
        <v>0</v>
      </c>
      <c r="D212" s="126">
        <f t="shared" si="31"/>
        <v>5.79045197842223E-2</v>
      </c>
      <c r="E212" s="122">
        <f t="shared" si="32"/>
        <v>0</v>
      </c>
      <c r="F212" s="122">
        <f t="shared" si="33"/>
        <v>0</v>
      </c>
      <c r="G212" s="122">
        <f t="shared" si="34"/>
        <v>0.37998953601560176</v>
      </c>
      <c r="H212" s="122">
        <f t="shared" si="35"/>
        <v>5.79045197842223E-2</v>
      </c>
      <c r="I212" s="122">
        <f t="shared" si="36"/>
        <v>0.37998953601560176</v>
      </c>
      <c r="J212" s="122">
        <f t="shared" si="37"/>
        <v>-5.79045197842223E-2</v>
      </c>
      <c r="K212" s="122"/>
      <c r="Y212" s="126">
        <f t="shared" si="38"/>
        <v>-0.5</v>
      </c>
    </row>
    <row r="213" spans="2:25" x14ac:dyDescent="0.3">
      <c r="B213" s="122">
        <v>0.38304776269095892</v>
      </c>
      <c r="C213" s="122">
        <f t="shared" si="30"/>
        <v>0</v>
      </c>
      <c r="D213" s="126">
        <f t="shared" si="31"/>
        <v>5.8009595304873332E-2</v>
      </c>
      <c r="E213" s="122">
        <f t="shared" si="32"/>
        <v>0</v>
      </c>
      <c r="F213" s="122">
        <f t="shared" si="33"/>
        <v>0</v>
      </c>
      <c r="G213" s="122">
        <f t="shared" si="34"/>
        <v>0.38304776269095892</v>
      </c>
      <c r="H213" s="122">
        <f t="shared" si="35"/>
        <v>5.8009595304873332E-2</v>
      </c>
      <c r="I213" s="122">
        <f t="shared" si="36"/>
        <v>0.38304776269095892</v>
      </c>
      <c r="J213" s="122">
        <f t="shared" si="37"/>
        <v>-5.8009595304873332E-2</v>
      </c>
      <c r="K213" s="122"/>
      <c r="Y213" s="126">
        <f t="shared" si="38"/>
        <v>-0.5</v>
      </c>
    </row>
    <row r="214" spans="2:25" x14ac:dyDescent="0.3">
      <c r="B214" s="122">
        <v>0.38611062496417881</v>
      </c>
      <c r="C214" s="122">
        <f t="shared" si="30"/>
        <v>0</v>
      </c>
      <c r="D214" s="126">
        <f t="shared" si="31"/>
        <v>5.8112117645459815E-2</v>
      </c>
      <c r="E214" s="122">
        <f t="shared" si="32"/>
        <v>0</v>
      </c>
      <c r="F214" s="122">
        <f t="shared" si="33"/>
        <v>0</v>
      </c>
      <c r="G214" s="122">
        <f t="shared" si="34"/>
        <v>0.38611062496417881</v>
      </c>
      <c r="H214" s="122">
        <f t="shared" si="35"/>
        <v>5.8112117645459815E-2</v>
      </c>
      <c r="I214" s="122">
        <f t="shared" si="36"/>
        <v>0.38611062496417881</v>
      </c>
      <c r="J214" s="122">
        <f t="shared" si="37"/>
        <v>-5.8112117645459815E-2</v>
      </c>
      <c r="K214" s="122"/>
      <c r="Y214" s="126">
        <f t="shared" si="38"/>
        <v>-0.5</v>
      </c>
    </row>
    <row r="215" spans="2:25" x14ac:dyDescent="0.3">
      <c r="B215" s="122">
        <v>0.38917800143358394</v>
      </c>
      <c r="C215" s="122">
        <f t="shared" si="30"/>
        <v>0</v>
      </c>
      <c r="D215" s="126">
        <f t="shared" si="31"/>
        <v>5.8212072963465346E-2</v>
      </c>
      <c r="E215" s="122">
        <f t="shared" si="32"/>
        <v>0</v>
      </c>
      <c r="F215" s="122">
        <f t="shared" si="33"/>
        <v>0</v>
      </c>
      <c r="G215" s="122">
        <f t="shared" si="34"/>
        <v>0.38917800143358394</v>
      </c>
      <c r="H215" s="122">
        <f t="shared" si="35"/>
        <v>5.8212072963465346E-2</v>
      </c>
      <c r="I215" s="122">
        <f t="shared" si="36"/>
        <v>0.38917800143358394</v>
      </c>
      <c r="J215" s="122">
        <f t="shared" si="37"/>
        <v>-5.8212072963465346E-2</v>
      </c>
      <c r="K215" s="122"/>
      <c r="Y215" s="126">
        <f t="shared" si="38"/>
        <v>-0.5</v>
      </c>
    </row>
    <row r="216" spans="2:25" x14ac:dyDescent="0.3">
      <c r="B216" s="122">
        <v>0.39224977051856891</v>
      </c>
      <c r="C216" s="122">
        <f t="shared" si="30"/>
        <v>0</v>
      </c>
      <c r="D216" s="126">
        <f t="shared" si="31"/>
        <v>5.8309447568514042E-2</v>
      </c>
      <c r="E216" s="122">
        <f t="shared" si="32"/>
        <v>0</v>
      </c>
      <c r="F216" s="122">
        <f t="shared" si="33"/>
        <v>0</v>
      </c>
      <c r="G216" s="122">
        <f t="shared" si="34"/>
        <v>0.39224977051856891</v>
      </c>
      <c r="H216" s="122">
        <f t="shared" si="35"/>
        <v>5.8309447568514042E-2</v>
      </c>
      <c r="I216" s="122">
        <f t="shared" si="36"/>
        <v>0.39224977051856891</v>
      </c>
      <c r="J216" s="122">
        <f t="shared" si="37"/>
        <v>-5.8309447568514042E-2</v>
      </c>
      <c r="K216" s="122"/>
      <c r="Y216" s="126">
        <f t="shared" si="38"/>
        <v>-0.5</v>
      </c>
    </row>
    <row r="217" spans="2:25" x14ac:dyDescent="0.3">
      <c r="B217" s="122">
        <v>0.39532581046441984</v>
      </c>
      <c r="C217" s="122">
        <f t="shared" si="30"/>
        <v>0</v>
      </c>
      <c r="D217" s="126">
        <f t="shared" si="31"/>
        <v>5.8404227927684058E-2</v>
      </c>
      <c r="E217" s="122">
        <f t="shared" si="32"/>
        <v>0</v>
      </c>
      <c r="F217" s="122">
        <f t="shared" si="33"/>
        <v>0</v>
      </c>
      <c r="G217" s="122">
        <f t="shared" si="34"/>
        <v>0.39532581046441984</v>
      </c>
      <c r="H217" s="122">
        <f t="shared" si="35"/>
        <v>5.8404227927684058E-2</v>
      </c>
      <c r="I217" s="122">
        <f t="shared" si="36"/>
        <v>0.39532581046441984</v>
      </c>
      <c r="J217" s="122">
        <f t="shared" si="37"/>
        <v>-5.8404227927684058E-2</v>
      </c>
      <c r="K217" s="122"/>
      <c r="Y217" s="126">
        <f t="shared" si="38"/>
        <v>-0.5</v>
      </c>
    </row>
    <row r="218" spans="2:25" x14ac:dyDescent="0.3">
      <c r="B218" s="122">
        <v>0.39840599934713983</v>
      </c>
      <c r="C218" s="122">
        <f t="shared" si="30"/>
        <v>0</v>
      </c>
      <c r="D218" s="126">
        <f t="shared" si="31"/>
        <v>5.8496400670832234E-2</v>
      </c>
      <c r="E218" s="122">
        <f t="shared" si="32"/>
        <v>0</v>
      </c>
      <c r="F218" s="122">
        <f t="shared" si="33"/>
        <v>0</v>
      </c>
      <c r="G218" s="122">
        <f t="shared" si="34"/>
        <v>0.39840599934713983</v>
      </c>
      <c r="H218" s="122">
        <f t="shared" si="35"/>
        <v>5.8496400670832234E-2</v>
      </c>
      <c r="I218" s="122">
        <f t="shared" si="36"/>
        <v>0.39840599934713983</v>
      </c>
      <c r="J218" s="122">
        <f t="shared" si="37"/>
        <v>-5.8496400670832234E-2</v>
      </c>
      <c r="K218" s="122"/>
      <c r="Y218" s="126">
        <f t="shared" si="38"/>
        <v>-0.5</v>
      </c>
    </row>
    <row r="219" spans="2:25" x14ac:dyDescent="0.3">
      <c r="B219" s="122">
        <v>0.40149021507828209</v>
      </c>
      <c r="C219" s="122">
        <f t="shared" si="30"/>
        <v>0</v>
      </c>
      <c r="D219" s="126">
        <f t="shared" si="31"/>
        <v>5.8585952595928172E-2</v>
      </c>
      <c r="E219" s="122">
        <f t="shared" si="32"/>
        <v>0</v>
      </c>
      <c r="F219" s="122">
        <f t="shared" si="33"/>
        <v>0</v>
      </c>
      <c r="G219" s="122">
        <f t="shared" si="34"/>
        <v>0.40149021507828209</v>
      </c>
      <c r="H219" s="122">
        <f t="shared" si="35"/>
        <v>5.8585952595928172E-2</v>
      </c>
      <c r="I219" s="122">
        <f t="shared" si="36"/>
        <v>0.40149021507828209</v>
      </c>
      <c r="J219" s="122">
        <f t="shared" si="37"/>
        <v>-5.8585952595928172E-2</v>
      </c>
      <c r="K219" s="122"/>
      <c r="Y219" s="126">
        <f t="shared" si="38"/>
        <v>-0.5</v>
      </c>
    </row>
    <row r="220" spans="2:25" x14ac:dyDescent="0.3">
      <c r="B220" s="122">
        <v>0.40457833540978921</v>
      </c>
      <c r="C220" s="122">
        <f t="shared" si="30"/>
        <v>0</v>
      </c>
      <c r="D220" s="126">
        <f t="shared" si="31"/>
        <v>5.867287067439568E-2</v>
      </c>
      <c r="E220" s="122">
        <f t="shared" si="32"/>
        <v>0</v>
      </c>
      <c r="F220" s="122">
        <f t="shared" si="33"/>
        <v>0</v>
      </c>
      <c r="G220" s="122">
        <f t="shared" si="34"/>
        <v>0.40457833540978921</v>
      </c>
      <c r="H220" s="122">
        <f t="shared" si="35"/>
        <v>5.867287067439568E-2</v>
      </c>
      <c r="I220" s="122">
        <f t="shared" si="36"/>
        <v>0.40457833540978921</v>
      </c>
      <c r="J220" s="122">
        <f t="shared" si="37"/>
        <v>-5.867287067439568E-2</v>
      </c>
      <c r="K220" s="122"/>
      <c r="Y220" s="126">
        <f t="shared" si="38"/>
        <v>-0.5</v>
      </c>
    </row>
    <row r="221" spans="2:25" x14ac:dyDescent="0.3">
      <c r="B221" s="122">
        <v>0.40767023793883778</v>
      </c>
      <c r="C221" s="122">
        <f t="shared" si="30"/>
        <v>0</v>
      </c>
      <c r="D221" s="126">
        <f t="shared" si="31"/>
        <v>5.8757142056460251E-2</v>
      </c>
      <c r="E221" s="122">
        <f t="shared" si="32"/>
        <v>0</v>
      </c>
      <c r="F221" s="122">
        <f t="shared" si="33"/>
        <v>0</v>
      </c>
      <c r="G221" s="122">
        <f t="shared" si="34"/>
        <v>0.40767023793883778</v>
      </c>
      <c r="H221" s="122">
        <f t="shared" si="35"/>
        <v>5.8757142056460251E-2</v>
      </c>
      <c r="I221" s="122">
        <f t="shared" si="36"/>
        <v>0.40767023793883778</v>
      </c>
      <c r="J221" s="122">
        <f t="shared" si="37"/>
        <v>-5.8757142056460251E-2</v>
      </c>
      <c r="K221" s="122"/>
      <c r="Y221" s="126">
        <f t="shared" si="38"/>
        <v>-0.5</v>
      </c>
    </row>
    <row r="222" spans="2:25" x14ac:dyDescent="0.3">
      <c r="B222" s="122">
        <v>0.41076580011269126</v>
      </c>
      <c r="C222" s="122">
        <f t="shared" si="30"/>
        <v>0</v>
      </c>
      <c r="D222" s="126">
        <f t="shared" si="31"/>
        <v>5.8838754076500722E-2</v>
      </c>
      <c r="E222" s="122">
        <f t="shared" si="32"/>
        <v>0</v>
      </c>
      <c r="F222" s="122">
        <f t="shared" si="33"/>
        <v>0</v>
      </c>
      <c r="G222" s="122">
        <f t="shared" si="34"/>
        <v>0.41076580011269126</v>
      </c>
      <c r="H222" s="122">
        <f t="shared" si="35"/>
        <v>5.8838754076500722E-2</v>
      </c>
      <c r="I222" s="122">
        <f t="shared" si="36"/>
        <v>0.41076580011269126</v>
      </c>
      <c r="J222" s="122">
        <f t="shared" si="37"/>
        <v>-5.8838754076500722E-2</v>
      </c>
      <c r="K222" s="122"/>
      <c r="Y222" s="126">
        <f t="shared" si="38"/>
        <v>-0.5</v>
      </c>
    </row>
    <row r="223" spans="2:25" x14ac:dyDescent="0.3">
      <c r="B223" s="122">
        <v>0.41386489923355663</v>
      </c>
      <c r="C223" s="122">
        <f t="shared" si="30"/>
        <v>0</v>
      </c>
      <c r="D223" s="126">
        <f t="shared" si="31"/>
        <v>5.8917694258403368E-2</v>
      </c>
      <c r="E223" s="122">
        <f t="shared" si="32"/>
        <v>0</v>
      </c>
      <c r="F223" s="122">
        <f t="shared" si="33"/>
        <v>0</v>
      </c>
      <c r="G223" s="122">
        <f t="shared" si="34"/>
        <v>0.41386489923355663</v>
      </c>
      <c r="H223" s="122">
        <f t="shared" si="35"/>
        <v>5.8917694258403368E-2</v>
      </c>
      <c r="I223" s="122">
        <f t="shared" si="36"/>
        <v>0.41386489923355663</v>
      </c>
      <c r="J223" s="122">
        <f t="shared" si="37"/>
        <v>-5.8917694258403368E-2</v>
      </c>
      <c r="K223" s="122"/>
      <c r="Y223" s="126">
        <f t="shared" si="38"/>
        <v>-0.5</v>
      </c>
    </row>
    <row r="224" spans="2:25" x14ac:dyDescent="0.3">
      <c r="B224" s="122">
        <v>0.41696741246344804</v>
      </c>
      <c r="C224" s="122">
        <f t="shared" si="30"/>
        <v>0</v>
      </c>
      <c r="D224" s="126">
        <f t="shared" si="31"/>
        <v>5.8993950320916588E-2</v>
      </c>
      <c r="E224" s="122">
        <f t="shared" si="32"/>
        <v>0</v>
      </c>
      <c r="F224" s="122">
        <f t="shared" si="33"/>
        <v>0</v>
      </c>
      <c r="G224" s="122">
        <f t="shared" si="34"/>
        <v>0.41696741246344804</v>
      </c>
      <c r="H224" s="122">
        <f t="shared" si="35"/>
        <v>5.8993950320916588E-2</v>
      </c>
      <c r="I224" s="122">
        <f t="shared" si="36"/>
        <v>0.41696741246344804</v>
      </c>
      <c r="J224" s="122">
        <f t="shared" si="37"/>
        <v>-5.8993950320916588E-2</v>
      </c>
      <c r="K224" s="122"/>
      <c r="Y224" s="126">
        <f t="shared" si="38"/>
        <v>-0.5</v>
      </c>
    </row>
    <row r="225" spans="2:25" x14ac:dyDescent="0.3">
      <c r="B225" s="122">
        <v>0.42007321682905585</v>
      </c>
      <c r="C225" s="122">
        <f t="shared" si="30"/>
        <v>0</v>
      </c>
      <c r="D225" s="126">
        <f t="shared" si="31"/>
        <v>5.9067510183004775E-2</v>
      </c>
      <c r="E225" s="122">
        <f t="shared" si="32"/>
        <v>0</v>
      </c>
      <c r="F225" s="122">
        <f t="shared" si="33"/>
        <v>0</v>
      </c>
      <c r="G225" s="122">
        <f t="shared" si="34"/>
        <v>0.42007321682905585</v>
      </c>
      <c r="H225" s="122">
        <f t="shared" si="35"/>
        <v>5.9067510183004775E-2</v>
      </c>
      <c r="I225" s="122">
        <f t="shared" si="36"/>
        <v>0.42007321682905585</v>
      </c>
      <c r="J225" s="122">
        <f t="shared" si="37"/>
        <v>-5.9067510183004775E-2</v>
      </c>
      <c r="K225" s="122"/>
      <c r="Y225" s="126">
        <f t="shared" si="38"/>
        <v>-0.5</v>
      </c>
    </row>
    <row r="226" spans="2:25" x14ac:dyDescent="0.3">
      <c r="B226" s="122">
        <v>0.42318218922662082</v>
      </c>
      <c r="C226" s="122">
        <f t="shared" si="30"/>
        <v>0</v>
      </c>
      <c r="D226" s="126">
        <f t="shared" si="31"/>
        <v>5.9138361969199089E-2</v>
      </c>
      <c r="E226" s="122">
        <f t="shared" si="32"/>
        <v>0</v>
      </c>
      <c r="F226" s="122">
        <f t="shared" si="33"/>
        <v>0</v>
      </c>
      <c r="G226" s="122">
        <f t="shared" si="34"/>
        <v>0.42318218922662082</v>
      </c>
      <c r="H226" s="122">
        <f t="shared" si="35"/>
        <v>5.9138361969199089E-2</v>
      </c>
      <c r="I226" s="122">
        <f t="shared" si="36"/>
        <v>0.42318218922662082</v>
      </c>
      <c r="J226" s="122">
        <f t="shared" si="37"/>
        <v>-5.9138361969199089E-2</v>
      </c>
      <c r="K226" s="122"/>
      <c r="Y226" s="126">
        <f t="shared" si="38"/>
        <v>-0.5</v>
      </c>
    </row>
    <row r="227" spans="2:25" x14ac:dyDescent="0.3">
      <c r="B227" s="122">
        <v>0.42629420642681332</v>
      </c>
      <c r="C227" s="122">
        <f t="shared" si="30"/>
        <v>0</v>
      </c>
      <c r="D227" s="126">
        <f t="shared" si="31"/>
        <v>5.9206494014943822E-2</v>
      </c>
      <c r="E227" s="122">
        <f t="shared" si="32"/>
        <v>0</v>
      </c>
      <c r="F227" s="122">
        <f t="shared" si="33"/>
        <v>0</v>
      </c>
      <c r="G227" s="122">
        <f t="shared" si="34"/>
        <v>0.42629420642681332</v>
      </c>
      <c r="H227" s="122">
        <f t="shared" si="35"/>
        <v>5.9206494014943822E-2</v>
      </c>
      <c r="I227" s="122">
        <f t="shared" si="36"/>
        <v>0.42629420642681332</v>
      </c>
      <c r="J227" s="122">
        <f t="shared" si="37"/>
        <v>-5.9206494014943822E-2</v>
      </c>
      <c r="K227" s="122"/>
      <c r="Y227" s="126">
        <f t="shared" si="38"/>
        <v>-0.5</v>
      </c>
    </row>
    <row r="228" spans="2:25" x14ac:dyDescent="0.3">
      <c r="B228" s="122">
        <v>0.42940914507961764</v>
      </c>
      <c r="C228" s="122">
        <f t="shared" si="30"/>
        <v>0</v>
      </c>
      <c r="D228" s="126">
        <f t="shared" si="31"/>
        <v>5.9271894871936376E-2</v>
      </c>
      <c r="E228" s="122">
        <f t="shared" si="32"/>
        <v>0</v>
      </c>
      <c r="F228" s="122">
        <f t="shared" si="33"/>
        <v>0</v>
      </c>
      <c r="G228" s="122">
        <f t="shared" si="34"/>
        <v>0.42940914507961764</v>
      </c>
      <c r="H228" s="122">
        <f t="shared" si="35"/>
        <v>5.9271894871936376E-2</v>
      </c>
      <c r="I228" s="122">
        <f t="shared" si="36"/>
        <v>0.42940914507961764</v>
      </c>
      <c r="J228" s="122">
        <f t="shared" si="37"/>
        <v>-5.9271894871936376E-2</v>
      </c>
      <c r="K228" s="122"/>
      <c r="Y228" s="126">
        <f t="shared" si="38"/>
        <v>-0.5</v>
      </c>
    </row>
    <row r="229" spans="2:25" x14ac:dyDescent="0.3">
      <c r="B229" s="122">
        <v>0.43252688171922182</v>
      </c>
      <c r="C229" s="122">
        <f t="shared" si="30"/>
        <v>0</v>
      </c>
      <c r="D229" s="126">
        <f t="shared" si="31"/>
        <v>5.9334553313459028E-2</v>
      </c>
      <c r="E229" s="122">
        <f t="shared" si="32"/>
        <v>0</v>
      </c>
      <c r="F229" s="122">
        <f t="shared" si="33"/>
        <v>0</v>
      </c>
      <c r="G229" s="122">
        <f t="shared" si="34"/>
        <v>0.43252688171922182</v>
      </c>
      <c r="H229" s="122">
        <f t="shared" si="35"/>
        <v>5.9334553313459028E-2</v>
      </c>
      <c r="I229" s="122">
        <f t="shared" si="36"/>
        <v>0.43252688171922182</v>
      </c>
      <c r="J229" s="122">
        <f t="shared" si="37"/>
        <v>-5.9334553313459028E-2</v>
      </c>
      <c r="K229" s="122"/>
      <c r="Y229" s="126">
        <f t="shared" si="38"/>
        <v>-0.5</v>
      </c>
    </row>
    <row r="230" spans="2:25" x14ac:dyDescent="0.3">
      <c r="B230" s="122">
        <v>0.43564729276891079</v>
      </c>
      <c r="C230" s="122">
        <f t="shared" si="30"/>
        <v>0</v>
      </c>
      <c r="D230" s="126">
        <f t="shared" si="31"/>
        <v>5.9394458339700737E-2</v>
      </c>
      <c r="E230" s="122">
        <f t="shared" si="32"/>
        <v>0</v>
      </c>
      <c r="F230" s="122">
        <f t="shared" si="33"/>
        <v>0</v>
      </c>
      <c r="G230" s="122">
        <f t="shared" si="34"/>
        <v>0.43564729276891079</v>
      </c>
      <c r="H230" s="122">
        <f t="shared" si="35"/>
        <v>5.9394458339700737E-2</v>
      </c>
      <c r="I230" s="122">
        <f t="shared" si="36"/>
        <v>0.43564729276891079</v>
      </c>
      <c r="J230" s="122">
        <f t="shared" si="37"/>
        <v>-5.9394458339700737E-2</v>
      </c>
      <c r="K230" s="122"/>
      <c r="Y230" s="126">
        <f t="shared" si="38"/>
        <v>-0.5</v>
      </c>
    </row>
    <row r="231" spans="2:25" x14ac:dyDescent="0.3">
      <c r="B231" s="122">
        <v>0.43877025454596486</v>
      </c>
      <c r="C231" s="122">
        <f t="shared" si="30"/>
        <v>0</v>
      </c>
      <c r="D231" s="126">
        <f t="shared" si="31"/>
        <v>5.9451599183067319E-2</v>
      </c>
      <c r="E231" s="122">
        <f t="shared" si="32"/>
        <v>0</v>
      </c>
      <c r="F231" s="122">
        <f t="shared" si="33"/>
        <v>0</v>
      </c>
      <c r="G231" s="122">
        <f t="shared" si="34"/>
        <v>0.43877025454596486</v>
      </c>
      <c r="H231" s="122">
        <f t="shared" si="35"/>
        <v>5.9451599183067319E-2</v>
      </c>
      <c r="I231" s="122">
        <f t="shared" si="36"/>
        <v>0.43877025454596486</v>
      </c>
      <c r="J231" s="122">
        <f t="shared" si="37"/>
        <v>-5.9451599183067319E-2</v>
      </c>
      <c r="K231" s="122"/>
      <c r="Y231" s="126">
        <f t="shared" si="38"/>
        <v>-0.5</v>
      </c>
    </row>
    <row r="232" spans="2:25" x14ac:dyDescent="0.3">
      <c r="B232" s="122">
        <v>0.44189564326656183</v>
      </c>
      <c r="C232" s="122">
        <f t="shared" si="30"/>
        <v>0</v>
      </c>
      <c r="D232" s="126">
        <f t="shared" si="31"/>
        <v>5.9505965313477883E-2</v>
      </c>
      <c r="E232" s="122">
        <f t="shared" si="32"/>
        <v>0</v>
      </c>
      <c r="F232" s="122">
        <f t="shared" si="33"/>
        <v>0</v>
      </c>
      <c r="G232" s="122">
        <f t="shared" si="34"/>
        <v>0.44189564326656183</v>
      </c>
      <c r="H232" s="122">
        <f t="shared" si="35"/>
        <v>5.9505965313477883E-2</v>
      </c>
      <c r="I232" s="122">
        <f t="shared" si="36"/>
        <v>0.44189564326656183</v>
      </c>
      <c r="J232" s="122">
        <f t="shared" si="37"/>
        <v>-5.9505965313477883E-2</v>
      </c>
      <c r="K232" s="122"/>
      <c r="Y232" s="126">
        <f t="shared" si="38"/>
        <v>-0.5</v>
      </c>
    </row>
    <row r="233" spans="2:25" x14ac:dyDescent="0.3">
      <c r="B233" s="122">
        <v>0.44502333505068348</v>
      </c>
      <c r="C233" s="122">
        <f t="shared" si="30"/>
        <v>0</v>
      </c>
      <c r="D233" s="126">
        <f t="shared" si="31"/>
        <v>5.9557546443645935E-2</v>
      </c>
      <c r="E233" s="122">
        <f t="shared" si="32"/>
        <v>0</v>
      </c>
      <c r="F233" s="122">
        <f t="shared" si="33"/>
        <v>0</v>
      </c>
      <c r="G233" s="122">
        <f t="shared" si="34"/>
        <v>0.44502333505068348</v>
      </c>
      <c r="H233" s="122">
        <f t="shared" si="35"/>
        <v>5.9557546443645935E-2</v>
      </c>
      <c r="I233" s="122">
        <f t="shared" si="36"/>
        <v>0.44502333505068348</v>
      </c>
      <c r="J233" s="122">
        <f t="shared" si="37"/>
        <v>-5.9557546443645935E-2</v>
      </c>
      <c r="K233" s="122"/>
      <c r="Y233" s="126">
        <f t="shared" si="38"/>
        <v>-0.5</v>
      </c>
    </row>
    <row r="234" spans="2:25" x14ac:dyDescent="0.3">
      <c r="B234" s="122">
        <v>0.44815320592702612</v>
      </c>
      <c r="C234" s="122">
        <f t="shared" si="30"/>
        <v>0</v>
      </c>
      <c r="D234" s="126">
        <f t="shared" si="31"/>
        <v>5.9606332534343505E-2</v>
      </c>
      <c r="E234" s="122">
        <f t="shared" si="32"/>
        <v>0</v>
      </c>
      <c r="F234" s="122">
        <f t="shared" si="33"/>
        <v>0</v>
      </c>
      <c r="G234" s="122">
        <f t="shared" si="34"/>
        <v>0.44815320592702612</v>
      </c>
      <c r="H234" s="122">
        <f t="shared" si="35"/>
        <v>5.9606332534343505E-2</v>
      </c>
      <c r="I234" s="122">
        <f t="shared" si="36"/>
        <v>0.44815320592702612</v>
      </c>
      <c r="J234" s="122">
        <f t="shared" si="37"/>
        <v>-5.9606332534343505E-2</v>
      </c>
      <c r="K234" s="122"/>
      <c r="Y234" s="126">
        <f t="shared" si="38"/>
        <v>-0.5</v>
      </c>
    </row>
    <row r="235" spans="2:25" x14ac:dyDescent="0.3">
      <c r="B235" s="122">
        <v>0.4512851318379138</v>
      </c>
      <c r="C235" s="122">
        <f t="shared" si="30"/>
        <v>0</v>
      </c>
      <c r="D235" s="126">
        <f t="shared" si="31"/>
        <v>5.9652313799645862E-2</v>
      </c>
      <c r="E235" s="122">
        <f t="shared" si="32"/>
        <v>0</v>
      </c>
      <c r="F235" s="122">
        <f t="shared" si="33"/>
        <v>0</v>
      </c>
      <c r="G235" s="122">
        <f t="shared" si="34"/>
        <v>0.4512851318379138</v>
      </c>
      <c r="H235" s="122">
        <f t="shared" si="35"/>
        <v>5.9652313799645862E-2</v>
      </c>
      <c r="I235" s="122">
        <f t="shared" si="36"/>
        <v>0.4512851318379138</v>
      </c>
      <c r="J235" s="122">
        <f t="shared" si="37"/>
        <v>-5.9652313799645862E-2</v>
      </c>
      <c r="K235" s="122"/>
      <c r="Y235" s="126">
        <f t="shared" si="38"/>
        <v>-0.5</v>
      </c>
    </row>
    <row r="236" spans="2:25" x14ac:dyDescent="0.3">
      <c r="B236" s="122">
        <v>0.45441898864421604</v>
      </c>
      <c r="C236" s="122">
        <f t="shared" si="30"/>
        <v>0</v>
      </c>
      <c r="D236" s="126">
        <f t="shared" si="31"/>
        <v>5.9695480712155767E-2</v>
      </c>
      <c r="E236" s="122">
        <f t="shared" si="32"/>
        <v>0</v>
      </c>
      <c r="F236" s="122">
        <f t="shared" si="33"/>
        <v>0</v>
      </c>
      <c r="G236" s="122">
        <f t="shared" si="34"/>
        <v>0.45441898864421604</v>
      </c>
      <c r="H236" s="122">
        <f t="shared" si="35"/>
        <v>5.9695480712155767E-2</v>
      </c>
      <c r="I236" s="122">
        <f t="shared" si="36"/>
        <v>0.45441898864421604</v>
      </c>
      <c r="J236" s="122">
        <f t="shared" si="37"/>
        <v>-5.9695480712155767E-2</v>
      </c>
      <c r="K236" s="122"/>
      <c r="Y236" s="126">
        <f t="shared" si="38"/>
        <v>-0.5</v>
      </c>
    </row>
    <row r="237" spans="2:25" x14ac:dyDescent="0.3">
      <c r="B237" s="122">
        <v>0.45755465213026802</v>
      </c>
      <c r="C237" s="122">
        <f t="shared" si="30"/>
        <v>0</v>
      </c>
      <c r="D237" s="126">
        <f t="shared" si="31"/>
        <v>5.9735824008204708E-2</v>
      </c>
      <c r="E237" s="122">
        <f t="shared" si="32"/>
        <v>0</v>
      </c>
      <c r="F237" s="122">
        <f t="shared" si="33"/>
        <v>0</v>
      </c>
      <c r="G237" s="122">
        <f t="shared" si="34"/>
        <v>0.45755465213026802</v>
      </c>
      <c r="H237" s="122">
        <f t="shared" si="35"/>
        <v>5.9735824008204708E-2</v>
      </c>
      <c r="I237" s="122">
        <f t="shared" si="36"/>
        <v>0.45755465213026802</v>
      </c>
      <c r="J237" s="122">
        <f t="shared" si="37"/>
        <v>-5.9735824008204708E-2</v>
      </c>
      <c r="K237" s="122"/>
      <c r="Y237" s="126">
        <f t="shared" si="38"/>
        <v>-0.5</v>
      </c>
    </row>
    <row r="238" spans="2:25" x14ac:dyDescent="0.3">
      <c r="B238" s="122">
        <v>0.46069199800879396</v>
      </c>
      <c r="C238" s="122">
        <f t="shared" si="30"/>
        <v>0</v>
      </c>
      <c r="D238" s="126">
        <f t="shared" si="31"/>
        <v>5.9773334693030054E-2</v>
      </c>
      <c r="E238" s="122">
        <f t="shared" si="32"/>
        <v>0</v>
      </c>
      <c r="F238" s="122">
        <f t="shared" si="33"/>
        <v>0</v>
      </c>
      <c r="G238" s="122">
        <f t="shared" si="34"/>
        <v>0.46069199800879396</v>
      </c>
      <c r="H238" s="122">
        <f t="shared" si="35"/>
        <v>5.9773334693030054E-2</v>
      </c>
      <c r="I238" s="122">
        <f t="shared" si="36"/>
        <v>0.46069199800879396</v>
      </c>
      <c r="J238" s="122">
        <f t="shared" si="37"/>
        <v>-5.9773334693030054E-2</v>
      </c>
      <c r="K238" s="122"/>
      <c r="Y238" s="126">
        <f t="shared" si="38"/>
        <v>-0.5</v>
      </c>
    </row>
    <row r="239" spans="2:25" x14ac:dyDescent="0.3">
      <c r="B239" s="122">
        <v>0.46383090192583382</v>
      </c>
      <c r="C239" s="122">
        <f t="shared" si="30"/>
        <v>0</v>
      </c>
      <c r="D239" s="126">
        <f t="shared" si="31"/>
        <v>5.9808004045925386E-2</v>
      </c>
      <c r="E239" s="122">
        <f t="shared" si="32"/>
        <v>0</v>
      </c>
      <c r="F239" s="122">
        <f t="shared" si="33"/>
        <v>0</v>
      </c>
      <c r="G239" s="122">
        <f t="shared" si="34"/>
        <v>0.46383090192583382</v>
      </c>
      <c r="H239" s="122">
        <f t="shared" si="35"/>
        <v>5.9808004045925386E-2</v>
      </c>
      <c r="I239" s="122">
        <f t="shared" si="36"/>
        <v>0.46383090192583382</v>
      </c>
      <c r="J239" s="122">
        <f t="shared" si="37"/>
        <v>-5.9808004045925386E-2</v>
      </c>
      <c r="K239" s="122"/>
      <c r="Y239" s="126">
        <f t="shared" si="38"/>
        <v>-0.5</v>
      </c>
    </row>
    <row r="240" spans="2:25" x14ac:dyDescent="0.3">
      <c r="B240" s="122">
        <v>0.46697123946567209</v>
      </c>
      <c r="C240" s="122">
        <f t="shared" si="30"/>
        <v>0</v>
      </c>
      <c r="D240" s="126">
        <f t="shared" si="31"/>
        <v>5.9839823625363067E-2</v>
      </c>
      <c r="E240" s="122">
        <f t="shared" si="32"/>
        <v>0</v>
      </c>
      <c r="F240" s="122">
        <f t="shared" si="33"/>
        <v>0</v>
      </c>
      <c r="G240" s="122">
        <f t="shared" si="34"/>
        <v>0.46697123946567209</v>
      </c>
      <c r="H240" s="122">
        <f t="shared" si="35"/>
        <v>5.9839823625363067E-2</v>
      </c>
      <c r="I240" s="122">
        <f t="shared" si="36"/>
        <v>0.46697123946567209</v>
      </c>
      <c r="J240" s="122">
        <f t="shared" si="37"/>
        <v>-5.9839823625363067E-2</v>
      </c>
      <c r="K240" s="122"/>
      <c r="Y240" s="126">
        <f t="shared" si="38"/>
        <v>-0.5</v>
      </c>
    </row>
    <row r="241" spans="2:25" x14ac:dyDescent="0.3">
      <c r="B241" s="122">
        <v>0.47011288615576918</v>
      </c>
      <c r="C241" s="122">
        <f t="shared" si="30"/>
        <v>0</v>
      </c>
      <c r="D241" s="126">
        <f t="shared" si="31"/>
        <v>5.9868785274086574E-2</v>
      </c>
      <c r="E241" s="122">
        <f t="shared" si="32"/>
        <v>0</v>
      </c>
      <c r="F241" s="122">
        <f t="shared" si="33"/>
        <v>0</v>
      </c>
      <c r="G241" s="122">
        <f t="shared" si="34"/>
        <v>0.47011288615576918</v>
      </c>
      <c r="H241" s="122">
        <f t="shared" si="35"/>
        <v>5.9868785274086574E-2</v>
      </c>
      <c r="I241" s="122">
        <f t="shared" si="36"/>
        <v>0.47011288615576918</v>
      </c>
      <c r="J241" s="122">
        <f t="shared" si="37"/>
        <v>-5.9868785274086574E-2</v>
      </c>
      <c r="K241" s="122"/>
      <c r="Y241" s="126">
        <f t="shared" si="38"/>
        <v>-0.5</v>
      </c>
    </row>
    <row r="242" spans="2:25" x14ac:dyDescent="0.3">
      <c r="B242" s="122">
        <v>0.47325571747169526</v>
      </c>
      <c r="C242" s="122">
        <f t="shared" si="30"/>
        <v>0</v>
      </c>
      <c r="D242" s="126">
        <f t="shared" si="31"/>
        <v>5.9894881124171059E-2</v>
      </c>
      <c r="E242" s="122">
        <f t="shared" si="32"/>
        <v>0</v>
      </c>
      <c r="F242" s="122">
        <f t="shared" si="33"/>
        <v>0</v>
      </c>
      <c r="G242" s="122">
        <f t="shared" si="34"/>
        <v>0.47325571747169526</v>
      </c>
      <c r="H242" s="122">
        <f t="shared" si="35"/>
        <v>5.9894881124171059E-2</v>
      </c>
      <c r="I242" s="122">
        <f t="shared" si="36"/>
        <v>0.47325571747169526</v>
      </c>
      <c r="J242" s="122">
        <f t="shared" si="37"/>
        <v>-5.9894881124171059E-2</v>
      </c>
      <c r="K242" s="122"/>
      <c r="Y242" s="126">
        <f t="shared" si="38"/>
        <v>-0.5</v>
      </c>
    </row>
    <row r="243" spans="2:25" x14ac:dyDescent="0.3">
      <c r="B243" s="122">
        <v>0.47639960884206567</v>
      </c>
      <c r="C243" s="122">
        <f t="shared" si="30"/>
        <v>0</v>
      </c>
      <c r="D243" s="126">
        <f t="shared" si="31"/>
        <v>5.9918103602050243E-2</v>
      </c>
      <c r="E243" s="122">
        <f t="shared" si="32"/>
        <v>0</v>
      </c>
      <c r="F243" s="122">
        <f t="shared" si="33"/>
        <v>0</v>
      </c>
      <c r="G243" s="122">
        <f t="shared" si="34"/>
        <v>0.47639960884206567</v>
      </c>
      <c r="H243" s="122">
        <f t="shared" si="35"/>
        <v>5.9918103602050243E-2</v>
      </c>
      <c r="I243" s="122">
        <f t="shared" si="36"/>
        <v>0.47639960884206567</v>
      </c>
      <c r="J243" s="122">
        <f t="shared" si="37"/>
        <v>-5.9918103602050243E-2</v>
      </c>
      <c r="K243" s="122"/>
      <c r="Y243" s="126">
        <f t="shared" si="38"/>
        <v>-0.5</v>
      </c>
    </row>
    <row r="244" spans="2:25" x14ac:dyDescent="0.3">
      <c r="B244" s="122">
        <v>0.4795444356534786</v>
      </c>
      <c r="C244" s="122">
        <f t="shared" si="30"/>
        <v>0</v>
      </c>
      <c r="D244" s="126">
        <f t="shared" si="31"/>
        <v>5.9938445433507855E-2</v>
      </c>
      <c r="E244" s="122">
        <f t="shared" si="32"/>
        <v>0</v>
      </c>
      <c r="F244" s="122">
        <f t="shared" si="33"/>
        <v>0</v>
      </c>
      <c r="G244" s="122">
        <f t="shared" si="34"/>
        <v>0.4795444356534786</v>
      </c>
      <c r="H244" s="122">
        <f t="shared" si="35"/>
        <v>5.9938445433507855E-2</v>
      </c>
      <c r="I244" s="122">
        <f t="shared" si="36"/>
        <v>0.4795444356534786</v>
      </c>
      <c r="J244" s="122">
        <f t="shared" si="37"/>
        <v>-5.9938445433507855E-2</v>
      </c>
      <c r="K244" s="122"/>
      <c r="Y244" s="126">
        <f t="shared" si="38"/>
        <v>-0.5</v>
      </c>
    </row>
    <row r="245" spans="2:25" x14ac:dyDescent="0.3">
      <c r="B245" s="122">
        <v>0.48269007325545488</v>
      </c>
      <c r="C245" s="122">
        <f t="shared" si="30"/>
        <v>0</v>
      </c>
      <c r="D245" s="126">
        <f t="shared" si="31"/>
        <v>5.9955899648631711E-2</v>
      </c>
      <c r="E245" s="122">
        <f t="shared" si="32"/>
        <v>0</v>
      </c>
      <c r="F245" s="122">
        <f t="shared" si="33"/>
        <v>0</v>
      </c>
      <c r="G245" s="122">
        <f t="shared" si="34"/>
        <v>0.48269007325545488</v>
      </c>
      <c r="H245" s="122">
        <f t="shared" si="35"/>
        <v>5.9955899648631711E-2</v>
      </c>
      <c r="I245" s="122">
        <f t="shared" si="36"/>
        <v>0.48269007325545488</v>
      </c>
      <c r="J245" s="122">
        <f t="shared" si="37"/>
        <v>-5.9955899648631711E-2</v>
      </c>
      <c r="K245" s="122"/>
      <c r="Y245" s="126">
        <f t="shared" si="38"/>
        <v>-0.5</v>
      </c>
    </row>
    <row r="246" spans="2:25" x14ac:dyDescent="0.3">
      <c r="B246" s="122">
        <v>0.48583639696537795</v>
      </c>
      <c r="C246" s="122">
        <f t="shared" si="30"/>
        <v>0</v>
      </c>
      <c r="D246" s="126">
        <f t="shared" si="31"/>
        <v>5.9970459586728531E-2</v>
      </c>
      <c r="E246" s="122">
        <f t="shared" si="32"/>
        <v>0</v>
      </c>
      <c r="F246" s="122">
        <f t="shared" si="33"/>
        <v>0</v>
      </c>
      <c r="G246" s="122">
        <f t="shared" si="34"/>
        <v>0.48583639696537795</v>
      </c>
      <c r="H246" s="122">
        <f t="shared" si="35"/>
        <v>5.9970459586728531E-2</v>
      </c>
      <c r="I246" s="122">
        <f t="shared" si="36"/>
        <v>0.48583639696537795</v>
      </c>
      <c r="J246" s="122">
        <f t="shared" si="37"/>
        <v>-5.9970459586728531E-2</v>
      </c>
      <c r="K246" s="122"/>
      <c r="Y246" s="126">
        <f t="shared" si="38"/>
        <v>-0.5</v>
      </c>
    </row>
    <row r="247" spans="2:25" x14ac:dyDescent="0.3">
      <c r="B247" s="122">
        <v>0.4889832820734365</v>
      </c>
      <c r="C247" s="122">
        <f t="shared" si="30"/>
        <v>0</v>
      </c>
      <c r="D247" s="126">
        <f t="shared" si="31"/>
        <v>5.9982118901197895E-2</v>
      </c>
      <c r="E247" s="122">
        <f t="shared" si="32"/>
        <v>0</v>
      </c>
      <c r="F247" s="122">
        <f t="shared" si="33"/>
        <v>0</v>
      </c>
      <c r="G247" s="122">
        <f t="shared" si="34"/>
        <v>0.4889832820734365</v>
      </c>
      <c r="H247" s="122">
        <f t="shared" si="35"/>
        <v>5.9982118901197895E-2</v>
      </c>
      <c r="I247" s="122">
        <f t="shared" si="36"/>
        <v>0.4889832820734365</v>
      </c>
      <c r="J247" s="122">
        <f t="shared" si="37"/>
        <v>-5.9982118901197895E-2</v>
      </c>
      <c r="K247" s="122"/>
      <c r="Y247" s="126">
        <f t="shared" si="38"/>
        <v>-0.5</v>
      </c>
    </row>
    <row r="248" spans="2:25" x14ac:dyDescent="0.3">
      <c r="B248" s="122">
        <v>0.49213060384756707</v>
      </c>
      <c r="C248" s="122">
        <f t="shared" si="30"/>
        <v>0</v>
      </c>
      <c r="D248" s="126">
        <f t="shared" si="31"/>
        <v>5.999087156436346E-2</v>
      </c>
      <c r="E248" s="122">
        <f t="shared" si="32"/>
        <v>0</v>
      </c>
      <c r="F248" s="122">
        <f t="shared" si="33"/>
        <v>0</v>
      </c>
      <c r="G248" s="122">
        <f t="shared" si="34"/>
        <v>0.49213060384756707</v>
      </c>
      <c r="H248" s="122">
        <f t="shared" si="35"/>
        <v>5.999087156436346E-2</v>
      </c>
      <c r="I248" s="122">
        <f t="shared" si="36"/>
        <v>0.49213060384756707</v>
      </c>
      <c r="J248" s="122">
        <f t="shared" si="37"/>
        <v>-5.999087156436346E-2</v>
      </c>
      <c r="K248" s="122"/>
      <c r="Y248" s="126">
        <f t="shared" si="38"/>
        <v>-0.5</v>
      </c>
    </row>
    <row r="249" spans="2:25" x14ac:dyDescent="0.3">
      <c r="B249" s="122">
        <v>0.49527823753839817</v>
      </c>
      <c r="C249" s="122">
        <f t="shared" si="30"/>
        <v>0</v>
      </c>
      <c r="D249" s="126">
        <f t="shared" si="31"/>
        <v>5.9996711872259467E-2</v>
      </c>
      <c r="E249" s="122">
        <f t="shared" si="32"/>
        <v>0</v>
      </c>
      <c r="F249" s="122">
        <f t="shared" si="33"/>
        <v>0</v>
      </c>
      <c r="G249" s="122">
        <f t="shared" si="34"/>
        <v>0.49527823753839817</v>
      </c>
      <c r="H249" s="122">
        <f t="shared" si="35"/>
        <v>5.9996711872259467E-2</v>
      </c>
      <c r="I249" s="122">
        <f t="shared" si="36"/>
        <v>0.49527823753839817</v>
      </c>
      <c r="J249" s="122">
        <f t="shared" si="37"/>
        <v>-5.9996711872259467E-2</v>
      </c>
      <c r="K249" s="122"/>
      <c r="Y249" s="126">
        <f t="shared" si="38"/>
        <v>-0.5</v>
      </c>
    </row>
    <row r="250" spans="2:25" x14ac:dyDescent="0.3">
      <c r="B250" s="122">
        <v>0.49842605838419507</v>
      </c>
      <c r="C250" s="122">
        <f t="shared" si="30"/>
        <v>0</v>
      </c>
      <c r="D250" s="126">
        <f t="shared" si="31"/>
        <v>5.9999634449370717E-2</v>
      </c>
      <c r="E250" s="122">
        <f t="shared" si="32"/>
        <v>0</v>
      </c>
      <c r="F250" s="122">
        <f t="shared" si="33"/>
        <v>0</v>
      </c>
      <c r="G250" s="122">
        <f t="shared" si="34"/>
        <v>0.49842605838419507</v>
      </c>
      <c r="H250" s="122">
        <f t="shared" si="35"/>
        <v>5.9999634449370717E-2</v>
      </c>
      <c r="I250" s="122">
        <f t="shared" si="36"/>
        <v>0.49842605838419507</v>
      </c>
      <c r="J250" s="122">
        <f t="shared" si="37"/>
        <v>-5.9999634449370717E-2</v>
      </c>
      <c r="K250" s="122"/>
      <c r="Y250" s="126">
        <f t="shared" si="38"/>
        <v>-0.5</v>
      </c>
    </row>
    <row r="251" spans="2:25" x14ac:dyDescent="0.3">
      <c r="B251" s="122">
        <v>0.50157394161580482</v>
      </c>
      <c r="C251" s="122">
        <f t="shared" si="30"/>
        <v>0</v>
      </c>
      <c r="D251" s="126">
        <f t="shared" si="31"/>
        <v>5.9999633668545195E-2</v>
      </c>
      <c r="E251" s="122">
        <f t="shared" si="32"/>
        <v>0</v>
      </c>
      <c r="F251" s="122">
        <f t="shared" si="33"/>
        <v>0</v>
      </c>
      <c r="G251" s="122">
        <f t="shared" si="34"/>
        <v>0.50157394161580482</v>
      </c>
      <c r="H251" s="122">
        <f t="shared" si="35"/>
        <v>5.9999633668545195E-2</v>
      </c>
      <c r="I251" s="122">
        <f t="shared" si="36"/>
        <v>0.50157394161580482</v>
      </c>
      <c r="J251" s="122">
        <f t="shared" si="37"/>
        <v>-5.9999633668545195E-2</v>
      </c>
      <c r="K251" s="122"/>
      <c r="Y251" s="126">
        <f t="shared" si="38"/>
        <v>-0.5</v>
      </c>
    </row>
    <row r="252" spans="2:25" x14ac:dyDescent="0.3">
      <c r="B252" s="122">
        <v>0.50472176246160183</v>
      </c>
      <c r="C252" s="122">
        <f t="shared" si="30"/>
        <v>0</v>
      </c>
      <c r="D252" s="126">
        <f t="shared" si="31"/>
        <v>5.9996690808351724E-2</v>
      </c>
      <c r="E252" s="122">
        <f t="shared" si="32"/>
        <v>0</v>
      </c>
      <c r="F252" s="122">
        <f t="shared" si="33"/>
        <v>0</v>
      </c>
      <c r="G252" s="122">
        <f t="shared" si="34"/>
        <v>0.50472176246160183</v>
      </c>
      <c r="H252" s="122">
        <f t="shared" si="35"/>
        <v>5.9996690808351724E-2</v>
      </c>
      <c r="I252" s="122">
        <f t="shared" si="36"/>
        <v>0.50472176246160183</v>
      </c>
      <c r="J252" s="122">
        <f t="shared" si="37"/>
        <v>-5.9996690808351724E-2</v>
      </c>
      <c r="K252" s="122"/>
      <c r="Y252" s="126">
        <f t="shared" si="38"/>
        <v>-0.5</v>
      </c>
    </row>
    <row r="253" spans="2:25" x14ac:dyDescent="0.3">
      <c r="B253" s="122">
        <v>0.50786939615243298</v>
      </c>
      <c r="C253" s="122">
        <f t="shared" si="30"/>
        <v>0</v>
      </c>
      <c r="D253" s="126">
        <f t="shared" si="31"/>
        <v>5.999077413595133E-2</v>
      </c>
      <c r="E253" s="122">
        <f t="shared" si="32"/>
        <v>0</v>
      </c>
      <c r="F253" s="122">
        <f t="shared" si="33"/>
        <v>0</v>
      </c>
      <c r="G253" s="122">
        <f t="shared" si="34"/>
        <v>0.50786939615243298</v>
      </c>
      <c r="H253" s="122">
        <f t="shared" si="35"/>
        <v>5.999077413595133E-2</v>
      </c>
      <c r="I253" s="122">
        <f t="shared" si="36"/>
        <v>0.50786939615243298</v>
      </c>
      <c r="J253" s="122">
        <f t="shared" si="37"/>
        <v>-5.999077413595133E-2</v>
      </c>
      <c r="K253" s="122"/>
      <c r="Y253" s="126">
        <f t="shared" si="38"/>
        <v>-0.5</v>
      </c>
    </row>
    <row r="254" spans="2:25" x14ac:dyDescent="0.3">
      <c r="B254" s="122">
        <v>0.51101671792656345</v>
      </c>
      <c r="C254" s="122">
        <f t="shared" si="30"/>
        <v>0</v>
      </c>
      <c r="D254" s="126">
        <f t="shared" si="31"/>
        <v>5.998185181625959E-2</v>
      </c>
      <c r="E254" s="122">
        <f t="shared" si="32"/>
        <v>0</v>
      </c>
      <c r="F254" s="122">
        <f t="shared" si="33"/>
        <v>0</v>
      </c>
      <c r="G254" s="122">
        <f t="shared" si="34"/>
        <v>0.51101671792656345</v>
      </c>
      <c r="H254" s="122">
        <f t="shared" si="35"/>
        <v>5.998185181625959E-2</v>
      </c>
      <c r="I254" s="122">
        <f t="shared" si="36"/>
        <v>0.51101671792656345</v>
      </c>
      <c r="J254" s="122">
        <f t="shared" si="37"/>
        <v>-5.998185181625959E-2</v>
      </c>
      <c r="K254" s="122"/>
      <c r="Y254" s="126">
        <f t="shared" si="38"/>
        <v>-0.5</v>
      </c>
    </row>
    <row r="255" spans="2:25" x14ac:dyDescent="0.3">
      <c r="B255" s="122">
        <v>0.51416360303462194</v>
      </c>
      <c r="C255" s="122">
        <f t="shared" si="30"/>
        <v>0</v>
      </c>
      <c r="D255" s="126">
        <f t="shared" si="31"/>
        <v>5.99698925102101E-2</v>
      </c>
      <c r="E255" s="122">
        <f t="shared" si="32"/>
        <v>0</v>
      </c>
      <c r="F255" s="122">
        <f t="shared" si="33"/>
        <v>0</v>
      </c>
      <c r="G255" s="122">
        <f t="shared" si="34"/>
        <v>0.51416360303462194</v>
      </c>
      <c r="H255" s="122">
        <f t="shared" si="35"/>
        <v>5.99698925102101E-2</v>
      </c>
      <c r="I255" s="122">
        <f t="shared" si="36"/>
        <v>0.51416360303462194</v>
      </c>
      <c r="J255" s="122">
        <f t="shared" si="37"/>
        <v>-5.99698925102101E-2</v>
      </c>
      <c r="K255" s="122"/>
      <c r="Y255" s="126">
        <f t="shared" si="38"/>
        <v>-0.5</v>
      </c>
    </row>
    <row r="256" spans="2:25" x14ac:dyDescent="0.3">
      <c r="B256" s="122">
        <v>0.51730992674454512</v>
      </c>
      <c r="C256" s="122">
        <f t="shared" si="30"/>
        <v>0</v>
      </c>
      <c r="D256" s="126">
        <f t="shared" si="31"/>
        <v>5.9954865387508903E-2</v>
      </c>
      <c r="E256" s="122">
        <f t="shared" si="32"/>
        <v>0</v>
      </c>
      <c r="F256" s="122">
        <f t="shared" si="33"/>
        <v>0</v>
      </c>
      <c r="G256" s="122">
        <f t="shared" si="34"/>
        <v>0.51730992674454512</v>
      </c>
      <c r="H256" s="122">
        <f t="shared" si="35"/>
        <v>5.9954865387508903E-2</v>
      </c>
      <c r="I256" s="122">
        <f t="shared" si="36"/>
        <v>0.51730992674454512</v>
      </c>
      <c r="J256" s="122">
        <f t="shared" si="37"/>
        <v>-5.9954865387508903E-2</v>
      </c>
      <c r="K256" s="122"/>
      <c r="Y256" s="126">
        <f t="shared" si="38"/>
        <v>-0.5</v>
      </c>
    </row>
    <row r="257" spans="2:25" x14ac:dyDescent="0.3">
      <c r="B257" s="122">
        <v>0.52045556434652129</v>
      </c>
      <c r="C257" s="122">
        <f t="shared" ref="C257:C320" si="39">IF($A$1=0, 0, IF(B257&lt;=$A$2, ($A$1/$A$2^2)*(2*$A$2*B257-B257^2), ($A$1/(1-$A$2)^2)*((1-2*$A$2)+2*$A$2*B257-B257^2)))</f>
        <v>0</v>
      </c>
      <c r="D257" s="126">
        <f t="shared" ref="D257:D320" si="40">IF(B257&lt;$N$1, ($A$3/0.2)*($O$1*SQRT(B257)+$P$1*B257+$Q$1*(B257^2)+$R$1*(B257^3)), ($A$3/0.2)*($S$1+$T$1*(1-B257)+$U$1*((1-B257)^2)+$V$1*((1-B257)^3)))</f>
        <v>5.9936740139298832E-2</v>
      </c>
      <c r="E257" s="122">
        <f t="shared" ref="E257:E320" si="41">IF($A$1=0, 0, IF(B257&lt;=$A$2, ($A$1/$A$2^2) *(2*$A$2-2*B257), ($A$1/(1-$A$2)^2)*(2*$A$2-2*B257)))</f>
        <v>0</v>
      </c>
      <c r="F257" s="122">
        <f t="shared" ref="F257:F320" si="42">IF($A$1=0, 0,  ATAN(E257))</f>
        <v>0</v>
      </c>
      <c r="G257" s="122">
        <f t="shared" ref="G257:G320" si="43">B257-D257*SIN(F257)</f>
        <v>0.52045556434652129</v>
      </c>
      <c r="H257" s="122">
        <f t="shared" ref="H257:H320" si="44">C257+D257*COS(F257)</f>
        <v>5.9936740139298832E-2</v>
      </c>
      <c r="I257" s="122">
        <f t="shared" ref="I257:I320" si="45">B257+D257*SIN(F257)</f>
        <v>0.52045556434652129</v>
      </c>
      <c r="J257" s="122">
        <f t="shared" ref="J257:J320" si="46">C257-D257*COS(F257)</f>
        <v>-5.9936740139298832E-2</v>
      </c>
      <c r="K257" s="122"/>
      <c r="Y257" s="126">
        <f t="shared" si="38"/>
        <v>-0.5</v>
      </c>
    </row>
    <row r="258" spans="2:25" x14ac:dyDescent="0.3">
      <c r="B258" s="122">
        <v>0.52360039115793444</v>
      </c>
      <c r="C258" s="122">
        <f t="shared" si="39"/>
        <v>0</v>
      </c>
      <c r="D258" s="126">
        <f t="shared" si="40"/>
        <v>5.9915486990729669E-2</v>
      </c>
      <c r="E258" s="122">
        <f t="shared" si="41"/>
        <v>0</v>
      </c>
      <c r="F258" s="122">
        <f t="shared" si="42"/>
        <v>0</v>
      </c>
      <c r="G258" s="122">
        <f t="shared" si="43"/>
        <v>0.52360039115793444</v>
      </c>
      <c r="H258" s="122">
        <f t="shared" si="44"/>
        <v>5.9915486990729669E-2</v>
      </c>
      <c r="I258" s="122">
        <f t="shared" si="45"/>
        <v>0.52360039115793444</v>
      </c>
      <c r="J258" s="122">
        <f t="shared" si="46"/>
        <v>-5.9915486990729669E-2</v>
      </c>
      <c r="K258" s="122"/>
      <c r="Y258" s="126">
        <f t="shared" ref="Y258:Y321" si="47">IF($Z$1, C258, -0.5)</f>
        <v>-0.5</v>
      </c>
    </row>
    <row r="259" spans="2:25" x14ac:dyDescent="0.3">
      <c r="B259" s="122">
        <v>0.52674428252830463</v>
      </c>
      <c r="C259" s="122">
        <f t="shared" si="39"/>
        <v>0</v>
      </c>
      <c r="D259" s="126">
        <f t="shared" si="40"/>
        <v>5.989107671342906E-2</v>
      </c>
      <c r="E259" s="122">
        <f t="shared" si="41"/>
        <v>0</v>
      </c>
      <c r="F259" s="122">
        <f t="shared" si="42"/>
        <v>0</v>
      </c>
      <c r="G259" s="122">
        <f t="shared" si="43"/>
        <v>0.52674428252830463</v>
      </c>
      <c r="H259" s="122">
        <f t="shared" si="44"/>
        <v>5.989107671342906E-2</v>
      </c>
      <c r="I259" s="122">
        <f t="shared" si="45"/>
        <v>0.52674428252830463</v>
      </c>
      <c r="J259" s="122">
        <f t="shared" si="46"/>
        <v>-5.989107671342906E-2</v>
      </c>
      <c r="K259" s="122"/>
      <c r="Y259" s="126">
        <f t="shared" si="47"/>
        <v>-0.5</v>
      </c>
    </row>
    <row r="260" spans="2:25" x14ac:dyDescent="0.3">
      <c r="B260" s="122">
        <v>0.5298871138442306</v>
      </c>
      <c r="C260" s="122">
        <f t="shared" si="39"/>
        <v>0</v>
      </c>
      <c r="D260" s="126">
        <f t="shared" si="40"/>
        <v>5.9863480637869823E-2</v>
      </c>
      <c r="E260" s="122">
        <f t="shared" si="41"/>
        <v>0</v>
      </c>
      <c r="F260" s="122">
        <f t="shared" si="42"/>
        <v>0</v>
      </c>
      <c r="G260" s="122">
        <f t="shared" si="43"/>
        <v>0.5298871138442306</v>
      </c>
      <c r="H260" s="122">
        <f t="shared" si="44"/>
        <v>5.9863480637869823E-2</v>
      </c>
      <c r="I260" s="122">
        <f t="shared" si="45"/>
        <v>0.5298871138442306</v>
      </c>
      <c r="J260" s="122">
        <f t="shared" si="46"/>
        <v>-5.9863480637869823E-2</v>
      </c>
      <c r="K260" s="122"/>
      <c r="Y260" s="126">
        <f t="shared" si="47"/>
        <v>-0.5</v>
      </c>
    </row>
    <row r="261" spans="2:25" x14ac:dyDescent="0.3">
      <c r="B261" s="122">
        <v>0.53302876053432768</v>
      </c>
      <c r="C261" s="122">
        <f t="shared" si="39"/>
        <v>0</v>
      </c>
      <c r="D261" s="126">
        <f t="shared" si="40"/>
        <v>5.9832670665628918E-2</v>
      </c>
      <c r="E261" s="122">
        <f t="shared" si="41"/>
        <v>0</v>
      </c>
      <c r="F261" s="122">
        <f t="shared" si="42"/>
        <v>0</v>
      </c>
      <c r="G261" s="122">
        <f t="shared" si="43"/>
        <v>0.53302876053432768</v>
      </c>
      <c r="H261" s="122">
        <f t="shared" si="44"/>
        <v>5.9832670665628918E-2</v>
      </c>
      <c r="I261" s="122">
        <f t="shared" si="45"/>
        <v>0.53302876053432768</v>
      </c>
      <c r="J261" s="122">
        <f t="shared" si="46"/>
        <v>-5.9832670665628918E-2</v>
      </c>
      <c r="K261" s="122"/>
      <c r="Y261" s="126">
        <f t="shared" si="47"/>
        <v>-0.5</v>
      </c>
    </row>
    <row r="262" spans="2:25" x14ac:dyDescent="0.3">
      <c r="B262" s="122">
        <v>0.53616909807416602</v>
      </c>
      <c r="C262" s="122">
        <f t="shared" si="39"/>
        <v>0</v>
      </c>
      <c r="D262" s="126">
        <f t="shared" si="40"/>
        <v>5.979861928153371E-2</v>
      </c>
      <c r="E262" s="122">
        <f t="shared" si="41"/>
        <v>0</v>
      </c>
      <c r="F262" s="122">
        <f t="shared" si="42"/>
        <v>0</v>
      </c>
      <c r="G262" s="122">
        <f t="shared" si="43"/>
        <v>0.53616909807416602</v>
      </c>
      <c r="H262" s="122">
        <f t="shared" si="44"/>
        <v>5.979861928153371E-2</v>
      </c>
      <c r="I262" s="122">
        <f t="shared" si="45"/>
        <v>0.53616909807416602</v>
      </c>
      <c r="J262" s="122">
        <f t="shared" si="46"/>
        <v>-5.979861928153371E-2</v>
      </c>
      <c r="K262" s="122"/>
      <c r="Y262" s="126">
        <f t="shared" si="47"/>
        <v>-0.5</v>
      </c>
    </row>
    <row r="263" spans="2:25" x14ac:dyDescent="0.3">
      <c r="B263" s="122">
        <v>0.5393080019912061</v>
      </c>
      <c r="C263" s="122">
        <f t="shared" si="39"/>
        <v>0</v>
      </c>
      <c r="D263" s="126">
        <f t="shared" si="40"/>
        <v>5.9761299565691095E-2</v>
      </c>
      <c r="E263" s="122">
        <f t="shared" si="41"/>
        <v>0</v>
      </c>
      <c r="F263" s="122">
        <f t="shared" si="42"/>
        <v>0</v>
      </c>
      <c r="G263" s="122">
        <f t="shared" si="43"/>
        <v>0.5393080019912061</v>
      </c>
      <c r="H263" s="122">
        <f t="shared" si="44"/>
        <v>5.9761299565691095E-2</v>
      </c>
      <c r="I263" s="122">
        <f t="shared" si="45"/>
        <v>0.5393080019912061</v>
      </c>
      <c r="J263" s="122">
        <f t="shared" si="46"/>
        <v>-5.9761299565691095E-2</v>
      </c>
      <c r="K263" s="122"/>
      <c r="Y263" s="126">
        <f t="shared" si="47"/>
        <v>-0.5</v>
      </c>
    </row>
    <row r="264" spans="2:25" x14ac:dyDescent="0.3">
      <c r="B264" s="122">
        <v>0.54244534786973198</v>
      </c>
      <c r="C264" s="122">
        <f t="shared" si="39"/>
        <v>0</v>
      </c>
      <c r="D264" s="126">
        <f t="shared" si="40"/>
        <v>5.9720685205394378E-2</v>
      </c>
      <c r="E264" s="122">
        <f t="shared" si="41"/>
        <v>0</v>
      </c>
      <c r="F264" s="122">
        <f t="shared" si="42"/>
        <v>0</v>
      </c>
      <c r="G264" s="122">
        <f t="shared" si="43"/>
        <v>0.54244534786973198</v>
      </c>
      <c r="H264" s="122">
        <f t="shared" si="44"/>
        <v>5.9720685205394378E-2</v>
      </c>
      <c r="I264" s="122">
        <f t="shared" si="45"/>
        <v>0.54244534786973198</v>
      </c>
      <c r="J264" s="122">
        <f t="shared" si="46"/>
        <v>-5.9720685205394378E-2</v>
      </c>
      <c r="K264" s="122"/>
      <c r="Y264" s="126">
        <f t="shared" si="47"/>
        <v>-0.5</v>
      </c>
    </row>
    <row r="265" spans="2:25" x14ac:dyDescent="0.3">
      <c r="B265" s="122">
        <v>0.54558101135578396</v>
      </c>
      <c r="C265" s="122">
        <f t="shared" si="39"/>
        <v>0</v>
      </c>
      <c r="D265" s="126">
        <f t="shared" si="40"/>
        <v>5.9676750506904484E-2</v>
      </c>
      <c r="E265" s="122">
        <f t="shared" si="41"/>
        <v>0</v>
      </c>
      <c r="F265" s="122">
        <f t="shared" si="42"/>
        <v>0</v>
      </c>
      <c r="G265" s="122">
        <f t="shared" si="43"/>
        <v>0.54558101135578396</v>
      </c>
      <c r="H265" s="122">
        <f t="shared" si="44"/>
        <v>5.9676750506904484E-2</v>
      </c>
      <c r="I265" s="122">
        <f t="shared" si="45"/>
        <v>0.54558101135578396</v>
      </c>
      <c r="J265" s="122">
        <f t="shared" si="46"/>
        <v>-5.9676750506904484E-2</v>
      </c>
      <c r="K265" s="122"/>
      <c r="Y265" s="126">
        <f t="shared" si="47"/>
        <v>-0.5</v>
      </c>
    </row>
    <row r="266" spans="2:25" x14ac:dyDescent="0.3">
      <c r="B266" s="122">
        <v>0.54871486816208614</v>
      </c>
      <c r="C266" s="122">
        <f t="shared" si="39"/>
        <v>0</v>
      </c>
      <c r="D266" s="126">
        <f t="shared" si="40"/>
        <v>5.9629470407100031E-2</v>
      </c>
      <c r="E266" s="122">
        <f t="shared" si="41"/>
        <v>0</v>
      </c>
      <c r="F266" s="122">
        <f t="shared" si="42"/>
        <v>0</v>
      </c>
      <c r="G266" s="122">
        <f t="shared" si="43"/>
        <v>0.54871486816208614</v>
      </c>
      <c r="H266" s="122">
        <f t="shared" si="44"/>
        <v>5.9629470407100031E-2</v>
      </c>
      <c r="I266" s="122">
        <f t="shared" si="45"/>
        <v>0.54871486816208614</v>
      </c>
      <c r="J266" s="122">
        <f t="shared" si="46"/>
        <v>-5.9629470407100031E-2</v>
      </c>
      <c r="K266" s="122"/>
      <c r="Y266" s="126">
        <f t="shared" si="47"/>
        <v>-0.5</v>
      </c>
    </row>
    <row r="267" spans="2:25" x14ac:dyDescent="0.3">
      <c r="B267" s="122">
        <v>0.55184679407297388</v>
      </c>
      <c r="C267" s="122">
        <f t="shared" si="39"/>
        <v>0</v>
      </c>
      <c r="D267" s="126">
        <f t="shared" si="40"/>
        <v>5.9578820484992634E-2</v>
      </c>
      <c r="E267" s="122">
        <f t="shared" si="41"/>
        <v>0</v>
      </c>
      <c r="F267" s="122">
        <f t="shared" si="42"/>
        <v>0</v>
      </c>
      <c r="G267" s="122">
        <f t="shared" si="43"/>
        <v>0.55184679407297388</v>
      </c>
      <c r="H267" s="122">
        <f t="shared" si="44"/>
        <v>5.9578820484992634E-2</v>
      </c>
      <c r="I267" s="122">
        <f t="shared" si="45"/>
        <v>0.55184679407297388</v>
      </c>
      <c r="J267" s="122">
        <f t="shared" si="46"/>
        <v>-5.9578820484992634E-2</v>
      </c>
      <c r="K267" s="122"/>
      <c r="Y267" s="126">
        <f t="shared" si="47"/>
        <v>-0.5</v>
      </c>
    </row>
    <row r="268" spans="2:25" x14ac:dyDescent="0.3">
      <c r="B268" s="122">
        <v>0.55497666494931641</v>
      </c>
      <c r="C268" s="122">
        <f t="shared" si="39"/>
        <v>0</v>
      </c>
      <c r="D268" s="126">
        <f t="shared" si="40"/>
        <v>5.9524776973102683E-2</v>
      </c>
      <c r="E268" s="122">
        <f t="shared" si="41"/>
        <v>0</v>
      </c>
      <c r="F268" s="122">
        <f t="shared" si="42"/>
        <v>0</v>
      </c>
      <c r="G268" s="122">
        <f t="shared" si="43"/>
        <v>0.55497666494931641</v>
      </c>
      <c r="H268" s="122">
        <f t="shared" si="44"/>
        <v>5.9524776973102683E-2</v>
      </c>
      <c r="I268" s="122">
        <f t="shared" si="45"/>
        <v>0.55497666494931641</v>
      </c>
      <c r="J268" s="122">
        <f t="shared" si="46"/>
        <v>-5.9524776973102683E-2</v>
      </c>
      <c r="K268" s="122"/>
      <c r="Y268" s="126">
        <f t="shared" si="47"/>
        <v>-0.5</v>
      </c>
    </row>
    <row r="269" spans="2:25" x14ac:dyDescent="0.3">
      <c r="B269" s="122">
        <v>0.55810435673343828</v>
      </c>
      <c r="C269" s="122">
        <f t="shared" si="39"/>
        <v>0</v>
      </c>
      <c r="D269" s="126">
        <f t="shared" si="40"/>
        <v>5.9467316768691249E-2</v>
      </c>
      <c r="E269" s="122">
        <f t="shared" si="41"/>
        <v>0</v>
      </c>
      <c r="F269" s="122">
        <f t="shared" si="42"/>
        <v>0</v>
      </c>
      <c r="G269" s="122">
        <f t="shared" si="43"/>
        <v>0.55810435673343828</v>
      </c>
      <c r="H269" s="122">
        <f t="shared" si="44"/>
        <v>5.9467316768691249E-2</v>
      </c>
      <c r="I269" s="122">
        <f t="shared" si="45"/>
        <v>0.55810435673343828</v>
      </c>
      <c r="J269" s="122">
        <f t="shared" si="46"/>
        <v>-5.9467316768691249E-2</v>
      </c>
      <c r="K269" s="122"/>
      <c r="Y269" s="126">
        <f t="shared" si="47"/>
        <v>-0.5</v>
      </c>
    </row>
    <row r="270" spans="2:25" x14ac:dyDescent="0.3">
      <c r="B270" s="122">
        <v>0.56122974545403514</v>
      </c>
      <c r="C270" s="122">
        <f t="shared" si="39"/>
        <v>0</v>
      </c>
      <c r="D270" s="126">
        <f t="shared" si="40"/>
        <v>5.940641744484422E-2</v>
      </c>
      <c r="E270" s="122">
        <f t="shared" si="41"/>
        <v>0</v>
      </c>
      <c r="F270" s="122">
        <f t="shared" si="42"/>
        <v>0</v>
      </c>
      <c r="G270" s="122">
        <f t="shared" si="43"/>
        <v>0.56122974545403514</v>
      </c>
      <c r="H270" s="122">
        <f t="shared" si="44"/>
        <v>5.940641744484422E-2</v>
      </c>
      <c r="I270" s="122">
        <f t="shared" si="45"/>
        <v>0.56122974545403514</v>
      </c>
      <c r="J270" s="122">
        <f t="shared" si="46"/>
        <v>-5.940641744484422E-2</v>
      </c>
      <c r="K270" s="122"/>
      <c r="Y270" s="126">
        <f t="shared" si="47"/>
        <v>-0.5</v>
      </c>
    </row>
    <row r="271" spans="2:25" x14ac:dyDescent="0.3">
      <c r="B271" s="122">
        <v>0.5643527072310891</v>
      </c>
      <c r="C271" s="122">
        <f t="shared" si="39"/>
        <v>0</v>
      </c>
      <c r="D271" s="126">
        <f t="shared" si="40"/>
        <v>5.9342057261403833E-2</v>
      </c>
      <c r="E271" s="122">
        <f t="shared" si="41"/>
        <v>0</v>
      </c>
      <c r="F271" s="122">
        <f t="shared" si="42"/>
        <v>0</v>
      </c>
      <c r="G271" s="122">
        <f t="shared" si="43"/>
        <v>0.5643527072310891</v>
      </c>
      <c r="H271" s="122">
        <f t="shared" si="44"/>
        <v>5.9342057261403833E-2</v>
      </c>
      <c r="I271" s="122">
        <f t="shared" si="45"/>
        <v>0.5643527072310891</v>
      </c>
      <c r="J271" s="122">
        <f t="shared" si="46"/>
        <v>-5.9342057261403833E-2</v>
      </c>
      <c r="K271" s="122"/>
      <c r="Y271" s="126">
        <f t="shared" si="47"/>
        <v>-0.5</v>
      </c>
    </row>
    <row r="272" spans="2:25" x14ac:dyDescent="0.3">
      <c r="B272" s="122">
        <v>0.56747311828077796</v>
      </c>
      <c r="C272" s="122">
        <f t="shared" si="39"/>
        <v>0</v>
      </c>
      <c r="D272" s="126">
        <f t="shared" si="40"/>
        <v>5.9274215175743883E-2</v>
      </c>
      <c r="E272" s="122">
        <f t="shared" si="41"/>
        <v>0</v>
      </c>
      <c r="F272" s="122">
        <f t="shared" si="42"/>
        <v>0</v>
      </c>
      <c r="G272" s="122">
        <f t="shared" si="43"/>
        <v>0.56747311828077796</v>
      </c>
      <c r="H272" s="122">
        <f t="shared" si="44"/>
        <v>5.9274215175743883E-2</v>
      </c>
      <c r="I272" s="122">
        <f t="shared" si="45"/>
        <v>0.56747311828077796</v>
      </c>
      <c r="J272" s="122">
        <f t="shared" si="46"/>
        <v>-5.9274215175743883E-2</v>
      </c>
      <c r="K272" s="122"/>
      <c r="Y272" s="126">
        <f t="shared" si="47"/>
        <v>-0.5</v>
      </c>
    </row>
    <row r="273" spans="2:25" x14ac:dyDescent="0.3">
      <c r="B273" s="122">
        <v>0.57059085492038231</v>
      </c>
      <c r="C273" s="122">
        <f t="shared" si="39"/>
        <v>0</v>
      </c>
      <c r="D273" s="126">
        <f t="shared" si="40"/>
        <v>5.9202870853384305E-2</v>
      </c>
      <c r="E273" s="122">
        <f t="shared" si="41"/>
        <v>0</v>
      </c>
      <c r="F273" s="122">
        <f t="shared" si="42"/>
        <v>0</v>
      </c>
      <c r="G273" s="122">
        <f t="shared" si="43"/>
        <v>0.57059085492038231</v>
      </c>
      <c r="H273" s="122">
        <f t="shared" si="44"/>
        <v>5.9202870853384305E-2</v>
      </c>
      <c r="I273" s="122">
        <f t="shared" si="45"/>
        <v>0.57059085492038231</v>
      </c>
      <c r="J273" s="122">
        <f t="shared" si="46"/>
        <v>-5.9202870853384305E-2</v>
      </c>
      <c r="K273" s="122"/>
      <c r="Y273" s="126">
        <f t="shared" si="47"/>
        <v>-0.5</v>
      </c>
    </row>
    <row r="274" spans="2:25" x14ac:dyDescent="0.3">
      <c r="B274" s="122">
        <v>0.57370579357318674</v>
      </c>
      <c r="C274" s="122">
        <f t="shared" si="39"/>
        <v>0</v>
      </c>
      <c r="D274" s="126">
        <f t="shared" si="40"/>
        <v>5.9128004678440746E-2</v>
      </c>
      <c r="E274" s="122">
        <f t="shared" si="41"/>
        <v>0</v>
      </c>
      <c r="F274" s="122">
        <f t="shared" si="42"/>
        <v>0</v>
      </c>
      <c r="G274" s="122">
        <f t="shared" si="43"/>
        <v>0.57370579357318674</v>
      </c>
      <c r="H274" s="122">
        <f t="shared" si="44"/>
        <v>5.9128004678440746E-2</v>
      </c>
      <c r="I274" s="122">
        <f t="shared" si="45"/>
        <v>0.57370579357318674</v>
      </c>
      <c r="J274" s="122">
        <f t="shared" si="46"/>
        <v>-5.9128004678440746E-2</v>
      </c>
      <c r="K274" s="122"/>
      <c r="Y274" s="126">
        <f t="shared" si="47"/>
        <v>-0.5</v>
      </c>
    </row>
    <row r="275" spans="2:25" x14ac:dyDescent="0.3">
      <c r="B275" s="122">
        <v>0.57681781077337912</v>
      </c>
      <c r="C275" s="122">
        <f t="shared" si="39"/>
        <v>0</v>
      </c>
      <c r="D275" s="126">
        <f t="shared" si="40"/>
        <v>5.9049597763905476E-2</v>
      </c>
      <c r="E275" s="122">
        <f t="shared" si="41"/>
        <v>0</v>
      </c>
      <c r="F275" s="122">
        <f t="shared" si="42"/>
        <v>0</v>
      </c>
      <c r="G275" s="122">
        <f t="shared" si="43"/>
        <v>0.57681781077337912</v>
      </c>
      <c r="H275" s="122">
        <f t="shared" si="44"/>
        <v>5.9049597763905476E-2</v>
      </c>
      <c r="I275" s="122">
        <f t="shared" si="45"/>
        <v>0.57681781077337912</v>
      </c>
      <c r="J275" s="122">
        <f t="shared" si="46"/>
        <v>-5.9049597763905476E-2</v>
      </c>
      <c r="K275" s="122"/>
      <c r="Y275" s="126">
        <f t="shared" si="47"/>
        <v>-0.5</v>
      </c>
    </row>
    <row r="276" spans="2:25" x14ac:dyDescent="0.3">
      <c r="B276" s="122">
        <v>0.57992678317094404</v>
      </c>
      <c r="C276" s="122">
        <f t="shared" si="39"/>
        <v>0</v>
      </c>
      <c r="D276" s="126">
        <f t="shared" si="40"/>
        <v>5.896763196175521E-2</v>
      </c>
      <c r="E276" s="122">
        <f t="shared" si="41"/>
        <v>0</v>
      </c>
      <c r="F276" s="122">
        <f t="shared" si="42"/>
        <v>0</v>
      </c>
      <c r="G276" s="122">
        <f t="shared" si="43"/>
        <v>0.57992678317094404</v>
      </c>
      <c r="H276" s="122">
        <f t="shared" si="44"/>
        <v>5.896763196175521E-2</v>
      </c>
      <c r="I276" s="122">
        <f t="shared" si="45"/>
        <v>0.57992678317094404</v>
      </c>
      <c r="J276" s="122">
        <f t="shared" si="46"/>
        <v>-5.896763196175521E-2</v>
      </c>
      <c r="K276" s="122"/>
      <c r="Y276" s="126">
        <f t="shared" si="47"/>
        <v>-0.5</v>
      </c>
    </row>
    <row r="277" spans="2:25" x14ac:dyDescent="0.3">
      <c r="B277" s="122">
        <v>0.58303258753655196</v>
      </c>
      <c r="C277" s="122">
        <f t="shared" si="39"/>
        <v>0</v>
      </c>
      <c r="D277" s="126">
        <f t="shared" si="40"/>
        <v>5.8882089872882216E-2</v>
      </c>
      <c r="E277" s="122">
        <f t="shared" si="41"/>
        <v>0</v>
      </c>
      <c r="F277" s="122">
        <f t="shared" si="42"/>
        <v>0</v>
      </c>
      <c r="G277" s="122">
        <f t="shared" si="43"/>
        <v>0.58303258753655196</v>
      </c>
      <c r="H277" s="122">
        <f t="shared" si="44"/>
        <v>5.8882089872882216E-2</v>
      </c>
      <c r="I277" s="122">
        <f t="shared" si="45"/>
        <v>0.58303258753655196</v>
      </c>
      <c r="J277" s="122">
        <f t="shared" si="46"/>
        <v>-5.8882089872882216E-2</v>
      </c>
      <c r="K277" s="122"/>
      <c r="Y277" s="126">
        <f t="shared" si="47"/>
        <v>-0.5</v>
      </c>
    </row>
    <row r="278" spans="2:25" x14ac:dyDescent="0.3">
      <c r="B278" s="122">
        <v>0.58613510076644337</v>
      </c>
      <c r="C278" s="122">
        <f t="shared" si="39"/>
        <v>0</v>
      </c>
      <c r="D278" s="126">
        <f t="shared" si="40"/>
        <v>5.8792954856844298E-2</v>
      </c>
      <c r="E278" s="122">
        <f t="shared" si="41"/>
        <v>0</v>
      </c>
      <c r="F278" s="122">
        <f t="shared" si="42"/>
        <v>0</v>
      </c>
      <c r="G278" s="122">
        <f t="shared" si="43"/>
        <v>0.58613510076644337</v>
      </c>
      <c r="H278" s="122">
        <f t="shared" si="44"/>
        <v>5.8792954856844298E-2</v>
      </c>
      <c r="I278" s="122">
        <f t="shared" si="45"/>
        <v>0.58613510076644337</v>
      </c>
      <c r="J278" s="122">
        <f t="shared" si="46"/>
        <v>-5.8792954856844298E-2</v>
      </c>
      <c r="K278" s="122"/>
      <c r="Y278" s="126">
        <f t="shared" si="47"/>
        <v>-0.5</v>
      </c>
    </row>
    <row r="279" spans="2:25" x14ac:dyDescent="0.3">
      <c r="B279" s="122">
        <v>0.58923419988730874</v>
      </c>
      <c r="C279" s="122">
        <f t="shared" si="39"/>
        <v>0</v>
      </c>
      <c r="D279" s="126">
        <f t="shared" si="40"/>
        <v>5.8700211041430403E-2</v>
      </c>
      <c r="E279" s="122">
        <f t="shared" si="41"/>
        <v>0</v>
      </c>
      <c r="F279" s="122">
        <f t="shared" si="42"/>
        <v>0</v>
      </c>
      <c r="G279" s="122">
        <f t="shared" si="43"/>
        <v>0.58923419988730874</v>
      </c>
      <c r="H279" s="122">
        <f t="shared" si="44"/>
        <v>5.8700211041430403E-2</v>
      </c>
      <c r="I279" s="122">
        <f t="shared" si="45"/>
        <v>0.58923419988730874</v>
      </c>
      <c r="J279" s="122">
        <f t="shared" si="46"/>
        <v>-5.8700211041430403E-2</v>
      </c>
      <c r="K279" s="122"/>
      <c r="Y279" s="126">
        <f t="shared" si="47"/>
        <v>-0.5</v>
      </c>
    </row>
    <row r="280" spans="2:25" x14ac:dyDescent="0.3">
      <c r="B280" s="122">
        <v>0.59232976206116217</v>
      </c>
      <c r="C280" s="122">
        <f t="shared" si="39"/>
        <v>0</v>
      </c>
      <c r="D280" s="126">
        <f t="shared" si="40"/>
        <v>5.8603843332037317E-2</v>
      </c>
      <c r="E280" s="122">
        <f t="shared" si="41"/>
        <v>0</v>
      </c>
      <c r="F280" s="122">
        <f t="shared" si="42"/>
        <v>0</v>
      </c>
      <c r="G280" s="122">
        <f t="shared" si="43"/>
        <v>0.59232976206116217</v>
      </c>
      <c r="H280" s="122">
        <f t="shared" si="44"/>
        <v>5.8603843332037317E-2</v>
      </c>
      <c r="I280" s="122">
        <f t="shared" si="45"/>
        <v>0.59232976206116217</v>
      </c>
      <c r="J280" s="122">
        <f t="shared" si="46"/>
        <v>-5.8603843332037317E-2</v>
      </c>
      <c r="K280" s="122"/>
      <c r="Y280" s="126">
        <f t="shared" si="47"/>
        <v>-0.5</v>
      </c>
    </row>
    <row r="281" spans="2:25" x14ac:dyDescent="0.3">
      <c r="B281" s="122">
        <v>0.59542166459021073</v>
      </c>
      <c r="C281" s="122">
        <f t="shared" si="39"/>
        <v>0</v>
      </c>
      <c r="D281" s="126">
        <f t="shared" si="40"/>
        <v>5.8503837420854347E-2</v>
      </c>
      <c r="E281" s="122">
        <f t="shared" si="41"/>
        <v>0</v>
      </c>
      <c r="F281" s="122">
        <f t="shared" si="42"/>
        <v>0</v>
      </c>
      <c r="G281" s="122">
        <f t="shared" si="43"/>
        <v>0.59542166459021073</v>
      </c>
      <c r="H281" s="122">
        <f t="shared" si="44"/>
        <v>5.8503837420854347E-2</v>
      </c>
      <c r="I281" s="122">
        <f t="shared" si="45"/>
        <v>0.59542166459021073</v>
      </c>
      <c r="J281" s="122">
        <f t="shared" si="46"/>
        <v>-5.8503837420854347E-2</v>
      </c>
      <c r="K281" s="122"/>
      <c r="Y281" s="126">
        <f t="shared" si="47"/>
        <v>-0.5</v>
      </c>
    </row>
    <row r="282" spans="2:25" x14ac:dyDescent="0.3">
      <c r="B282" s="122">
        <v>0.59850978492171769</v>
      </c>
      <c r="C282" s="122">
        <f t="shared" si="39"/>
        <v>0</v>
      </c>
      <c r="D282" s="126">
        <f t="shared" si="40"/>
        <v>5.8400179795851569E-2</v>
      </c>
      <c r="E282" s="122">
        <f t="shared" si="41"/>
        <v>0</v>
      </c>
      <c r="F282" s="122">
        <f t="shared" si="42"/>
        <v>0</v>
      </c>
      <c r="G282" s="122">
        <f t="shared" si="43"/>
        <v>0.59850978492171769</v>
      </c>
      <c r="H282" s="122">
        <f t="shared" si="44"/>
        <v>5.8400179795851569E-2</v>
      </c>
      <c r="I282" s="122">
        <f t="shared" si="45"/>
        <v>0.59850978492171769</v>
      </c>
      <c r="J282" s="122">
        <f t="shared" si="46"/>
        <v>-5.8400179795851569E-2</v>
      </c>
      <c r="K282" s="122"/>
      <c r="Y282" s="126">
        <f t="shared" si="47"/>
        <v>-0.5</v>
      </c>
    </row>
    <row r="283" spans="2:25" x14ac:dyDescent="0.3">
      <c r="B283" s="122">
        <v>0.60159400065285995</v>
      </c>
      <c r="C283" s="122">
        <f t="shared" si="39"/>
        <v>0</v>
      </c>
      <c r="D283" s="126">
        <f t="shared" si="40"/>
        <v>5.8292857749568702E-2</v>
      </c>
      <c r="E283" s="122">
        <f t="shared" si="41"/>
        <v>0</v>
      </c>
      <c r="F283" s="122">
        <f t="shared" si="42"/>
        <v>0</v>
      </c>
      <c r="G283" s="122">
        <f t="shared" si="43"/>
        <v>0.60159400065285995</v>
      </c>
      <c r="H283" s="122">
        <f t="shared" si="44"/>
        <v>5.8292857749568702E-2</v>
      </c>
      <c r="I283" s="122">
        <f t="shared" si="45"/>
        <v>0.60159400065285995</v>
      </c>
      <c r="J283" s="122">
        <f t="shared" si="46"/>
        <v>-5.8292857749568702E-2</v>
      </c>
      <c r="K283" s="122"/>
      <c r="Y283" s="126">
        <f t="shared" si="47"/>
        <v>-0.5</v>
      </c>
    </row>
    <row r="284" spans="2:25" x14ac:dyDescent="0.3">
      <c r="B284" s="122">
        <v>0.60467418953558016</v>
      </c>
      <c r="C284" s="122">
        <f t="shared" si="39"/>
        <v>0</v>
      </c>
      <c r="D284" s="126">
        <f t="shared" si="40"/>
        <v>5.8181859387700346E-2</v>
      </c>
      <c r="E284" s="122">
        <f t="shared" si="41"/>
        <v>0</v>
      </c>
      <c r="F284" s="122">
        <f t="shared" si="42"/>
        <v>0</v>
      </c>
      <c r="G284" s="122">
        <f t="shared" si="43"/>
        <v>0.60467418953558016</v>
      </c>
      <c r="H284" s="122">
        <f t="shared" si="44"/>
        <v>5.8181859387700346E-2</v>
      </c>
      <c r="I284" s="122">
        <f t="shared" si="45"/>
        <v>0.60467418953558016</v>
      </c>
      <c r="J284" s="122">
        <f t="shared" si="46"/>
        <v>-5.8181859387700346E-2</v>
      </c>
      <c r="K284" s="122"/>
      <c r="Y284" s="126">
        <f t="shared" si="47"/>
        <v>-0.5</v>
      </c>
    </row>
    <row r="285" spans="2:25" x14ac:dyDescent="0.3">
      <c r="B285" s="122">
        <v>0.60775022948143098</v>
      </c>
      <c r="C285" s="122">
        <f t="shared" si="39"/>
        <v>0</v>
      </c>
      <c r="D285" s="126">
        <f t="shared" si="40"/>
        <v>5.8067173637474503E-2</v>
      </c>
      <c r="E285" s="122">
        <f t="shared" si="41"/>
        <v>0</v>
      </c>
      <c r="F285" s="122">
        <f t="shared" si="42"/>
        <v>0</v>
      </c>
      <c r="G285" s="122">
        <f t="shared" si="43"/>
        <v>0.60775022948143098</v>
      </c>
      <c r="H285" s="122">
        <f t="shared" si="44"/>
        <v>5.8067173637474503E-2</v>
      </c>
      <c r="I285" s="122">
        <f t="shared" si="45"/>
        <v>0.60775022948143098</v>
      </c>
      <c r="J285" s="122">
        <f t="shared" si="46"/>
        <v>-5.8067173637474503E-2</v>
      </c>
      <c r="K285" s="122"/>
      <c r="Y285" s="126">
        <f t="shared" si="47"/>
        <v>-0.5</v>
      </c>
    </row>
    <row r="286" spans="2:25" x14ac:dyDescent="0.3">
      <c r="B286" s="122">
        <v>0.61082199856641595</v>
      </c>
      <c r="C286" s="122">
        <f t="shared" si="39"/>
        <v>0</v>
      </c>
      <c r="D286" s="126">
        <f t="shared" si="40"/>
        <v>5.7948790255820476E-2</v>
      </c>
      <c r="E286" s="122">
        <f t="shared" si="41"/>
        <v>0</v>
      </c>
      <c r="F286" s="122">
        <f t="shared" si="42"/>
        <v>0</v>
      </c>
      <c r="G286" s="122">
        <f t="shared" si="43"/>
        <v>0.61082199856641595</v>
      </c>
      <c r="H286" s="122">
        <f t="shared" si="44"/>
        <v>5.7948790255820476E-2</v>
      </c>
      <c r="I286" s="122">
        <f t="shared" si="45"/>
        <v>0.61082199856641595</v>
      </c>
      <c r="J286" s="122">
        <f t="shared" si="46"/>
        <v>-5.7948790255820476E-2</v>
      </c>
      <c r="K286" s="122"/>
      <c r="Y286" s="126">
        <f t="shared" si="47"/>
        <v>-0.5</v>
      </c>
    </row>
    <row r="287" spans="2:25" x14ac:dyDescent="0.3">
      <c r="B287" s="122">
        <v>0.61388937503582108</v>
      </c>
      <c r="C287" s="122">
        <f t="shared" si="39"/>
        <v>0</v>
      </c>
      <c r="D287" s="126">
        <f t="shared" si="40"/>
        <v>5.7826699837323206E-2</v>
      </c>
      <c r="E287" s="122">
        <f t="shared" si="41"/>
        <v>0</v>
      </c>
      <c r="F287" s="122">
        <f t="shared" si="42"/>
        <v>0</v>
      </c>
      <c r="G287" s="122">
        <f t="shared" si="43"/>
        <v>0.61388937503582108</v>
      </c>
      <c r="H287" s="122">
        <f t="shared" si="44"/>
        <v>5.7826699837323206E-2</v>
      </c>
      <c r="I287" s="122">
        <f t="shared" si="45"/>
        <v>0.61388937503582108</v>
      </c>
      <c r="J287" s="122">
        <f t="shared" si="46"/>
        <v>-5.7826699837323206E-2</v>
      </c>
      <c r="K287" s="122"/>
      <c r="Y287" s="126">
        <f t="shared" si="47"/>
        <v>-0.5</v>
      </c>
    </row>
    <row r="288" spans="2:25" x14ac:dyDescent="0.3">
      <c r="B288" s="122">
        <v>0.61695223730904103</v>
      </c>
      <c r="C288" s="122">
        <f t="shared" si="39"/>
        <v>0</v>
      </c>
      <c r="D288" s="126">
        <f t="shared" si="40"/>
        <v>5.7700893821960211E-2</v>
      </c>
      <c r="E288" s="122">
        <f t="shared" si="41"/>
        <v>0</v>
      </c>
      <c r="F288" s="122">
        <f t="shared" si="42"/>
        <v>0</v>
      </c>
      <c r="G288" s="122">
        <f t="shared" si="43"/>
        <v>0.61695223730904103</v>
      </c>
      <c r="H288" s="122">
        <f t="shared" si="44"/>
        <v>5.7700893821960211E-2</v>
      </c>
      <c r="I288" s="122">
        <f t="shared" si="45"/>
        <v>0.61695223730904103</v>
      </c>
      <c r="J288" s="122">
        <f t="shared" si="46"/>
        <v>-5.7700893821960211E-2</v>
      </c>
      <c r="K288" s="122"/>
      <c r="Y288" s="126">
        <f t="shared" si="47"/>
        <v>-0.5</v>
      </c>
    </row>
    <row r="289" spans="2:25" x14ac:dyDescent="0.3">
      <c r="B289" s="122">
        <v>0.6200104639843983</v>
      </c>
      <c r="C289" s="122">
        <f t="shared" si="39"/>
        <v>0</v>
      </c>
      <c r="D289" s="126">
        <f t="shared" si="40"/>
        <v>5.7571364502618079E-2</v>
      </c>
      <c r="E289" s="122">
        <f t="shared" si="41"/>
        <v>0</v>
      </c>
      <c r="F289" s="122">
        <f t="shared" si="42"/>
        <v>0</v>
      </c>
      <c r="G289" s="122">
        <f t="shared" si="43"/>
        <v>0.6200104639843983</v>
      </c>
      <c r="H289" s="122">
        <f t="shared" si="44"/>
        <v>5.7571364502618079E-2</v>
      </c>
      <c r="I289" s="122">
        <f t="shared" si="45"/>
        <v>0.6200104639843983</v>
      </c>
      <c r="J289" s="122">
        <f t="shared" si="46"/>
        <v>-5.7571364502618079E-2</v>
      </c>
      <c r="K289" s="122"/>
      <c r="Y289" s="126">
        <f t="shared" si="47"/>
        <v>-0.5</v>
      </c>
    </row>
    <row r="290" spans="2:25" x14ac:dyDescent="0.3">
      <c r="B290" s="122">
        <v>0.62306393384395475</v>
      </c>
      <c r="C290" s="122">
        <f t="shared" si="39"/>
        <v>0</v>
      </c>
      <c r="D290" s="126">
        <f t="shared" si="40"/>
        <v>5.7438105032385278E-2</v>
      </c>
      <c r="E290" s="122">
        <f t="shared" si="41"/>
        <v>0</v>
      </c>
      <c r="F290" s="122">
        <f t="shared" si="42"/>
        <v>0</v>
      </c>
      <c r="G290" s="122">
        <f t="shared" si="43"/>
        <v>0.62306393384395475</v>
      </c>
      <c r="H290" s="122">
        <f t="shared" si="44"/>
        <v>5.7438105032385278E-2</v>
      </c>
      <c r="I290" s="122">
        <f t="shared" si="45"/>
        <v>0.62306393384395475</v>
      </c>
      <c r="J290" s="122">
        <f t="shared" si="46"/>
        <v>-5.7438105032385278E-2</v>
      </c>
      <c r="K290" s="122"/>
      <c r="Y290" s="126">
        <f t="shared" si="47"/>
        <v>-0.5</v>
      </c>
    </row>
    <row r="291" spans="2:25" x14ac:dyDescent="0.3">
      <c r="B291" s="122">
        <v>0.626112525858317</v>
      </c>
      <c r="C291" s="122">
        <f t="shared" si="39"/>
        <v>0</v>
      </c>
      <c r="D291" s="126">
        <f t="shared" si="40"/>
        <v>5.7301109431617848E-2</v>
      </c>
      <c r="E291" s="122">
        <f t="shared" si="41"/>
        <v>0</v>
      </c>
      <c r="F291" s="122">
        <f t="shared" si="42"/>
        <v>0</v>
      </c>
      <c r="G291" s="122">
        <f t="shared" si="43"/>
        <v>0.626112525858317</v>
      </c>
      <c r="H291" s="122">
        <f t="shared" si="44"/>
        <v>5.7301109431617848E-2</v>
      </c>
      <c r="I291" s="122">
        <f t="shared" si="45"/>
        <v>0.626112525858317</v>
      </c>
      <c r="J291" s="122">
        <f t="shared" si="46"/>
        <v>-5.7301109431617848E-2</v>
      </c>
      <c r="K291" s="122"/>
      <c r="Y291" s="126">
        <f t="shared" si="47"/>
        <v>-0.5</v>
      </c>
    </row>
    <row r="292" spans="2:25" x14ac:dyDescent="0.3">
      <c r="B292" s="122">
        <v>0.62915611919143311</v>
      </c>
      <c r="C292" s="122">
        <f t="shared" si="39"/>
        <v>0</v>
      </c>
      <c r="D292" s="126">
        <f t="shared" si="40"/>
        <v>5.7160372594775424E-2</v>
      </c>
      <c r="E292" s="122">
        <f t="shared" si="41"/>
        <v>0</v>
      </c>
      <c r="F292" s="122">
        <f t="shared" si="42"/>
        <v>0</v>
      </c>
      <c r="G292" s="122">
        <f t="shared" si="43"/>
        <v>0.62915611919143311</v>
      </c>
      <c r="H292" s="122">
        <f t="shared" si="44"/>
        <v>5.7160372594775424E-2</v>
      </c>
      <c r="I292" s="122">
        <f t="shared" si="45"/>
        <v>0.62915611919143311</v>
      </c>
      <c r="J292" s="122">
        <f t="shared" si="46"/>
        <v>-5.7160372594775424E-2</v>
      </c>
      <c r="K292" s="122"/>
      <c r="Y292" s="126">
        <f t="shared" si="47"/>
        <v>-0.5</v>
      </c>
    </row>
    <row r="293" spans="2:25" x14ac:dyDescent="0.3">
      <c r="B293" s="122">
        <v>0.63219459320538207</v>
      </c>
      <c r="C293" s="122">
        <f t="shared" si="39"/>
        <v>0</v>
      </c>
      <c r="D293" s="126">
        <f t="shared" si="40"/>
        <v>5.7015890297023822E-2</v>
      </c>
      <c r="E293" s="122">
        <f t="shared" si="41"/>
        <v>0</v>
      </c>
      <c r="F293" s="122">
        <f t="shared" si="42"/>
        <v>0</v>
      </c>
      <c r="G293" s="122">
        <f t="shared" si="43"/>
        <v>0.63219459320538207</v>
      </c>
      <c r="H293" s="122">
        <f t="shared" si="44"/>
        <v>5.7015890297023822E-2</v>
      </c>
      <c r="I293" s="122">
        <f t="shared" si="45"/>
        <v>0.63219459320538207</v>
      </c>
      <c r="J293" s="122">
        <f t="shared" si="46"/>
        <v>-5.7015890297023822E-2</v>
      </c>
      <c r="K293" s="122"/>
      <c r="Y293" s="126">
        <f t="shared" si="47"/>
        <v>-0.5</v>
      </c>
    </row>
    <row r="294" spans="2:25" x14ac:dyDescent="0.3">
      <c r="B294" s="122">
        <v>0.63522782746515594</v>
      </c>
      <c r="C294" s="122">
        <f t="shared" si="39"/>
        <v>0</v>
      </c>
      <c r="D294" s="126">
        <f t="shared" si="40"/>
        <v>5.6867659200601897E-2</v>
      </c>
      <c r="E294" s="122">
        <f t="shared" si="41"/>
        <v>0</v>
      </c>
      <c r="F294" s="122">
        <f t="shared" si="42"/>
        <v>0</v>
      </c>
      <c r="G294" s="122">
        <f t="shared" si="43"/>
        <v>0.63522782746515594</v>
      </c>
      <c r="H294" s="122">
        <f t="shared" si="44"/>
        <v>5.6867659200601897E-2</v>
      </c>
      <c r="I294" s="122">
        <f t="shared" si="45"/>
        <v>0.63522782746515594</v>
      </c>
      <c r="J294" s="122">
        <f t="shared" si="46"/>
        <v>-5.6867659200601897E-2</v>
      </c>
      <c r="K294" s="122"/>
      <c r="Y294" s="126">
        <f t="shared" si="47"/>
        <v>-0.5</v>
      </c>
    </row>
    <row r="295" spans="2:25" x14ac:dyDescent="0.3">
      <c r="B295" s="122">
        <v>0.63825570174343316</v>
      </c>
      <c r="C295" s="122">
        <f t="shared" si="39"/>
        <v>0</v>
      </c>
      <c r="D295" s="126">
        <f t="shared" si="40"/>
        <v>5.6715676860949332E-2</v>
      </c>
      <c r="E295" s="122">
        <f t="shared" si="41"/>
        <v>0</v>
      </c>
      <c r="F295" s="122">
        <f t="shared" si="42"/>
        <v>0</v>
      </c>
      <c r="G295" s="122">
        <f t="shared" si="43"/>
        <v>0.63825570174343316</v>
      </c>
      <c r="H295" s="122">
        <f t="shared" si="44"/>
        <v>5.6715676860949332E-2</v>
      </c>
      <c r="I295" s="122">
        <f t="shared" si="45"/>
        <v>0.63825570174343316</v>
      </c>
      <c r="J295" s="122">
        <f t="shared" si="46"/>
        <v>-5.6715676860949332E-2</v>
      </c>
      <c r="K295" s="122"/>
      <c r="Y295" s="126">
        <f t="shared" si="47"/>
        <v>-0.5</v>
      </c>
    </row>
    <row r="296" spans="2:25" x14ac:dyDescent="0.3">
      <c r="B296" s="122">
        <v>0.64127809602534369</v>
      </c>
      <c r="C296" s="122">
        <f t="shared" si="39"/>
        <v>0</v>
      </c>
      <c r="D296" s="126">
        <f t="shared" si="40"/>
        <v>5.6559941732592815E-2</v>
      </c>
      <c r="E296" s="122">
        <f t="shared" si="41"/>
        <v>0</v>
      </c>
      <c r="F296" s="122">
        <f t="shared" si="42"/>
        <v>0</v>
      </c>
      <c r="G296" s="122">
        <f t="shared" si="43"/>
        <v>0.64127809602534369</v>
      </c>
      <c r="H296" s="122">
        <f t="shared" si="44"/>
        <v>5.6559941732592815E-2</v>
      </c>
      <c r="I296" s="122">
        <f t="shared" si="45"/>
        <v>0.64127809602534369</v>
      </c>
      <c r="J296" s="122">
        <f t="shared" si="46"/>
        <v>-5.6559941732592815E-2</v>
      </c>
      <c r="K296" s="122"/>
      <c r="Y296" s="126">
        <f t="shared" si="47"/>
        <v>-0.5</v>
      </c>
    </row>
    <row r="297" spans="2:25" x14ac:dyDescent="0.3">
      <c r="B297" s="122">
        <v>0.64429489051322653</v>
      </c>
      <c r="C297" s="122">
        <f t="shared" si="39"/>
        <v>0</v>
      </c>
      <c r="D297" s="126">
        <f t="shared" si="40"/>
        <v>5.6400453174787604E-2</v>
      </c>
      <c r="E297" s="122">
        <f t="shared" si="41"/>
        <v>0</v>
      </c>
      <c r="F297" s="122">
        <f t="shared" si="42"/>
        <v>0</v>
      </c>
      <c r="G297" s="122">
        <f t="shared" si="43"/>
        <v>0.64429489051322653</v>
      </c>
      <c r="H297" s="122">
        <f t="shared" si="44"/>
        <v>5.6400453174787604E-2</v>
      </c>
      <c r="I297" s="122">
        <f t="shared" si="45"/>
        <v>0.64429489051322653</v>
      </c>
      <c r="J297" s="122">
        <f t="shared" si="46"/>
        <v>-5.6400453174787604E-2</v>
      </c>
      <c r="K297" s="122"/>
      <c r="Y297" s="126">
        <f t="shared" si="47"/>
        <v>-0.5</v>
      </c>
    </row>
    <row r="298" spans="2:25" x14ac:dyDescent="0.3">
      <c r="B298" s="122">
        <v>0.64730596563137821</v>
      </c>
      <c r="C298" s="122">
        <f t="shared" si="39"/>
        <v>0</v>
      </c>
      <c r="D298" s="126">
        <f t="shared" si="40"/>
        <v>5.6237211456912066E-2</v>
      </c>
      <c r="E298" s="122">
        <f t="shared" si="41"/>
        <v>0</v>
      </c>
      <c r="F298" s="122">
        <f t="shared" si="42"/>
        <v>0</v>
      </c>
      <c r="G298" s="122">
        <f t="shared" si="43"/>
        <v>0.64730596563137821</v>
      </c>
      <c r="H298" s="122">
        <f t="shared" si="44"/>
        <v>5.6237211456912066E-2</v>
      </c>
      <c r="I298" s="122">
        <f t="shared" si="45"/>
        <v>0.64730596563137821</v>
      </c>
      <c r="J298" s="122">
        <f t="shared" si="46"/>
        <v>-5.6237211456912066E-2</v>
      </c>
      <c r="K298" s="122"/>
      <c r="Y298" s="126">
        <f t="shared" si="47"/>
        <v>-0.5</v>
      </c>
    </row>
    <row r="299" spans="2:25" x14ac:dyDescent="0.3">
      <c r="B299" s="122">
        <v>0.65031120203079151</v>
      </c>
      <c r="C299" s="122">
        <f t="shared" si="39"/>
        <v>0</v>
      </c>
      <c r="D299" s="126">
        <f t="shared" si="40"/>
        <v>5.6070217763612436E-2</v>
      </c>
      <c r="E299" s="122">
        <f t="shared" si="41"/>
        <v>0</v>
      </c>
      <c r="F299" s="122">
        <f t="shared" si="42"/>
        <v>0</v>
      </c>
      <c r="G299" s="122">
        <f t="shared" si="43"/>
        <v>0.65031120203079151</v>
      </c>
      <c r="H299" s="122">
        <f t="shared" si="44"/>
        <v>5.6070217763612436E-2</v>
      </c>
      <c r="I299" s="122">
        <f t="shared" si="45"/>
        <v>0.65031120203079151</v>
      </c>
      <c r="J299" s="122">
        <f t="shared" si="46"/>
        <v>-5.6070217763612436E-2</v>
      </c>
      <c r="K299" s="122"/>
      <c r="Y299" s="126">
        <f t="shared" si="47"/>
        <v>-0.5</v>
      </c>
    </row>
    <row r="300" spans="2:25" x14ac:dyDescent="0.3">
      <c r="B300" s="122">
        <v>0.65331048059388719</v>
      </c>
      <c r="C300" s="122">
        <f t="shared" si="39"/>
        <v>0</v>
      </c>
      <c r="D300" s="126">
        <f t="shared" si="40"/>
        <v>5.58994741996953E-2</v>
      </c>
      <c r="E300" s="122">
        <f t="shared" si="41"/>
        <v>0</v>
      </c>
      <c r="F300" s="122">
        <f t="shared" si="42"/>
        <v>0</v>
      </c>
      <c r="G300" s="122">
        <f t="shared" si="43"/>
        <v>0.65331048059388719</v>
      </c>
      <c r="H300" s="122">
        <f t="shared" si="44"/>
        <v>5.58994741996953E-2</v>
      </c>
      <c r="I300" s="122">
        <f t="shared" si="45"/>
        <v>0.65331048059388719</v>
      </c>
      <c r="J300" s="122">
        <f t="shared" si="46"/>
        <v>-5.58994741996953E-2</v>
      </c>
      <c r="K300" s="122"/>
      <c r="Y300" s="126">
        <f t="shared" si="47"/>
        <v>-0.5</v>
      </c>
    </row>
    <row r="301" spans="2:25" x14ac:dyDescent="0.3">
      <c r="B301" s="122">
        <v>0.65630368243923431</v>
      </c>
      <c r="C301" s="122">
        <f t="shared" si="39"/>
        <v>0</v>
      </c>
      <c r="D301" s="126">
        <f t="shared" si="40"/>
        <v>5.5724983794765405E-2</v>
      </c>
      <c r="E301" s="122">
        <f t="shared" si="41"/>
        <v>0</v>
      </c>
      <c r="F301" s="122">
        <f t="shared" si="42"/>
        <v>0</v>
      </c>
      <c r="G301" s="122">
        <f t="shared" si="43"/>
        <v>0.65630368243923431</v>
      </c>
      <c r="H301" s="122">
        <f t="shared" si="44"/>
        <v>5.5724983794765405E-2</v>
      </c>
      <c r="I301" s="122">
        <f t="shared" si="45"/>
        <v>0.65630368243923431</v>
      </c>
      <c r="J301" s="122">
        <f t="shared" si="46"/>
        <v>-5.5724983794765405E-2</v>
      </c>
      <c r="K301" s="122"/>
      <c r="Y301" s="126">
        <f t="shared" si="47"/>
        <v>-0.5</v>
      </c>
    </row>
    <row r="302" spans="2:25" x14ac:dyDescent="0.3">
      <c r="B302" s="122">
        <v>0.65929068892626308</v>
      </c>
      <c r="C302" s="122">
        <f t="shared" si="39"/>
        <v>0</v>
      </c>
      <c r="D302" s="126">
        <f t="shared" si="40"/>
        <v>5.5546750507606428E-2</v>
      </c>
      <c r="E302" s="122">
        <f t="shared" si="41"/>
        <v>0</v>
      </c>
      <c r="F302" s="122">
        <f t="shared" si="42"/>
        <v>0</v>
      </c>
      <c r="G302" s="122">
        <f t="shared" si="43"/>
        <v>0.65929068892626308</v>
      </c>
      <c r="H302" s="122">
        <f t="shared" si="44"/>
        <v>5.5546750507606428E-2</v>
      </c>
      <c r="I302" s="122">
        <f t="shared" si="45"/>
        <v>0.65929068892626308</v>
      </c>
      <c r="J302" s="122">
        <f t="shared" si="46"/>
        <v>-5.5546750507606428E-2</v>
      </c>
      <c r="K302" s="122"/>
      <c r="Y302" s="126">
        <f t="shared" si="47"/>
        <v>-0.5</v>
      </c>
    </row>
    <row r="303" spans="2:25" x14ac:dyDescent="0.3">
      <c r="B303" s="122">
        <v>0.66227138165996713</v>
      </c>
      <c r="C303" s="122">
        <f t="shared" si="39"/>
        <v>0</v>
      </c>
      <c r="D303" s="126">
        <f t="shared" si="40"/>
        <v>5.5364779230302322E-2</v>
      </c>
      <c r="E303" s="122">
        <f t="shared" si="41"/>
        <v>0</v>
      </c>
      <c r="F303" s="122">
        <f t="shared" si="42"/>
        <v>0</v>
      </c>
      <c r="G303" s="122">
        <f t="shared" si="43"/>
        <v>0.66227138165996713</v>
      </c>
      <c r="H303" s="122">
        <f t="shared" si="44"/>
        <v>5.5364779230302322E-2</v>
      </c>
      <c r="I303" s="122">
        <f t="shared" si="45"/>
        <v>0.66227138165996713</v>
      </c>
      <c r="J303" s="122">
        <f t="shared" si="46"/>
        <v>-5.5364779230302322E-2</v>
      </c>
      <c r="K303" s="122"/>
      <c r="Y303" s="126">
        <f t="shared" si="47"/>
        <v>-0.5</v>
      </c>
    </row>
    <row r="304" spans="2:25" x14ac:dyDescent="0.3">
      <c r="B304" s="122">
        <v>0.66524564249559626</v>
      </c>
      <c r="C304" s="122">
        <f t="shared" si="39"/>
        <v>0</v>
      </c>
      <c r="D304" s="126">
        <f t="shared" si="40"/>
        <v>5.517907579209725E-2</v>
      </c>
      <c r="E304" s="122">
        <f t="shared" si="41"/>
        <v>0</v>
      </c>
      <c r="F304" s="122">
        <f t="shared" si="42"/>
        <v>0</v>
      </c>
      <c r="G304" s="122">
        <f t="shared" si="43"/>
        <v>0.66524564249559626</v>
      </c>
      <c r="H304" s="122">
        <f t="shared" si="44"/>
        <v>5.517907579209725E-2</v>
      </c>
      <c r="I304" s="122">
        <f t="shared" si="45"/>
        <v>0.66524564249559626</v>
      </c>
      <c r="J304" s="122">
        <f t="shared" si="46"/>
        <v>-5.517907579209725E-2</v>
      </c>
      <c r="K304" s="122"/>
      <c r="Y304" s="126">
        <f t="shared" si="47"/>
        <v>-0.5</v>
      </c>
    </row>
    <row r="305" spans="2:25" x14ac:dyDescent="0.3">
      <c r="B305" s="122">
        <v>0.66821335354333922</v>
      </c>
      <c r="C305" s="122">
        <f t="shared" si="39"/>
        <v>0</v>
      </c>
      <c r="D305" s="126">
        <f t="shared" si="40"/>
        <v>5.4989646962991759E-2</v>
      </c>
      <c r="E305" s="122">
        <f t="shared" si="41"/>
        <v>0</v>
      </c>
      <c r="F305" s="122">
        <f t="shared" si="42"/>
        <v>0</v>
      </c>
      <c r="G305" s="122">
        <f t="shared" si="43"/>
        <v>0.66821335354333922</v>
      </c>
      <c r="H305" s="122">
        <f t="shared" si="44"/>
        <v>5.4989646962991759E-2</v>
      </c>
      <c r="I305" s="122">
        <f t="shared" si="45"/>
        <v>0.66821335354333922</v>
      </c>
      <c r="J305" s="122">
        <f t="shared" si="46"/>
        <v>-5.4989646962991759E-2</v>
      </c>
      <c r="K305" s="122"/>
      <c r="Y305" s="126">
        <f t="shared" si="47"/>
        <v>-0.5</v>
      </c>
    </row>
    <row r="306" spans="2:25" x14ac:dyDescent="0.3">
      <c r="B306" s="122">
        <v>0.67117439717299676</v>
      </c>
      <c r="C306" s="122">
        <f t="shared" si="39"/>
        <v>0</v>
      </c>
      <c r="D306" s="126">
        <f t="shared" si="40"/>
        <v>5.4796500457073224E-2</v>
      </c>
      <c r="E306" s="122">
        <f t="shared" si="41"/>
        <v>0</v>
      </c>
      <c r="F306" s="122">
        <f t="shared" si="42"/>
        <v>0</v>
      </c>
      <c r="G306" s="122">
        <f t="shared" si="43"/>
        <v>0.67117439717299676</v>
      </c>
      <c r="H306" s="122">
        <f t="shared" si="44"/>
        <v>5.4796500457073224E-2</v>
      </c>
      <c r="I306" s="122">
        <f t="shared" si="45"/>
        <v>0.67117439717299676</v>
      </c>
      <c r="J306" s="122">
        <f t="shared" si="46"/>
        <v>-5.4796500457073224E-2</v>
      </c>
      <c r="K306" s="122"/>
      <c r="Y306" s="126">
        <f t="shared" si="47"/>
        <v>-0.5</v>
      </c>
    </row>
    <row r="307" spans="2:25" x14ac:dyDescent="0.3">
      <c r="B307" s="122">
        <v>0.67412865601864358</v>
      </c>
      <c r="C307" s="122">
        <f t="shared" si="39"/>
        <v>0</v>
      </c>
      <c r="D307" s="126">
        <f t="shared" si="40"/>
        <v>5.4599644935578832E-2</v>
      </c>
      <c r="E307" s="122">
        <f t="shared" si="41"/>
        <v>0</v>
      </c>
      <c r="F307" s="122">
        <f t="shared" si="42"/>
        <v>0</v>
      </c>
      <c r="G307" s="122">
        <f t="shared" si="43"/>
        <v>0.67412865601864358</v>
      </c>
      <c r="H307" s="122">
        <f t="shared" si="44"/>
        <v>5.4599644935578832E-2</v>
      </c>
      <c r="I307" s="122">
        <f t="shared" si="45"/>
        <v>0.67412865601864358</v>
      </c>
      <c r="J307" s="122">
        <f t="shared" si="46"/>
        <v>-5.4599644935578832E-2</v>
      </c>
      <c r="K307" s="122"/>
      <c r="Y307" s="126">
        <f t="shared" si="47"/>
        <v>-0.5</v>
      </c>
    </row>
    <row r="308" spans="2:25" x14ac:dyDescent="0.3">
      <c r="B308" s="122">
        <v>0.67707601298328102</v>
      </c>
      <c r="C308" s="122">
        <f t="shared" si="39"/>
        <v>0</v>
      </c>
      <c r="D308" s="126">
        <f t="shared" si="40"/>
        <v>5.4399090009688816E-2</v>
      </c>
      <c r="E308" s="122">
        <f t="shared" si="41"/>
        <v>0</v>
      </c>
      <c r="F308" s="122">
        <f t="shared" si="42"/>
        <v>0</v>
      </c>
      <c r="G308" s="122">
        <f t="shared" si="43"/>
        <v>0.67707601298328102</v>
      </c>
      <c r="H308" s="122">
        <f t="shared" si="44"/>
        <v>5.4399090009688816E-2</v>
      </c>
      <c r="I308" s="122">
        <f t="shared" si="45"/>
        <v>0.67707601298328102</v>
      </c>
      <c r="J308" s="122">
        <f t="shared" si="46"/>
        <v>-5.4399090009688816E-2</v>
      </c>
      <c r="K308" s="122"/>
      <c r="Y308" s="126">
        <f t="shared" si="47"/>
        <v>-0.5</v>
      </c>
    </row>
    <row r="309" spans="2:25" x14ac:dyDescent="0.3">
      <c r="B309" s="122">
        <v>0.68001635124347781</v>
      </c>
      <c r="C309" s="122">
        <f t="shared" si="39"/>
        <v>0</v>
      </c>
      <c r="D309" s="126">
        <f t="shared" si="40"/>
        <v>5.4194846243048572E-2</v>
      </c>
      <c r="E309" s="122">
        <f t="shared" si="41"/>
        <v>0</v>
      </c>
      <c r="F309" s="122">
        <f t="shared" si="42"/>
        <v>0</v>
      </c>
      <c r="G309" s="122">
        <f t="shared" si="43"/>
        <v>0.68001635124347781</v>
      </c>
      <c r="H309" s="122">
        <f t="shared" si="44"/>
        <v>5.4194846243048572E-2</v>
      </c>
      <c r="I309" s="122">
        <f t="shared" si="45"/>
        <v>0.68001635124347781</v>
      </c>
      <c r="J309" s="122">
        <f t="shared" si="46"/>
        <v>-5.4194846243048572E-2</v>
      </c>
      <c r="K309" s="122"/>
      <c r="Y309" s="126">
        <f t="shared" si="47"/>
        <v>-0.5</v>
      </c>
    </row>
    <row r="310" spans="2:25" x14ac:dyDescent="0.3">
      <c r="B310" s="122">
        <v>0.68294955425400117</v>
      </c>
      <c r="C310" s="122">
        <f t="shared" si="39"/>
        <v>0</v>
      </c>
      <c r="D310" s="126">
        <f t="shared" si="40"/>
        <v>5.398692515401763E-2</v>
      </c>
      <c r="E310" s="122">
        <f t="shared" si="41"/>
        <v>0</v>
      </c>
      <c r="F310" s="122">
        <f t="shared" si="42"/>
        <v>0</v>
      </c>
      <c r="G310" s="122">
        <f t="shared" si="43"/>
        <v>0.68294955425400117</v>
      </c>
      <c r="H310" s="122">
        <f t="shared" si="44"/>
        <v>5.398692515401763E-2</v>
      </c>
      <c r="I310" s="122">
        <f t="shared" si="45"/>
        <v>0.68294955425400117</v>
      </c>
      <c r="J310" s="122">
        <f t="shared" si="46"/>
        <v>-5.398692515401763E-2</v>
      </c>
      <c r="K310" s="122"/>
      <c r="Y310" s="126">
        <f t="shared" si="47"/>
        <v>-0.5</v>
      </c>
    </row>
    <row r="311" spans="2:25" x14ac:dyDescent="0.3">
      <c r="B311" s="122">
        <v>0.68587550575243539</v>
      </c>
      <c r="C311" s="122">
        <f t="shared" si="39"/>
        <v>0</v>
      </c>
      <c r="D311" s="126">
        <f t="shared" si="40"/>
        <v>5.3775339217644123E-2</v>
      </c>
      <c r="E311" s="122">
        <f t="shared" si="41"/>
        <v>0</v>
      </c>
      <c r="F311" s="122">
        <f t="shared" si="42"/>
        <v>0</v>
      </c>
      <c r="G311" s="122">
        <f t="shared" si="43"/>
        <v>0.68587550575243539</v>
      </c>
      <c r="H311" s="122">
        <f t="shared" si="44"/>
        <v>5.3775339217644123E-2</v>
      </c>
      <c r="I311" s="122">
        <f t="shared" si="45"/>
        <v>0.68587550575243539</v>
      </c>
      <c r="J311" s="122">
        <f t="shared" si="46"/>
        <v>-5.3775339217644123E-2</v>
      </c>
      <c r="K311" s="122"/>
      <c r="Y311" s="126">
        <f t="shared" si="47"/>
        <v>-0.5</v>
      </c>
    </row>
    <row r="312" spans="2:25" x14ac:dyDescent="0.3">
      <c r="B312" s="122">
        <v>0.68879408976379075</v>
      </c>
      <c r="C312" s="122">
        <f t="shared" si="39"/>
        <v>0</v>
      </c>
      <c r="D312" s="126">
        <f t="shared" si="40"/>
        <v>5.3560101867363097E-2</v>
      </c>
      <c r="E312" s="122">
        <f t="shared" si="41"/>
        <v>0</v>
      </c>
      <c r="F312" s="122">
        <f t="shared" si="42"/>
        <v>0</v>
      </c>
      <c r="G312" s="122">
        <f t="shared" si="43"/>
        <v>0.68879408976379075</v>
      </c>
      <c r="H312" s="122">
        <f t="shared" si="44"/>
        <v>5.3560101867363097E-2</v>
      </c>
      <c r="I312" s="122">
        <f t="shared" si="45"/>
        <v>0.68879408976379075</v>
      </c>
      <c r="J312" s="122">
        <f t="shared" si="46"/>
        <v>-5.3560101867363097E-2</v>
      </c>
      <c r="K312" s="122"/>
      <c r="Y312" s="126">
        <f t="shared" si="47"/>
        <v>-0.5</v>
      </c>
    </row>
    <row r="313" spans="2:25" x14ac:dyDescent="0.3">
      <c r="B313" s="122">
        <v>0.69170519060510038</v>
      </c>
      <c r="C313" s="122">
        <f t="shared" si="39"/>
        <v>0</v>
      </c>
      <c r="D313" s="126">
        <f t="shared" si="40"/>
        <v>5.334122749641719E-2</v>
      </c>
      <c r="E313" s="122">
        <f t="shared" si="41"/>
        <v>0</v>
      </c>
      <c r="F313" s="122">
        <f t="shared" si="42"/>
        <v>0</v>
      </c>
      <c r="G313" s="122">
        <f t="shared" si="43"/>
        <v>0.69170519060510038</v>
      </c>
      <c r="H313" s="122">
        <f t="shared" si="44"/>
        <v>5.334122749641719E-2</v>
      </c>
      <c r="I313" s="122">
        <f t="shared" si="45"/>
        <v>0.69170519060510038</v>
      </c>
      <c r="J313" s="122">
        <f t="shared" si="46"/>
        <v>-5.334122749641719E-2</v>
      </c>
      <c r="K313" s="122"/>
      <c r="Y313" s="126">
        <f t="shared" si="47"/>
        <v>-0.5</v>
      </c>
    </row>
    <row r="314" spans="2:25" x14ac:dyDescent="0.3">
      <c r="B314" s="122">
        <v>0.69460869289000526</v>
      </c>
      <c r="C314" s="122">
        <f t="shared" si="39"/>
        <v>0</v>
      </c>
      <c r="D314" s="126">
        <f t="shared" si="40"/>
        <v>5.3118731458998467E-2</v>
      </c>
      <c r="E314" s="122">
        <f t="shared" si="41"/>
        <v>0</v>
      </c>
      <c r="F314" s="122">
        <f t="shared" si="42"/>
        <v>0</v>
      </c>
      <c r="G314" s="122">
        <f t="shared" si="43"/>
        <v>0.69460869289000526</v>
      </c>
      <c r="H314" s="122">
        <f t="shared" si="44"/>
        <v>5.3118731458998467E-2</v>
      </c>
      <c r="I314" s="122">
        <f t="shared" si="45"/>
        <v>0.69460869289000526</v>
      </c>
      <c r="J314" s="122">
        <f t="shared" si="46"/>
        <v>-5.3118731458998467E-2</v>
      </c>
      <c r="K314" s="122"/>
      <c r="Y314" s="126">
        <f t="shared" si="47"/>
        <v>-0.5</v>
      </c>
    </row>
    <row r="315" spans="2:25" x14ac:dyDescent="0.3">
      <c r="B315" s="122">
        <v>0.697504481533328</v>
      </c>
      <c r="C315" s="122">
        <f t="shared" si="39"/>
        <v>0</v>
      </c>
      <c r="D315" s="126">
        <f t="shared" si="40"/>
        <v>5.2892630071110024E-2</v>
      </c>
      <c r="E315" s="122">
        <f t="shared" si="41"/>
        <v>0</v>
      </c>
      <c r="F315" s="122">
        <f t="shared" si="42"/>
        <v>0</v>
      </c>
      <c r="G315" s="122">
        <f t="shared" si="43"/>
        <v>0.697504481533328</v>
      </c>
      <c r="H315" s="122">
        <f t="shared" si="44"/>
        <v>5.2892630071110024E-2</v>
      </c>
      <c r="I315" s="122">
        <f t="shared" si="45"/>
        <v>0.697504481533328</v>
      </c>
      <c r="J315" s="122">
        <f t="shared" si="46"/>
        <v>-5.2892630071110024E-2</v>
      </c>
      <c r="K315" s="122"/>
      <c r="Y315" s="126">
        <f t="shared" si="47"/>
        <v>-0.5</v>
      </c>
    </row>
    <row r="316" spans="2:25" x14ac:dyDescent="0.3">
      <c r="B316" s="122">
        <v>0.70039244175563431</v>
      </c>
      <c r="C316" s="122">
        <f t="shared" si="39"/>
        <v>0</v>
      </c>
      <c r="D316" s="126">
        <f t="shared" si="40"/>
        <v>5.2662940611146257E-2</v>
      </c>
      <c r="E316" s="122">
        <f t="shared" si="41"/>
        <v>0</v>
      </c>
      <c r="F316" s="122">
        <f t="shared" si="42"/>
        <v>0</v>
      </c>
      <c r="G316" s="122">
        <f t="shared" si="43"/>
        <v>0.70039244175563431</v>
      </c>
      <c r="H316" s="122">
        <f t="shared" si="44"/>
        <v>5.2662940611146257E-2</v>
      </c>
      <c r="I316" s="122">
        <f t="shared" si="45"/>
        <v>0.70039244175563431</v>
      </c>
      <c r="J316" s="122">
        <f t="shared" si="46"/>
        <v>-5.2662940611146257E-2</v>
      </c>
      <c r="K316" s="122"/>
      <c r="Y316" s="126">
        <f t="shared" si="47"/>
        <v>-0.5</v>
      </c>
    </row>
    <row r="317" spans="2:25" x14ac:dyDescent="0.3">
      <c r="B317" s="122">
        <v>0.70327245908778213</v>
      </c>
      <c r="C317" s="122">
        <f t="shared" si="39"/>
        <v>0</v>
      </c>
      <c r="D317" s="126">
        <f t="shared" si="40"/>
        <v>5.2429681320190727E-2</v>
      </c>
      <c r="E317" s="122">
        <f t="shared" si="41"/>
        <v>0</v>
      </c>
      <c r="F317" s="122">
        <f t="shared" si="42"/>
        <v>0</v>
      </c>
      <c r="G317" s="122">
        <f t="shared" si="43"/>
        <v>0.70327245908778213</v>
      </c>
      <c r="H317" s="122">
        <f t="shared" si="44"/>
        <v>5.2429681320190727E-2</v>
      </c>
      <c r="I317" s="122">
        <f t="shared" si="45"/>
        <v>0.70327245908778213</v>
      </c>
      <c r="J317" s="122">
        <f t="shared" si="46"/>
        <v>-5.2429681320190727E-2</v>
      </c>
      <c r="K317" s="122"/>
      <c r="Y317" s="126">
        <f t="shared" si="47"/>
        <v>-0.5</v>
      </c>
    </row>
    <row r="318" spans="2:25" x14ac:dyDescent="0.3">
      <c r="B318" s="122">
        <v>0.70614441937545946</v>
      </c>
      <c r="C318" s="122">
        <f t="shared" si="39"/>
        <v>0</v>
      </c>
      <c r="D318" s="126">
        <f t="shared" si="40"/>
        <v>5.2192871402030626E-2</v>
      </c>
      <c r="E318" s="122">
        <f t="shared" si="41"/>
        <v>0</v>
      </c>
      <c r="F318" s="122">
        <f t="shared" si="42"/>
        <v>0</v>
      </c>
      <c r="G318" s="122">
        <f t="shared" si="43"/>
        <v>0.70614441937545946</v>
      </c>
      <c r="H318" s="122">
        <f t="shared" si="44"/>
        <v>5.2192871402030626E-2</v>
      </c>
      <c r="I318" s="122">
        <f t="shared" si="45"/>
        <v>0.70614441937545946</v>
      </c>
      <c r="J318" s="122">
        <f t="shared" si="46"/>
        <v>-5.2192871402030626E-2</v>
      </c>
      <c r="K318" s="122"/>
      <c r="Y318" s="126">
        <f t="shared" si="47"/>
        <v>-0.5</v>
      </c>
    </row>
    <row r="319" spans="2:25" x14ac:dyDescent="0.3">
      <c r="B319" s="122">
        <v>0.70900820878370907</v>
      </c>
      <c r="C319" s="122">
        <f t="shared" si="39"/>
        <v>0</v>
      </c>
      <c r="D319" s="126">
        <f t="shared" si="40"/>
        <v>5.195253102288673E-2</v>
      </c>
      <c r="E319" s="122">
        <f t="shared" si="41"/>
        <v>0</v>
      </c>
      <c r="F319" s="122">
        <f t="shared" si="42"/>
        <v>0</v>
      </c>
      <c r="G319" s="122">
        <f t="shared" si="43"/>
        <v>0.70900820878370907</v>
      </c>
      <c r="H319" s="122">
        <f t="shared" si="44"/>
        <v>5.195253102288673E-2</v>
      </c>
      <c r="I319" s="122">
        <f t="shared" si="45"/>
        <v>0.70900820878370907</v>
      </c>
      <c r="J319" s="122">
        <f t="shared" si="46"/>
        <v>-5.195253102288673E-2</v>
      </c>
      <c r="K319" s="122"/>
      <c r="Y319" s="126">
        <f t="shared" si="47"/>
        <v>-0.5</v>
      </c>
    </row>
    <row r="320" spans="2:25" x14ac:dyDescent="0.3">
      <c r="B320" s="122">
        <v>0.71186371380143942</v>
      </c>
      <c r="C320" s="122">
        <f t="shared" si="39"/>
        <v>0</v>
      </c>
      <c r="D320" s="126">
        <f t="shared" si="40"/>
        <v>5.1708681310858665E-2</v>
      </c>
      <c r="E320" s="122">
        <f t="shared" si="41"/>
        <v>0</v>
      </c>
      <c r="F320" s="122">
        <f t="shared" si="42"/>
        <v>0</v>
      </c>
      <c r="G320" s="122">
        <f t="shared" si="43"/>
        <v>0.71186371380143942</v>
      </c>
      <c r="H320" s="122">
        <f t="shared" si="44"/>
        <v>5.1708681310858665E-2</v>
      </c>
      <c r="I320" s="122">
        <f t="shared" si="45"/>
        <v>0.71186371380143942</v>
      </c>
      <c r="J320" s="122">
        <f t="shared" si="46"/>
        <v>-5.1708681310858665E-2</v>
      </c>
      <c r="K320" s="122"/>
      <c r="Y320" s="126">
        <f t="shared" si="47"/>
        <v>-0.5</v>
      </c>
    </row>
    <row r="321" spans="2:25" x14ac:dyDescent="0.3">
      <c r="B321" s="122">
        <v>0.71471082124592566</v>
      </c>
      <c r="C321" s="122">
        <f t="shared" ref="C321:C384" si="48">IF($A$1=0, 0, IF(B321&lt;=$A$2, ($A$1/$A$2^2)*(2*$A$2*B321-B321^2), ($A$1/(1-$A$2)^2)*((1-2*$A$2)+2*$A$2*B321-B321^2)))</f>
        <v>0</v>
      </c>
      <c r="D321" s="126">
        <f t="shared" ref="D321:D384" si="49">IF(B321&lt;$N$1, ($A$3/0.2)*($O$1*SQRT(B321)+$P$1*B321+$Q$1*(B321^2)+$R$1*(B321^3)), ($A$3/0.2)*($S$1+$T$1*(1-B321)+$U$1*((1-B321)^2)+$V$1*((1-B321)^3)))</f>
        <v>5.1461344355083739E-2</v>
      </c>
      <c r="E321" s="122">
        <f t="shared" ref="E321:E384" si="50">IF($A$1=0, 0, IF(B321&lt;=$A$2, ($A$1/$A$2^2) *(2*$A$2-2*B321), ($A$1/(1-$A$2)^2)*(2*$A$2-2*B321)))</f>
        <v>0</v>
      </c>
      <c r="F321" s="122">
        <f t="shared" ref="F321:F384" si="51">IF($A$1=0, 0,  ATAN(E321))</f>
        <v>0</v>
      </c>
      <c r="G321" s="122">
        <f t="shared" ref="G321:G384" si="52">B321-D321*SIN(F321)</f>
        <v>0.71471082124592566</v>
      </c>
      <c r="H321" s="122">
        <f t="shared" ref="H321:H384" si="53">C321+D321*COS(F321)</f>
        <v>5.1461344355083739E-2</v>
      </c>
      <c r="I321" s="122">
        <f t="shared" ref="I321:I384" si="54">B321+D321*SIN(F321)</f>
        <v>0.71471082124592566</v>
      </c>
      <c r="J321" s="122">
        <f t="shared" ref="J321:J384" si="55">C321-D321*COS(F321)</f>
        <v>-5.1461344355083739E-2</v>
      </c>
      <c r="K321" s="122"/>
      <c r="Y321" s="126">
        <f t="shared" si="47"/>
        <v>-0.5</v>
      </c>
    </row>
    <row r="322" spans="2:25" x14ac:dyDescent="0.3">
      <c r="B322" s="122">
        <v>0.71754941826729379</v>
      </c>
      <c r="C322" s="122">
        <f t="shared" si="48"/>
        <v>0</v>
      </c>
      <c r="D322" s="126">
        <f t="shared" si="49"/>
        <v>5.1210543204609986E-2</v>
      </c>
      <c r="E322" s="122">
        <f t="shared" si="50"/>
        <v>0</v>
      </c>
      <c r="F322" s="122">
        <f t="shared" si="51"/>
        <v>0</v>
      </c>
      <c r="G322" s="122">
        <f t="shared" si="52"/>
        <v>0.71754941826729379</v>
      </c>
      <c r="H322" s="122">
        <f t="shared" si="53"/>
        <v>5.1210543204609986E-2</v>
      </c>
      <c r="I322" s="122">
        <f t="shared" si="54"/>
        <v>0.71754941826729379</v>
      </c>
      <c r="J322" s="122">
        <f t="shared" si="55"/>
        <v>-5.1210543204609986E-2</v>
      </c>
      <c r="K322" s="122"/>
      <c r="Y322" s="126">
        <f t="shared" ref="Y322:Y385" si="56">IF($Z$1, C322, -0.5)</f>
        <v>-0.5</v>
      </c>
    </row>
    <row r="323" spans="2:25" x14ac:dyDescent="0.3">
      <c r="B323" s="122">
        <v>0.72037939235299564</v>
      </c>
      <c r="C323" s="122">
        <f t="shared" si="48"/>
        <v>0</v>
      </c>
      <c r="D323" s="126">
        <f t="shared" si="49"/>
        <v>5.09563018669816E-2</v>
      </c>
      <c r="E323" s="122">
        <f t="shared" si="50"/>
        <v>0</v>
      </c>
      <c r="F323" s="122">
        <f t="shared" si="51"/>
        <v>0</v>
      </c>
      <c r="G323" s="122">
        <f t="shared" si="52"/>
        <v>0.72037939235299564</v>
      </c>
      <c r="H323" s="122">
        <f t="shared" si="53"/>
        <v>5.09563018669816E-2</v>
      </c>
      <c r="I323" s="122">
        <f t="shared" si="54"/>
        <v>0.72037939235299564</v>
      </c>
      <c r="J323" s="122">
        <f t="shared" si="55"/>
        <v>-5.09563018669816E-2</v>
      </c>
      <c r="K323" s="122"/>
      <c r="Y323" s="126">
        <f t="shared" si="56"/>
        <v>-0.5</v>
      </c>
    </row>
    <row r="324" spans="2:25" x14ac:dyDescent="0.3">
      <c r="B324" s="122">
        <v>0.72320063133226686</v>
      </c>
      <c r="C324" s="122">
        <f t="shared" si="48"/>
        <v>0</v>
      </c>
      <c r="D324" s="126">
        <f t="shared" si="49"/>
        <v>5.0698645306537504E-2</v>
      </c>
      <c r="E324" s="122">
        <f t="shared" si="50"/>
        <v>0</v>
      </c>
      <c r="F324" s="122">
        <f t="shared" si="51"/>
        <v>0</v>
      </c>
      <c r="G324" s="122">
        <f t="shared" si="52"/>
        <v>0.72320063133226686</v>
      </c>
      <c r="H324" s="122">
        <f t="shared" si="53"/>
        <v>5.0698645306537504E-2</v>
      </c>
      <c r="I324" s="122">
        <f t="shared" si="54"/>
        <v>0.72320063133226686</v>
      </c>
      <c r="J324" s="122">
        <f t="shared" si="55"/>
        <v>-5.0698645306537504E-2</v>
      </c>
      <c r="K324" s="122"/>
      <c r="Y324" s="126">
        <f t="shared" si="56"/>
        <v>-0.5</v>
      </c>
    </row>
    <row r="325" spans="2:25" x14ac:dyDescent="0.3">
      <c r="B325" s="122">
        <v>0.72601302338057372</v>
      </c>
      <c r="C325" s="122">
        <f t="shared" si="48"/>
        <v>0</v>
      </c>
      <c r="D325" s="126">
        <f t="shared" si="49"/>
        <v>5.0437599442421654E-2</v>
      </c>
      <c r="E325" s="122">
        <f t="shared" si="50"/>
        <v>0</v>
      </c>
      <c r="F325" s="122">
        <f t="shared" si="51"/>
        <v>0</v>
      </c>
      <c r="G325" s="122">
        <f t="shared" si="52"/>
        <v>0.72601302338057372</v>
      </c>
      <c r="H325" s="122">
        <f t="shared" si="53"/>
        <v>5.0437599442421654E-2</v>
      </c>
      <c r="I325" s="122">
        <f t="shared" si="54"/>
        <v>0.72601302338057372</v>
      </c>
      <c r="J325" s="122">
        <f t="shared" si="55"/>
        <v>-5.0437599442421654E-2</v>
      </c>
      <c r="K325" s="122"/>
      <c r="Y325" s="126">
        <f t="shared" si="56"/>
        <v>-0.5</v>
      </c>
    </row>
    <row r="326" spans="2:25" x14ac:dyDescent="0.3">
      <c r="B326" s="122">
        <v>0.72881645702404607</v>
      </c>
      <c r="C326" s="122">
        <f t="shared" si="48"/>
        <v>0</v>
      </c>
      <c r="D326" s="126">
        <f t="shared" si="49"/>
        <v>5.0173191146305772E-2</v>
      </c>
      <c r="E326" s="122">
        <f t="shared" si="50"/>
        <v>0</v>
      </c>
      <c r="F326" s="122">
        <f t="shared" si="51"/>
        <v>0</v>
      </c>
      <c r="G326" s="122">
        <f t="shared" si="52"/>
        <v>0.72881645702404607</v>
      </c>
      <c r="H326" s="122">
        <f t="shared" si="53"/>
        <v>5.0173191146305772E-2</v>
      </c>
      <c r="I326" s="122">
        <f t="shared" si="54"/>
        <v>0.72881645702404607</v>
      </c>
      <c r="J326" s="122">
        <f t="shared" si="55"/>
        <v>-5.0173191146305772E-2</v>
      </c>
      <c r="K326" s="122"/>
      <c r="Y326" s="126">
        <f t="shared" si="56"/>
        <v>-0.5</v>
      </c>
    </row>
    <row r="327" spans="2:25" x14ac:dyDescent="0.3">
      <c r="B327" s="122">
        <v>0.73161082114389431</v>
      </c>
      <c r="C327" s="122">
        <f t="shared" si="48"/>
        <v>0</v>
      </c>
      <c r="D327" s="126">
        <f t="shared" si="49"/>
        <v>4.9905448239823624E-2</v>
      </c>
      <c r="E327" s="122">
        <f t="shared" si="50"/>
        <v>0</v>
      </c>
      <c r="F327" s="122">
        <f t="shared" si="51"/>
        <v>0</v>
      </c>
      <c r="G327" s="122">
        <f t="shared" si="52"/>
        <v>0.73161082114389431</v>
      </c>
      <c r="H327" s="122">
        <f t="shared" si="53"/>
        <v>4.9905448239823624E-2</v>
      </c>
      <c r="I327" s="122">
        <f t="shared" si="54"/>
        <v>0.73161082114389431</v>
      </c>
      <c r="J327" s="122">
        <f t="shared" si="55"/>
        <v>-4.9905448239823624E-2</v>
      </c>
      <c r="K327" s="122"/>
      <c r="Y327" s="126">
        <f t="shared" si="56"/>
        <v>-0.5</v>
      </c>
    </row>
    <row r="328" spans="2:25" x14ac:dyDescent="0.3">
      <c r="B328" s="122">
        <v>0.73439600498081559</v>
      </c>
      <c r="C328" s="122">
        <f t="shared" si="48"/>
        <v>0</v>
      </c>
      <c r="D328" s="126">
        <f t="shared" si="49"/>
        <v>4.963439949171717E-2</v>
      </c>
      <c r="E328" s="122">
        <f t="shared" si="50"/>
        <v>0</v>
      </c>
      <c r="F328" s="122">
        <f t="shared" si="51"/>
        <v>0</v>
      </c>
      <c r="G328" s="122">
        <f t="shared" si="52"/>
        <v>0.73439600498081559</v>
      </c>
      <c r="H328" s="122">
        <f t="shared" si="53"/>
        <v>4.963439949171717E-2</v>
      </c>
      <c r="I328" s="122">
        <f t="shared" si="54"/>
        <v>0.73439600498081559</v>
      </c>
      <c r="J328" s="122">
        <f t="shared" si="55"/>
        <v>-4.963439949171717E-2</v>
      </c>
      <c r="K328" s="122"/>
      <c r="Y328" s="126">
        <f t="shared" si="56"/>
        <v>-0.5</v>
      </c>
    </row>
    <row r="329" spans="2:25" x14ac:dyDescent="0.3">
      <c r="B329" s="122">
        <v>0.73717189813938133</v>
      </c>
      <c r="C329" s="122">
        <f t="shared" si="48"/>
        <v>0</v>
      </c>
      <c r="D329" s="126">
        <f t="shared" si="49"/>
        <v>4.9360074614694736E-2</v>
      </c>
      <c r="E329" s="122">
        <f t="shared" si="50"/>
        <v>0</v>
      </c>
      <c r="F329" s="122">
        <f t="shared" si="51"/>
        <v>0</v>
      </c>
      <c r="G329" s="122">
        <f t="shared" si="52"/>
        <v>0.73717189813938133</v>
      </c>
      <c r="H329" s="122">
        <f t="shared" si="53"/>
        <v>4.9360074614694736E-2</v>
      </c>
      <c r="I329" s="122">
        <f t="shared" si="54"/>
        <v>0.73717189813938133</v>
      </c>
      <c r="J329" s="122">
        <f t="shared" si="55"/>
        <v>-4.9360074614694736E-2</v>
      </c>
      <c r="K329" s="122"/>
      <c r="Y329" s="126">
        <f t="shared" si="56"/>
        <v>-0.5</v>
      </c>
    </row>
    <row r="330" spans="2:25" x14ac:dyDescent="0.3">
      <c r="B330" s="122">
        <v>0.73993839059241651</v>
      </c>
      <c r="C330" s="122">
        <f t="shared" si="48"/>
        <v>0</v>
      </c>
      <c r="D330" s="126">
        <f t="shared" si="49"/>
        <v>4.9082504262000566E-2</v>
      </c>
      <c r="E330" s="122">
        <f t="shared" si="50"/>
        <v>0</v>
      </c>
      <c r="F330" s="122">
        <f t="shared" si="51"/>
        <v>0</v>
      </c>
      <c r="G330" s="122">
        <f t="shared" si="52"/>
        <v>0.73993839059241651</v>
      </c>
      <c r="H330" s="122">
        <f t="shared" si="53"/>
        <v>4.9082504262000566E-2</v>
      </c>
      <c r="I330" s="122">
        <f t="shared" si="54"/>
        <v>0.73993839059241651</v>
      </c>
      <c r="J330" s="122">
        <f t="shared" si="55"/>
        <v>-4.9082504262000566E-2</v>
      </c>
      <c r="K330" s="122"/>
      <c r="Y330" s="126">
        <f t="shared" si="56"/>
        <v>-0.5</v>
      </c>
    </row>
    <row r="331" spans="2:25" x14ac:dyDescent="0.3">
      <c r="B331" s="122">
        <v>0.74269537268535735</v>
      </c>
      <c r="C331" s="122">
        <f t="shared" si="48"/>
        <v>0</v>
      </c>
      <c r="D331" s="126">
        <f t="shared" si="49"/>
        <v>4.880172002369728E-2</v>
      </c>
      <c r="E331" s="122">
        <f t="shared" si="50"/>
        <v>0</v>
      </c>
      <c r="F331" s="122">
        <f t="shared" si="51"/>
        <v>0</v>
      </c>
      <c r="G331" s="122">
        <f t="shared" si="52"/>
        <v>0.74269537268535735</v>
      </c>
      <c r="H331" s="122">
        <f t="shared" si="53"/>
        <v>4.880172002369728E-2</v>
      </c>
      <c r="I331" s="122">
        <f t="shared" si="54"/>
        <v>0.74269537268535735</v>
      </c>
      <c r="J331" s="122">
        <f t="shared" si="55"/>
        <v>-4.880172002369728E-2</v>
      </c>
      <c r="K331" s="122"/>
      <c r="Y331" s="126">
        <f t="shared" si="56"/>
        <v>-0.5</v>
      </c>
    </row>
    <row r="332" spans="2:25" x14ac:dyDescent="0.3">
      <c r="B332" s="122">
        <v>0.74544273514059989</v>
      </c>
      <c r="C332" s="122">
        <f t="shared" si="48"/>
        <v>0</v>
      </c>
      <c r="D332" s="126">
        <f t="shared" si="49"/>
        <v>4.8517754422660202E-2</v>
      </c>
      <c r="E332" s="122">
        <f t="shared" si="50"/>
        <v>0</v>
      </c>
      <c r="F332" s="122">
        <f t="shared" si="51"/>
        <v>0</v>
      </c>
      <c r="G332" s="122">
        <f t="shared" si="52"/>
        <v>0.74544273514059989</v>
      </c>
      <c r="H332" s="122">
        <f t="shared" si="53"/>
        <v>4.8517754422660202E-2</v>
      </c>
      <c r="I332" s="122">
        <f t="shared" si="54"/>
        <v>0.74544273514059989</v>
      </c>
      <c r="J332" s="122">
        <f t="shared" si="55"/>
        <v>-4.8517754422660202E-2</v>
      </c>
      <c r="K332" s="122"/>
      <c r="Y332" s="126">
        <f t="shared" si="56"/>
        <v>-0.5</v>
      </c>
    </row>
    <row r="333" spans="2:25" x14ac:dyDescent="0.3">
      <c r="B333" s="122">
        <v>0.74818036906183039</v>
      </c>
      <c r="C333" s="122">
        <f t="shared" si="48"/>
        <v>0</v>
      </c>
      <c r="D333" s="126">
        <f t="shared" si="49"/>
        <v>4.8230640910284936E-2</v>
      </c>
      <c r="E333" s="122">
        <f t="shared" si="50"/>
        <v>0</v>
      </c>
      <c r="F333" s="122">
        <f t="shared" si="51"/>
        <v>0</v>
      </c>
      <c r="G333" s="122">
        <f t="shared" si="52"/>
        <v>0.74818036906183039</v>
      </c>
      <c r="H333" s="122">
        <f t="shared" si="53"/>
        <v>4.8230640910284936E-2</v>
      </c>
      <c r="I333" s="122">
        <f t="shared" si="54"/>
        <v>0.74818036906183039</v>
      </c>
      <c r="J333" s="122">
        <f t="shared" si="55"/>
        <v>-4.8230640910284936E-2</v>
      </c>
      <c r="K333" s="122"/>
      <c r="Y333" s="126">
        <f t="shared" si="56"/>
        <v>-0.5</v>
      </c>
    </row>
    <row r="334" spans="2:25" x14ac:dyDescent="0.3">
      <c r="B334" s="122">
        <v>0.75090816593834164</v>
      </c>
      <c r="C334" s="122">
        <f t="shared" si="48"/>
        <v>0</v>
      </c>
      <c r="D334" s="126">
        <f t="shared" si="49"/>
        <v>4.7940413861908227E-2</v>
      </c>
      <c r="E334" s="122">
        <f t="shared" si="50"/>
        <v>0</v>
      </c>
      <c r="F334" s="122">
        <f t="shared" si="51"/>
        <v>0</v>
      </c>
      <c r="G334" s="122">
        <f t="shared" si="52"/>
        <v>0.75090816593834164</v>
      </c>
      <c r="H334" s="122">
        <f t="shared" si="53"/>
        <v>4.7940413861908227E-2</v>
      </c>
      <c r="I334" s="122">
        <f t="shared" si="54"/>
        <v>0.75090816593834164</v>
      </c>
      <c r="J334" s="122">
        <f t="shared" si="55"/>
        <v>-4.7940413861908227E-2</v>
      </c>
      <c r="K334" s="122"/>
      <c r="Y334" s="126">
        <f t="shared" si="56"/>
        <v>-0.5</v>
      </c>
    </row>
    <row r="335" spans="2:25" x14ac:dyDescent="0.3">
      <c r="B335" s="122">
        <v>0.75362601764933479</v>
      </c>
      <c r="C335" s="122">
        <f t="shared" si="48"/>
        <v>0</v>
      </c>
      <c r="D335" s="126">
        <f t="shared" si="49"/>
        <v>4.7647108571942799E-2</v>
      </c>
      <c r="E335" s="122">
        <f t="shared" si="50"/>
        <v>0</v>
      </c>
      <c r="F335" s="122">
        <f t="shared" si="51"/>
        <v>0</v>
      </c>
      <c r="G335" s="122">
        <f t="shared" si="52"/>
        <v>0.75362601764933479</v>
      </c>
      <c r="H335" s="122">
        <f t="shared" si="53"/>
        <v>4.7647108571942799E-2</v>
      </c>
      <c r="I335" s="122">
        <f t="shared" si="54"/>
        <v>0.75362601764933479</v>
      </c>
      <c r="J335" s="122">
        <f t="shared" si="55"/>
        <v>-4.7647108571942799E-2</v>
      </c>
      <c r="K335" s="122"/>
      <c r="Y335" s="126">
        <f t="shared" si="56"/>
        <v>-0.5</v>
      </c>
    </row>
    <row r="336" spans="2:25" x14ac:dyDescent="0.3">
      <c r="B336" s="122">
        <v>0.75633381646820341</v>
      </c>
      <c r="C336" s="122">
        <f t="shared" si="48"/>
        <v>0</v>
      </c>
      <c r="D336" s="126">
        <f t="shared" si="49"/>
        <v>4.7350761248727051E-2</v>
      </c>
      <c r="E336" s="122">
        <f t="shared" si="50"/>
        <v>0</v>
      </c>
      <c r="F336" s="122">
        <f t="shared" si="51"/>
        <v>0</v>
      </c>
      <c r="G336" s="122">
        <f t="shared" si="52"/>
        <v>0.75633381646820341</v>
      </c>
      <c r="H336" s="122">
        <f t="shared" si="53"/>
        <v>4.7350761248727051E-2</v>
      </c>
      <c r="I336" s="122">
        <f t="shared" si="54"/>
        <v>0.75633381646820341</v>
      </c>
      <c r="J336" s="122">
        <f t="shared" si="55"/>
        <v>-4.7350761248727051E-2</v>
      </c>
      <c r="K336" s="122"/>
      <c r="Y336" s="126">
        <f t="shared" si="56"/>
        <v>-0.5</v>
      </c>
    </row>
    <row r="337" spans="2:25" x14ac:dyDescent="0.3">
      <c r="B337" s="122">
        <v>0.75903145506680525</v>
      </c>
      <c r="C337" s="122">
        <f t="shared" si="48"/>
        <v>0</v>
      </c>
      <c r="D337" s="126">
        <f t="shared" si="49"/>
        <v>4.7051409009089967E-2</v>
      </c>
      <c r="E337" s="122">
        <f t="shared" si="50"/>
        <v>0</v>
      </c>
      <c r="F337" s="122">
        <f t="shared" si="51"/>
        <v>0</v>
      </c>
      <c r="G337" s="122">
        <f t="shared" si="52"/>
        <v>0.75903145506680525</v>
      </c>
      <c r="H337" s="122">
        <f t="shared" si="53"/>
        <v>4.7051409009089967E-2</v>
      </c>
      <c r="I337" s="122">
        <f t="shared" si="54"/>
        <v>0.75903145506680525</v>
      </c>
      <c r="J337" s="122">
        <f t="shared" si="55"/>
        <v>-4.7051409009089967E-2</v>
      </c>
      <c r="K337" s="122"/>
      <c r="Y337" s="126">
        <f t="shared" si="56"/>
        <v>-0.5</v>
      </c>
    </row>
    <row r="338" spans="2:25" x14ac:dyDescent="0.3">
      <c r="B338" s="122">
        <v>0.76171882651971456</v>
      </c>
      <c r="C338" s="122">
        <f t="shared" si="48"/>
        <v>0</v>
      </c>
      <c r="D338" s="126">
        <f t="shared" si="49"/>
        <v>4.6749089872632793E-2</v>
      </c>
      <c r="E338" s="122">
        <f t="shared" si="50"/>
        <v>0</v>
      </c>
      <c r="F338" s="122">
        <f t="shared" si="51"/>
        <v>0</v>
      </c>
      <c r="G338" s="122">
        <f t="shared" si="52"/>
        <v>0.76171882651971456</v>
      </c>
      <c r="H338" s="122">
        <f t="shared" si="53"/>
        <v>4.6749089872632793E-2</v>
      </c>
      <c r="I338" s="122">
        <f t="shared" si="54"/>
        <v>0.76171882651971456</v>
      </c>
      <c r="J338" s="122">
        <f t="shared" si="55"/>
        <v>-4.6749089872632793E-2</v>
      </c>
      <c r="K338" s="122"/>
      <c r="Y338" s="126">
        <f t="shared" si="56"/>
        <v>-0.5</v>
      </c>
    </row>
    <row r="339" spans="2:25" x14ac:dyDescent="0.3">
      <c r="B339" s="122">
        <v>0.76439582430846209</v>
      </c>
      <c r="C339" s="122">
        <f t="shared" si="48"/>
        <v>0</v>
      </c>
      <c r="D339" s="126">
        <f t="shared" si="49"/>
        <v>4.6443842755727667E-2</v>
      </c>
      <c r="E339" s="122">
        <f t="shared" si="50"/>
        <v>0</v>
      </c>
      <c r="F339" s="122">
        <f t="shared" si="51"/>
        <v>0</v>
      </c>
      <c r="G339" s="122">
        <f t="shared" si="52"/>
        <v>0.76439582430846209</v>
      </c>
      <c r="H339" s="122">
        <f t="shared" si="53"/>
        <v>4.6443842755727667E-2</v>
      </c>
      <c r="I339" s="122">
        <f t="shared" si="54"/>
        <v>0.76439582430846209</v>
      </c>
      <c r="J339" s="122">
        <f t="shared" si="55"/>
        <v>-4.6443842755727667E-2</v>
      </c>
      <c r="K339" s="122"/>
      <c r="Y339" s="126">
        <f t="shared" si="56"/>
        <v>-0.5</v>
      </c>
    </row>
    <row r="340" spans="2:25" x14ac:dyDescent="0.3">
      <c r="B340" s="122">
        <v>0.76706234232575465</v>
      </c>
      <c r="C340" s="122">
        <f t="shared" si="48"/>
        <v>0</v>
      </c>
      <c r="D340" s="126">
        <f t="shared" si="49"/>
        <v>4.613570746523514E-2</v>
      </c>
      <c r="E340" s="122">
        <f t="shared" si="50"/>
        <v>0</v>
      </c>
      <c r="F340" s="122">
        <f t="shared" si="51"/>
        <v>0</v>
      </c>
      <c r="G340" s="122">
        <f t="shared" si="52"/>
        <v>0.76706234232575465</v>
      </c>
      <c r="H340" s="122">
        <f t="shared" si="53"/>
        <v>4.613570746523514E-2</v>
      </c>
      <c r="I340" s="122">
        <f t="shared" si="54"/>
        <v>0.76706234232575465</v>
      </c>
      <c r="J340" s="122">
        <f t="shared" si="55"/>
        <v>-4.613570746523514E-2</v>
      </c>
      <c r="K340" s="122"/>
      <c r="Y340" s="126">
        <f t="shared" si="56"/>
        <v>-0.5</v>
      </c>
    </row>
    <row r="341" spans="2:25" x14ac:dyDescent="0.3">
      <c r="B341" s="122">
        <v>0.76971827487968403</v>
      </c>
      <c r="C341" s="122">
        <f t="shared" si="48"/>
        <v>0</v>
      </c>
      <c r="D341" s="126">
        <f t="shared" si="49"/>
        <v>4.5824724691940738E-2</v>
      </c>
      <c r="E341" s="122">
        <f t="shared" si="50"/>
        <v>0</v>
      </c>
      <c r="F341" s="122">
        <f t="shared" si="51"/>
        <v>0</v>
      </c>
      <c r="G341" s="122">
        <f t="shared" si="52"/>
        <v>0.76971827487968403</v>
      </c>
      <c r="H341" s="122">
        <f t="shared" si="53"/>
        <v>4.5824724691940738E-2</v>
      </c>
      <c r="I341" s="122">
        <f t="shared" si="54"/>
        <v>0.76971827487968403</v>
      </c>
      <c r="J341" s="122">
        <f t="shared" si="55"/>
        <v>-4.5824724691940738E-2</v>
      </c>
      <c r="K341" s="122"/>
      <c r="Y341" s="126">
        <f t="shared" si="56"/>
        <v>-0.5</v>
      </c>
    </row>
    <row r="342" spans="2:25" x14ac:dyDescent="0.3">
      <c r="B342" s="122">
        <v>0.77236351669791325</v>
      </c>
      <c r="C342" s="122">
        <f t="shared" si="48"/>
        <v>0</v>
      </c>
      <c r="D342" s="126">
        <f t="shared" si="49"/>
        <v>4.5510936003713039E-2</v>
      </c>
      <c r="E342" s="122">
        <f t="shared" si="50"/>
        <v>0</v>
      </c>
      <c r="F342" s="122">
        <f t="shared" si="51"/>
        <v>0</v>
      </c>
      <c r="G342" s="122">
        <f t="shared" si="52"/>
        <v>0.77236351669791325</v>
      </c>
      <c r="H342" s="122">
        <f t="shared" si="53"/>
        <v>4.5510936003713039E-2</v>
      </c>
      <c r="I342" s="122">
        <f t="shared" si="54"/>
        <v>0.77236351669791325</v>
      </c>
      <c r="J342" s="122">
        <f t="shared" si="55"/>
        <v>-4.5510936003713039E-2</v>
      </c>
      <c r="K342" s="122"/>
      <c r="Y342" s="126">
        <f t="shared" si="56"/>
        <v>-0.5</v>
      </c>
    </row>
    <row r="343" spans="2:25" x14ac:dyDescent="0.3">
      <c r="B343" s="122">
        <v>0.77499796293185153</v>
      </c>
      <c r="C343" s="122">
        <f t="shared" si="48"/>
        <v>0</v>
      </c>
      <c r="D343" s="126">
        <f t="shared" si="49"/>
        <v>4.5194383838383319E-2</v>
      </c>
      <c r="E343" s="122">
        <f t="shared" si="50"/>
        <v>0</v>
      </c>
      <c r="F343" s="122">
        <f t="shared" si="51"/>
        <v>0</v>
      </c>
      <c r="G343" s="122">
        <f t="shared" si="52"/>
        <v>0.77499796293185153</v>
      </c>
      <c r="H343" s="122">
        <f t="shared" si="53"/>
        <v>4.5194383838383319E-2</v>
      </c>
      <c r="I343" s="122">
        <f t="shared" si="54"/>
        <v>0.77499796293185153</v>
      </c>
      <c r="J343" s="122">
        <f t="shared" si="55"/>
        <v>-4.5194383838383319E-2</v>
      </c>
      <c r="K343" s="122"/>
      <c r="Y343" s="126">
        <f t="shared" si="56"/>
        <v>-0.5</v>
      </c>
    </row>
    <row r="344" spans="2:25" x14ac:dyDescent="0.3">
      <c r="B344" s="122">
        <v>0.77762150916080852</v>
      </c>
      <c r="C344" s="122">
        <f t="shared" si="48"/>
        <v>0</v>
      </c>
      <c r="D344" s="126">
        <f t="shared" si="49"/>
        <v>4.4875111496349492E-2</v>
      </c>
      <c r="E344" s="122">
        <f t="shared" si="50"/>
        <v>0</v>
      </c>
      <c r="F344" s="122">
        <f t="shared" si="51"/>
        <v>0</v>
      </c>
      <c r="G344" s="122">
        <f t="shared" si="52"/>
        <v>0.77762150916080852</v>
      </c>
      <c r="H344" s="122">
        <f t="shared" si="53"/>
        <v>4.4875111496349492E-2</v>
      </c>
      <c r="I344" s="122">
        <f t="shared" si="54"/>
        <v>0.77762150916080852</v>
      </c>
      <c r="J344" s="122">
        <f t="shared" si="55"/>
        <v>-4.4875111496349492E-2</v>
      </c>
      <c r="K344" s="122"/>
      <c r="Y344" s="126">
        <f t="shared" si="56"/>
        <v>-0.5</v>
      </c>
    </row>
    <row r="345" spans="2:25" x14ac:dyDescent="0.3">
      <c r="B345" s="122">
        <v>0.78023405139613411</v>
      </c>
      <c r="C345" s="122">
        <f t="shared" si="48"/>
        <v>0</v>
      </c>
      <c r="D345" s="126">
        <f t="shared" si="49"/>
        <v>4.4553163132904736E-2</v>
      </c>
      <c r="E345" s="122">
        <f t="shared" si="50"/>
        <v>0</v>
      </c>
      <c r="F345" s="122">
        <f t="shared" si="51"/>
        <v>0</v>
      </c>
      <c r="G345" s="122">
        <f t="shared" si="52"/>
        <v>0.78023405139613411</v>
      </c>
      <c r="H345" s="122">
        <f t="shared" si="53"/>
        <v>4.4553163132904736E-2</v>
      </c>
      <c r="I345" s="122">
        <f t="shared" si="54"/>
        <v>0.78023405139613411</v>
      </c>
      <c r="J345" s="122">
        <f t="shared" si="55"/>
        <v>-4.4553163132904736E-2</v>
      </c>
      <c r="K345" s="122"/>
      <c r="Y345" s="126">
        <f t="shared" si="56"/>
        <v>-0.5</v>
      </c>
    </row>
    <row r="346" spans="2:25" x14ac:dyDescent="0.3">
      <c r="B346" s="122">
        <v>0.78283548608533993</v>
      </c>
      <c r="C346" s="122">
        <f t="shared" si="48"/>
        <v>0</v>
      </c>
      <c r="D346" s="126">
        <f t="shared" si="49"/>
        <v>4.4228583750293322E-2</v>
      </c>
      <c r="E346" s="122">
        <f t="shared" si="50"/>
        <v>0</v>
      </c>
      <c r="F346" s="122">
        <f t="shared" si="51"/>
        <v>0</v>
      </c>
      <c r="G346" s="122">
        <f t="shared" si="52"/>
        <v>0.78283548608533993</v>
      </c>
      <c r="H346" s="122">
        <f t="shared" si="53"/>
        <v>4.4228583750293322E-2</v>
      </c>
      <c r="I346" s="122">
        <f t="shared" si="54"/>
        <v>0.78283548608533993</v>
      </c>
      <c r="J346" s="122">
        <f t="shared" si="55"/>
        <v>-4.4228583750293322E-2</v>
      </c>
      <c r="K346" s="122"/>
      <c r="Y346" s="126">
        <f t="shared" si="56"/>
        <v>-0.5</v>
      </c>
    </row>
    <row r="347" spans="2:25" x14ac:dyDescent="0.3">
      <c r="B347" s="122">
        <v>0.78542571011620343</v>
      </c>
      <c r="C347" s="122">
        <f t="shared" si="48"/>
        <v>0</v>
      </c>
      <c r="D347" s="126">
        <f t="shared" si="49"/>
        <v>4.3901419189494847E-2</v>
      </c>
      <c r="E347" s="122">
        <f t="shared" si="50"/>
        <v>0</v>
      </c>
      <c r="F347" s="122">
        <f t="shared" si="51"/>
        <v>0</v>
      </c>
      <c r="G347" s="122">
        <f t="shared" si="52"/>
        <v>0.78542571011620343</v>
      </c>
      <c r="H347" s="122">
        <f t="shared" si="53"/>
        <v>4.3901419189494847E-2</v>
      </c>
      <c r="I347" s="122">
        <f t="shared" si="54"/>
        <v>0.78542571011620343</v>
      </c>
      <c r="J347" s="122">
        <f t="shared" si="55"/>
        <v>-4.3901419189494847E-2</v>
      </c>
      <c r="K347" s="122"/>
      <c r="Y347" s="126">
        <f t="shared" si="56"/>
        <v>-0.5</v>
      </c>
    </row>
    <row r="348" spans="2:25" x14ac:dyDescent="0.3">
      <c r="B348" s="122">
        <v>0.78800462082085621</v>
      </c>
      <c r="C348" s="122">
        <f t="shared" si="48"/>
        <v>0</v>
      </c>
      <c r="D348" s="126">
        <f t="shared" si="49"/>
        <v>4.3571716121738803E-2</v>
      </c>
      <c r="E348" s="122">
        <f t="shared" si="50"/>
        <v>0</v>
      </c>
      <c r="F348" s="122">
        <f t="shared" si="51"/>
        <v>0</v>
      </c>
      <c r="G348" s="122">
        <f t="shared" si="52"/>
        <v>0.78800462082085621</v>
      </c>
      <c r="H348" s="122">
        <f t="shared" si="53"/>
        <v>4.3571716121738803E-2</v>
      </c>
      <c r="I348" s="122">
        <f t="shared" si="54"/>
        <v>0.78800462082085621</v>
      </c>
      <c r="J348" s="122">
        <f t="shared" si="55"/>
        <v>-4.3571716121738803E-2</v>
      </c>
      <c r="K348" s="122"/>
      <c r="Y348" s="126">
        <f t="shared" si="56"/>
        <v>-0.5</v>
      </c>
    </row>
    <row r="349" spans="2:25" x14ac:dyDescent="0.3">
      <c r="B349" s="122">
        <v>0.79057211597985133</v>
      </c>
      <c r="C349" s="122">
        <f t="shared" si="48"/>
        <v>0</v>
      </c>
      <c r="D349" s="126">
        <f t="shared" si="49"/>
        <v>4.3239522039751746E-2</v>
      </c>
      <c r="E349" s="122">
        <f t="shared" si="50"/>
        <v>0</v>
      </c>
      <c r="F349" s="122">
        <f t="shared" si="51"/>
        <v>0</v>
      </c>
      <c r="G349" s="122">
        <f t="shared" si="52"/>
        <v>0.79057211597985133</v>
      </c>
      <c r="H349" s="122">
        <f t="shared" si="53"/>
        <v>4.3239522039751746E-2</v>
      </c>
      <c r="I349" s="122">
        <f t="shared" si="54"/>
        <v>0.79057211597985133</v>
      </c>
      <c r="J349" s="122">
        <f t="shared" si="55"/>
        <v>-4.3239522039751746E-2</v>
      </c>
      <c r="K349" s="122"/>
      <c r="Y349" s="126">
        <f t="shared" si="56"/>
        <v>-0.5</v>
      </c>
    </row>
    <row r="350" spans="2:25" x14ac:dyDescent="0.3">
      <c r="B350" s="122">
        <v>0.79312809382621685</v>
      </c>
      <c r="C350" s="122">
        <f t="shared" si="48"/>
        <v>0</v>
      </c>
      <c r="D350" s="126">
        <f t="shared" si="49"/>
        <v>4.2904885248738284E-2</v>
      </c>
      <c r="E350" s="122">
        <f t="shared" si="50"/>
        <v>0</v>
      </c>
      <c r="F350" s="122">
        <f t="shared" si="51"/>
        <v>0</v>
      </c>
      <c r="G350" s="122">
        <f t="shared" si="52"/>
        <v>0.79312809382621685</v>
      </c>
      <c r="H350" s="122">
        <f t="shared" si="53"/>
        <v>4.2904885248738284E-2</v>
      </c>
      <c r="I350" s="122">
        <f t="shared" si="54"/>
        <v>0.79312809382621685</v>
      </c>
      <c r="J350" s="122">
        <f t="shared" si="55"/>
        <v>-4.2904885248738284E-2</v>
      </c>
      <c r="K350" s="122"/>
      <c r="Y350" s="126">
        <f t="shared" si="56"/>
        <v>-0.5</v>
      </c>
    </row>
    <row r="351" spans="2:25" x14ac:dyDescent="0.3">
      <c r="B351" s="122">
        <v>0.79567245304948864</v>
      </c>
      <c r="C351" s="122">
        <f t="shared" si="48"/>
        <v>0</v>
      </c>
      <c r="D351" s="126">
        <f t="shared" si="49"/>
        <v>4.2567854857098873E-2</v>
      </c>
      <c r="E351" s="122">
        <f t="shared" si="50"/>
        <v>0</v>
      </c>
      <c r="F351" s="122">
        <f t="shared" si="51"/>
        <v>0</v>
      </c>
      <c r="G351" s="122">
        <f t="shared" si="52"/>
        <v>0.79567245304948864</v>
      </c>
      <c r="H351" s="122">
        <f t="shared" si="53"/>
        <v>4.2567854857098873E-2</v>
      </c>
      <c r="I351" s="122">
        <f t="shared" si="54"/>
        <v>0.79567245304948864</v>
      </c>
      <c r="J351" s="122">
        <f t="shared" si="55"/>
        <v>-4.2567854857098873E-2</v>
      </c>
      <c r="K351" s="122"/>
      <c r="Y351" s="126">
        <f t="shared" si="56"/>
        <v>-0.5</v>
      </c>
    </row>
    <row r="352" spans="2:25" x14ac:dyDescent="0.3">
      <c r="B352" s="122">
        <v>0.79820509279972629</v>
      </c>
      <c r="C352" s="122">
        <f t="shared" si="48"/>
        <v>0</v>
      </c>
      <c r="D352" s="126">
        <f t="shared" si="49"/>
        <v>4.2228480766885866E-2</v>
      </c>
      <c r="E352" s="122">
        <f t="shared" si="50"/>
        <v>0</v>
      </c>
      <c r="F352" s="122">
        <f t="shared" si="51"/>
        <v>0</v>
      </c>
      <c r="G352" s="122">
        <f t="shared" si="52"/>
        <v>0.79820509279972629</v>
      </c>
      <c r="H352" s="122">
        <f t="shared" si="53"/>
        <v>4.2228480766885866E-2</v>
      </c>
      <c r="I352" s="122">
        <f t="shared" si="54"/>
        <v>0.79820509279972629</v>
      </c>
      <c r="J352" s="122">
        <f t="shared" si="55"/>
        <v>-4.2228480766885866E-2</v>
      </c>
      <c r="K352" s="122"/>
      <c r="Y352" s="126">
        <f t="shared" si="56"/>
        <v>-0.5</v>
      </c>
    </row>
    <row r="353" spans="2:25" x14ac:dyDescent="0.3">
      <c r="B353" s="122">
        <v>0.80072591269150994</v>
      </c>
      <c r="C353" s="122">
        <f t="shared" si="48"/>
        <v>0</v>
      </c>
      <c r="D353" s="126">
        <f t="shared" si="49"/>
        <v>4.1886813664000676E-2</v>
      </c>
      <c r="E353" s="122">
        <f t="shared" si="50"/>
        <v>0</v>
      </c>
      <c r="F353" s="122">
        <f t="shared" si="51"/>
        <v>0</v>
      </c>
      <c r="G353" s="122">
        <f t="shared" si="52"/>
        <v>0.80072591269150994</v>
      </c>
      <c r="H353" s="122">
        <f t="shared" si="53"/>
        <v>4.1886813664000676E-2</v>
      </c>
      <c r="I353" s="122">
        <f t="shared" si="54"/>
        <v>0.80072591269150994</v>
      </c>
      <c r="J353" s="122">
        <f t="shared" si="55"/>
        <v>-4.1886813664000676E-2</v>
      </c>
      <c r="K353" s="122"/>
      <c r="Y353" s="126">
        <f t="shared" si="56"/>
        <v>-0.5</v>
      </c>
    </row>
    <row r="354" spans="2:25" x14ac:dyDescent="0.3">
      <c r="B354" s="122">
        <v>0.80323481280792031</v>
      </c>
      <c r="C354" s="122">
        <f t="shared" si="48"/>
        <v>0</v>
      </c>
      <c r="D354" s="126">
        <f t="shared" si="49"/>
        <v>4.1542905008133714E-2</v>
      </c>
      <c r="E354" s="122">
        <f t="shared" si="50"/>
        <v>0</v>
      </c>
      <c r="F354" s="122">
        <f t="shared" si="51"/>
        <v>0</v>
      </c>
      <c r="G354" s="122">
        <f t="shared" si="52"/>
        <v>0.80323481280792031</v>
      </c>
      <c r="H354" s="122">
        <f t="shared" si="53"/>
        <v>4.1542905008133714E-2</v>
      </c>
      <c r="I354" s="122">
        <f t="shared" si="54"/>
        <v>0.80323481280792031</v>
      </c>
      <c r="J354" s="122">
        <f t="shared" si="55"/>
        <v>-4.1542905008133714E-2</v>
      </c>
      <c r="K354" s="122"/>
      <c r="Y354" s="126">
        <f t="shared" si="56"/>
        <v>-0.5</v>
      </c>
    </row>
    <row r="355" spans="2:25" x14ac:dyDescent="0.3">
      <c r="B355" s="122">
        <v>0.8057316937044976</v>
      </c>
      <c r="C355" s="122">
        <f t="shared" si="48"/>
        <v>0</v>
      </c>
      <c r="D355" s="126">
        <f t="shared" si="49"/>
        <v>4.1196807022450488E-2</v>
      </c>
      <c r="E355" s="122">
        <f t="shared" si="50"/>
        <v>0</v>
      </c>
      <c r="F355" s="122">
        <f t="shared" si="51"/>
        <v>0</v>
      </c>
      <c r="G355" s="122">
        <f t="shared" si="52"/>
        <v>0.8057316937044976</v>
      </c>
      <c r="H355" s="122">
        <f t="shared" si="53"/>
        <v>4.1196807022450488E-2</v>
      </c>
      <c r="I355" s="122">
        <f t="shared" si="54"/>
        <v>0.8057316937044976</v>
      </c>
      <c r="J355" s="122">
        <f t="shared" si="55"/>
        <v>-4.1196807022450488E-2</v>
      </c>
      <c r="K355" s="122"/>
      <c r="Y355" s="126">
        <f t="shared" si="56"/>
        <v>-0.5</v>
      </c>
    </row>
    <row r="356" spans="2:25" x14ac:dyDescent="0.3">
      <c r="B356" s="122">
        <v>0.8082164564131844</v>
      </c>
      <c r="C356" s="122">
        <f t="shared" si="48"/>
        <v>0</v>
      </c>
      <c r="D356" s="126">
        <f t="shared" si="49"/>
        <v>4.084857268302524E-2</v>
      </c>
      <c r="E356" s="122">
        <f t="shared" si="50"/>
        <v>0</v>
      </c>
      <c r="F356" s="122">
        <f t="shared" si="51"/>
        <v>0</v>
      </c>
      <c r="G356" s="122">
        <f t="shared" si="52"/>
        <v>0.8082164564131844</v>
      </c>
      <c r="H356" s="122">
        <f t="shared" si="53"/>
        <v>4.084857268302524E-2</v>
      </c>
      <c r="I356" s="122">
        <f t="shared" si="54"/>
        <v>0.8082164564131844</v>
      </c>
      <c r="J356" s="122">
        <f t="shared" si="55"/>
        <v>-4.084857268302524E-2</v>
      </c>
      <c r="K356" s="122"/>
      <c r="Y356" s="126">
        <f t="shared" si="56"/>
        <v>-0.5</v>
      </c>
    </row>
    <row r="357" spans="2:25" x14ac:dyDescent="0.3">
      <c r="B357" s="122">
        <v>0.81068900244624797</v>
      </c>
      <c r="C357" s="122">
        <f t="shared" si="48"/>
        <v>0</v>
      </c>
      <c r="D357" s="126">
        <f t="shared" si="49"/>
        <v>4.0498255708025808E-2</v>
      </c>
      <c r="E357" s="122">
        <f t="shared" si="50"/>
        <v>0</v>
      </c>
      <c r="F357" s="122">
        <f t="shared" si="51"/>
        <v>0</v>
      </c>
      <c r="G357" s="122">
        <f t="shared" si="52"/>
        <v>0.81068900244624797</v>
      </c>
      <c r="H357" s="122">
        <f t="shared" si="53"/>
        <v>4.0498255708025808E-2</v>
      </c>
      <c r="I357" s="122">
        <f t="shared" si="54"/>
        <v>0.81068900244624797</v>
      </c>
      <c r="J357" s="122">
        <f t="shared" si="55"/>
        <v>-4.0498255708025808E-2</v>
      </c>
      <c r="K357" s="122"/>
      <c r="Y357" s="126">
        <f t="shared" si="56"/>
        <v>-0.5</v>
      </c>
    </row>
    <row r="358" spans="2:25" x14ac:dyDescent="0.3">
      <c r="B358" s="122">
        <v>0.81314923380018378</v>
      </c>
      <c r="C358" s="122">
        <f t="shared" si="48"/>
        <v>0</v>
      </c>
      <c r="D358" s="126">
        <f t="shared" si="49"/>
        <v>4.01459105466518E-2</v>
      </c>
      <c r="E358" s="122">
        <f t="shared" si="50"/>
        <v>0</v>
      </c>
      <c r="F358" s="122">
        <f t="shared" si="51"/>
        <v>0</v>
      </c>
      <c r="G358" s="122">
        <f t="shared" si="52"/>
        <v>0.81314923380018378</v>
      </c>
      <c r="H358" s="122">
        <f t="shared" si="53"/>
        <v>4.01459105466518E-2</v>
      </c>
      <c r="I358" s="122">
        <f t="shared" si="54"/>
        <v>0.81314923380018378</v>
      </c>
      <c r="J358" s="122">
        <f t="shared" si="55"/>
        <v>-4.01459105466518E-2</v>
      </c>
      <c r="K358" s="122"/>
      <c r="Y358" s="126">
        <f t="shared" si="56"/>
        <v>-0.5</v>
      </c>
    </row>
    <row r="359" spans="2:25" x14ac:dyDescent="0.3">
      <c r="B359" s="122">
        <v>0.81559705295960072</v>
      </c>
      <c r="C359" s="122">
        <f t="shared" si="48"/>
        <v>0</v>
      </c>
      <c r="D359" s="126">
        <f t="shared" si="49"/>
        <v>3.9791592367828803E-2</v>
      </c>
      <c r="E359" s="122">
        <f t="shared" si="50"/>
        <v>0</v>
      </c>
      <c r="F359" s="122">
        <f t="shared" si="51"/>
        <v>0</v>
      </c>
      <c r="G359" s="122">
        <f t="shared" si="52"/>
        <v>0.81559705295960072</v>
      </c>
      <c r="H359" s="122">
        <f t="shared" si="53"/>
        <v>3.9791592367828803E-2</v>
      </c>
      <c r="I359" s="122">
        <f t="shared" si="54"/>
        <v>0.81559705295960072</v>
      </c>
      <c r="J359" s="122">
        <f t="shared" si="55"/>
        <v>-3.9791592367828803E-2</v>
      </c>
      <c r="K359" s="122"/>
      <c r="Y359" s="126">
        <f t="shared" si="56"/>
        <v>-0.5</v>
      </c>
    </row>
    <row r="360" spans="2:25" x14ac:dyDescent="0.3">
      <c r="B360" s="122">
        <v>0.81803236290108483</v>
      </c>
      <c r="C360" s="122">
        <f t="shared" si="48"/>
        <v>0</v>
      </c>
      <c r="D360" s="126">
        <f t="shared" si="49"/>
        <v>3.9435357048662197E-2</v>
      </c>
      <c r="E360" s="122">
        <f t="shared" si="50"/>
        <v>0</v>
      </c>
      <c r="F360" s="122">
        <f t="shared" si="51"/>
        <v>0</v>
      </c>
      <c r="G360" s="122">
        <f t="shared" si="52"/>
        <v>0.81803236290108483</v>
      </c>
      <c r="H360" s="122">
        <f t="shared" si="53"/>
        <v>3.9435357048662197E-2</v>
      </c>
      <c r="I360" s="122">
        <f t="shared" si="54"/>
        <v>0.81803236290108483</v>
      </c>
      <c r="J360" s="122">
        <f t="shared" si="55"/>
        <v>-3.9435357048662197E-2</v>
      </c>
      <c r="K360" s="122"/>
      <c r="Y360" s="126">
        <f t="shared" si="56"/>
        <v>-0.5</v>
      </c>
    </row>
    <row r="361" spans="2:25" x14ac:dyDescent="0.3">
      <c r="B361" s="122">
        <v>0.82045506709704696</v>
      </c>
      <c r="C361" s="122">
        <f t="shared" si="48"/>
        <v>0</v>
      </c>
      <c r="D361" s="126">
        <f t="shared" si="49"/>
        <v>3.9077261162652407E-2</v>
      </c>
      <c r="E361" s="122">
        <f t="shared" si="50"/>
        <v>0</v>
      </c>
      <c r="F361" s="122">
        <f t="shared" si="51"/>
        <v>0</v>
      </c>
      <c r="G361" s="122">
        <f t="shared" si="52"/>
        <v>0.82045506709704696</v>
      </c>
      <c r="H361" s="122">
        <f t="shared" si="53"/>
        <v>3.9077261162652407E-2</v>
      </c>
      <c r="I361" s="122">
        <f t="shared" si="54"/>
        <v>0.82045506709704696</v>
      </c>
      <c r="J361" s="122">
        <f t="shared" si="55"/>
        <v>-3.9077261162652407E-2</v>
      </c>
      <c r="K361" s="122"/>
      <c r="Y361" s="126">
        <f t="shared" si="56"/>
        <v>-0.5</v>
      </c>
    </row>
    <row r="362" spans="2:25" x14ac:dyDescent="0.3">
      <c r="B362" s="122">
        <v>0.82286506951954708</v>
      </c>
      <c r="C362" s="122">
        <f t="shared" si="48"/>
        <v>0</v>
      </c>
      <c r="D362" s="126">
        <f t="shared" si="49"/>
        <v>3.8717361967675799E-2</v>
      </c>
      <c r="E362" s="122">
        <f t="shared" si="50"/>
        <v>0</v>
      </c>
      <c r="F362" s="122">
        <f t="shared" si="51"/>
        <v>0</v>
      </c>
      <c r="G362" s="122">
        <f t="shared" si="52"/>
        <v>0.82286506951954708</v>
      </c>
      <c r="H362" s="122">
        <f t="shared" si="53"/>
        <v>3.8717361967675799E-2</v>
      </c>
      <c r="I362" s="122">
        <f t="shared" si="54"/>
        <v>0.82286506951954708</v>
      </c>
      <c r="J362" s="122">
        <f t="shared" si="55"/>
        <v>-3.8717361967675799E-2</v>
      </c>
      <c r="K362" s="122"/>
      <c r="Y362" s="126">
        <f t="shared" si="56"/>
        <v>-0.5</v>
      </c>
    </row>
    <row r="363" spans="2:25" x14ac:dyDescent="0.3">
      <c r="B363" s="122">
        <v>0.82526227464410196</v>
      </c>
      <c r="C363" s="122">
        <f t="shared" si="48"/>
        <v>0</v>
      </c>
      <c r="D363" s="126">
        <f t="shared" si="49"/>
        <v>3.83557173937333E-2</v>
      </c>
      <c r="E363" s="122">
        <f t="shared" si="50"/>
        <v>0</v>
      </c>
      <c r="F363" s="122">
        <f t="shared" si="51"/>
        <v>0</v>
      </c>
      <c r="G363" s="122">
        <f t="shared" si="52"/>
        <v>0.82526227464410196</v>
      </c>
      <c r="H363" s="122">
        <f t="shared" si="53"/>
        <v>3.83557173937333E-2</v>
      </c>
      <c r="I363" s="122">
        <f t="shared" si="54"/>
        <v>0.82526227464410196</v>
      </c>
      <c r="J363" s="122">
        <f t="shared" si="55"/>
        <v>-3.83557173937333E-2</v>
      </c>
      <c r="K363" s="122"/>
      <c r="Y363" s="126">
        <f t="shared" si="56"/>
        <v>-0.5</v>
      </c>
    </row>
    <row r="364" spans="2:25" x14ac:dyDescent="0.3">
      <c r="B364" s="122">
        <v>0.82764658745347019</v>
      </c>
      <c r="C364" s="122">
        <f t="shared" si="48"/>
        <v>0</v>
      </c>
      <c r="D364" s="126">
        <f t="shared" si="49"/>
        <v>3.7992386030470879E-2</v>
      </c>
      <c r="E364" s="122">
        <f t="shared" si="50"/>
        <v>0</v>
      </c>
      <c r="F364" s="122">
        <f t="shared" si="51"/>
        <v>0</v>
      </c>
      <c r="G364" s="122">
        <f t="shared" si="52"/>
        <v>0.82764658745347019</v>
      </c>
      <c r="H364" s="122">
        <f t="shared" si="53"/>
        <v>3.7992386030470879E-2</v>
      </c>
      <c r="I364" s="122">
        <f t="shared" si="54"/>
        <v>0.82764658745347019</v>
      </c>
      <c r="J364" s="122">
        <f t="shared" si="55"/>
        <v>-3.7992386030470879E-2</v>
      </c>
      <c r="K364" s="122"/>
      <c r="Y364" s="126">
        <f t="shared" si="56"/>
        <v>-0.5</v>
      </c>
    </row>
    <row r="365" spans="2:25" x14ac:dyDescent="0.3">
      <c r="B365" s="122">
        <v>0.83001791344141862</v>
      </c>
      <c r="C365" s="122">
        <f t="shared" si="48"/>
        <v>0</v>
      </c>
      <c r="D365" s="126">
        <f t="shared" si="49"/>
        <v>3.7627427114474456E-2</v>
      </c>
      <c r="E365" s="122">
        <f t="shared" si="50"/>
        <v>0</v>
      </c>
      <c r="F365" s="122">
        <f t="shared" si="51"/>
        <v>0</v>
      </c>
      <c r="G365" s="122">
        <f t="shared" si="52"/>
        <v>0.83001791344141862</v>
      </c>
      <c r="H365" s="122">
        <f t="shared" si="53"/>
        <v>3.7627427114474456E-2</v>
      </c>
      <c r="I365" s="122">
        <f t="shared" si="54"/>
        <v>0.83001791344141862</v>
      </c>
      <c r="J365" s="122">
        <f t="shared" si="55"/>
        <v>-3.7627427114474456E-2</v>
      </c>
      <c r="K365" s="122"/>
      <c r="Y365" s="126">
        <f t="shared" si="56"/>
        <v>-0.5</v>
      </c>
    </row>
    <row r="366" spans="2:25" x14ac:dyDescent="0.3">
      <c r="B366" s="122">
        <v>0.83237615861646941</v>
      </c>
      <c r="C366" s="122">
        <f t="shared" si="48"/>
        <v>0</v>
      </c>
      <c r="D366" s="126">
        <f t="shared" si="49"/>
        <v>3.7260900516342621E-2</v>
      </c>
      <c r="E366" s="122">
        <f t="shared" si="50"/>
        <v>0</v>
      </c>
      <c r="F366" s="122">
        <f t="shared" si="51"/>
        <v>0</v>
      </c>
      <c r="G366" s="122">
        <f t="shared" si="52"/>
        <v>0.83237615861646941</v>
      </c>
      <c r="H366" s="122">
        <f t="shared" si="53"/>
        <v>3.7260900516342621E-2</v>
      </c>
      <c r="I366" s="122">
        <f t="shared" si="54"/>
        <v>0.83237615861646941</v>
      </c>
      <c r="J366" s="122">
        <f t="shared" si="55"/>
        <v>-3.7260900516342621E-2</v>
      </c>
      <c r="K366" s="122"/>
      <c r="Y366" s="126">
        <f t="shared" si="56"/>
        <v>-0.5</v>
      </c>
    </row>
    <row r="367" spans="2:25" x14ac:dyDescent="0.3">
      <c r="B367" s="122">
        <v>0.83472122950562377</v>
      </c>
      <c r="C367" s="122">
        <f t="shared" si="48"/>
        <v>0</v>
      </c>
      <c r="D367" s="126">
        <f t="shared" si="49"/>
        <v>3.6892866727541336E-2</v>
      </c>
      <c r="E367" s="122">
        <f t="shared" si="50"/>
        <v>0</v>
      </c>
      <c r="F367" s="122">
        <f t="shared" si="51"/>
        <v>0</v>
      </c>
      <c r="G367" s="122">
        <f t="shared" si="52"/>
        <v>0.83472122950562377</v>
      </c>
      <c r="H367" s="122">
        <f t="shared" si="53"/>
        <v>3.6892866727541336E-2</v>
      </c>
      <c r="I367" s="122">
        <f t="shared" si="54"/>
        <v>0.83472122950562377</v>
      </c>
      <c r="J367" s="122">
        <f t="shared" si="55"/>
        <v>-3.6892866727541336E-2</v>
      </c>
      <c r="K367" s="122"/>
      <c r="Y367" s="126">
        <f t="shared" si="56"/>
        <v>-0.5</v>
      </c>
    </row>
    <row r="368" spans="2:25" x14ac:dyDescent="0.3">
      <c r="B368" s="122">
        <v>0.83705303315806845</v>
      </c>
      <c r="C368" s="122">
        <f t="shared" si="48"/>
        <v>0</v>
      </c>
      <c r="D368" s="126">
        <f t="shared" si="49"/>
        <v>3.6523386847043052E-2</v>
      </c>
      <c r="E368" s="122">
        <f t="shared" si="50"/>
        <v>0</v>
      </c>
      <c r="F368" s="122">
        <f t="shared" si="51"/>
        <v>0</v>
      </c>
      <c r="G368" s="122">
        <f t="shared" si="52"/>
        <v>0.83705303315806845</v>
      </c>
      <c r="H368" s="122">
        <f t="shared" si="53"/>
        <v>3.6523386847043052E-2</v>
      </c>
      <c r="I368" s="122">
        <f t="shared" si="54"/>
        <v>0.83705303315806845</v>
      </c>
      <c r="J368" s="122">
        <f t="shared" si="55"/>
        <v>-3.6523386847043052E-2</v>
      </c>
      <c r="K368" s="122"/>
      <c r="Y368" s="126">
        <f t="shared" si="56"/>
        <v>-0.5</v>
      </c>
    </row>
    <row r="369" spans="2:25" x14ac:dyDescent="0.3">
      <c r="B369" s="122">
        <v>0.83937147714885874</v>
      </c>
      <c r="C369" s="122">
        <f t="shared" si="48"/>
        <v>0</v>
      </c>
      <c r="D369" s="126">
        <f t="shared" si="49"/>
        <v>3.6152522567754759E-2</v>
      </c>
      <c r="E369" s="122">
        <f t="shared" si="50"/>
        <v>0</v>
      </c>
      <c r="F369" s="122">
        <f t="shared" si="51"/>
        <v>0</v>
      </c>
      <c r="G369" s="122">
        <f t="shared" si="52"/>
        <v>0.83937147714885874</v>
      </c>
      <c r="H369" s="122">
        <f t="shared" si="53"/>
        <v>3.6152522567754759E-2</v>
      </c>
      <c r="I369" s="122">
        <f t="shared" si="54"/>
        <v>0.83937147714885874</v>
      </c>
      <c r="J369" s="122">
        <f t="shared" si="55"/>
        <v>-3.6152522567754759E-2</v>
      </c>
      <c r="K369" s="122"/>
      <c r="Y369" s="126">
        <f t="shared" si="56"/>
        <v>-0.5</v>
      </c>
    </row>
    <row r="370" spans="2:25" x14ac:dyDescent="0.3">
      <c r="B370" s="122">
        <v>0.84167646958258346</v>
      </c>
      <c r="C370" s="122">
        <f t="shared" si="48"/>
        <v>0</v>
      </c>
      <c r="D370" s="126">
        <f t="shared" si="49"/>
        <v>3.5780336162737847E-2</v>
      </c>
      <c r="E370" s="122">
        <f t="shared" si="50"/>
        <v>0</v>
      </c>
      <c r="F370" s="122">
        <f t="shared" si="51"/>
        <v>0</v>
      </c>
      <c r="G370" s="122">
        <f t="shared" si="52"/>
        <v>0.84167646958258346</v>
      </c>
      <c r="H370" s="122">
        <f t="shared" si="53"/>
        <v>3.5780336162737847E-2</v>
      </c>
      <c r="I370" s="122">
        <f t="shared" si="54"/>
        <v>0.84167646958258346</v>
      </c>
      <c r="J370" s="122">
        <f t="shared" si="55"/>
        <v>-3.5780336162737847E-2</v>
      </c>
      <c r="K370" s="122"/>
      <c r="Y370" s="126">
        <f t="shared" si="56"/>
        <v>-0.5</v>
      </c>
    </row>
    <row r="371" spans="2:25" x14ac:dyDescent="0.3">
      <c r="B371" s="122">
        <v>0.84396791909700508</v>
      </c>
      <c r="C371" s="122">
        <f t="shared" si="48"/>
        <v>0</v>
      </c>
      <c r="D371" s="126">
        <f t="shared" si="49"/>
        <v>3.5406890471224382E-2</v>
      </c>
      <c r="E371" s="122">
        <f t="shared" si="50"/>
        <v>0</v>
      </c>
      <c r="F371" s="122">
        <f t="shared" si="51"/>
        <v>0</v>
      </c>
      <c r="G371" s="122">
        <f t="shared" si="52"/>
        <v>0.84396791909700508</v>
      </c>
      <c r="H371" s="122">
        <f t="shared" si="53"/>
        <v>3.5406890471224382E-2</v>
      </c>
      <c r="I371" s="122">
        <f t="shared" si="54"/>
        <v>0.84396791909700508</v>
      </c>
      <c r="J371" s="122">
        <f t="shared" si="55"/>
        <v>-3.5406890471224382E-2</v>
      </c>
      <c r="K371" s="122"/>
      <c r="Y371" s="126">
        <f t="shared" si="56"/>
        <v>-0.5</v>
      </c>
    </row>
    <row r="372" spans="2:25" x14ac:dyDescent="0.3">
      <c r="B372" s="122">
        <v>0.84624573486668342</v>
      </c>
      <c r="C372" s="122">
        <f t="shared" si="48"/>
        <v>0</v>
      </c>
      <c r="D372" s="126">
        <f t="shared" si="49"/>
        <v>3.5032248884432488E-2</v>
      </c>
      <c r="E372" s="122">
        <f t="shared" si="50"/>
        <v>0</v>
      </c>
      <c r="F372" s="122">
        <f t="shared" si="51"/>
        <v>0</v>
      </c>
      <c r="G372" s="122">
        <f t="shared" si="52"/>
        <v>0.84624573486668342</v>
      </c>
      <c r="H372" s="122">
        <f t="shared" si="53"/>
        <v>3.5032248884432488E-2</v>
      </c>
      <c r="I372" s="122">
        <f t="shared" si="54"/>
        <v>0.84624573486668342</v>
      </c>
      <c r="J372" s="122">
        <f t="shared" si="55"/>
        <v>-3.5032248884432488E-2</v>
      </c>
      <c r="K372" s="122"/>
      <c r="Y372" s="126">
        <f t="shared" si="56"/>
        <v>-0.5</v>
      </c>
    </row>
    <row r="373" spans="2:25" x14ac:dyDescent="0.3">
      <c r="B373" s="122">
        <v>0.84850982660657426</v>
      </c>
      <c r="C373" s="122">
        <f t="shared" si="48"/>
        <v>0</v>
      </c>
      <c r="D373" s="126">
        <f t="shared" si="49"/>
        <v>3.4656475331185745E-2</v>
      </c>
      <c r="E373" s="122">
        <f t="shared" si="50"/>
        <v>0</v>
      </c>
      <c r="F373" s="122">
        <f t="shared" si="51"/>
        <v>0</v>
      </c>
      <c r="G373" s="122">
        <f t="shared" si="52"/>
        <v>0.84850982660657426</v>
      </c>
      <c r="H373" s="122">
        <f t="shared" si="53"/>
        <v>3.4656475331185745E-2</v>
      </c>
      <c r="I373" s="122">
        <f t="shared" si="54"/>
        <v>0.84850982660657426</v>
      </c>
      <c r="J373" s="122">
        <f t="shared" si="55"/>
        <v>-3.4656475331185745E-2</v>
      </c>
      <c r="K373" s="122"/>
      <c r="Y373" s="126">
        <f t="shared" si="56"/>
        <v>-0.5</v>
      </c>
    </row>
    <row r="374" spans="2:25" x14ac:dyDescent="0.3">
      <c r="B374" s="122">
        <v>0.85076010457560836</v>
      </c>
      <c r="C374" s="122">
        <f t="shared" si="48"/>
        <v>0</v>
      </c>
      <c r="D374" s="126">
        <f t="shared" si="49"/>
        <v>3.4279634263339957E-2</v>
      </c>
      <c r="E374" s="122">
        <f t="shared" si="50"/>
        <v>0</v>
      </c>
      <c r="F374" s="122">
        <f t="shared" si="51"/>
        <v>0</v>
      </c>
      <c r="G374" s="122">
        <f t="shared" si="52"/>
        <v>0.85076010457560836</v>
      </c>
      <c r="H374" s="122">
        <f t="shared" si="53"/>
        <v>3.4279634263339957E-2</v>
      </c>
      <c r="I374" s="122">
        <f t="shared" si="54"/>
        <v>0.85076010457560836</v>
      </c>
      <c r="J374" s="122">
        <f t="shared" si="55"/>
        <v>-3.4279634263339957E-2</v>
      </c>
      <c r="K374" s="122"/>
      <c r="Y374" s="126">
        <f t="shared" si="56"/>
        <v>-0.5</v>
      </c>
    </row>
    <row r="375" spans="2:25" x14ac:dyDescent="0.3">
      <c r="B375" s="122">
        <v>0.85299647958024849</v>
      </c>
      <c r="C375" s="122">
        <f t="shared" si="48"/>
        <v>0</v>
      </c>
      <c r="D375" s="126">
        <f t="shared" si="49"/>
        <v>3.3901790641021411E-2</v>
      </c>
      <c r="E375" s="122">
        <f t="shared" si="50"/>
        <v>0</v>
      </c>
      <c r="F375" s="122">
        <f t="shared" si="51"/>
        <v>0</v>
      </c>
      <c r="G375" s="122">
        <f t="shared" si="52"/>
        <v>0.85299647958024849</v>
      </c>
      <c r="H375" s="122">
        <f t="shared" si="53"/>
        <v>3.3901790641021411E-2</v>
      </c>
      <c r="I375" s="122">
        <f t="shared" si="54"/>
        <v>0.85299647958024849</v>
      </c>
      <c r="J375" s="122">
        <f t="shared" si="55"/>
        <v>-3.3901790641021411E-2</v>
      </c>
      <c r="K375" s="122"/>
      <c r="Y375" s="126">
        <f t="shared" si="56"/>
        <v>-0.5</v>
      </c>
    </row>
    <row r="376" spans="2:25" x14ac:dyDescent="0.3">
      <c r="B376" s="122">
        <v>0.8552188629780243</v>
      </c>
      <c r="C376" s="122">
        <f t="shared" si="48"/>
        <v>0</v>
      </c>
      <c r="D376" s="126">
        <f t="shared" si="49"/>
        <v>3.3523009917680799E-2</v>
      </c>
      <c r="E376" s="122">
        <f t="shared" si="50"/>
        <v>0</v>
      </c>
      <c r="F376" s="122">
        <f t="shared" si="51"/>
        <v>0</v>
      </c>
      <c r="G376" s="122">
        <f t="shared" si="52"/>
        <v>0.8552188629780243</v>
      </c>
      <c r="H376" s="122">
        <f t="shared" si="53"/>
        <v>3.3523009917680799E-2</v>
      </c>
      <c r="I376" s="122">
        <f t="shared" si="54"/>
        <v>0.8552188629780243</v>
      </c>
      <c r="J376" s="122">
        <f t="shared" si="55"/>
        <v>-3.3523009917680799E-2</v>
      </c>
      <c r="K376" s="122"/>
      <c r="Y376" s="126">
        <f t="shared" si="56"/>
        <v>-0.5</v>
      </c>
    </row>
    <row r="377" spans="2:25" x14ac:dyDescent="0.3">
      <c r="B377" s="122">
        <v>0.8574271666810469</v>
      </c>
      <c r="C377" s="122">
        <f t="shared" si="48"/>
        <v>0</v>
      </c>
      <c r="D377" s="126">
        <f t="shared" si="49"/>
        <v>3.31433580249667E-2</v>
      </c>
      <c r="E377" s="122">
        <f t="shared" si="50"/>
        <v>0</v>
      </c>
      <c r="F377" s="122">
        <f t="shared" si="51"/>
        <v>0</v>
      </c>
      <c r="G377" s="122">
        <f t="shared" si="52"/>
        <v>0.8574271666810469</v>
      </c>
      <c r="H377" s="122">
        <f t="shared" si="53"/>
        <v>3.31433580249667E-2</v>
      </c>
      <c r="I377" s="122">
        <f t="shared" si="54"/>
        <v>0.8574271666810469</v>
      </c>
      <c r="J377" s="122">
        <f t="shared" si="55"/>
        <v>-3.31433580249667E-2</v>
      </c>
      <c r="K377" s="122"/>
      <c r="Y377" s="126">
        <f t="shared" si="56"/>
        <v>-0.5</v>
      </c>
    </row>
    <row r="378" spans="2:25" x14ac:dyDescent="0.3">
      <c r="B378" s="122">
        <v>0.85962130315949881</v>
      </c>
      <c r="C378" s="122">
        <f t="shared" si="48"/>
        <v>0</v>
      </c>
      <c r="D378" s="126">
        <f t="shared" si="49"/>
        <v>3.2762901357423366E-2</v>
      </c>
      <c r="E378" s="122">
        <f t="shared" si="50"/>
        <v>0</v>
      </c>
      <c r="F378" s="122">
        <f t="shared" si="51"/>
        <v>0</v>
      </c>
      <c r="G378" s="122">
        <f t="shared" si="52"/>
        <v>0.85962130315949881</v>
      </c>
      <c r="H378" s="122">
        <f t="shared" si="53"/>
        <v>3.2762901357423366E-2</v>
      </c>
      <c r="I378" s="122">
        <f t="shared" si="54"/>
        <v>0.85962130315949881</v>
      </c>
      <c r="J378" s="122">
        <f t="shared" si="55"/>
        <v>-3.2762901357423366E-2</v>
      </c>
      <c r="K378" s="122"/>
      <c r="Y378" s="126">
        <f t="shared" si="56"/>
        <v>-0.5</v>
      </c>
    </row>
    <row r="379" spans="2:25" x14ac:dyDescent="0.3">
      <c r="B379" s="122">
        <v>0.86180118544510542</v>
      </c>
      <c r="C379" s="122">
        <f t="shared" si="48"/>
        <v>0</v>
      </c>
      <c r="D379" s="126">
        <f t="shared" si="49"/>
        <v>3.2381706757016009E-2</v>
      </c>
      <c r="E379" s="122">
        <f t="shared" si="50"/>
        <v>0</v>
      </c>
      <c r="F379" s="122">
        <f t="shared" si="51"/>
        <v>0</v>
      </c>
      <c r="G379" s="122">
        <f t="shared" si="52"/>
        <v>0.86180118544510542</v>
      </c>
      <c r="H379" s="122">
        <f t="shared" si="53"/>
        <v>3.2381706757016009E-2</v>
      </c>
      <c r="I379" s="122">
        <f t="shared" si="54"/>
        <v>0.86180118544510542</v>
      </c>
      <c r="J379" s="122">
        <f t="shared" si="55"/>
        <v>-3.2381706757016009E-2</v>
      </c>
      <c r="K379" s="122"/>
      <c r="Y379" s="126">
        <f t="shared" si="56"/>
        <v>-0.5</v>
      </c>
    </row>
    <row r="380" spans="2:25" x14ac:dyDescent="0.3">
      <c r="B380" s="122">
        <v>0.86396672713457978</v>
      </c>
      <c r="C380" s="122">
        <f t="shared" si="48"/>
        <v>0</v>
      </c>
      <c r="D380" s="126">
        <f t="shared" si="49"/>
        <v>3.1999841497489613E-2</v>
      </c>
      <c r="E380" s="122">
        <f t="shared" si="50"/>
        <v>0</v>
      </c>
      <c r="F380" s="122">
        <f t="shared" si="51"/>
        <v>0</v>
      </c>
      <c r="G380" s="122">
        <f t="shared" si="52"/>
        <v>0.86396672713457978</v>
      </c>
      <c r="H380" s="122">
        <f t="shared" si="53"/>
        <v>3.1999841497489613E-2</v>
      </c>
      <c r="I380" s="122">
        <f t="shared" si="54"/>
        <v>0.86396672713457978</v>
      </c>
      <c r="J380" s="122">
        <f t="shared" si="55"/>
        <v>-3.1999841497489613E-2</v>
      </c>
      <c r="K380" s="122"/>
      <c r="Y380" s="126">
        <f t="shared" si="56"/>
        <v>-0.5</v>
      </c>
    </row>
    <row r="381" spans="2:25" x14ac:dyDescent="0.3">
      <c r="B381" s="122">
        <v>0.86611784239304912</v>
      </c>
      <c r="C381" s="122">
        <f t="shared" si="48"/>
        <v>0</v>
      </c>
      <c r="D381" s="126">
        <f t="shared" si="49"/>
        <v>3.161737326856362E-2</v>
      </c>
      <c r="E381" s="122">
        <f t="shared" si="50"/>
        <v>0</v>
      </c>
      <c r="F381" s="122">
        <f t="shared" si="51"/>
        <v>0</v>
      </c>
      <c r="G381" s="122">
        <f t="shared" si="52"/>
        <v>0.86611784239304912</v>
      </c>
      <c r="H381" s="122">
        <f t="shared" si="53"/>
        <v>3.161737326856362E-2</v>
      </c>
      <c r="I381" s="122">
        <f t="shared" si="54"/>
        <v>0.86611784239304912</v>
      </c>
      <c r="J381" s="122">
        <f t="shared" si="55"/>
        <v>-3.161737326856362E-2</v>
      </c>
      <c r="K381" s="122"/>
      <c r="Y381" s="126">
        <f t="shared" si="56"/>
        <v>-0.5</v>
      </c>
    </row>
    <row r="382" spans="2:25" x14ac:dyDescent="0.3">
      <c r="B382" s="122">
        <v>0.86825444595745616</v>
      </c>
      <c r="C382" s="122">
        <f t="shared" si="48"/>
        <v>0</v>
      </c>
      <c r="D382" s="126">
        <f t="shared" si="49"/>
        <v>3.1234370159968706E-2</v>
      </c>
      <c r="E382" s="122">
        <f t="shared" si="50"/>
        <v>0</v>
      </c>
      <c r="F382" s="122">
        <f t="shared" si="51"/>
        <v>0</v>
      </c>
      <c r="G382" s="122">
        <f t="shared" si="52"/>
        <v>0.86825444595745616</v>
      </c>
      <c r="H382" s="122">
        <f t="shared" si="53"/>
        <v>3.1234370159968706E-2</v>
      </c>
      <c r="I382" s="122">
        <f t="shared" si="54"/>
        <v>0.86825444595745616</v>
      </c>
      <c r="J382" s="122">
        <f t="shared" si="55"/>
        <v>-3.1234370159968706E-2</v>
      </c>
      <c r="K382" s="122"/>
      <c r="Y382" s="126">
        <f t="shared" si="56"/>
        <v>-0.5</v>
      </c>
    </row>
    <row r="383" spans="2:25" x14ac:dyDescent="0.3">
      <c r="B383" s="122">
        <v>0.87037645313993917</v>
      </c>
      <c r="C383" s="122">
        <f t="shared" si="48"/>
        <v>0</v>
      </c>
      <c r="D383" s="126">
        <f t="shared" si="49"/>
        <v>3.085090064532902E-2</v>
      </c>
      <c r="E383" s="122">
        <f t="shared" si="50"/>
        <v>0</v>
      </c>
      <c r="F383" s="122">
        <f t="shared" si="51"/>
        <v>0</v>
      </c>
      <c r="G383" s="122">
        <f t="shared" si="52"/>
        <v>0.87037645313993917</v>
      </c>
      <c r="H383" s="122">
        <f t="shared" si="53"/>
        <v>3.085090064532902E-2</v>
      </c>
      <c r="I383" s="122">
        <f t="shared" si="54"/>
        <v>0.87037645313993917</v>
      </c>
      <c r="J383" s="122">
        <f t="shared" si="55"/>
        <v>-3.085090064532902E-2</v>
      </c>
      <c r="K383" s="122"/>
      <c r="Y383" s="126">
        <f t="shared" si="56"/>
        <v>-0.5</v>
      </c>
    </row>
    <row r="384" spans="2:25" x14ac:dyDescent="0.3">
      <c r="B384" s="122">
        <v>0.87248377983118819</v>
      </c>
      <c r="C384" s="122">
        <f t="shared" si="48"/>
        <v>0</v>
      </c>
      <c r="D384" s="126">
        <f t="shared" si="49"/>
        <v>3.0467033565895075E-2</v>
      </c>
      <c r="E384" s="122">
        <f t="shared" si="50"/>
        <v>0</v>
      </c>
      <c r="F384" s="122">
        <f t="shared" si="51"/>
        <v>0</v>
      </c>
      <c r="G384" s="122">
        <f t="shared" si="52"/>
        <v>0.87248377983118819</v>
      </c>
      <c r="H384" s="122">
        <f t="shared" si="53"/>
        <v>3.0467033565895075E-2</v>
      </c>
      <c r="I384" s="122">
        <f t="shared" si="54"/>
        <v>0.87248377983118819</v>
      </c>
      <c r="J384" s="122">
        <f t="shared" si="55"/>
        <v>-3.0467033565895075E-2</v>
      </c>
      <c r="K384" s="122"/>
      <c r="Y384" s="126">
        <f t="shared" si="56"/>
        <v>-0.5</v>
      </c>
    </row>
    <row r="385" spans="2:25" x14ac:dyDescent="0.3">
      <c r="B385" s="122">
        <v>0.87457634250377958</v>
      </c>
      <c r="C385" s="122">
        <f t="shared" ref="C385:C448" si="57">IF($A$1=0, 0, IF(B385&lt;=$A$2, ($A$1/$A$2^2)*(2*$A$2*B385-B385^2), ($A$1/(1-$A$2)^2)*((1-2*$A$2)+2*$A$2*B385-B385^2)))</f>
        <v>0</v>
      </c>
      <c r="D385" s="126">
        <f t="shared" ref="D385:D448" si="58">IF(B385&lt;$N$1, ($A$3/0.2)*($O$1*SQRT(B385)+$P$1*B385+$Q$1*(B385^2)+$R$1*(B385^3)), ($A$3/0.2)*($S$1+$T$1*(1-B385)+$U$1*((1-B385)^2)+$V$1*((1-B385)^3)))</f>
        <v>3.008283811413142E-2</v>
      </c>
      <c r="E385" s="122">
        <f t="shared" ref="E385:E448" si="59">IF($A$1=0, 0, IF(B385&lt;=$A$2, ($A$1/$A$2^2) *(2*$A$2-2*B385), ($A$1/(1-$A$2)^2)*(2*$A$2-2*B385)))</f>
        <v>0</v>
      </c>
      <c r="F385" s="122">
        <f t="shared" ref="F385:F448" si="60">IF($A$1=0, 0,  ATAN(E385))</f>
        <v>0</v>
      </c>
      <c r="G385" s="122">
        <f t="shared" ref="G385:G448" si="61">B385-D385*SIN(F385)</f>
        <v>0.87457634250377958</v>
      </c>
      <c r="H385" s="122">
        <f t="shared" ref="H385:H448" si="62">C385+D385*COS(F385)</f>
        <v>3.008283811413142E-2</v>
      </c>
      <c r="I385" s="122">
        <f t="shared" ref="I385:I448" si="63">B385+D385*SIN(F385)</f>
        <v>0.87457634250377958</v>
      </c>
      <c r="J385" s="122">
        <f t="shared" ref="J385:J448" si="64">C385-D385*COS(F385)</f>
        <v>-3.008283811413142E-2</v>
      </c>
      <c r="K385" s="122"/>
      <c r="Y385" s="126">
        <f t="shared" si="56"/>
        <v>-0.5</v>
      </c>
    </row>
    <row r="386" spans="2:25" x14ac:dyDescent="0.3">
      <c r="B386" s="122">
        <v>0.87665405821548581</v>
      </c>
      <c r="C386" s="122">
        <f t="shared" si="57"/>
        <v>0</v>
      </c>
      <c r="D386" s="126">
        <f t="shared" si="58"/>
        <v>2.9698383817164345E-2</v>
      </c>
      <c r="E386" s="122">
        <f t="shared" si="59"/>
        <v>0</v>
      </c>
      <c r="F386" s="122">
        <f t="shared" si="60"/>
        <v>0</v>
      </c>
      <c r="G386" s="122">
        <f t="shared" si="61"/>
        <v>0.87665405821548581</v>
      </c>
      <c r="H386" s="122">
        <f t="shared" si="62"/>
        <v>2.9698383817164345E-2</v>
      </c>
      <c r="I386" s="122">
        <f t="shared" si="63"/>
        <v>0.87665405821548581</v>
      </c>
      <c r="J386" s="122">
        <f t="shared" si="64"/>
        <v>-2.9698383817164345E-2</v>
      </c>
      <c r="K386" s="122"/>
      <c r="Y386" s="126">
        <f t="shared" ref="Y386:Y449" si="65">IF($Z$1, C386, -0.5)</f>
        <v>-0.5</v>
      </c>
    </row>
    <row r="387" spans="2:25" x14ac:dyDescent="0.3">
      <c r="B387" s="122">
        <v>0.8787168446125635</v>
      </c>
      <c r="C387" s="122">
        <f t="shared" si="57"/>
        <v>0</v>
      </c>
      <c r="D387" s="126">
        <f t="shared" si="58"/>
        <v>2.9313740520093737E-2</v>
      </c>
      <c r="E387" s="122">
        <f t="shared" si="59"/>
        <v>0</v>
      </c>
      <c r="F387" s="122">
        <f t="shared" si="60"/>
        <v>0</v>
      </c>
      <c r="G387" s="122">
        <f t="shared" si="61"/>
        <v>0.8787168446125635</v>
      </c>
      <c r="H387" s="122">
        <f t="shared" si="62"/>
        <v>2.9313740520093737E-2</v>
      </c>
      <c r="I387" s="122">
        <f t="shared" si="63"/>
        <v>0.8787168446125635</v>
      </c>
      <c r="J387" s="122">
        <f t="shared" si="64"/>
        <v>-2.9313740520093737E-2</v>
      </c>
      <c r="K387" s="122"/>
      <c r="Y387" s="126">
        <f t="shared" si="65"/>
        <v>-0.5</v>
      </c>
    </row>
    <row r="388" spans="2:25" x14ac:dyDescent="0.3">
      <c r="B388" s="122">
        <v>0.88076461993301847</v>
      </c>
      <c r="C388" s="122">
        <f t="shared" si="57"/>
        <v>0</v>
      </c>
      <c r="D388" s="126">
        <f t="shared" si="58"/>
        <v>2.8928978369174026E-2</v>
      </c>
      <c r="E388" s="122">
        <f t="shared" si="59"/>
        <v>0</v>
      </c>
      <c r="F388" s="122">
        <f t="shared" si="60"/>
        <v>0</v>
      </c>
      <c r="G388" s="122">
        <f t="shared" si="61"/>
        <v>0.88076461993301847</v>
      </c>
      <c r="H388" s="122">
        <f t="shared" si="62"/>
        <v>2.8928978369174026E-2</v>
      </c>
      <c r="I388" s="122">
        <f t="shared" si="63"/>
        <v>0.88076461993301847</v>
      </c>
      <c r="J388" s="122">
        <f t="shared" si="64"/>
        <v>-2.8928978369174026E-2</v>
      </c>
      <c r="K388" s="122"/>
      <c r="Y388" s="126">
        <f t="shared" si="65"/>
        <v>-0.5</v>
      </c>
    </row>
    <row r="389" spans="2:25" x14ac:dyDescent="0.3">
      <c r="B389" s="122">
        <v>0.8827973030098446</v>
      </c>
      <c r="C389" s="122">
        <f t="shared" si="57"/>
        <v>0</v>
      </c>
      <c r="D389" s="126">
        <f t="shared" si="58"/>
        <v>2.8544167794869704E-2</v>
      </c>
      <c r="E389" s="122">
        <f t="shared" si="59"/>
        <v>0</v>
      </c>
      <c r="F389" s="122">
        <f t="shared" si="60"/>
        <v>0</v>
      </c>
      <c r="G389" s="122">
        <f t="shared" si="61"/>
        <v>0.8827973030098446</v>
      </c>
      <c r="H389" s="122">
        <f t="shared" si="62"/>
        <v>2.8544167794869704E-2</v>
      </c>
      <c r="I389" s="122">
        <f t="shared" si="63"/>
        <v>0.8827973030098446</v>
      </c>
      <c r="J389" s="122">
        <f t="shared" si="64"/>
        <v>-2.8544167794869704E-2</v>
      </c>
      <c r="K389" s="122"/>
      <c r="Y389" s="126">
        <f t="shared" si="65"/>
        <v>-0.5</v>
      </c>
    </row>
    <row r="390" spans="2:25" x14ac:dyDescent="0.3">
      <c r="B390" s="122">
        <v>0.88481481327424305</v>
      </c>
      <c r="C390" s="122">
        <f t="shared" si="57"/>
        <v>0</v>
      </c>
      <c r="D390" s="126">
        <f t="shared" si="58"/>
        <v>2.8159379494788899E-2</v>
      </c>
      <c r="E390" s="122">
        <f t="shared" si="59"/>
        <v>0</v>
      </c>
      <c r="F390" s="122">
        <f t="shared" si="60"/>
        <v>0</v>
      </c>
      <c r="G390" s="122">
        <f t="shared" si="61"/>
        <v>0.88481481327424305</v>
      </c>
      <c r="H390" s="122">
        <f t="shared" si="62"/>
        <v>2.8159379494788899E-2</v>
      </c>
      <c r="I390" s="122">
        <f t="shared" si="63"/>
        <v>0.88481481327424305</v>
      </c>
      <c r="J390" s="122">
        <f t="shared" si="64"/>
        <v>-2.8159379494788899E-2</v>
      </c>
      <c r="K390" s="122"/>
      <c r="Y390" s="126">
        <f t="shared" si="65"/>
        <v>-0.5</v>
      </c>
    </row>
    <row r="391" spans="2:25" x14ac:dyDescent="0.3">
      <c r="B391" s="122">
        <v>0.88681707075881411</v>
      </c>
      <c r="C391" s="122">
        <f t="shared" si="57"/>
        <v>0</v>
      </c>
      <c r="D391" s="126">
        <f t="shared" si="58"/>
        <v>2.7774684416501511E-2</v>
      </c>
      <c r="E391" s="122">
        <f t="shared" si="59"/>
        <v>0</v>
      </c>
      <c r="F391" s="122">
        <f t="shared" si="60"/>
        <v>0</v>
      </c>
      <c r="G391" s="122">
        <f t="shared" si="61"/>
        <v>0.88681707075881411</v>
      </c>
      <c r="H391" s="122">
        <f t="shared" si="62"/>
        <v>2.7774684416501511E-2</v>
      </c>
      <c r="I391" s="122">
        <f t="shared" si="63"/>
        <v>0.88681707075881411</v>
      </c>
      <c r="J391" s="122">
        <f t="shared" si="64"/>
        <v>-2.7774684416501511E-2</v>
      </c>
      <c r="K391" s="122"/>
      <c r="Y391" s="126">
        <f t="shared" si="65"/>
        <v>-0.5</v>
      </c>
    </row>
    <row r="392" spans="2:25" x14ac:dyDescent="0.3">
      <c r="B392" s="122">
        <v>0.88880399610072813</v>
      </c>
      <c r="C392" s="122">
        <f t="shared" si="57"/>
        <v>0</v>
      </c>
      <c r="D392" s="126">
        <f t="shared" si="58"/>
        <v>2.7390153740245466E-2</v>
      </c>
      <c r="E392" s="122">
        <f t="shared" si="59"/>
        <v>0</v>
      </c>
      <c r="F392" s="122">
        <f t="shared" si="60"/>
        <v>0</v>
      </c>
      <c r="G392" s="122">
        <f t="shared" si="61"/>
        <v>0.88880399610072813</v>
      </c>
      <c r="H392" s="122">
        <f t="shared" si="62"/>
        <v>2.7390153740245466E-2</v>
      </c>
      <c r="I392" s="122">
        <f t="shared" si="63"/>
        <v>0.88880399610072813</v>
      </c>
      <c r="J392" s="122">
        <f t="shared" si="64"/>
        <v>-2.7390153740245466E-2</v>
      </c>
      <c r="K392" s="122"/>
      <c r="Y392" s="126">
        <f t="shared" si="65"/>
        <v>-0.5</v>
      </c>
    </row>
    <row r="393" spans="2:25" x14ac:dyDescent="0.3">
      <c r="B393" s="122">
        <v>0.89077551054487025</v>
      </c>
      <c r="C393" s="122">
        <f t="shared" si="57"/>
        <v>0</v>
      </c>
      <c r="D393" s="126">
        <f t="shared" si="58"/>
        <v>2.7005858861527132E-2</v>
      </c>
      <c r="E393" s="122">
        <f t="shared" si="59"/>
        <v>0</v>
      </c>
      <c r="F393" s="122">
        <f t="shared" si="60"/>
        <v>0</v>
      </c>
      <c r="G393" s="122">
        <f t="shared" si="61"/>
        <v>0.89077551054487025</v>
      </c>
      <c r="H393" s="122">
        <f t="shared" si="62"/>
        <v>2.7005858861527132E-2</v>
      </c>
      <c r="I393" s="122">
        <f t="shared" si="63"/>
        <v>0.89077551054487025</v>
      </c>
      <c r="J393" s="122">
        <f t="shared" si="64"/>
        <v>-2.7005858861527132E-2</v>
      </c>
      <c r="K393" s="122"/>
      <c r="Y393" s="126">
        <f t="shared" si="65"/>
        <v>-0.5</v>
      </c>
    </row>
    <row r="394" spans="2:25" x14ac:dyDescent="0.3">
      <c r="B394" s="122">
        <v>0.89273153594696253</v>
      </c>
      <c r="C394" s="122">
        <f t="shared" si="57"/>
        <v>0</v>
      </c>
      <c r="D394" s="126">
        <f t="shared" si="58"/>
        <v>2.6621871373620272E-2</v>
      </c>
      <c r="E394" s="122">
        <f t="shared" si="59"/>
        <v>0</v>
      </c>
      <c r="F394" s="122">
        <f t="shared" si="60"/>
        <v>0</v>
      </c>
      <c r="G394" s="122">
        <f t="shared" si="61"/>
        <v>0.89273153594696253</v>
      </c>
      <c r="H394" s="122">
        <f t="shared" si="62"/>
        <v>2.6621871373620272E-2</v>
      </c>
      <c r="I394" s="122">
        <f t="shared" si="63"/>
        <v>0.89273153594696253</v>
      </c>
      <c r="J394" s="122">
        <f t="shared" si="64"/>
        <v>-2.6621871373620272E-2</v>
      </c>
      <c r="K394" s="122"/>
      <c r="Y394" s="126">
        <f t="shared" si="65"/>
        <v>-0.5</v>
      </c>
    </row>
    <row r="395" spans="2:25" x14ac:dyDescent="0.3">
      <c r="B395" s="122">
        <v>0.89467199477666082</v>
      </c>
      <c r="C395" s="122">
        <f t="shared" si="57"/>
        <v>0</v>
      </c>
      <c r="D395" s="126">
        <f t="shared" si="58"/>
        <v>2.6238263049968982E-2</v>
      </c>
      <c r="E395" s="122">
        <f t="shared" si="59"/>
        <v>0</v>
      </c>
      <c r="F395" s="122">
        <f t="shared" si="60"/>
        <v>0</v>
      </c>
      <c r="G395" s="122">
        <f t="shared" si="61"/>
        <v>0.89467199477666082</v>
      </c>
      <c r="H395" s="122">
        <f t="shared" si="62"/>
        <v>2.6238263049968982E-2</v>
      </c>
      <c r="I395" s="122">
        <f t="shared" si="63"/>
        <v>0.89467199477666082</v>
      </c>
      <c r="J395" s="122">
        <f t="shared" si="64"/>
        <v>-2.6238263049968982E-2</v>
      </c>
      <c r="K395" s="122"/>
      <c r="Y395" s="126">
        <f t="shared" si="65"/>
        <v>-0.5</v>
      </c>
    </row>
    <row r="396" spans="2:25" x14ac:dyDescent="0.3">
      <c r="B396" s="122">
        <v>0.89659681012062897</v>
      </c>
      <c r="C396" s="122">
        <f t="shared" si="57"/>
        <v>0</v>
      </c>
      <c r="D396" s="126">
        <f t="shared" si="58"/>
        <v>2.585510582649932E-2</v>
      </c>
      <c r="E396" s="122">
        <f t="shared" si="59"/>
        <v>0</v>
      </c>
      <c r="F396" s="122">
        <f t="shared" si="60"/>
        <v>0</v>
      </c>
      <c r="G396" s="122">
        <f t="shared" si="61"/>
        <v>0.89659681012062897</v>
      </c>
      <c r="H396" s="122">
        <f t="shared" si="62"/>
        <v>2.585510582649932E-2</v>
      </c>
      <c r="I396" s="122">
        <f t="shared" si="63"/>
        <v>0.89659681012062897</v>
      </c>
      <c r="J396" s="122">
        <f t="shared" si="64"/>
        <v>-2.585510582649932E-2</v>
      </c>
      <c r="K396" s="122"/>
      <c r="Y396" s="126">
        <f t="shared" si="65"/>
        <v>-0.5</v>
      </c>
    </row>
    <row r="397" spans="2:25" x14ac:dyDescent="0.3">
      <c r="B397" s="122">
        <v>0.89850590568558575</v>
      </c>
      <c r="C397" s="122">
        <f t="shared" si="57"/>
        <v>0</v>
      </c>
      <c r="D397" s="126">
        <f t="shared" si="58"/>
        <v>2.5472471783845575E-2</v>
      </c>
      <c r="E397" s="122">
        <f t="shared" si="59"/>
        <v>0</v>
      </c>
      <c r="F397" s="122">
        <f t="shared" si="60"/>
        <v>0</v>
      </c>
      <c r="G397" s="122">
        <f t="shared" si="61"/>
        <v>0.89850590568558575</v>
      </c>
      <c r="H397" s="122">
        <f t="shared" si="62"/>
        <v>2.5472471783845575E-2</v>
      </c>
      <c r="I397" s="122">
        <f t="shared" si="63"/>
        <v>0.89850590568558575</v>
      </c>
      <c r="J397" s="122">
        <f t="shared" si="64"/>
        <v>-2.5472471783845575E-2</v>
      </c>
      <c r="K397" s="122"/>
      <c r="Y397" s="126">
        <f t="shared" si="65"/>
        <v>-0.5</v>
      </c>
    </row>
    <row r="398" spans="2:25" x14ac:dyDescent="0.3">
      <c r="B398" s="122">
        <v>0.90039920580133004</v>
      </c>
      <c r="C398" s="122">
        <f t="shared" si="57"/>
        <v>0</v>
      </c>
      <c r="D398" s="126">
        <f t="shared" si="58"/>
        <v>2.5090433129495292E-2</v>
      </c>
      <c r="E398" s="122">
        <f t="shared" si="59"/>
        <v>0</v>
      </c>
      <c r="F398" s="122">
        <f t="shared" si="60"/>
        <v>0</v>
      </c>
      <c r="G398" s="122">
        <f t="shared" si="61"/>
        <v>0.90039920580133004</v>
      </c>
      <c r="H398" s="122">
        <f t="shared" si="62"/>
        <v>2.5090433129495292E-2</v>
      </c>
      <c r="I398" s="122">
        <f t="shared" si="63"/>
        <v>0.90039920580133004</v>
      </c>
      <c r="J398" s="122">
        <f t="shared" si="64"/>
        <v>-2.5090433129495292E-2</v>
      </c>
      <c r="K398" s="122"/>
      <c r="Y398" s="126">
        <f t="shared" si="65"/>
        <v>-0.5</v>
      </c>
    </row>
    <row r="399" spans="2:25" x14ac:dyDescent="0.3">
      <c r="B399" s="122">
        <v>0.90227663542373993</v>
      </c>
      <c r="C399" s="122">
        <f t="shared" si="57"/>
        <v>0</v>
      </c>
      <c r="D399" s="126">
        <f t="shared" si="58"/>
        <v>2.4709062179859066E-2</v>
      </c>
      <c r="E399" s="122">
        <f t="shared" si="59"/>
        <v>0</v>
      </c>
      <c r="F399" s="122">
        <f t="shared" si="60"/>
        <v>0</v>
      </c>
      <c r="G399" s="122">
        <f t="shared" si="61"/>
        <v>0.90227663542373993</v>
      </c>
      <c r="H399" s="122">
        <f t="shared" si="62"/>
        <v>2.4709062179859066E-2</v>
      </c>
      <c r="I399" s="122">
        <f t="shared" si="63"/>
        <v>0.90227663542373993</v>
      </c>
      <c r="J399" s="122">
        <f t="shared" si="64"/>
        <v>-2.4709062179859066E-2</v>
      </c>
      <c r="K399" s="122"/>
      <c r="Y399" s="126">
        <f t="shared" si="65"/>
        <v>-0.5</v>
      </c>
    </row>
    <row r="400" spans="2:25" x14ac:dyDescent="0.3">
      <c r="B400" s="122">
        <v>0.90413812013774664</v>
      </c>
      <c r="C400" s="122">
        <f t="shared" si="57"/>
        <v>0</v>
      </c>
      <c r="D400" s="126">
        <f t="shared" si="58"/>
        <v>2.432843134227022E-2</v>
      </c>
      <c r="E400" s="122">
        <f t="shared" si="59"/>
        <v>0</v>
      </c>
      <c r="F400" s="122">
        <f t="shared" si="60"/>
        <v>0</v>
      </c>
      <c r="G400" s="122">
        <f t="shared" si="61"/>
        <v>0.90413812013774664</v>
      </c>
      <c r="H400" s="122">
        <f t="shared" si="62"/>
        <v>2.432843134227022E-2</v>
      </c>
      <c r="I400" s="122">
        <f t="shared" si="63"/>
        <v>0.90413812013774664</v>
      </c>
      <c r="J400" s="122">
        <f t="shared" si="64"/>
        <v>-2.432843134227022E-2</v>
      </c>
      <c r="K400" s="122"/>
      <c r="Y400" s="126">
        <f t="shared" si="65"/>
        <v>-0.5</v>
      </c>
    </row>
    <row r="401" spans="2:25" x14ac:dyDescent="0.3">
      <c r="B401" s="122">
        <v>0.9059835861602854</v>
      </c>
      <c r="C401" s="122">
        <f t="shared" si="57"/>
        <v>0</v>
      </c>
      <c r="D401" s="126">
        <f t="shared" si="58"/>
        <v>2.3948613096919084E-2</v>
      </c>
      <c r="E401" s="122">
        <f t="shared" si="59"/>
        <v>0</v>
      </c>
      <c r="F401" s="122">
        <f t="shared" si="60"/>
        <v>0</v>
      </c>
      <c r="G401" s="122">
        <f t="shared" si="61"/>
        <v>0.9059835861602854</v>
      </c>
      <c r="H401" s="122">
        <f t="shared" si="62"/>
        <v>2.3948613096919084E-2</v>
      </c>
      <c r="I401" s="122">
        <f t="shared" si="63"/>
        <v>0.9059835861602854</v>
      </c>
      <c r="J401" s="122">
        <f t="shared" si="64"/>
        <v>-2.3948613096919084E-2</v>
      </c>
      <c r="K401" s="122"/>
      <c r="Y401" s="126">
        <f t="shared" si="65"/>
        <v>-0.5</v>
      </c>
    </row>
    <row r="402" spans="2:25" x14ac:dyDescent="0.3">
      <c r="B402" s="122">
        <v>0.9078129603432179</v>
      </c>
      <c r="C402" s="122">
        <f t="shared" si="57"/>
        <v>0</v>
      </c>
      <c r="D402" s="126">
        <f t="shared" si="58"/>
        <v>2.3569679978728404E-2</v>
      </c>
      <c r="E402" s="122">
        <f t="shared" si="59"/>
        <v>0</v>
      </c>
      <c r="F402" s="122">
        <f t="shared" si="60"/>
        <v>0</v>
      </c>
      <c r="G402" s="122">
        <f t="shared" si="61"/>
        <v>0.9078129603432179</v>
      </c>
      <c r="H402" s="122">
        <f t="shared" si="62"/>
        <v>2.3569679978728404E-2</v>
      </c>
      <c r="I402" s="122">
        <f t="shared" si="63"/>
        <v>0.9078129603432179</v>
      </c>
      <c r="J402" s="122">
        <f t="shared" si="64"/>
        <v>-2.3569679978728404E-2</v>
      </c>
      <c r="K402" s="122"/>
      <c r="Y402" s="126">
        <f t="shared" si="65"/>
        <v>-0.5</v>
      </c>
    </row>
    <row r="403" spans="2:25" x14ac:dyDescent="0.3">
      <c r="B403" s="122">
        <v>0.90962617017623426</v>
      </c>
      <c r="C403" s="122">
        <f t="shared" si="57"/>
        <v>0</v>
      </c>
      <c r="D403" s="126">
        <f t="shared" si="58"/>
        <v>2.3191704559173312E-2</v>
      </c>
      <c r="E403" s="122">
        <f t="shared" si="59"/>
        <v>0</v>
      </c>
      <c r="F403" s="122">
        <f t="shared" si="60"/>
        <v>0</v>
      </c>
      <c r="G403" s="122">
        <f t="shared" si="61"/>
        <v>0.90962617017623426</v>
      </c>
      <c r="H403" s="122">
        <f t="shared" si="62"/>
        <v>2.3191704559173312E-2</v>
      </c>
      <c r="I403" s="122">
        <f t="shared" si="63"/>
        <v>0.90962617017623426</v>
      </c>
      <c r="J403" s="122">
        <f t="shared" si="64"/>
        <v>-2.3191704559173312E-2</v>
      </c>
      <c r="K403" s="122"/>
      <c r="Y403" s="126">
        <f t="shared" si="65"/>
        <v>-0.5</v>
      </c>
    </row>
    <row r="404" spans="2:25" x14ac:dyDescent="0.3">
      <c r="B404" s="122">
        <v>0.91142314378972433</v>
      </c>
      <c r="C404" s="122">
        <f t="shared" si="57"/>
        <v>0</v>
      </c>
      <c r="D404" s="126">
        <f t="shared" si="58"/>
        <v>2.2814759428053666E-2</v>
      </c>
      <c r="E404" s="122">
        <f t="shared" si="59"/>
        <v>0</v>
      </c>
      <c r="F404" s="122">
        <f t="shared" si="60"/>
        <v>0</v>
      </c>
      <c r="G404" s="122">
        <f t="shared" si="61"/>
        <v>0.91142314378972433</v>
      </c>
      <c r="H404" s="122">
        <f t="shared" si="62"/>
        <v>2.2814759428053666E-2</v>
      </c>
      <c r="I404" s="122">
        <f t="shared" si="63"/>
        <v>0.91142314378972433</v>
      </c>
      <c r="J404" s="122">
        <f t="shared" si="64"/>
        <v>-2.2814759428053666E-2</v>
      </c>
      <c r="K404" s="122"/>
      <c r="Y404" s="126">
        <f t="shared" si="65"/>
        <v>-0.5</v>
      </c>
    </row>
    <row r="405" spans="2:25" x14ac:dyDescent="0.3">
      <c r="B405" s="122">
        <v>0.91320380995762895</v>
      </c>
      <c r="C405" s="122">
        <f t="shared" si="57"/>
        <v>0</v>
      </c>
      <c r="D405" s="126">
        <f t="shared" si="58"/>
        <v>2.2438917175221493E-2</v>
      </c>
      <c r="E405" s="122">
        <f t="shared" si="59"/>
        <v>0</v>
      </c>
      <c r="F405" s="122">
        <f t="shared" si="60"/>
        <v>0</v>
      </c>
      <c r="G405" s="122">
        <f t="shared" si="61"/>
        <v>0.91320380995762895</v>
      </c>
      <c r="H405" s="122">
        <f t="shared" si="62"/>
        <v>2.2438917175221493E-2</v>
      </c>
      <c r="I405" s="122">
        <f t="shared" si="63"/>
        <v>0.91320380995762895</v>
      </c>
      <c r="J405" s="122">
        <f t="shared" si="64"/>
        <v>-2.2438917175221493E-2</v>
      </c>
      <c r="K405" s="122"/>
      <c r="Y405" s="126">
        <f t="shared" si="65"/>
        <v>-0.5</v>
      </c>
    </row>
    <row r="406" spans="2:25" x14ac:dyDescent="0.3">
      <c r="B406" s="122">
        <v>0.91496809810026081</v>
      </c>
      <c r="C406" s="122">
        <f t="shared" si="57"/>
        <v>0</v>
      </c>
      <c r="D406" s="126">
        <f t="shared" si="58"/>
        <v>2.2064250372271377E-2</v>
      </c>
      <c r="E406" s="122">
        <f t="shared" si="59"/>
        <v>0</v>
      </c>
      <c r="F406" s="122">
        <f t="shared" si="60"/>
        <v>0</v>
      </c>
      <c r="G406" s="122">
        <f t="shared" si="61"/>
        <v>0.91496809810026081</v>
      </c>
      <c r="H406" s="122">
        <f t="shared" si="62"/>
        <v>2.2064250372271377E-2</v>
      </c>
      <c r="I406" s="122">
        <f t="shared" si="63"/>
        <v>0.91496809810026081</v>
      </c>
      <c r="J406" s="122">
        <f t="shared" si="64"/>
        <v>-2.2064250372271377E-2</v>
      </c>
      <c r="K406" s="122"/>
      <c r="Y406" s="126">
        <f t="shared" si="65"/>
        <v>-0.5</v>
      </c>
    </row>
    <row r="407" spans="2:25" x14ac:dyDescent="0.3">
      <c r="B407" s="122">
        <v>0.91671593828710374</v>
      </c>
      <c r="C407" s="122">
        <f t="shared" si="57"/>
        <v>0</v>
      </c>
      <c r="D407" s="126">
        <f t="shared" si="58"/>
        <v>2.1690831554197192E-2</v>
      </c>
      <c r="E407" s="122">
        <f t="shared" si="59"/>
        <v>0</v>
      </c>
      <c r="F407" s="122">
        <f t="shared" si="60"/>
        <v>0</v>
      </c>
      <c r="G407" s="122">
        <f t="shared" si="61"/>
        <v>0.91671593828710374</v>
      </c>
      <c r="H407" s="122">
        <f t="shared" si="62"/>
        <v>2.1690831554197192E-2</v>
      </c>
      <c r="I407" s="122">
        <f t="shared" si="63"/>
        <v>0.91671593828710374</v>
      </c>
      <c r="J407" s="122">
        <f t="shared" si="64"/>
        <v>-2.1690831554197192E-2</v>
      </c>
      <c r="K407" s="122"/>
      <c r="Y407" s="126">
        <f t="shared" si="65"/>
        <v>-0.5</v>
      </c>
    </row>
    <row r="408" spans="2:25" x14ac:dyDescent="0.3">
      <c r="B408" s="122">
        <v>0.91844726123958387</v>
      </c>
      <c r="C408" s="122">
        <f t="shared" si="57"/>
        <v>0</v>
      </c>
      <c r="D408" s="126">
        <f t="shared" si="58"/>
        <v>2.1318733201022011E-2</v>
      </c>
      <c r="E408" s="122">
        <f t="shared" si="59"/>
        <v>0</v>
      </c>
      <c r="F408" s="122">
        <f t="shared" si="60"/>
        <v>0</v>
      </c>
      <c r="G408" s="122">
        <f t="shared" si="61"/>
        <v>0.91844726123958387</v>
      </c>
      <c r="H408" s="122">
        <f t="shared" si="62"/>
        <v>2.1318733201022011E-2</v>
      </c>
      <c r="I408" s="122">
        <f t="shared" si="63"/>
        <v>0.91844726123958387</v>
      </c>
      <c r="J408" s="122">
        <f t="shared" si="64"/>
        <v>-2.1318733201022011E-2</v>
      </c>
      <c r="K408" s="122"/>
      <c r="Y408" s="126">
        <f t="shared" si="65"/>
        <v>-0.5</v>
      </c>
    </row>
    <row r="409" spans="2:25" x14ac:dyDescent="0.3">
      <c r="B409" s="122">
        <v>0.92016199833381507</v>
      </c>
      <c r="C409" s="122">
        <f t="shared" si="57"/>
        <v>0</v>
      </c>
      <c r="D409" s="126">
        <f t="shared" si="58"/>
        <v>2.0948027719406129E-2</v>
      </c>
      <c r="E409" s="122">
        <f t="shared" si="59"/>
        <v>0</v>
      </c>
      <c r="F409" s="122">
        <f t="shared" si="60"/>
        <v>0</v>
      </c>
      <c r="G409" s="122">
        <f t="shared" si="61"/>
        <v>0.92016199833381507</v>
      </c>
      <c r="H409" s="122">
        <f t="shared" si="62"/>
        <v>2.0948027719406129E-2</v>
      </c>
      <c r="I409" s="122">
        <f t="shared" si="63"/>
        <v>0.92016199833381507</v>
      </c>
      <c r="J409" s="122">
        <f t="shared" si="64"/>
        <v>-2.0948027719406129E-2</v>
      </c>
      <c r="K409" s="122"/>
      <c r="Y409" s="126">
        <f t="shared" si="65"/>
        <v>-0.5</v>
      </c>
    </row>
    <row r="410" spans="2:25" x14ac:dyDescent="0.3">
      <c r="B410" s="122">
        <v>0.92186008160332</v>
      </c>
      <c r="C410" s="122">
        <f t="shared" si="57"/>
        <v>0</v>
      </c>
      <c r="D410" s="126">
        <f t="shared" si="58"/>
        <v>2.057878742423826E-2</v>
      </c>
      <c r="E410" s="122">
        <f t="shared" si="59"/>
        <v>0</v>
      </c>
      <c r="F410" s="122">
        <f t="shared" si="60"/>
        <v>0</v>
      </c>
      <c r="G410" s="122">
        <f t="shared" si="61"/>
        <v>0.92186008160332</v>
      </c>
      <c r="H410" s="122">
        <f t="shared" si="62"/>
        <v>2.057878742423826E-2</v>
      </c>
      <c r="I410" s="122">
        <f t="shared" si="63"/>
        <v>0.92186008160332</v>
      </c>
      <c r="J410" s="122">
        <f t="shared" si="64"/>
        <v>-2.057878742423826E-2</v>
      </c>
      <c r="K410" s="122"/>
      <c r="Y410" s="126">
        <f t="shared" si="65"/>
        <v>-0.5</v>
      </c>
    </row>
    <row r="411" spans="2:25" x14ac:dyDescent="0.3">
      <c r="B411" s="122">
        <v>0.92354144374172342</v>
      </c>
      <c r="C411" s="122">
        <f t="shared" si="57"/>
        <v>0</v>
      </c>
      <c r="D411" s="126">
        <f t="shared" si="58"/>
        <v>2.0211084520216263E-2</v>
      </c>
      <c r="E411" s="122">
        <f t="shared" si="59"/>
        <v>0</v>
      </c>
      <c r="F411" s="122">
        <f t="shared" si="60"/>
        <v>0</v>
      </c>
      <c r="G411" s="122">
        <f t="shared" si="61"/>
        <v>0.92354144374172342</v>
      </c>
      <c r="H411" s="122">
        <f t="shared" si="62"/>
        <v>2.0211084520216263E-2</v>
      </c>
      <c r="I411" s="122">
        <f t="shared" si="63"/>
        <v>0.92354144374172342</v>
      </c>
      <c r="J411" s="122">
        <f t="shared" si="64"/>
        <v>-2.0211084520216263E-2</v>
      </c>
      <c r="K411" s="122"/>
      <c r="Y411" s="126">
        <f t="shared" si="65"/>
        <v>-0.5</v>
      </c>
    </row>
    <row r="412" spans="2:25" x14ac:dyDescent="0.3">
      <c r="B412" s="122">
        <v>0.92520601810542002</v>
      </c>
      <c r="C412" s="122">
        <f t="shared" si="57"/>
        <v>0</v>
      </c>
      <c r="D412" s="126">
        <f t="shared" si="58"/>
        <v>1.9844991083422123E-2</v>
      </c>
      <c r="E412" s="122">
        <f t="shared" si="59"/>
        <v>0</v>
      </c>
      <c r="F412" s="122">
        <f t="shared" si="60"/>
        <v>0</v>
      </c>
      <c r="G412" s="122">
        <f t="shared" si="61"/>
        <v>0.92520601810542002</v>
      </c>
      <c r="H412" s="122">
        <f t="shared" si="62"/>
        <v>1.9844991083422123E-2</v>
      </c>
      <c r="I412" s="122">
        <f t="shared" si="63"/>
        <v>0.92520601810542002</v>
      </c>
      <c r="J412" s="122">
        <f t="shared" si="64"/>
        <v>-1.9844991083422123E-2</v>
      </c>
      <c r="K412" s="122"/>
      <c r="Y412" s="126">
        <f t="shared" si="65"/>
        <v>-0.5</v>
      </c>
    </row>
    <row r="413" spans="2:25" x14ac:dyDescent="0.3">
      <c r="B413" s="122">
        <v>0.9268537387162159</v>
      </c>
      <c r="C413" s="122">
        <f t="shared" si="57"/>
        <v>0</v>
      </c>
      <c r="D413" s="126">
        <f t="shared" si="58"/>
        <v>1.9480579042897128E-2</v>
      </c>
      <c r="E413" s="122">
        <f t="shared" si="59"/>
        <v>0</v>
      </c>
      <c r="F413" s="122">
        <f t="shared" si="60"/>
        <v>0</v>
      </c>
      <c r="G413" s="122">
        <f t="shared" si="61"/>
        <v>0.9268537387162159</v>
      </c>
      <c r="H413" s="122">
        <f t="shared" si="62"/>
        <v>1.9480579042897128E-2</v>
      </c>
      <c r="I413" s="122">
        <f t="shared" si="63"/>
        <v>0.9268537387162159</v>
      </c>
      <c r="J413" s="122">
        <f t="shared" si="64"/>
        <v>-1.9480579042897128E-2</v>
      </c>
      <c r="K413" s="122"/>
      <c r="Y413" s="126">
        <f t="shared" si="65"/>
        <v>-0.5</v>
      </c>
    </row>
    <row r="414" spans="2:25" x14ac:dyDescent="0.3">
      <c r="B414" s="122">
        <v>0.92848454026394456</v>
      </c>
      <c r="C414" s="122">
        <f t="shared" si="57"/>
        <v>0</v>
      </c>
      <c r="D414" s="126">
        <f t="shared" si="58"/>
        <v>1.9117920162222257E-2</v>
      </c>
      <c r="E414" s="122">
        <f t="shared" si="59"/>
        <v>0</v>
      </c>
      <c r="F414" s="122">
        <f t="shared" si="60"/>
        <v>0</v>
      </c>
      <c r="G414" s="122">
        <f t="shared" si="61"/>
        <v>0.92848454026394456</v>
      </c>
      <c r="H414" s="122">
        <f t="shared" si="62"/>
        <v>1.9117920162222257E-2</v>
      </c>
      <c r="I414" s="122">
        <f t="shared" si="63"/>
        <v>0.92848454026394456</v>
      </c>
      <c r="J414" s="122">
        <f t="shared" si="64"/>
        <v>-1.9117920162222257E-2</v>
      </c>
      <c r="K414" s="122"/>
      <c r="Y414" s="126">
        <f t="shared" si="65"/>
        <v>-0.5</v>
      </c>
    </row>
    <row r="415" spans="2:25" x14ac:dyDescent="0.3">
      <c r="B415" s="122">
        <v>0.93009835810905406</v>
      </c>
      <c r="C415" s="122">
        <f t="shared" si="57"/>
        <v>0</v>
      </c>
      <c r="D415" s="126">
        <f t="shared" si="58"/>
        <v>1.8757086021110179E-2</v>
      </c>
      <c r="E415" s="122">
        <f t="shared" si="59"/>
        <v>0</v>
      </c>
      <c r="F415" s="122">
        <f t="shared" si="60"/>
        <v>0</v>
      </c>
      <c r="G415" s="122">
        <f t="shared" si="61"/>
        <v>0.93009835810905406</v>
      </c>
      <c r="H415" s="122">
        <f t="shared" si="62"/>
        <v>1.8757086021110179E-2</v>
      </c>
      <c r="I415" s="122">
        <f t="shared" si="63"/>
        <v>0.93009835810905406</v>
      </c>
      <c r="J415" s="122">
        <f t="shared" si="64"/>
        <v>-1.8757086021110179E-2</v>
      </c>
      <c r="K415" s="122"/>
      <c r="Y415" s="126">
        <f t="shared" si="65"/>
        <v>-0.5</v>
      </c>
    </row>
    <row r="416" spans="2:25" x14ac:dyDescent="0.3">
      <c r="B416" s="122">
        <v>0.93169512828517065</v>
      </c>
      <c r="C416" s="122">
        <f t="shared" si="57"/>
        <v>0</v>
      </c>
      <c r="D416" s="126">
        <f t="shared" si="58"/>
        <v>1.839814799701316E-2</v>
      </c>
      <c r="E416" s="122">
        <f t="shared" si="59"/>
        <v>0</v>
      </c>
      <c r="F416" s="122">
        <f t="shared" si="60"/>
        <v>0</v>
      </c>
      <c r="G416" s="122">
        <f t="shared" si="61"/>
        <v>0.93169512828517065</v>
      </c>
      <c r="H416" s="122">
        <f t="shared" si="62"/>
        <v>1.839814799701316E-2</v>
      </c>
      <c r="I416" s="122">
        <f t="shared" si="63"/>
        <v>0.93169512828517065</v>
      </c>
      <c r="J416" s="122">
        <f t="shared" si="64"/>
        <v>-1.839814799701316E-2</v>
      </c>
      <c r="K416" s="122"/>
      <c r="Y416" s="126">
        <f t="shared" si="65"/>
        <v>-0.5</v>
      </c>
    </row>
    <row r="417" spans="2:25" x14ac:dyDescent="0.3">
      <c r="B417" s="122">
        <v>0.93327478750163317</v>
      </c>
      <c r="C417" s="122">
        <f t="shared" si="57"/>
        <v>0</v>
      </c>
      <c r="D417" s="126">
        <f t="shared" si="58"/>
        <v>1.8041177246753491E-2</v>
      </c>
      <c r="E417" s="122">
        <f t="shared" si="59"/>
        <v>0</v>
      </c>
      <c r="F417" s="122">
        <f t="shared" si="60"/>
        <v>0</v>
      </c>
      <c r="G417" s="122">
        <f t="shared" si="61"/>
        <v>0.93327478750163317</v>
      </c>
      <c r="H417" s="122">
        <f t="shared" si="62"/>
        <v>1.8041177246753491E-2</v>
      </c>
      <c r="I417" s="122">
        <f t="shared" si="63"/>
        <v>0.93327478750163317</v>
      </c>
      <c r="J417" s="122">
        <f t="shared" si="64"/>
        <v>-1.8041177246753491E-2</v>
      </c>
      <c r="K417" s="122"/>
      <c r="Y417" s="126">
        <f t="shared" si="65"/>
        <v>-0.5</v>
      </c>
    </row>
    <row r="418" spans="2:25" x14ac:dyDescent="0.3">
      <c r="B418" s="122">
        <v>0.93483727314600207</v>
      </c>
      <c r="C418" s="122">
        <f t="shared" si="57"/>
        <v>0</v>
      </c>
      <c r="D418" s="126">
        <f t="shared" si="58"/>
        <v>1.7686244688181266E-2</v>
      </c>
      <c r="E418" s="122">
        <f t="shared" si="59"/>
        <v>0</v>
      </c>
      <c r="F418" s="122">
        <f t="shared" si="60"/>
        <v>0</v>
      </c>
      <c r="G418" s="122">
        <f t="shared" si="61"/>
        <v>0.93483727314600207</v>
      </c>
      <c r="H418" s="122">
        <f t="shared" si="62"/>
        <v>1.7686244688181266E-2</v>
      </c>
      <c r="I418" s="122">
        <f t="shared" si="63"/>
        <v>0.93483727314600207</v>
      </c>
      <c r="J418" s="122">
        <f t="shared" si="64"/>
        <v>-1.7686244688181266E-2</v>
      </c>
      <c r="K418" s="122"/>
      <c r="Y418" s="126">
        <f t="shared" si="65"/>
        <v>-0.5</v>
      </c>
    </row>
    <row r="419" spans="2:25" x14ac:dyDescent="0.3">
      <c r="B419" s="122">
        <v>0.93638252328654126</v>
      </c>
      <c r="C419" s="122">
        <f t="shared" si="57"/>
        <v>0</v>
      </c>
      <c r="D419" s="126">
        <f t="shared" si="58"/>
        <v>1.733342098186523E-2</v>
      </c>
      <c r="E419" s="122">
        <f t="shared" si="59"/>
        <v>0</v>
      </c>
      <c r="F419" s="122">
        <f t="shared" si="60"/>
        <v>0</v>
      </c>
      <c r="G419" s="122">
        <f t="shared" si="61"/>
        <v>0.93638252328654126</v>
      </c>
      <c r="H419" s="122">
        <f t="shared" si="62"/>
        <v>1.733342098186523E-2</v>
      </c>
      <c r="I419" s="122">
        <f t="shared" si="63"/>
        <v>0.93638252328654126</v>
      </c>
      <c r="J419" s="122">
        <f t="shared" si="64"/>
        <v>-1.733342098186523E-2</v>
      </c>
      <c r="K419" s="122"/>
      <c r="Y419" s="126">
        <f t="shared" si="65"/>
        <v>-0.5</v>
      </c>
    </row>
    <row r="420" spans="2:25" x14ac:dyDescent="0.3">
      <c r="B420" s="122">
        <v>0.9379104766746722</v>
      </c>
      <c r="C420" s="122">
        <f t="shared" si="57"/>
        <v>0</v>
      </c>
      <c r="D420" s="126">
        <f t="shared" si="58"/>
        <v>1.6982776512822356E-2</v>
      </c>
      <c r="E420" s="122">
        <f t="shared" si="59"/>
        <v>0</v>
      </c>
      <c r="F420" s="122">
        <f t="shared" si="60"/>
        <v>0</v>
      </c>
      <c r="G420" s="122">
        <f t="shared" si="61"/>
        <v>0.9379104766746722</v>
      </c>
      <c r="H420" s="122">
        <f t="shared" si="62"/>
        <v>1.6982776512822356E-2</v>
      </c>
      <c r="I420" s="122">
        <f t="shared" si="63"/>
        <v>0.9379104766746722</v>
      </c>
      <c r="J420" s="122">
        <f t="shared" si="64"/>
        <v>-1.6982776512822356E-2</v>
      </c>
      <c r="K420" s="122"/>
      <c r="Y420" s="126">
        <f t="shared" si="65"/>
        <v>-0.5</v>
      </c>
    </row>
    <row r="421" spans="2:25" x14ac:dyDescent="0.3">
      <c r="B421" s="122">
        <v>0.93942107274740294</v>
      </c>
      <c r="C421" s="122">
        <f t="shared" si="57"/>
        <v>0</v>
      </c>
      <c r="D421" s="126">
        <f t="shared" si="58"/>
        <v>1.663438137229109E-2</v>
      </c>
      <c r="E421" s="122">
        <f t="shared" si="59"/>
        <v>0</v>
      </c>
      <c r="F421" s="122">
        <f t="shared" si="60"/>
        <v>0</v>
      </c>
      <c r="G421" s="122">
        <f t="shared" si="61"/>
        <v>0.93942107274740294</v>
      </c>
      <c r="H421" s="122">
        <f t="shared" si="62"/>
        <v>1.663438137229109E-2</v>
      </c>
      <c r="I421" s="122">
        <f t="shared" si="63"/>
        <v>0.93942107274740294</v>
      </c>
      <c r="J421" s="122">
        <f t="shared" si="64"/>
        <v>-1.663438137229109E-2</v>
      </c>
      <c r="K421" s="122"/>
      <c r="Y421" s="126">
        <f t="shared" si="65"/>
        <v>-0.5</v>
      </c>
    </row>
    <row r="422" spans="2:25" x14ac:dyDescent="0.3">
      <c r="B422" s="122">
        <v>0.94091425162972686</v>
      </c>
      <c r="C422" s="122">
        <f t="shared" si="57"/>
        <v>0</v>
      </c>
      <c r="D422" s="126">
        <f t="shared" si="58"/>
        <v>1.6288305339554807E-2</v>
      </c>
      <c r="E422" s="122">
        <f t="shared" si="59"/>
        <v>0</v>
      </c>
      <c r="F422" s="122">
        <f t="shared" si="60"/>
        <v>0</v>
      </c>
      <c r="G422" s="122">
        <f t="shared" si="61"/>
        <v>0.94091425162972686</v>
      </c>
      <c r="H422" s="122">
        <f t="shared" si="62"/>
        <v>1.6288305339554807E-2</v>
      </c>
      <c r="I422" s="122">
        <f t="shared" si="63"/>
        <v>0.94091425162972686</v>
      </c>
      <c r="J422" s="122">
        <f t="shared" si="64"/>
        <v>-1.6288305339554807E-2</v>
      </c>
      <c r="K422" s="122"/>
      <c r="Y422" s="126">
        <f t="shared" si="65"/>
        <v>-0.5</v>
      </c>
    </row>
    <row r="423" spans="2:25" x14ac:dyDescent="0.3">
      <c r="B423" s="122">
        <v>0.94238995413699778</v>
      </c>
      <c r="C423" s="122">
        <f t="shared" si="57"/>
        <v>0</v>
      </c>
      <c r="D423" s="126">
        <f t="shared" si="58"/>
        <v>1.5944617863819427E-2</v>
      </c>
      <c r="E423" s="122">
        <f t="shared" si="59"/>
        <v>0</v>
      </c>
      <c r="F423" s="122">
        <f t="shared" si="60"/>
        <v>0</v>
      </c>
      <c r="G423" s="122">
        <f t="shared" si="61"/>
        <v>0.94238995413699778</v>
      </c>
      <c r="H423" s="122">
        <f t="shared" si="62"/>
        <v>1.5944617863819427E-2</v>
      </c>
      <c r="I423" s="122">
        <f t="shared" si="63"/>
        <v>0.94238995413699778</v>
      </c>
      <c r="J423" s="122">
        <f t="shared" si="64"/>
        <v>-1.5944617863819427E-2</v>
      </c>
      <c r="K423" s="122"/>
      <c r="Y423" s="126">
        <f t="shared" si="65"/>
        <v>-0.5</v>
      </c>
    </row>
    <row r="424" spans="2:25" x14ac:dyDescent="0.3">
      <c r="B424" s="122">
        <v>0.94384812177727417</v>
      </c>
      <c r="C424" s="122">
        <f t="shared" si="57"/>
        <v>0</v>
      </c>
      <c r="D424" s="126">
        <f t="shared" si="58"/>
        <v>1.5603388046152439E-2</v>
      </c>
      <c r="E424" s="122">
        <f t="shared" si="59"/>
        <v>0</v>
      </c>
      <c r="F424" s="122">
        <f t="shared" si="60"/>
        <v>0</v>
      </c>
      <c r="G424" s="122">
        <f t="shared" si="61"/>
        <v>0.94384812177727417</v>
      </c>
      <c r="H424" s="122">
        <f t="shared" si="62"/>
        <v>1.5603388046152439E-2</v>
      </c>
      <c r="I424" s="122">
        <f t="shared" si="63"/>
        <v>0.94384812177727417</v>
      </c>
      <c r="J424" s="122">
        <f t="shared" si="64"/>
        <v>-1.5603388046152439E-2</v>
      </c>
      <c r="K424" s="122"/>
      <c r="Y424" s="126">
        <f t="shared" si="65"/>
        <v>-0.5</v>
      </c>
    </row>
    <row r="425" spans="2:25" x14ac:dyDescent="0.3">
      <c r="B425" s="122">
        <v>0.94528869675363891</v>
      </c>
      <c r="C425" s="122">
        <f t="shared" si="57"/>
        <v>0</v>
      </c>
      <c r="D425" s="126">
        <f t="shared" si="58"/>
        <v>1.5264684621487064E-2</v>
      </c>
      <c r="E425" s="122">
        <f t="shared" si="59"/>
        <v>0</v>
      </c>
      <c r="F425" s="122">
        <f t="shared" si="60"/>
        <v>0</v>
      </c>
      <c r="G425" s="122">
        <f t="shared" si="61"/>
        <v>0.94528869675363891</v>
      </c>
      <c r="H425" s="122">
        <f t="shared" si="62"/>
        <v>1.5264684621487064E-2</v>
      </c>
      <c r="I425" s="122">
        <f t="shared" si="63"/>
        <v>0.94528869675363891</v>
      </c>
      <c r="J425" s="122">
        <f t="shared" si="64"/>
        <v>-1.5264684621487064E-2</v>
      </c>
      <c r="K425" s="122"/>
      <c r="Y425" s="126">
        <f t="shared" si="65"/>
        <v>-0.5</v>
      </c>
    </row>
    <row r="426" spans="2:25" x14ac:dyDescent="0.3">
      <c r="B426" s="122">
        <v>0.94671162196648917</v>
      </c>
      <c r="C426" s="122">
        <f t="shared" si="57"/>
        <v>0</v>
      </c>
      <c r="D426" s="126">
        <f t="shared" si="58"/>
        <v>1.4928575940698387E-2</v>
      </c>
      <c r="E426" s="122">
        <f t="shared" si="59"/>
        <v>0</v>
      </c>
      <c r="F426" s="122">
        <f t="shared" si="60"/>
        <v>0</v>
      </c>
      <c r="G426" s="122">
        <f t="shared" si="61"/>
        <v>0.94671162196648917</v>
      </c>
      <c r="H426" s="122">
        <f t="shared" si="62"/>
        <v>1.4928575940698387E-2</v>
      </c>
      <c r="I426" s="122">
        <f t="shared" si="63"/>
        <v>0.94671162196648917</v>
      </c>
      <c r="J426" s="122">
        <f t="shared" si="64"/>
        <v>-1.4928575940698387E-2</v>
      </c>
      <c r="K426" s="122"/>
      <c r="Y426" s="126">
        <f t="shared" si="65"/>
        <v>-0.5</v>
      </c>
    </row>
    <row r="427" spans="2:25" x14ac:dyDescent="0.3">
      <c r="B427" s="122">
        <v>0.94811684101580029</v>
      </c>
      <c r="C427" s="122">
        <f t="shared" si="57"/>
        <v>0</v>
      </c>
      <c r="D427" s="126">
        <f t="shared" si="58"/>
        <v>1.4595129952755899E-2</v>
      </c>
      <c r="E427" s="122">
        <f t="shared" si="59"/>
        <v>0</v>
      </c>
      <c r="F427" s="122">
        <f t="shared" si="60"/>
        <v>0</v>
      </c>
      <c r="G427" s="122">
        <f t="shared" si="61"/>
        <v>0.94811684101580029</v>
      </c>
      <c r="H427" s="122">
        <f t="shared" si="62"/>
        <v>1.4595129952755899E-2</v>
      </c>
      <c r="I427" s="122">
        <f t="shared" si="63"/>
        <v>0.94811684101580029</v>
      </c>
      <c r="J427" s="122">
        <f t="shared" si="64"/>
        <v>-1.4595129952755899E-2</v>
      </c>
      <c r="K427" s="122"/>
      <c r="Y427" s="126">
        <f t="shared" si="65"/>
        <v>-0.5</v>
      </c>
    </row>
    <row r="428" spans="2:25" x14ac:dyDescent="0.3">
      <c r="B428" s="122">
        <v>0.94950429820336102</v>
      </c>
      <c r="C428" s="122">
        <f t="shared" si="57"/>
        <v>0</v>
      </c>
      <c r="D428" s="126">
        <f t="shared" si="58"/>
        <v>1.426441418695848E-2</v>
      </c>
      <c r="E428" s="122">
        <f t="shared" si="59"/>
        <v>0</v>
      </c>
      <c r="F428" s="122">
        <f t="shared" si="60"/>
        <v>0</v>
      </c>
      <c r="G428" s="122">
        <f t="shared" si="61"/>
        <v>0.94950429820336102</v>
      </c>
      <c r="H428" s="122">
        <f t="shared" si="62"/>
        <v>1.426441418695848E-2</v>
      </c>
      <c r="I428" s="122">
        <f t="shared" si="63"/>
        <v>0.94950429820336102</v>
      </c>
      <c r="J428" s="122">
        <f t="shared" si="64"/>
        <v>-1.426441418695848E-2</v>
      </c>
      <c r="K428" s="122"/>
      <c r="Y428" s="126">
        <f t="shared" si="65"/>
        <v>-0.5</v>
      </c>
    </row>
    <row r="429" spans="2:25" x14ac:dyDescent="0.3">
      <c r="B429" s="122">
        <v>0.95087393853498114</v>
      </c>
      <c r="C429" s="122">
        <f t="shared" si="57"/>
        <v>0</v>
      </c>
      <c r="D429" s="126">
        <f t="shared" si="58"/>
        <v>1.3936495735256847E-2</v>
      </c>
      <c r="E429" s="122">
        <f t="shared" si="59"/>
        <v>0</v>
      </c>
      <c r="F429" s="122">
        <f t="shared" si="60"/>
        <v>0</v>
      </c>
      <c r="G429" s="122">
        <f t="shared" si="61"/>
        <v>0.95087393853498114</v>
      </c>
      <c r="H429" s="122">
        <f t="shared" si="62"/>
        <v>1.3936495735256847E-2</v>
      </c>
      <c r="I429" s="122">
        <f t="shared" si="63"/>
        <v>0.95087393853498114</v>
      </c>
      <c r="J429" s="122">
        <f t="shared" si="64"/>
        <v>-1.3936495735256847E-2</v>
      </c>
      <c r="K429" s="122"/>
      <c r="Y429" s="126">
        <f t="shared" si="65"/>
        <v>-0.5</v>
      </c>
    </row>
    <row r="430" spans="2:25" x14ac:dyDescent="0.3">
      <c r="B430" s="122">
        <v>0.95222570772267157</v>
      </c>
      <c r="C430" s="122">
        <f t="shared" si="57"/>
        <v>0</v>
      </c>
      <c r="D430" s="126">
        <f t="shared" si="58"/>
        <v>1.3611441234668915E-2</v>
      </c>
      <c r="E430" s="122">
        <f t="shared" si="59"/>
        <v>0</v>
      </c>
      <c r="F430" s="122">
        <f t="shared" si="60"/>
        <v>0</v>
      </c>
      <c r="G430" s="122">
        <f t="shared" si="61"/>
        <v>0.95222570772267157</v>
      </c>
      <c r="H430" s="122">
        <f t="shared" si="62"/>
        <v>1.3611441234668915E-2</v>
      </c>
      <c r="I430" s="122">
        <f t="shared" si="63"/>
        <v>0.95222570772267157</v>
      </c>
      <c r="J430" s="122">
        <f t="shared" si="64"/>
        <v>-1.3611441234668915E-2</v>
      </c>
      <c r="K430" s="122"/>
      <c r="Y430" s="126">
        <f t="shared" si="65"/>
        <v>-0.5</v>
      </c>
    </row>
    <row r="431" spans="2:25" x14ac:dyDescent="0.3">
      <c r="B431" s="122">
        <v>0.95355955218679578</v>
      </c>
      <c r="C431" s="122">
        <f t="shared" si="57"/>
        <v>0</v>
      </c>
      <c r="D431" s="126">
        <f t="shared" si="58"/>
        <v>1.3289316849793549E-2</v>
      </c>
      <c r="E431" s="122">
        <f t="shared" si="59"/>
        <v>0</v>
      </c>
      <c r="F431" s="122">
        <f t="shared" si="60"/>
        <v>0</v>
      </c>
      <c r="G431" s="122">
        <f t="shared" si="61"/>
        <v>0.95355955218679578</v>
      </c>
      <c r="H431" s="122">
        <f t="shared" si="62"/>
        <v>1.3289316849793549E-2</v>
      </c>
      <c r="I431" s="122">
        <f t="shared" si="63"/>
        <v>0.95355955218679578</v>
      </c>
      <c r="J431" s="122">
        <f t="shared" si="64"/>
        <v>-1.3289316849793549E-2</v>
      </c>
      <c r="K431" s="122"/>
      <c r="Y431" s="126">
        <f t="shared" si="65"/>
        <v>-0.5</v>
      </c>
    </row>
    <row r="432" spans="2:25" x14ac:dyDescent="0.3">
      <c r="B432" s="122">
        <v>0.95487541905819395</v>
      </c>
      <c r="C432" s="122">
        <f t="shared" si="57"/>
        <v>0</v>
      </c>
      <c r="D432" s="126">
        <f t="shared" si="58"/>
        <v>1.2970188255427761E-2</v>
      </c>
      <c r="E432" s="122">
        <f t="shared" si="59"/>
        <v>0</v>
      </c>
      <c r="F432" s="122">
        <f t="shared" si="60"/>
        <v>0</v>
      </c>
      <c r="G432" s="122">
        <f t="shared" si="61"/>
        <v>0.95487541905819395</v>
      </c>
      <c r="H432" s="122">
        <f t="shared" si="62"/>
        <v>1.2970188255427761E-2</v>
      </c>
      <c r="I432" s="122">
        <f t="shared" si="63"/>
        <v>0.95487541905819395</v>
      </c>
      <c r="J432" s="122">
        <f t="shared" si="64"/>
        <v>-1.2970188255427761E-2</v>
      </c>
      <c r="K432" s="122"/>
      <c r="Y432" s="126">
        <f t="shared" si="65"/>
        <v>-0.5</v>
      </c>
    </row>
    <row r="433" spans="2:25" x14ac:dyDescent="0.3">
      <c r="B433" s="122">
        <v>0.95617325618027782</v>
      </c>
      <c r="C433" s="122">
        <f t="shared" si="57"/>
        <v>0</v>
      </c>
      <c r="D433" s="126">
        <f t="shared" si="58"/>
        <v>1.2654120619292979E-2</v>
      </c>
      <c r="E433" s="122">
        <f t="shared" si="59"/>
        <v>0</v>
      </c>
      <c r="F433" s="122">
        <f t="shared" si="60"/>
        <v>0</v>
      </c>
      <c r="G433" s="122">
        <f t="shared" si="61"/>
        <v>0.95617325618027782</v>
      </c>
      <c r="H433" s="122">
        <f t="shared" si="62"/>
        <v>1.2654120619292979E-2</v>
      </c>
      <c r="I433" s="122">
        <f t="shared" si="63"/>
        <v>0.95617325618027782</v>
      </c>
      <c r="J433" s="122">
        <f t="shared" si="64"/>
        <v>-1.2654120619292979E-2</v>
      </c>
      <c r="K433" s="122"/>
      <c r="Y433" s="126">
        <f t="shared" si="65"/>
        <v>-0.5</v>
      </c>
    </row>
    <row r="434" spans="2:25" x14ac:dyDescent="0.3">
      <c r="B434" s="122">
        <v>0.9574530121110989</v>
      </c>
      <c r="C434" s="122">
        <f t="shared" si="57"/>
        <v>0</v>
      </c>
      <c r="D434" s="126">
        <f t="shared" si="58"/>
        <v>1.2341178584875075E-2</v>
      </c>
      <c r="E434" s="122">
        <f t="shared" si="59"/>
        <v>0</v>
      </c>
      <c r="F434" s="122">
        <f t="shared" si="60"/>
        <v>0</v>
      </c>
      <c r="G434" s="122">
        <f t="shared" si="61"/>
        <v>0.9574530121110989</v>
      </c>
      <c r="H434" s="122">
        <f t="shared" si="62"/>
        <v>1.2341178584875075E-2</v>
      </c>
      <c r="I434" s="122">
        <f t="shared" si="63"/>
        <v>0.9574530121110989</v>
      </c>
      <c r="J434" s="122">
        <f t="shared" si="64"/>
        <v>-1.2341178584875075E-2</v>
      </c>
      <c r="K434" s="122"/>
      <c r="Y434" s="126">
        <f t="shared" si="65"/>
        <v>-0.5</v>
      </c>
    </row>
    <row r="435" spans="2:25" x14ac:dyDescent="0.3">
      <c r="B435" s="122">
        <v>0.95871463612538665</v>
      </c>
      <c r="C435" s="122">
        <f t="shared" si="57"/>
        <v>0</v>
      </c>
      <c r="D435" s="126">
        <f t="shared" si="58"/>
        <v>1.2031426254384147E-2</v>
      </c>
      <c r="E435" s="122">
        <f t="shared" si="59"/>
        <v>0</v>
      </c>
      <c r="F435" s="122">
        <f t="shared" si="60"/>
        <v>0</v>
      </c>
      <c r="G435" s="122">
        <f t="shared" si="61"/>
        <v>0.95871463612538665</v>
      </c>
      <c r="H435" s="122">
        <f t="shared" si="62"/>
        <v>1.2031426254384147E-2</v>
      </c>
      <c r="I435" s="122">
        <f t="shared" si="63"/>
        <v>0.95871463612538665</v>
      </c>
      <c r="J435" s="122">
        <f t="shared" si="64"/>
        <v>-1.2031426254384147E-2</v>
      </c>
      <c r="K435" s="122"/>
      <c r="Y435" s="126">
        <f t="shared" si="65"/>
        <v>-0.5</v>
      </c>
    </row>
    <row r="436" spans="2:25" x14ac:dyDescent="0.3">
      <c r="B436" s="122">
        <v>0.95995807821655976</v>
      </c>
      <c r="C436" s="122">
        <f t="shared" si="57"/>
        <v>0</v>
      </c>
      <c r="D436" s="126">
        <f t="shared" si="58"/>
        <v>1.1724927171838456E-2</v>
      </c>
      <c r="E436" s="122">
        <f t="shared" si="59"/>
        <v>0</v>
      </c>
      <c r="F436" s="122">
        <f t="shared" si="60"/>
        <v>0</v>
      </c>
      <c r="G436" s="122">
        <f t="shared" si="61"/>
        <v>0.95995807821655976</v>
      </c>
      <c r="H436" s="122">
        <f t="shared" si="62"/>
        <v>1.1724927171838456E-2</v>
      </c>
      <c r="I436" s="122">
        <f t="shared" si="63"/>
        <v>0.95995807821655976</v>
      </c>
      <c r="J436" s="122">
        <f t="shared" si="64"/>
        <v>-1.1724927171838456E-2</v>
      </c>
      <c r="K436" s="122"/>
      <c r="Y436" s="126">
        <f t="shared" si="65"/>
        <v>-0.5</v>
      </c>
    </row>
    <row r="437" spans="2:25" x14ac:dyDescent="0.3">
      <c r="B437" s="122">
        <v>0.96118328909870754</v>
      </c>
      <c r="C437" s="122">
        <f t="shared" si="57"/>
        <v>0</v>
      </c>
      <c r="D437" s="126">
        <f t="shared" si="58"/>
        <v>1.1421744306278353E-2</v>
      </c>
      <c r="E437" s="122">
        <f t="shared" si="59"/>
        <v>0</v>
      </c>
      <c r="F437" s="122">
        <f t="shared" si="60"/>
        <v>0</v>
      </c>
      <c r="G437" s="122">
        <f t="shared" si="61"/>
        <v>0.96118328909870754</v>
      </c>
      <c r="H437" s="122">
        <f t="shared" si="62"/>
        <v>1.1421744306278353E-2</v>
      </c>
      <c r="I437" s="122">
        <f t="shared" si="63"/>
        <v>0.96118328909870754</v>
      </c>
      <c r="J437" s="122">
        <f t="shared" si="64"/>
        <v>-1.1421744306278353E-2</v>
      </c>
      <c r="K437" s="122"/>
      <c r="Y437" s="126">
        <f t="shared" si="65"/>
        <v>-0.5</v>
      </c>
    </row>
    <row r="438" spans="2:25" x14ac:dyDescent="0.3">
      <c r="B438" s="122">
        <v>0.96239022020854426</v>
      </c>
      <c r="C438" s="122">
        <f t="shared" si="57"/>
        <v>0</v>
      </c>
      <c r="D438" s="126">
        <f t="shared" si="58"/>
        <v>1.1121940035114674E-2</v>
      </c>
      <c r="E438" s="122">
        <f t="shared" si="59"/>
        <v>0</v>
      </c>
      <c r="F438" s="122">
        <f t="shared" si="60"/>
        <v>0</v>
      </c>
      <c r="G438" s="122">
        <f t="shared" si="61"/>
        <v>0.96239022020854426</v>
      </c>
      <c r="H438" s="122">
        <f t="shared" si="62"/>
        <v>1.1121940035114674E-2</v>
      </c>
      <c r="I438" s="122">
        <f t="shared" si="63"/>
        <v>0.96239022020854426</v>
      </c>
      <c r="J438" s="122">
        <f t="shared" si="64"/>
        <v>-1.1121940035114674E-2</v>
      </c>
      <c r="K438" s="122"/>
      <c r="Y438" s="126">
        <f t="shared" si="65"/>
        <v>-0.5</v>
      </c>
    </row>
    <row r="439" spans="2:25" x14ac:dyDescent="0.3">
      <c r="B439" s="122">
        <v>0.96357882370733328</v>
      </c>
      <c r="C439" s="122">
        <f t="shared" si="57"/>
        <v>0</v>
      </c>
      <c r="D439" s="126">
        <f t="shared" si="58"/>
        <v>1.0825576127617368E-2</v>
      </c>
      <c r="E439" s="122">
        <f t="shared" si="59"/>
        <v>0</v>
      </c>
      <c r="F439" s="122">
        <f t="shared" si="60"/>
        <v>0</v>
      </c>
      <c r="G439" s="122">
        <f t="shared" si="61"/>
        <v>0.96357882370733328</v>
      </c>
      <c r="H439" s="122">
        <f t="shared" si="62"/>
        <v>1.0825576127617368E-2</v>
      </c>
      <c r="I439" s="122">
        <f t="shared" si="63"/>
        <v>0.96357882370733328</v>
      </c>
      <c r="J439" s="122">
        <f t="shared" si="64"/>
        <v>-1.0825576127617368E-2</v>
      </c>
      <c r="K439" s="122"/>
      <c r="Y439" s="126">
        <f t="shared" si="65"/>
        <v>-0.5</v>
      </c>
    </row>
    <row r="440" spans="2:25" x14ac:dyDescent="0.3">
      <c r="B440" s="122">
        <v>0.96474905248278331</v>
      </c>
      <c r="C440" s="122">
        <f t="shared" si="57"/>
        <v>0</v>
      </c>
      <c r="D440" s="126">
        <f t="shared" si="58"/>
        <v>1.0532713728548831E-2</v>
      </c>
      <c r="E440" s="122">
        <f t="shared" si="59"/>
        <v>0</v>
      </c>
      <c r="F440" s="122">
        <f t="shared" si="60"/>
        <v>0</v>
      </c>
      <c r="G440" s="122">
        <f t="shared" si="61"/>
        <v>0.96474905248278331</v>
      </c>
      <c r="H440" s="122">
        <f t="shared" si="62"/>
        <v>1.0532713728548831E-2</v>
      </c>
      <c r="I440" s="122">
        <f t="shared" si="63"/>
        <v>0.96474905248278331</v>
      </c>
      <c r="J440" s="122">
        <f t="shared" si="64"/>
        <v>-1.0532713728548831E-2</v>
      </c>
      <c r="K440" s="122"/>
      <c r="Y440" s="126">
        <f t="shared" si="65"/>
        <v>-0.5</v>
      </c>
    </row>
    <row r="441" spans="2:25" x14ac:dyDescent="0.3">
      <c r="B441" s="122">
        <v>0.9659008601509167</v>
      </c>
      <c r="C441" s="122">
        <f t="shared" si="57"/>
        <v>0</v>
      </c>
      <c r="D441" s="126">
        <f t="shared" si="58"/>
        <v>1.0243413341946955E-2</v>
      </c>
      <c r="E441" s="122">
        <f t="shared" si="59"/>
        <v>0</v>
      </c>
      <c r="F441" s="122">
        <f t="shared" si="60"/>
        <v>0</v>
      </c>
      <c r="G441" s="122">
        <f t="shared" si="61"/>
        <v>0.9659008601509167</v>
      </c>
      <c r="H441" s="122">
        <f t="shared" si="62"/>
        <v>1.0243413341946955E-2</v>
      </c>
      <c r="I441" s="122">
        <f t="shared" si="63"/>
        <v>0.9659008601509167</v>
      </c>
      <c r="J441" s="122">
        <f t="shared" si="64"/>
        <v>-1.0243413341946955E-2</v>
      </c>
      <c r="K441" s="122"/>
      <c r="Y441" s="126">
        <f t="shared" si="65"/>
        <v>-0.5</v>
      </c>
    </row>
    <row r="442" spans="2:25" x14ac:dyDescent="0.3">
      <c r="B442" s="122">
        <v>0.9670342010579065</v>
      </c>
      <c r="C442" s="122">
        <f t="shared" si="57"/>
        <v>0</v>
      </c>
      <c r="D442" s="126">
        <f t="shared" si="58"/>
        <v>9.9577348150636288E-3</v>
      </c>
      <c r="E442" s="122">
        <f t="shared" si="59"/>
        <v>0</v>
      </c>
      <c r="F442" s="122">
        <f t="shared" si="60"/>
        <v>0</v>
      </c>
      <c r="G442" s="122">
        <f t="shared" si="61"/>
        <v>0.9670342010579065</v>
      </c>
      <c r="H442" s="122">
        <f t="shared" si="62"/>
        <v>9.9577348150636288E-3</v>
      </c>
      <c r="I442" s="122">
        <f t="shared" si="63"/>
        <v>0.9670342010579065</v>
      </c>
      <c r="J442" s="122">
        <f t="shared" si="64"/>
        <v>-9.9577348150636288E-3</v>
      </c>
      <c r="K442" s="122"/>
      <c r="Y442" s="126">
        <f t="shared" si="65"/>
        <v>-0.5</v>
      </c>
    </row>
    <row r="443" spans="2:25" x14ac:dyDescent="0.3">
      <c r="B443" s="122">
        <v>0.96814903028188737</v>
      </c>
      <c r="C443" s="122">
        <f t="shared" si="57"/>
        <v>0</v>
      </c>
      <c r="D443" s="126">
        <f t="shared" si="58"/>
        <v>9.6757373224623348E-3</v>
      </c>
      <c r="E443" s="122">
        <f t="shared" si="59"/>
        <v>0</v>
      </c>
      <c r="F443" s="122">
        <f t="shared" si="60"/>
        <v>0</v>
      </c>
      <c r="G443" s="122">
        <f t="shared" si="61"/>
        <v>0.96814903028188737</v>
      </c>
      <c r="H443" s="122">
        <f t="shared" si="62"/>
        <v>9.6757373224623348E-3</v>
      </c>
      <c r="I443" s="122">
        <f t="shared" si="63"/>
        <v>0.96814903028188737</v>
      </c>
      <c r="J443" s="122">
        <f t="shared" si="64"/>
        <v>-9.6757373224623348E-3</v>
      </c>
      <c r="K443" s="122"/>
      <c r="Y443" s="126">
        <f t="shared" si="65"/>
        <v>-0.5</v>
      </c>
    </row>
    <row r="444" spans="2:25" x14ac:dyDescent="0.3">
      <c r="B444" s="122">
        <v>0.96924530363473493</v>
      </c>
      <c r="C444" s="122">
        <f t="shared" si="57"/>
        <v>0</v>
      </c>
      <c r="D444" s="126">
        <f t="shared" si="58"/>
        <v>9.3974793502810145E-3</v>
      </c>
      <c r="E444" s="122">
        <f t="shared" si="59"/>
        <v>0</v>
      </c>
      <c r="F444" s="122">
        <f t="shared" si="60"/>
        <v>0</v>
      </c>
      <c r="G444" s="122">
        <f t="shared" si="61"/>
        <v>0.96924530363473493</v>
      </c>
      <c r="H444" s="122">
        <f t="shared" si="62"/>
        <v>9.3974793502810145E-3</v>
      </c>
      <c r="I444" s="122">
        <f t="shared" si="63"/>
        <v>0.96924530363473493</v>
      </c>
      <c r="J444" s="122">
        <f t="shared" si="64"/>
        <v>-9.3974793502810145E-3</v>
      </c>
      <c r="K444" s="122"/>
      <c r="Y444" s="126">
        <f t="shared" si="65"/>
        <v>-0.5</v>
      </c>
    </row>
    <row r="445" spans="2:25" x14ac:dyDescent="0.3">
      <c r="B445" s="122">
        <v>0.97032297766381859</v>
      </c>
      <c r="C445" s="122">
        <f t="shared" si="57"/>
        <v>0</v>
      </c>
      <c r="D445" s="126">
        <f t="shared" si="58"/>
        <v>9.1230186806637668E-3</v>
      </c>
      <c r="E445" s="122">
        <f t="shared" si="59"/>
        <v>0</v>
      </c>
      <c r="F445" s="122">
        <f t="shared" si="60"/>
        <v>0</v>
      </c>
      <c r="G445" s="122">
        <f t="shared" si="61"/>
        <v>0.97032297766381859</v>
      </c>
      <c r="H445" s="122">
        <f t="shared" si="62"/>
        <v>9.1230186806637668E-3</v>
      </c>
      <c r="I445" s="122">
        <f t="shared" si="63"/>
        <v>0.97032297766381859</v>
      </c>
      <c r="J445" s="122">
        <f t="shared" si="64"/>
        <v>-9.1230186806637668E-3</v>
      </c>
      <c r="K445" s="122"/>
      <c r="Y445" s="126">
        <f t="shared" si="65"/>
        <v>-0.5</v>
      </c>
    </row>
    <row r="446" spans="2:25" x14ac:dyDescent="0.3">
      <c r="B446" s="122">
        <v>0.97138200965372234</v>
      </c>
      <c r="C446" s="122">
        <f t="shared" si="57"/>
        <v>0</v>
      </c>
      <c r="D446" s="126">
        <f t="shared" si="58"/>
        <v>8.852412376367488E-3</v>
      </c>
      <c r="E446" s="122">
        <f t="shared" si="59"/>
        <v>0</v>
      </c>
      <c r="F446" s="122">
        <f t="shared" si="60"/>
        <v>0</v>
      </c>
      <c r="G446" s="122">
        <f t="shared" si="61"/>
        <v>0.97138200965372234</v>
      </c>
      <c r="H446" s="122">
        <f t="shared" si="62"/>
        <v>8.852412376367488E-3</v>
      </c>
      <c r="I446" s="122">
        <f t="shared" si="63"/>
        <v>0.97138200965372234</v>
      </c>
      <c r="J446" s="122">
        <f t="shared" si="64"/>
        <v>-8.852412376367488E-3</v>
      </c>
      <c r="K446" s="122"/>
      <c r="Y446" s="126">
        <f t="shared" si="65"/>
        <v>-0.5</v>
      </c>
    </row>
    <row r="447" spans="2:25" x14ac:dyDescent="0.3">
      <c r="B447" s="122">
        <v>0.97242235762793938</v>
      </c>
      <c r="C447" s="122">
        <f t="shared" si="57"/>
        <v>0</v>
      </c>
      <c r="D447" s="126">
        <f t="shared" si="58"/>
        <v>8.5857167655467286E-3</v>
      </c>
      <c r="E447" s="122">
        <f t="shared" si="59"/>
        <v>0</v>
      </c>
      <c r="F447" s="122">
        <f t="shared" si="60"/>
        <v>0</v>
      </c>
      <c r="G447" s="122">
        <f t="shared" si="61"/>
        <v>0.97242235762793938</v>
      </c>
      <c r="H447" s="122">
        <f t="shared" si="62"/>
        <v>8.5857167655467286E-3</v>
      </c>
      <c r="I447" s="122">
        <f t="shared" si="63"/>
        <v>0.97242235762793938</v>
      </c>
      <c r="J447" s="122">
        <f t="shared" si="64"/>
        <v>-8.5857167655467286E-3</v>
      </c>
      <c r="K447" s="122"/>
      <c r="Y447" s="126">
        <f t="shared" si="65"/>
        <v>-0.5</v>
      </c>
    </row>
    <row r="448" spans="2:25" x14ac:dyDescent="0.3">
      <c r="B448" s="122">
        <v>0.97344398035053437</v>
      </c>
      <c r="C448" s="122">
        <f t="shared" si="57"/>
        <v>0</v>
      </c>
      <c r="D448" s="126">
        <f t="shared" si="58"/>
        <v>8.3229874267229022E-3</v>
      </c>
      <c r="E448" s="122">
        <f t="shared" si="59"/>
        <v>0</v>
      </c>
      <c r="F448" s="122">
        <f t="shared" si="60"/>
        <v>0</v>
      </c>
      <c r="G448" s="122">
        <f t="shared" si="61"/>
        <v>0.97344398035053437</v>
      </c>
      <c r="H448" s="122">
        <f t="shared" si="62"/>
        <v>8.3229874267229022E-3</v>
      </c>
      <c r="I448" s="122">
        <f t="shared" si="63"/>
        <v>0.97344398035053437</v>
      </c>
      <c r="J448" s="122">
        <f t="shared" si="64"/>
        <v>-8.3229874267229022E-3</v>
      </c>
      <c r="K448" s="122"/>
      <c r="Y448" s="126">
        <f t="shared" si="65"/>
        <v>-0.5</v>
      </c>
    </row>
    <row r="449" spans="2:25" x14ac:dyDescent="0.3">
      <c r="B449" s="122">
        <v>0.97444683732777948</v>
      </c>
      <c r="C449" s="122">
        <f t="shared" ref="C449:C500" si="66">IF($A$1=0, 0, IF(B449&lt;=$A$2, ($A$1/$A$2^2)*(2*$A$2*B449-B449^2), ($A$1/(1-$A$2)^2)*((1-2*$A$2)+2*$A$2*B449-B449^2)))</f>
        <v>0</v>
      </c>
      <c r="D449" s="126">
        <f t="shared" ref="D449:D500" si="67">IF(B449&lt;$N$1, ($A$3/0.2)*($O$1*SQRT(B449)+$P$1*B449+$Q$1*(B449^2)+$R$1*(B449^3)), ($A$3/0.2)*($S$1+$T$1*(1-B449)+$U$1*((1-B449)^2)+$V$1*((1-B449)^3)))</f>
        <v>8.0642791739409525E-3</v>
      </c>
      <c r="E449" s="122">
        <f t="shared" ref="E449:E500" si="68">IF($A$1=0, 0, IF(B449&lt;=$A$2, ($A$1/$A$2^2) *(2*$A$2-2*B449), ($A$1/(1-$A$2)^2)*(2*$A$2-2*B449)))</f>
        <v>0</v>
      </c>
      <c r="F449" s="122">
        <f t="shared" ref="F449:F500" si="69">IF($A$1=0, 0,  ATAN(E449))</f>
        <v>0</v>
      </c>
      <c r="G449" s="122">
        <f t="shared" ref="G449:G500" si="70">B449-D449*SIN(F449)</f>
        <v>0.97444683732777948</v>
      </c>
      <c r="H449" s="122">
        <f t="shared" ref="H449:H500" si="71">C449+D449*COS(F449)</f>
        <v>8.0642791739409525E-3</v>
      </c>
      <c r="I449" s="122">
        <f t="shared" ref="I449:I500" si="72">B449+D449*SIN(F449)</f>
        <v>0.97444683732777948</v>
      </c>
      <c r="J449" s="122">
        <f t="shared" ref="J449:J500" si="73">C449-D449*COS(F449)</f>
        <v>-8.0642791739409525E-3</v>
      </c>
      <c r="K449" s="122"/>
      <c r="Y449" s="126">
        <f t="shared" si="65"/>
        <v>-0.5</v>
      </c>
    </row>
    <row r="450" spans="2:25" x14ac:dyDescent="0.3">
      <c r="B450" s="122">
        <v>0.97543088880975826</v>
      </c>
      <c r="C450" s="122">
        <f t="shared" si="66"/>
        <v>0</v>
      </c>
      <c r="D450" s="126">
        <f t="shared" si="67"/>
        <v>7.809646042119504E-3</v>
      </c>
      <c r="E450" s="122">
        <f t="shared" si="68"/>
        <v>0</v>
      </c>
      <c r="F450" s="122">
        <f t="shared" si="69"/>
        <v>0</v>
      </c>
      <c r="G450" s="122">
        <f t="shared" si="70"/>
        <v>0.97543088880975826</v>
      </c>
      <c r="H450" s="122">
        <f t="shared" si="71"/>
        <v>7.809646042119504E-3</v>
      </c>
      <c r="I450" s="122">
        <f t="shared" si="72"/>
        <v>0.97543088880975826</v>
      </c>
      <c r="J450" s="122">
        <f t="shared" si="73"/>
        <v>-7.809646042119504E-3</v>
      </c>
      <c r="K450" s="122"/>
      <c r="Y450" s="126">
        <f t="shared" ref="Y450:Y500" si="74">IF($Z$1, C450, -0.5)</f>
        <v>-0.5</v>
      </c>
    </row>
    <row r="451" spans="2:25" x14ac:dyDescent="0.3">
      <c r="B451" s="122">
        <v>0.97639609579194131</v>
      </c>
      <c r="C451" s="122">
        <f t="shared" si="66"/>
        <v>0</v>
      </c>
      <c r="D451" s="126">
        <f t="shared" si="67"/>
        <v>7.5591412725979435E-3</v>
      </c>
      <c r="E451" s="122">
        <f t="shared" si="68"/>
        <v>0</v>
      </c>
      <c r="F451" s="122">
        <f t="shared" si="69"/>
        <v>0</v>
      </c>
      <c r="G451" s="122">
        <f t="shared" si="70"/>
        <v>0.97639609579194131</v>
      </c>
      <c r="H451" s="122">
        <f t="shared" si="71"/>
        <v>7.5591412725979435E-3</v>
      </c>
      <c r="I451" s="122">
        <f t="shared" si="72"/>
        <v>0.97639609579194131</v>
      </c>
      <c r="J451" s="122">
        <f t="shared" si="73"/>
        <v>-7.5591412725979435E-3</v>
      </c>
      <c r="K451" s="122"/>
      <c r="Y451" s="126">
        <f t="shared" si="74"/>
        <v>-0.5</v>
      </c>
    </row>
    <row r="452" spans="2:25" x14ac:dyDescent="0.3">
      <c r="B452" s="122">
        <v>0.97734242001673288</v>
      </c>
      <c r="C452" s="122">
        <f t="shared" si="66"/>
        <v>0</v>
      </c>
      <c r="D452" s="126">
        <f t="shared" si="67"/>
        <v>7.3128172988851424E-3</v>
      </c>
      <c r="E452" s="122">
        <f t="shared" si="68"/>
        <v>0</v>
      </c>
      <c r="F452" s="122">
        <f t="shared" si="69"/>
        <v>0</v>
      </c>
      <c r="G452" s="122">
        <f t="shared" si="70"/>
        <v>0.97734242001673288</v>
      </c>
      <c r="H452" s="122">
        <f t="shared" si="71"/>
        <v>7.3128172988851424E-3</v>
      </c>
      <c r="I452" s="122">
        <f t="shared" si="72"/>
        <v>0.97734242001673288</v>
      </c>
      <c r="J452" s="122">
        <f t="shared" si="73"/>
        <v>-7.3128172988851424E-3</v>
      </c>
      <c r="K452" s="122"/>
      <c r="Y452" s="126">
        <f t="shared" si="74"/>
        <v>-0.5</v>
      </c>
    </row>
    <row r="453" spans="2:25" x14ac:dyDescent="0.3">
      <c r="B453" s="122">
        <v>0.97826982397498718</v>
      </c>
      <c r="C453" s="122">
        <f t="shared" si="66"/>
        <v>0</v>
      </c>
      <c r="D453" s="126">
        <f t="shared" si="67"/>
        <v>7.0707257326144152E-3</v>
      </c>
      <c r="E453" s="122">
        <f t="shared" si="68"/>
        <v>0</v>
      </c>
      <c r="F453" s="122">
        <f t="shared" si="69"/>
        <v>0</v>
      </c>
      <c r="G453" s="122">
        <f t="shared" si="70"/>
        <v>0.97826982397498718</v>
      </c>
      <c r="H453" s="122">
        <f t="shared" si="71"/>
        <v>7.0707257326144152E-3</v>
      </c>
      <c r="I453" s="122">
        <f t="shared" si="72"/>
        <v>0.97826982397498718</v>
      </c>
      <c r="J453" s="122">
        <f t="shared" si="73"/>
        <v>-7.0707257326144152E-3</v>
      </c>
      <c r="K453" s="122"/>
      <c r="Y453" s="126">
        <f t="shared" si="74"/>
        <v>-0.5</v>
      </c>
    </row>
    <row r="454" spans="2:25" x14ac:dyDescent="0.3">
      <c r="B454" s="122">
        <v>0.97917827090749432</v>
      </c>
      <c r="C454" s="122">
        <f t="shared" si="66"/>
        <v>0</v>
      </c>
      <c r="D454" s="126">
        <f t="shared" si="67"/>
        <v>6.8329173497091149E-3</v>
      </c>
      <c r="E454" s="122">
        <f t="shared" si="68"/>
        <v>0</v>
      </c>
      <c r="F454" s="122">
        <f t="shared" si="69"/>
        <v>0</v>
      </c>
      <c r="G454" s="122">
        <f t="shared" si="70"/>
        <v>0.97917827090749432</v>
      </c>
      <c r="H454" s="122">
        <f t="shared" si="71"/>
        <v>6.8329173497091149E-3</v>
      </c>
      <c r="I454" s="122">
        <f t="shared" si="72"/>
        <v>0.97917827090749432</v>
      </c>
      <c r="J454" s="122">
        <f t="shared" si="73"/>
        <v>-6.8329173497091149E-3</v>
      </c>
      <c r="K454" s="122"/>
      <c r="Y454" s="126">
        <f t="shared" si="74"/>
        <v>-0.5</v>
      </c>
    </row>
    <row r="455" spans="2:25" x14ac:dyDescent="0.3">
      <c r="B455" s="122">
        <v>0.98006772480643811</v>
      </c>
      <c r="C455" s="122">
        <f t="shared" si="66"/>
        <v>0</v>
      </c>
      <c r="D455" s="126">
        <f t="shared" si="67"/>
        <v>6.5994420767624693E-3</v>
      </c>
      <c r="E455" s="122">
        <f t="shared" si="68"/>
        <v>0</v>
      </c>
      <c r="F455" s="122">
        <f t="shared" si="69"/>
        <v>0</v>
      </c>
      <c r="G455" s="122">
        <f t="shared" si="70"/>
        <v>0.98006772480643811</v>
      </c>
      <c r="H455" s="122">
        <f t="shared" si="71"/>
        <v>6.5994420767624693E-3</v>
      </c>
      <c r="I455" s="122">
        <f t="shared" si="72"/>
        <v>0.98006772480643811</v>
      </c>
      <c r="J455" s="122">
        <f t="shared" si="73"/>
        <v>-6.5994420767624693E-3</v>
      </c>
      <c r="K455" s="122"/>
      <c r="Y455" s="126">
        <f t="shared" si="74"/>
        <v>-0.5</v>
      </c>
    </row>
    <row r="456" spans="2:25" x14ac:dyDescent="0.3">
      <c r="B456" s="122">
        <v>0.98093815041682331</v>
      </c>
      <c r="C456" s="122">
        <f t="shared" si="66"/>
        <v>0</v>
      </c>
      <c r="D456" s="126">
        <f t="shared" si="67"/>
        <v>6.3703489776365139E-3</v>
      </c>
      <c r="E456" s="122">
        <f t="shared" si="68"/>
        <v>0</v>
      </c>
      <c r="F456" s="122">
        <f t="shared" si="69"/>
        <v>0</v>
      </c>
      <c r="G456" s="122">
        <f t="shared" si="70"/>
        <v>0.98093815041682331</v>
      </c>
      <c r="H456" s="122">
        <f t="shared" si="71"/>
        <v>6.3703489776365139E-3</v>
      </c>
      <c r="I456" s="122">
        <f t="shared" si="72"/>
        <v>0.98093815041682331</v>
      </c>
      <c r="J456" s="122">
        <f t="shared" si="73"/>
        <v>-6.3703489776365139E-3</v>
      </c>
      <c r="K456" s="122"/>
      <c r="Y456" s="126">
        <f t="shared" si="74"/>
        <v>-0.5</v>
      </c>
    </row>
    <row r="457" spans="2:25" x14ac:dyDescent="0.3">
      <c r="B457" s="122">
        <v>0.98178951323787245</v>
      </c>
      <c r="C457" s="122">
        <f t="shared" si="66"/>
        <v>0</v>
      </c>
      <c r="D457" s="126">
        <f t="shared" si="67"/>
        <v>6.1456862402841468E-3</v>
      </c>
      <c r="E457" s="122">
        <f t="shared" si="68"/>
        <v>0</v>
      </c>
      <c r="F457" s="122">
        <f t="shared" si="69"/>
        <v>0</v>
      </c>
      <c r="G457" s="122">
        <f t="shared" si="70"/>
        <v>0.98178951323787245</v>
      </c>
      <c r="H457" s="122">
        <f t="shared" si="71"/>
        <v>6.1456862402841468E-3</v>
      </c>
      <c r="I457" s="122">
        <f t="shared" si="72"/>
        <v>0.98178951323787245</v>
      </c>
      <c r="J457" s="122">
        <f t="shared" si="73"/>
        <v>-6.1456862402841468E-3</v>
      </c>
      <c r="K457" s="122"/>
      <c r="Y457" s="126">
        <f t="shared" si="74"/>
        <v>-0.5</v>
      </c>
    </row>
    <row r="458" spans="2:25" x14ac:dyDescent="0.3">
      <c r="B458" s="122">
        <v>0.98262177952439389</v>
      </c>
      <c r="C458" s="122">
        <f t="shared" si="66"/>
        <v>0</v>
      </c>
      <c r="D458" s="126">
        <f t="shared" si="67"/>
        <v>5.9255011637979506E-3</v>
      </c>
      <c r="E458" s="122">
        <f t="shared" si="68"/>
        <v>0</v>
      </c>
      <c r="F458" s="122">
        <f t="shared" si="69"/>
        <v>0</v>
      </c>
      <c r="G458" s="122">
        <f t="shared" si="70"/>
        <v>0.98262177952439389</v>
      </c>
      <c r="H458" s="122">
        <f t="shared" si="71"/>
        <v>5.9255011637979506E-3</v>
      </c>
      <c r="I458" s="122">
        <f t="shared" si="72"/>
        <v>0.98262177952439389</v>
      </c>
      <c r="J458" s="122">
        <f t="shared" si="73"/>
        <v>-5.9255011637979506E-3</v>
      </c>
      <c r="K458" s="122"/>
      <c r="Y458" s="126">
        <f t="shared" si="74"/>
        <v>-0.5</v>
      </c>
    </row>
    <row r="459" spans="2:25" x14ac:dyDescent="0.3">
      <c r="B459" s="122">
        <v>0.98343491628811885</v>
      </c>
      <c r="C459" s="122">
        <f t="shared" si="66"/>
        <v>0</v>
      </c>
      <c r="D459" s="126">
        <f t="shared" si="67"/>
        <v>5.7098401456903659E-3</v>
      </c>
      <c r="E459" s="122">
        <f t="shared" si="68"/>
        <v>0</v>
      </c>
      <c r="F459" s="122">
        <f t="shared" si="69"/>
        <v>0</v>
      </c>
      <c r="G459" s="122">
        <f t="shared" si="70"/>
        <v>0.98343491628811885</v>
      </c>
      <c r="H459" s="122">
        <f t="shared" si="71"/>
        <v>5.7098401456903659E-3</v>
      </c>
      <c r="I459" s="122">
        <f t="shared" si="72"/>
        <v>0.98343491628811885</v>
      </c>
      <c r="J459" s="122">
        <f t="shared" si="73"/>
        <v>-5.7098401456903659E-3</v>
      </c>
      <c r="K459" s="122"/>
      <c r="Y459" s="126">
        <f t="shared" si="74"/>
        <v>-0.5</v>
      </c>
    </row>
    <row r="460" spans="2:25" x14ac:dyDescent="0.3">
      <c r="B460" s="122">
        <v>0.98422889129900959</v>
      </c>
      <c r="C460" s="122">
        <f t="shared" si="66"/>
        <v>0</v>
      </c>
      <c r="D460" s="126">
        <f t="shared" si="67"/>
        <v>5.4987486694084839E-3</v>
      </c>
      <c r="E460" s="122">
        <f t="shared" si="68"/>
        <v>0</v>
      </c>
      <c r="F460" s="122">
        <f t="shared" si="69"/>
        <v>0</v>
      </c>
      <c r="G460" s="122">
        <f t="shared" si="70"/>
        <v>0.98422889129900959</v>
      </c>
      <c r="H460" s="122">
        <f t="shared" si="71"/>
        <v>5.4987486694084839E-3</v>
      </c>
      <c r="I460" s="122">
        <f t="shared" si="72"/>
        <v>0.98422889129900959</v>
      </c>
      <c r="J460" s="122">
        <f t="shared" si="73"/>
        <v>-5.4987486694084839E-3</v>
      </c>
      <c r="K460" s="122"/>
      <c r="Y460" s="126">
        <f t="shared" si="74"/>
        <v>-0.5</v>
      </c>
    </row>
    <row r="461" spans="2:25" x14ac:dyDescent="0.3">
      <c r="B461" s="122">
        <v>0.98500367308653625</v>
      </c>
      <c r="C461" s="122">
        <f t="shared" si="66"/>
        <v>0</v>
      </c>
      <c r="D461" s="126">
        <f t="shared" si="67"/>
        <v>5.2922712920880277E-3</v>
      </c>
      <c r="E461" s="122">
        <f t="shared" si="68"/>
        <v>0</v>
      </c>
      <c r="F461" s="122">
        <f t="shared" si="69"/>
        <v>0</v>
      </c>
      <c r="G461" s="122">
        <f t="shared" si="70"/>
        <v>0.98500367308653625</v>
      </c>
      <c r="H461" s="122">
        <f t="shared" si="71"/>
        <v>5.2922712920880277E-3</v>
      </c>
      <c r="I461" s="122">
        <f t="shared" si="72"/>
        <v>0.98500367308653625</v>
      </c>
      <c r="J461" s="122">
        <f t="shared" si="73"/>
        <v>-5.2922712920880277E-3</v>
      </c>
      <c r="K461" s="122"/>
      <c r="Y461" s="126">
        <f t="shared" si="74"/>
        <v>-0.5</v>
      </c>
    </row>
    <row r="462" spans="2:25" x14ac:dyDescent="0.3">
      <c r="B462" s="122">
        <v>0.98575923094092466</v>
      </c>
      <c r="C462" s="122">
        <f t="shared" si="66"/>
        <v>0</v>
      </c>
      <c r="D462" s="126">
        <f t="shared" si="67"/>
        <v>5.0904516325496326E-3</v>
      </c>
      <c r="E462" s="122">
        <f t="shared" si="68"/>
        <v>0</v>
      </c>
      <c r="F462" s="122">
        <f t="shared" si="69"/>
        <v>0</v>
      </c>
      <c r="G462" s="122">
        <f t="shared" si="70"/>
        <v>0.98575923094092466</v>
      </c>
      <c r="H462" s="122">
        <f t="shared" si="71"/>
        <v>5.0904516325496326E-3</v>
      </c>
      <c r="I462" s="122">
        <f t="shared" si="72"/>
        <v>0.98575923094092466</v>
      </c>
      <c r="J462" s="122">
        <f t="shared" si="73"/>
        <v>-5.0904516325496326E-3</v>
      </c>
      <c r="K462" s="122"/>
      <c r="Y462" s="126">
        <f t="shared" si="74"/>
        <v>-0.5</v>
      </c>
    </row>
    <row r="463" spans="2:25" x14ac:dyDescent="0.3">
      <c r="B463" s="122">
        <v>0.98649553491437336</v>
      </c>
      <c r="C463" s="122">
        <f t="shared" si="66"/>
        <v>0</v>
      </c>
      <c r="D463" s="126">
        <f t="shared" si="67"/>
        <v>4.8933323595415929E-3</v>
      </c>
      <c r="E463" s="122">
        <f t="shared" si="68"/>
        <v>0</v>
      </c>
      <c r="F463" s="122">
        <f t="shared" si="69"/>
        <v>0</v>
      </c>
      <c r="G463" s="122">
        <f t="shared" si="70"/>
        <v>0.98649553491437336</v>
      </c>
      <c r="H463" s="122">
        <f t="shared" si="71"/>
        <v>4.8933323595415929E-3</v>
      </c>
      <c r="I463" s="122">
        <f t="shared" si="72"/>
        <v>0.98649553491437336</v>
      </c>
      <c r="J463" s="122">
        <f t="shared" si="73"/>
        <v>-4.8933323595415929E-3</v>
      </c>
      <c r="K463" s="122"/>
      <c r="Y463" s="126">
        <f t="shared" si="74"/>
        <v>-0.5</v>
      </c>
    </row>
    <row r="464" spans="2:25" x14ac:dyDescent="0.3">
      <c r="B464" s="122">
        <v>0.98721255582224088</v>
      </c>
      <c r="C464" s="122">
        <f t="shared" si="66"/>
        <v>0</v>
      </c>
      <c r="D464" s="126">
        <f t="shared" si="67"/>
        <v>4.7009551802324086E-3</v>
      </c>
      <c r="E464" s="122">
        <f t="shared" si="68"/>
        <v>0</v>
      </c>
      <c r="F464" s="122">
        <f t="shared" si="69"/>
        <v>0</v>
      </c>
      <c r="G464" s="122">
        <f t="shared" si="70"/>
        <v>0.98721255582224088</v>
      </c>
      <c r="H464" s="122">
        <f t="shared" si="71"/>
        <v>4.7009551802324086E-3</v>
      </c>
      <c r="I464" s="122">
        <f t="shared" si="72"/>
        <v>0.98721255582224088</v>
      </c>
      <c r="J464" s="122">
        <f t="shared" si="73"/>
        <v>-4.7009551802324086E-3</v>
      </c>
      <c r="K464" s="122"/>
      <c r="Y464" s="126">
        <f t="shared" si="74"/>
        <v>-0.5</v>
      </c>
    </row>
    <row r="465" spans="2:25" x14ac:dyDescent="0.3">
      <c r="B465" s="122">
        <v>0.98791026524420245</v>
      </c>
      <c r="C465" s="122">
        <f t="shared" si="66"/>
        <v>0</v>
      </c>
      <c r="D465" s="126">
        <f t="shared" si="67"/>
        <v>4.5133608289569093E-3</v>
      </c>
      <c r="E465" s="122">
        <f t="shared" si="68"/>
        <v>0</v>
      </c>
      <c r="F465" s="122">
        <f t="shared" si="69"/>
        <v>0</v>
      </c>
      <c r="G465" s="122">
        <f t="shared" si="70"/>
        <v>0.98791026524420245</v>
      </c>
      <c r="H465" s="122">
        <f t="shared" si="71"/>
        <v>4.5133608289569093E-3</v>
      </c>
      <c r="I465" s="122">
        <f t="shared" si="72"/>
        <v>0.98791026524420245</v>
      </c>
      <c r="J465" s="122">
        <f t="shared" si="73"/>
        <v>-4.5133608289569093E-3</v>
      </c>
      <c r="K465" s="122"/>
      <c r="Y465" s="126">
        <f t="shared" si="74"/>
        <v>-0.5</v>
      </c>
    </row>
    <row r="466" spans="2:25" x14ac:dyDescent="0.3">
      <c r="B466" s="122">
        <v>0.98858863552537568</v>
      </c>
      <c r="C466" s="122">
        <f t="shared" si="66"/>
        <v>0</v>
      </c>
      <c r="D466" s="126">
        <f t="shared" si="67"/>
        <v>4.3305890562195084E-3</v>
      </c>
      <c r="E466" s="122">
        <f t="shared" si="68"/>
        <v>0</v>
      </c>
      <c r="F466" s="122">
        <f t="shared" si="69"/>
        <v>0</v>
      </c>
      <c r="G466" s="122">
        <f t="shared" si="70"/>
        <v>0.98858863552537568</v>
      </c>
      <c r="H466" s="122">
        <f t="shared" si="71"/>
        <v>4.3305890562195084E-3</v>
      </c>
      <c r="I466" s="122">
        <f t="shared" si="72"/>
        <v>0.98858863552537568</v>
      </c>
      <c r="J466" s="122">
        <f t="shared" si="73"/>
        <v>-4.3305890562195084E-3</v>
      </c>
      <c r="K466" s="122"/>
      <c r="Y466" s="126">
        <f t="shared" si="74"/>
        <v>-0.5</v>
      </c>
    </row>
    <row r="467" spans="2:25" x14ac:dyDescent="0.3">
      <c r="B467" s="122">
        <v>0.98924763977741859</v>
      </c>
      <c r="C467" s="122">
        <f t="shared" si="66"/>
        <v>0</v>
      </c>
      <c r="D467" s="126">
        <f t="shared" si="67"/>
        <v>4.1526786179571212E-3</v>
      </c>
      <c r="E467" s="122">
        <f t="shared" si="68"/>
        <v>0</v>
      </c>
      <c r="F467" s="122">
        <f t="shared" si="69"/>
        <v>0</v>
      </c>
      <c r="G467" s="122">
        <f t="shared" si="70"/>
        <v>0.98924763977741859</v>
      </c>
      <c r="H467" s="122">
        <f t="shared" si="71"/>
        <v>4.1526786179571212E-3</v>
      </c>
      <c r="I467" s="122">
        <f t="shared" si="72"/>
        <v>0.98924763977741859</v>
      </c>
      <c r="J467" s="122">
        <f t="shared" si="73"/>
        <v>-4.1526786179571212E-3</v>
      </c>
      <c r="K467" s="122"/>
      <c r="Y467" s="126">
        <f t="shared" si="74"/>
        <v>-0.5</v>
      </c>
    </row>
    <row r="468" spans="2:25" x14ac:dyDescent="0.3">
      <c r="B468" s="122">
        <v>0.98988725187959314</v>
      </c>
      <c r="C468" s="122">
        <f t="shared" si="66"/>
        <v>0</v>
      </c>
      <c r="D468" s="126">
        <f t="shared" si="67"/>
        <v>3.9796672650668271E-3</v>
      </c>
      <c r="E468" s="122">
        <f t="shared" si="68"/>
        <v>0</v>
      </c>
      <c r="F468" s="122">
        <f t="shared" si="69"/>
        <v>0</v>
      </c>
      <c r="G468" s="122">
        <f t="shared" si="70"/>
        <v>0.98988725187959314</v>
      </c>
      <c r="H468" s="122">
        <f t="shared" si="71"/>
        <v>3.9796672650668271E-3</v>
      </c>
      <c r="I468" s="122">
        <f t="shared" si="72"/>
        <v>0.98988725187959314</v>
      </c>
      <c r="J468" s="122">
        <f t="shared" si="73"/>
        <v>-3.9796672650668271E-3</v>
      </c>
      <c r="K468" s="122"/>
      <c r="Y468" s="126">
        <f t="shared" si="74"/>
        <v>-0.5</v>
      </c>
    </row>
    <row r="469" spans="2:25" x14ac:dyDescent="0.3">
      <c r="B469" s="122">
        <v>0.99050744647980227</v>
      </c>
      <c r="C469" s="122">
        <f t="shared" si="66"/>
        <v>0</v>
      </c>
      <c r="D469" s="126">
        <f t="shared" si="67"/>
        <v>3.8115917331994218E-3</v>
      </c>
      <c r="E469" s="122">
        <f t="shared" si="68"/>
        <v>0</v>
      </c>
      <c r="F469" s="122">
        <f t="shared" si="69"/>
        <v>0</v>
      </c>
      <c r="G469" s="122">
        <f t="shared" si="70"/>
        <v>0.99050744647980227</v>
      </c>
      <c r="H469" s="122">
        <f t="shared" si="71"/>
        <v>3.8115917331994218E-3</v>
      </c>
      <c r="I469" s="122">
        <f t="shared" si="72"/>
        <v>0.99050744647980227</v>
      </c>
      <c r="J469" s="122">
        <f t="shared" si="73"/>
        <v>-3.8115917331994218E-3</v>
      </c>
      <c r="K469" s="122"/>
      <c r="Y469" s="126">
        <f t="shared" si="74"/>
        <v>-0.5</v>
      </c>
    </row>
    <row r="470" spans="2:25" x14ac:dyDescent="0.3">
      <c r="B470" s="122">
        <v>0.99110819899559388</v>
      </c>
      <c r="C470" s="122">
        <f t="shared" si="66"/>
        <v>0</v>
      </c>
      <c r="D470" s="126">
        <f t="shared" si="67"/>
        <v>3.6484877328236808E-3</v>
      </c>
      <c r="E470" s="122">
        <f t="shared" si="68"/>
        <v>0</v>
      </c>
      <c r="F470" s="122">
        <f t="shared" si="69"/>
        <v>0</v>
      </c>
      <c r="G470" s="122">
        <f t="shared" si="70"/>
        <v>0.99110819899559388</v>
      </c>
      <c r="H470" s="122">
        <f t="shared" si="71"/>
        <v>3.6484877328236808E-3</v>
      </c>
      <c r="I470" s="122">
        <f t="shared" si="72"/>
        <v>0.99110819899559388</v>
      </c>
      <c r="J470" s="122">
        <f t="shared" si="73"/>
        <v>-3.6484877328236808E-3</v>
      </c>
      <c r="K470" s="122"/>
      <c r="Y470" s="126">
        <f t="shared" si="74"/>
        <v>-0.5</v>
      </c>
    </row>
    <row r="471" spans="2:25" x14ac:dyDescent="0.3">
      <c r="B471" s="122">
        <v>0.99168948561513559</v>
      </c>
      <c r="C471" s="122">
        <f t="shared" si="66"/>
        <v>0</v>
      </c>
      <c r="D471" s="126">
        <f t="shared" si="67"/>
        <v>3.4903899395634817E-3</v>
      </c>
      <c r="E471" s="122">
        <f t="shared" si="68"/>
        <v>0</v>
      </c>
      <c r="F471" s="122">
        <f t="shared" si="69"/>
        <v>0</v>
      </c>
      <c r="G471" s="122">
        <f t="shared" si="70"/>
        <v>0.99168948561513559</v>
      </c>
      <c r="H471" s="122">
        <f t="shared" si="71"/>
        <v>3.4903899395634817E-3</v>
      </c>
      <c r="I471" s="122">
        <f t="shared" si="72"/>
        <v>0.99168948561513559</v>
      </c>
      <c r="J471" s="122">
        <f t="shared" si="73"/>
        <v>-3.4903899395634817E-3</v>
      </c>
      <c r="K471" s="122"/>
      <c r="Y471" s="126">
        <f t="shared" si="74"/>
        <v>-0.5</v>
      </c>
    </row>
    <row r="472" spans="2:25" x14ac:dyDescent="0.3">
      <c r="B472" s="122">
        <v>0.99225128329815826</v>
      </c>
      <c r="C472" s="122">
        <f t="shared" si="66"/>
        <v>0</v>
      </c>
      <c r="D472" s="126">
        <f t="shared" si="67"/>
        <v>3.3373319848111825E-3</v>
      </c>
      <c r="E472" s="122">
        <f t="shared" si="68"/>
        <v>0</v>
      </c>
      <c r="F472" s="122">
        <f t="shared" si="69"/>
        <v>0</v>
      </c>
      <c r="G472" s="122">
        <f t="shared" si="70"/>
        <v>0.99225128329815826</v>
      </c>
      <c r="H472" s="122">
        <f t="shared" si="71"/>
        <v>3.3373319848111825E-3</v>
      </c>
      <c r="I472" s="122">
        <f t="shared" si="72"/>
        <v>0.99225128329815826</v>
      </c>
      <c r="J472" s="122">
        <f t="shared" si="73"/>
        <v>-3.3373319848111825E-3</v>
      </c>
      <c r="K472" s="122"/>
      <c r="Y472" s="126">
        <f t="shared" si="74"/>
        <v>-0.5</v>
      </c>
    </row>
    <row r="473" spans="2:25" x14ac:dyDescent="0.3">
      <c r="B473" s="122">
        <v>0.99279356977686972</v>
      </c>
      <c r="C473" s="122">
        <f t="shared" si="66"/>
        <v>0</v>
      </c>
      <c r="D473" s="126">
        <f t="shared" si="67"/>
        <v>3.1893464466198553E-3</v>
      </c>
      <c r="E473" s="122">
        <f t="shared" si="68"/>
        <v>0</v>
      </c>
      <c r="F473" s="122">
        <f t="shared" si="69"/>
        <v>0</v>
      </c>
      <c r="G473" s="122">
        <f t="shared" si="70"/>
        <v>0.99279356977686972</v>
      </c>
      <c r="H473" s="122">
        <f t="shared" si="71"/>
        <v>3.1893464466198553E-3</v>
      </c>
      <c r="I473" s="122">
        <f t="shared" si="72"/>
        <v>0.99279356977686972</v>
      </c>
      <c r="J473" s="122">
        <f t="shared" si="73"/>
        <v>-3.1893464466198553E-3</v>
      </c>
      <c r="K473" s="122"/>
      <c r="Y473" s="126">
        <f t="shared" si="74"/>
        <v>-0.5</v>
      </c>
    </row>
    <row r="474" spans="2:25" x14ac:dyDescent="0.3">
      <c r="B474" s="122">
        <v>0.99331632355683674</v>
      </c>
      <c r="C474" s="122">
        <f t="shared" si="66"/>
        <v>0</v>
      </c>
      <c r="D474" s="126">
        <f t="shared" si="67"/>
        <v>3.0464648408776761E-3</v>
      </c>
      <c r="E474" s="122">
        <f t="shared" si="68"/>
        <v>0</v>
      </c>
      <c r="F474" s="122">
        <f t="shared" si="69"/>
        <v>0</v>
      </c>
      <c r="G474" s="122">
        <f t="shared" si="70"/>
        <v>0.99331632355683674</v>
      </c>
      <c r="H474" s="122">
        <f t="shared" si="71"/>
        <v>3.0464648408776761E-3</v>
      </c>
      <c r="I474" s="122">
        <f t="shared" si="72"/>
        <v>0.99331632355683674</v>
      </c>
      <c r="J474" s="122">
        <f t="shared" si="73"/>
        <v>-3.0464648408776761E-3</v>
      </c>
      <c r="K474" s="122"/>
      <c r="Y474" s="126">
        <f t="shared" si="74"/>
        <v>-0.5</v>
      </c>
    </row>
    <row r="475" spans="2:25" x14ac:dyDescent="0.3">
      <c r="B475" s="122">
        <v>0.99381952391783734</v>
      </c>
      <c r="C475" s="122">
        <f t="shared" si="66"/>
        <v>0</v>
      </c>
      <c r="D475" s="126">
        <f t="shared" si="67"/>
        <v>2.9087176127666247E-3</v>
      </c>
      <c r="E475" s="122">
        <f t="shared" si="68"/>
        <v>0</v>
      </c>
      <c r="F475" s="122">
        <f t="shared" si="69"/>
        <v>0</v>
      </c>
      <c r="G475" s="122">
        <f t="shared" si="70"/>
        <v>0.99381952391783734</v>
      </c>
      <c r="H475" s="122">
        <f t="shared" si="71"/>
        <v>2.9087176127666247E-3</v>
      </c>
      <c r="I475" s="122">
        <f t="shared" si="72"/>
        <v>0.99381952391783734</v>
      </c>
      <c r="J475" s="122">
        <f t="shared" si="73"/>
        <v>-2.9087176127666247E-3</v>
      </c>
      <c r="K475" s="122"/>
      <c r="Y475" s="126">
        <f t="shared" si="74"/>
        <v>-0.5</v>
      </c>
    </row>
    <row r="476" spans="2:25" x14ac:dyDescent="0.3">
      <c r="B476" s="122">
        <v>0.99430315091468235</v>
      </c>
      <c r="C476" s="122">
        <f t="shared" si="66"/>
        <v>0</v>
      </c>
      <c r="D476" s="126">
        <f t="shared" si="67"/>
        <v>2.7761341285084356E-3</v>
      </c>
      <c r="E476" s="122">
        <f t="shared" si="68"/>
        <v>0</v>
      </c>
      <c r="F476" s="122">
        <f t="shared" si="69"/>
        <v>0</v>
      </c>
      <c r="G476" s="122">
        <f t="shared" si="70"/>
        <v>0.99430315091468235</v>
      </c>
      <c r="H476" s="122">
        <f t="shared" si="71"/>
        <v>2.7761341285084356E-3</v>
      </c>
      <c r="I476" s="122">
        <f t="shared" si="72"/>
        <v>0.99430315091468235</v>
      </c>
      <c r="J476" s="122">
        <f t="shared" si="73"/>
        <v>-2.7761341285084356E-3</v>
      </c>
      <c r="K476" s="122"/>
      <c r="Y476" s="126">
        <f t="shared" si="74"/>
        <v>-0.5</v>
      </c>
    </row>
    <row r="477" spans="2:25" x14ac:dyDescent="0.3">
      <c r="B477" s="122">
        <v>0.99476718537800535</v>
      </c>
      <c r="C477" s="122">
        <f t="shared" si="66"/>
        <v>0</v>
      </c>
      <c r="D477" s="126">
        <f t="shared" si="67"/>
        <v>2.6487426674005857E-3</v>
      </c>
      <c r="E477" s="122">
        <f t="shared" si="68"/>
        <v>0</v>
      </c>
      <c r="F477" s="122">
        <f t="shared" si="69"/>
        <v>0</v>
      </c>
      <c r="G477" s="122">
        <f t="shared" si="70"/>
        <v>0.99476718537800535</v>
      </c>
      <c r="H477" s="122">
        <f t="shared" si="71"/>
        <v>2.6487426674005857E-3</v>
      </c>
      <c r="I477" s="122">
        <f t="shared" si="72"/>
        <v>0.99476718537800535</v>
      </c>
      <c r="J477" s="122">
        <f t="shared" si="73"/>
        <v>-2.6487426674005857E-3</v>
      </c>
      <c r="K477" s="122"/>
      <c r="Y477" s="126">
        <f t="shared" si="74"/>
        <v>-0.5</v>
      </c>
    </row>
    <row r="478" spans="2:25" x14ac:dyDescent="0.3">
      <c r="B478" s="122">
        <v>0.99521160891502314</v>
      </c>
      <c r="C478" s="122">
        <f t="shared" si="66"/>
        <v>0</v>
      </c>
      <c r="D478" s="126">
        <f t="shared" si="67"/>
        <v>2.5265704141441787E-3</v>
      </c>
      <c r="E478" s="122">
        <f t="shared" si="68"/>
        <v>0</v>
      </c>
      <c r="F478" s="122">
        <f t="shared" si="69"/>
        <v>0</v>
      </c>
      <c r="G478" s="122">
        <f t="shared" si="70"/>
        <v>0.99521160891502314</v>
      </c>
      <c r="H478" s="122">
        <f t="shared" si="71"/>
        <v>2.5265704141441787E-3</v>
      </c>
      <c r="I478" s="122">
        <f t="shared" si="72"/>
        <v>0.99521160891502314</v>
      </c>
      <c r="J478" s="122">
        <f t="shared" si="73"/>
        <v>-2.5265704141441787E-3</v>
      </c>
      <c r="K478" s="122"/>
      <c r="Y478" s="126">
        <f t="shared" si="74"/>
        <v>-0.5</v>
      </c>
    </row>
    <row r="479" spans="2:25" x14ac:dyDescent="0.3">
      <c r="B479" s="122">
        <v>0.99563640391026409</v>
      </c>
      <c r="C479" s="122">
        <f t="shared" si="66"/>
        <v>0</v>
      </c>
      <c r="D479" s="126">
        <f t="shared" si="67"/>
        <v>2.4096434514668487E-3</v>
      </c>
      <c r="E479" s="122">
        <f t="shared" si="68"/>
        <v>0</v>
      </c>
      <c r="F479" s="122">
        <f t="shared" si="69"/>
        <v>0</v>
      </c>
      <c r="G479" s="122">
        <f t="shared" si="70"/>
        <v>0.99563640391026409</v>
      </c>
      <c r="H479" s="122">
        <f t="shared" si="71"/>
        <v>2.4096434514668487E-3</v>
      </c>
      <c r="I479" s="122">
        <f t="shared" si="72"/>
        <v>0.99563640391026409</v>
      </c>
      <c r="J479" s="122">
        <f t="shared" si="73"/>
        <v>-2.4096434514668487E-3</v>
      </c>
      <c r="K479" s="122"/>
      <c r="Y479" s="126">
        <f t="shared" si="74"/>
        <v>-0.5</v>
      </c>
    </row>
    <row r="480" spans="2:25" x14ac:dyDescent="0.3">
      <c r="B480" s="122">
        <v>0.996041553526267</v>
      </c>
      <c r="C480" s="122">
        <f t="shared" si="66"/>
        <v>0</v>
      </c>
      <c r="D480" s="126">
        <f t="shared" si="67"/>
        <v>2.2979867530421951E-3</v>
      </c>
      <c r="E480" s="122">
        <f t="shared" si="68"/>
        <v>0</v>
      </c>
      <c r="F480" s="122">
        <f t="shared" si="69"/>
        <v>0</v>
      </c>
      <c r="G480" s="122">
        <f t="shared" si="70"/>
        <v>0.996041553526267</v>
      </c>
      <c r="H480" s="122">
        <f t="shared" si="71"/>
        <v>2.2979867530421951E-3</v>
      </c>
      <c r="I480" s="122">
        <f t="shared" si="72"/>
        <v>0.996041553526267</v>
      </c>
      <c r="J480" s="122">
        <f t="shared" si="73"/>
        <v>-2.2979867530421951E-3</v>
      </c>
      <c r="K480" s="122"/>
      <c r="Y480" s="126">
        <f t="shared" si="74"/>
        <v>-0.5</v>
      </c>
    </row>
    <row r="481" spans="2:25" x14ac:dyDescent="0.3">
      <c r="B481" s="122">
        <v>0.99642704170424801</v>
      </c>
      <c r="C481" s="122">
        <f t="shared" si="66"/>
        <v>0</v>
      </c>
      <c r="D481" s="126">
        <f t="shared" si="67"/>
        <v>2.1916241767086608E-3</v>
      </c>
      <c r="E481" s="122">
        <f t="shared" si="68"/>
        <v>0</v>
      </c>
      <c r="F481" s="122">
        <f t="shared" si="69"/>
        <v>0</v>
      </c>
      <c r="G481" s="122">
        <f t="shared" si="70"/>
        <v>0.99642704170424801</v>
      </c>
      <c r="H481" s="122">
        <f t="shared" si="71"/>
        <v>2.1916241767086608E-3</v>
      </c>
      <c r="I481" s="122">
        <f t="shared" si="72"/>
        <v>0.99642704170424801</v>
      </c>
      <c r="J481" s="122">
        <f t="shared" si="73"/>
        <v>-2.1916241767086608E-3</v>
      </c>
      <c r="K481" s="122"/>
      <c r="Y481" s="126">
        <f t="shared" si="74"/>
        <v>-0.5</v>
      </c>
    </row>
    <row r="482" spans="2:25" x14ac:dyDescent="0.3">
      <c r="B482" s="122">
        <v>0.9967928531647372</v>
      </c>
      <c r="C482" s="122">
        <f t="shared" si="66"/>
        <v>0</v>
      </c>
      <c r="D482" s="126">
        <f t="shared" si="67"/>
        <v>2.0905784579894559E-3</v>
      </c>
      <c r="E482" s="122">
        <f t="shared" si="68"/>
        <v>0</v>
      </c>
      <c r="F482" s="122">
        <f t="shared" si="69"/>
        <v>0</v>
      </c>
      <c r="G482" s="122">
        <f t="shared" si="70"/>
        <v>0.9967928531647372</v>
      </c>
      <c r="H482" s="122">
        <f t="shared" si="71"/>
        <v>2.0905784579894559E-3</v>
      </c>
      <c r="I482" s="122">
        <f t="shared" si="72"/>
        <v>0.9967928531647372</v>
      </c>
      <c r="J482" s="122">
        <f t="shared" si="73"/>
        <v>-2.0905784579894559E-3</v>
      </c>
      <c r="K482" s="122"/>
      <c r="Y482" s="126">
        <f t="shared" si="74"/>
        <v>-0.5</v>
      </c>
    </row>
    <row r="483" spans="2:25" x14ac:dyDescent="0.3">
      <c r="B483" s="122">
        <v>0.9971389734081848</v>
      </c>
      <c r="C483" s="122">
        <f t="shared" si="66"/>
        <v>0</v>
      </c>
      <c r="D483" s="126">
        <f t="shared" si="67"/>
        <v>1.9948712039155932E-3</v>
      </c>
      <c r="E483" s="122">
        <f t="shared" si="68"/>
        <v>0</v>
      </c>
      <c r="F483" s="122">
        <f t="shared" si="69"/>
        <v>0</v>
      </c>
      <c r="G483" s="122">
        <f t="shared" si="70"/>
        <v>0.9971389734081848</v>
      </c>
      <c r="H483" s="122">
        <f t="shared" si="71"/>
        <v>1.9948712039155932E-3</v>
      </c>
      <c r="I483" s="122">
        <f t="shared" si="72"/>
        <v>0.9971389734081848</v>
      </c>
      <c r="J483" s="122">
        <f t="shared" si="73"/>
        <v>-1.9948712039155932E-3</v>
      </c>
      <c r="K483" s="122"/>
      <c r="Y483" s="126">
        <f t="shared" si="74"/>
        <v>-0.5</v>
      </c>
    </row>
    <row r="484" spans="2:25" x14ac:dyDescent="0.3">
      <c r="B484" s="122">
        <v>0.99746538871553492</v>
      </c>
      <c r="C484" s="122">
        <f t="shared" si="66"/>
        <v>0</v>
      </c>
      <c r="D484" s="126">
        <f t="shared" si="67"/>
        <v>1.9045228871544724E-3</v>
      </c>
      <c r="E484" s="122">
        <f t="shared" si="68"/>
        <v>0</v>
      </c>
      <c r="F484" s="122">
        <f t="shared" si="69"/>
        <v>0</v>
      </c>
      <c r="G484" s="122">
        <f t="shared" si="70"/>
        <v>0.99746538871553492</v>
      </c>
      <c r="H484" s="122">
        <f t="shared" si="71"/>
        <v>1.9045228871544724E-3</v>
      </c>
      <c r="I484" s="122">
        <f t="shared" si="72"/>
        <v>0.99746538871553492</v>
      </c>
      <c r="J484" s="122">
        <f t="shared" si="73"/>
        <v>-1.9045228871544724E-3</v>
      </c>
      <c r="K484" s="122"/>
      <c r="Y484" s="126">
        <f t="shared" si="74"/>
        <v>-0.5</v>
      </c>
    </row>
    <row r="485" spans="2:25" x14ac:dyDescent="0.3">
      <c r="B485" s="122">
        <v>0.99777208614877</v>
      </c>
      <c r="C485" s="122">
        <f t="shared" si="66"/>
        <v>0</v>
      </c>
      <c r="D485" s="126">
        <f t="shared" si="67"/>
        <v>1.8195528404449865E-3</v>
      </c>
      <c r="E485" s="122">
        <f t="shared" si="68"/>
        <v>0</v>
      </c>
      <c r="F485" s="122">
        <f t="shared" si="69"/>
        <v>0</v>
      </c>
      <c r="G485" s="122">
        <f t="shared" si="70"/>
        <v>0.99777208614877</v>
      </c>
      <c r="H485" s="122">
        <f t="shared" si="71"/>
        <v>1.8195528404449865E-3</v>
      </c>
      <c r="I485" s="122">
        <f t="shared" si="72"/>
        <v>0.99777208614877</v>
      </c>
      <c r="J485" s="122">
        <f t="shared" si="73"/>
        <v>-1.8195528404449865E-3</v>
      </c>
      <c r="K485" s="122"/>
      <c r="Y485" s="126">
        <f t="shared" si="74"/>
        <v>-0.5</v>
      </c>
    </row>
    <row r="486" spans="2:25" x14ac:dyDescent="0.3">
      <c r="B486" s="122">
        <v>0.99805905355142333</v>
      </c>
      <c r="C486" s="122">
        <f t="shared" si="66"/>
        <v>0</v>
      </c>
      <c r="D486" s="126">
        <f t="shared" si="67"/>
        <v>1.7399792513415921E-3</v>
      </c>
      <c r="E486" s="122">
        <f t="shared" si="68"/>
        <v>0</v>
      </c>
      <c r="F486" s="122">
        <f t="shared" si="69"/>
        <v>0</v>
      </c>
      <c r="G486" s="122">
        <f t="shared" si="70"/>
        <v>0.99805905355142333</v>
      </c>
      <c r="H486" s="122">
        <f t="shared" si="71"/>
        <v>1.7399792513415921E-3</v>
      </c>
      <c r="I486" s="122">
        <f t="shared" si="72"/>
        <v>0.99805905355142333</v>
      </c>
      <c r="J486" s="122">
        <f t="shared" si="73"/>
        <v>-1.7399792513415921E-3</v>
      </c>
      <c r="K486" s="122"/>
      <c r="Y486" s="126">
        <f t="shared" si="74"/>
        <v>-0.5</v>
      </c>
    </row>
    <row r="487" spans="2:25" x14ac:dyDescent="0.3">
      <c r="B487" s="122">
        <v>0.99832627954906128</v>
      </c>
      <c r="C487" s="122">
        <f t="shared" si="66"/>
        <v>0</v>
      </c>
      <c r="D487" s="126">
        <f t="shared" si="67"/>
        <v>1.6658191572684925E-3</v>
      </c>
      <c r="E487" s="122">
        <f t="shared" si="68"/>
        <v>0</v>
      </c>
      <c r="F487" s="122">
        <f t="shared" si="69"/>
        <v>0</v>
      </c>
      <c r="G487" s="122">
        <f t="shared" si="70"/>
        <v>0.99832627954906128</v>
      </c>
      <c r="H487" s="122">
        <f t="shared" si="71"/>
        <v>1.6658191572684925E-3</v>
      </c>
      <c r="I487" s="122">
        <f t="shared" si="72"/>
        <v>0.99832627954906128</v>
      </c>
      <c r="J487" s="122">
        <f t="shared" si="73"/>
        <v>-1.6658191572684925E-3</v>
      </c>
      <c r="K487" s="122"/>
      <c r="Y487" s="126">
        <f t="shared" si="74"/>
        <v>-0.5</v>
      </c>
    </row>
    <row r="488" spans="2:25" x14ac:dyDescent="0.3">
      <c r="B488" s="122">
        <v>0.99857375354973366</v>
      </c>
      <c r="C488" s="122">
        <f t="shared" si="66"/>
        <v>0</v>
      </c>
      <c r="D488" s="126">
        <f t="shared" si="67"/>
        <v>1.5970884408859408E-3</v>
      </c>
      <c r="E488" s="122">
        <f t="shared" si="68"/>
        <v>0</v>
      </c>
      <c r="F488" s="122">
        <f t="shared" si="69"/>
        <v>0</v>
      </c>
      <c r="G488" s="122">
        <f t="shared" si="70"/>
        <v>0.99857375354973366</v>
      </c>
      <c r="H488" s="122">
        <f t="shared" si="71"/>
        <v>1.5970884408859408E-3</v>
      </c>
      <c r="I488" s="122">
        <f t="shared" si="72"/>
        <v>0.99857375354973366</v>
      </c>
      <c r="J488" s="122">
        <f t="shared" si="73"/>
        <v>-1.5970884408859408E-3</v>
      </c>
      <c r="K488" s="122"/>
      <c r="Y488" s="126">
        <f t="shared" si="74"/>
        <v>-0.5</v>
      </c>
    </row>
    <row r="489" spans="2:25" x14ac:dyDescent="0.3">
      <c r="B489" s="122">
        <v>0.99880146574439399</v>
      </c>
      <c r="C489" s="122">
        <f t="shared" si="66"/>
        <v>0</v>
      </c>
      <c r="D489" s="126">
        <f t="shared" si="67"/>
        <v>1.5338018257695541E-3</v>
      </c>
      <c r="E489" s="122">
        <f t="shared" si="68"/>
        <v>0</v>
      </c>
      <c r="F489" s="122">
        <f t="shared" si="69"/>
        <v>0</v>
      </c>
      <c r="G489" s="122">
        <f t="shared" si="70"/>
        <v>0.99880146574439399</v>
      </c>
      <c r="H489" s="122">
        <f t="shared" si="71"/>
        <v>1.5338018257695541E-3</v>
      </c>
      <c r="I489" s="122">
        <f t="shared" si="72"/>
        <v>0.99880146574439399</v>
      </c>
      <c r="J489" s="122">
        <f t="shared" si="73"/>
        <v>-1.5338018257695541E-3</v>
      </c>
      <c r="K489" s="122"/>
      <c r="Y489" s="126">
        <f t="shared" si="74"/>
        <v>-0.5</v>
      </c>
    </row>
    <row r="490" spans="2:25" x14ac:dyDescent="0.3">
      <c r="B490" s="122">
        <v>0.99900940710728769</v>
      </c>
      <c r="C490" s="122">
        <f t="shared" si="66"/>
        <v>0</v>
      </c>
      <c r="D490" s="126">
        <f t="shared" si="67"/>
        <v>1.4759728724045846E-3</v>
      </c>
      <c r="E490" s="122">
        <f t="shared" si="68"/>
        <v>0</v>
      </c>
      <c r="F490" s="122">
        <f t="shared" si="69"/>
        <v>0</v>
      </c>
      <c r="G490" s="122">
        <f t="shared" si="70"/>
        <v>0.99900940710728769</v>
      </c>
      <c r="H490" s="122">
        <f t="shared" si="71"/>
        <v>1.4759728724045846E-3</v>
      </c>
      <c r="I490" s="122">
        <f t="shared" si="72"/>
        <v>0.99900940710728769</v>
      </c>
      <c r="J490" s="122">
        <f t="shared" si="73"/>
        <v>-1.4759728724045846E-3</v>
      </c>
      <c r="K490" s="122"/>
      <c r="Y490" s="126">
        <f t="shared" si="74"/>
        <v>-0.5</v>
      </c>
    </row>
    <row r="491" spans="2:25" x14ac:dyDescent="0.3">
      <c r="B491" s="122">
        <v>0.99919756939631066</v>
      </c>
      <c r="C491" s="122">
        <f t="shared" si="66"/>
        <v>0</v>
      </c>
      <c r="D491" s="126">
        <f t="shared" si="67"/>
        <v>1.4236139744956474E-3</v>
      </c>
      <c r="E491" s="122">
        <f t="shared" si="68"/>
        <v>0</v>
      </c>
      <c r="F491" s="122">
        <f t="shared" si="69"/>
        <v>0</v>
      </c>
      <c r="G491" s="122">
        <f t="shared" si="70"/>
        <v>0.99919756939631066</v>
      </c>
      <c r="H491" s="122">
        <f t="shared" si="71"/>
        <v>1.4236139744956474E-3</v>
      </c>
      <c r="I491" s="122">
        <f t="shared" si="72"/>
        <v>0.99919756939631066</v>
      </c>
      <c r="J491" s="122">
        <f t="shared" si="73"/>
        <v>-1.4236139744956474E-3</v>
      </c>
      <c r="K491" s="122"/>
      <c r="Y491" s="126">
        <f t="shared" si="74"/>
        <v>-0.5</v>
      </c>
    </row>
    <row r="492" spans="2:25" x14ac:dyDescent="0.3">
      <c r="B492" s="122">
        <v>0.99936594515333521</v>
      </c>
      <c r="C492" s="122">
        <f t="shared" si="66"/>
        <v>0</v>
      </c>
      <c r="D492" s="126">
        <f t="shared" si="67"/>
        <v>1.3767363555939138E-3</v>
      </c>
      <c r="E492" s="122">
        <f t="shared" si="68"/>
        <v>0</v>
      </c>
      <c r="F492" s="122">
        <f t="shared" si="69"/>
        <v>0</v>
      </c>
      <c r="G492" s="122">
        <f t="shared" si="70"/>
        <v>0.99936594515333521</v>
      </c>
      <c r="H492" s="122">
        <f t="shared" si="71"/>
        <v>1.3767363555939138E-3</v>
      </c>
      <c r="I492" s="122">
        <f t="shared" si="72"/>
        <v>0.99936594515333521</v>
      </c>
      <c r="J492" s="122">
        <f t="shared" si="73"/>
        <v>-1.3767363555939138E-3</v>
      </c>
      <c r="K492" s="122"/>
      <c r="Y492" s="126">
        <f t="shared" si="74"/>
        <v>-0.5</v>
      </c>
    </row>
    <row r="493" spans="2:25" x14ac:dyDescent="0.3">
      <c r="B493" s="122">
        <v>0.99951452770450611</v>
      </c>
      <c r="C493" s="122">
        <f t="shared" si="66"/>
        <v>0</v>
      </c>
      <c r="D493" s="126">
        <f t="shared" si="67"/>
        <v>1.3353500660420702E-3</v>
      </c>
      <c r="E493" s="122">
        <f t="shared" si="68"/>
        <v>0</v>
      </c>
      <c r="F493" s="122">
        <f t="shared" si="69"/>
        <v>0</v>
      </c>
      <c r="G493" s="122">
        <f t="shared" si="70"/>
        <v>0.99951452770450611</v>
      </c>
      <c r="H493" s="122">
        <f t="shared" si="71"/>
        <v>1.3353500660420702E-3</v>
      </c>
      <c r="I493" s="122">
        <f t="shared" si="72"/>
        <v>0.99951452770450611</v>
      </c>
      <c r="J493" s="122">
        <f t="shared" si="73"/>
        <v>-1.3353500660420702E-3</v>
      </c>
      <c r="K493" s="122"/>
      <c r="Y493" s="126">
        <f t="shared" si="74"/>
        <v>-0.5</v>
      </c>
    </row>
    <row r="494" spans="2:25" x14ac:dyDescent="0.3">
      <c r="B494" s="122">
        <v>0.9996433111605052</v>
      </c>
      <c r="C494" s="122">
        <f t="shared" si="66"/>
        <v>0</v>
      </c>
      <c r="D494" s="126">
        <f t="shared" si="67"/>
        <v>1.2994639802383584E-3</v>
      </c>
      <c r="E494" s="122">
        <f t="shared" si="68"/>
        <v>0</v>
      </c>
      <c r="F494" s="122">
        <f t="shared" si="69"/>
        <v>0</v>
      </c>
      <c r="G494" s="122">
        <f t="shared" si="70"/>
        <v>0.9996433111605052</v>
      </c>
      <c r="H494" s="122">
        <f t="shared" si="71"/>
        <v>1.2994639802383584E-3</v>
      </c>
      <c r="I494" s="122">
        <f t="shared" si="72"/>
        <v>0.9996433111605052</v>
      </c>
      <c r="J494" s="122">
        <f t="shared" si="73"/>
        <v>-1.2994639802383584E-3</v>
      </c>
      <c r="K494" s="122"/>
      <c r="Y494" s="126">
        <f t="shared" si="74"/>
        <v>-0.5</v>
      </c>
    </row>
    <row r="495" spans="2:25" x14ac:dyDescent="0.3">
      <c r="B495" s="122">
        <v>0.99975229041678437</v>
      </c>
      <c r="C495" s="122">
        <f t="shared" si="66"/>
        <v>0</v>
      </c>
      <c r="D495" s="126">
        <f t="shared" si="67"/>
        <v>1.2690857942206689E-3</v>
      </c>
      <c r="E495" s="122">
        <f t="shared" si="68"/>
        <v>0</v>
      </c>
      <c r="F495" s="122">
        <f t="shared" si="69"/>
        <v>0</v>
      </c>
      <c r="G495" s="122">
        <f t="shared" si="70"/>
        <v>0.99975229041678437</v>
      </c>
      <c r="H495" s="122">
        <f t="shared" si="71"/>
        <v>1.2690857942206689E-3</v>
      </c>
      <c r="I495" s="122">
        <f t="shared" si="72"/>
        <v>0.99975229041678437</v>
      </c>
      <c r="J495" s="122">
        <f t="shared" si="73"/>
        <v>-1.2690857942206689E-3</v>
      </c>
      <c r="K495" s="122"/>
      <c r="Y495" s="126">
        <f t="shared" si="74"/>
        <v>-0.5</v>
      </c>
    </row>
    <row r="496" spans="2:25" x14ac:dyDescent="0.3">
      <c r="B496" s="122">
        <v>0.99984146115376804</v>
      </c>
      <c r="C496" s="122">
        <f t="shared" si="66"/>
        <v>0</v>
      </c>
      <c r="D496" s="126">
        <f t="shared" si="67"/>
        <v>1.2442220235710647E-3</v>
      </c>
      <c r="E496" s="122">
        <f t="shared" si="68"/>
        <v>0</v>
      </c>
      <c r="F496" s="122">
        <f t="shared" si="69"/>
        <v>0</v>
      </c>
      <c r="G496" s="122">
        <f t="shared" si="70"/>
        <v>0.99984146115376804</v>
      </c>
      <c r="H496" s="122">
        <f t="shared" si="71"/>
        <v>1.2442220235710647E-3</v>
      </c>
      <c r="I496" s="122">
        <f t="shared" si="72"/>
        <v>0.99984146115376804</v>
      </c>
      <c r="J496" s="122">
        <f t="shared" si="73"/>
        <v>-1.2442220235710647E-3</v>
      </c>
      <c r="K496" s="122"/>
      <c r="Y496" s="126">
        <f t="shared" si="74"/>
        <v>-0.5</v>
      </c>
    </row>
    <row r="497" spans="2:25" x14ac:dyDescent="0.3">
      <c r="B497" s="122">
        <v>0.99991081983702479</v>
      </c>
      <c r="C497" s="122">
        <f t="shared" si="66"/>
        <v>0</v>
      </c>
      <c r="D497" s="126">
        <f t="shared" si="67"/>
        <v>1.2248780016415033E-3</v>
      </c>
      <c r="E497" s="122">
        <f t="shared" si="68"/>
        <v>0</v>
      </c>
      <c r="F497" s="122">
        <f t="shared" si="69"/>
        <v>0</v>
      </c>
      <c r="G497" s="122">
        <f t="shared" si="70"/>
        <v>0.99991081983702479</v>
      </c>
      <c r="H497" s="122">
        <f t="shared" si="71"/>
        <v>1.2248780016415033E-3</v>
      </c>
      <c r="I497" s="122">
        <f t="shared" si="72"/>
        <v>0.99991081983702479</v>
      </c>
      <c r="J497" s="122">
        <f t="shared" si="73"/>
        <v>-1.2248780016415033E-3</v>
      </c>
      <c r="K497" s="122"/>
      <c r="Y497" s="126">
        <f t="shared" si="74"/>
        <v>-0.5</v>
      </c>
    </row>
    <row r="498" spans="2:25" x14ac:dyDescent="0.3">
      <c r="B498" s="122">
        <v>0.99996036371740704</v>
      </c>
      <c r="C498" s="122">
        <f t="shared" si="66"/>
        <v>0</v>
      </c>
      <c r="D498" s="126">
        <f t="shared" si="67"/>
        <v>1.2110578781016231E-3</v>
      </c>
      <c r="E498" s="122">
        <f t="shared" si="68"/>
        <v>0</v>
      </c>
      <c r="F498" s="122">
        <f t="shared" si="69"/>
        <v>0</v>
      </c>
      <c r="G498" s="122">
        <f t="shared" si="70"/>
        <v>0.99996036371740704</v>
      </c>
      <c r="H498" s="122">
        <f t="shared" si="71"/>
        <v>1.2110578781016231E-3</v>
      </c>
      <c r="I498" s="122">
        <f t="shared" si="72"/>
        <v>0.99996036371740704</v>
      </c>
      <c r="J498" s="122">
        <f t="shared" si="73"/>
        <v>-1.2110578781016231E-3</v>
      </c>
      <c r="K498" s="122"/>
      <c r="Y498" s="126">
        <f t="shared" si="74"/>
        <v>-0.5</v>
      </c>
    </row>
    <row r="499" spans="2:25" x14ac:dyDescent="0.3">
      <c r="B499" s="122">
        <v>0.99999009083116008</v>
      </c>
      <c r="C499" s="122">
        <f t="shared" si="66"/>
        <v>0</v>
      </c>
      <c r="D499" s="126">
        <f t="shared" si="67"/>
        <v>1.2027646178086636E-3</v>
      </c>
      <c r="E499" s="122">
        <f t="shared" si="68"/>
        <v>0</v>
      </c>
      <c r="F499" s="122">
        <f t="shared" si="69"/>
        <v>0</v>
      </c>
      <c r="G499" s="122">
        <f t="shared" si="70"/>
        <v>0.99999009083116008</v>
      </c>
      <c r="H499" s="122">
        <f t="shared" si="71"/>
        <v>1.2027646178086636E-3</v>
      </c>
      <c r="I499" s="122">
        <f t="shared" si="72"/>
        <v>0.99999009083116008</v>
      </c>
      <c r="J499" s="122">
        <f t="shared" si="73"/>
        <v>-1.2027646178086636E-3</v>
      </c>
      <c r="K499" s="122"/>
      <c r="Y499" s="126">
        <f t="shared" si="74"/>
        <v>-0.5</v>
      </c>
    </row>
    <row r="500" spans="2:25" x14ac:dyDescent="0.3">
      <c r="B500" s="122">
        <v>1</v>
      </c>
      <c r="C500" s="122">
        <f t="shared" si="66"/>
        <v>0</v>
      </c>
      <c r="D500" s="126">
        <f t="shared" si="67"/>
        <v>1.1999999999999999E-3</v>
      </c>
      <c r="E500" s="122">
        <f t="shared" si="68"/>
        <v>0</v>
      </c>
      <c r="F500" s="122">
        <f t="shared" si="69"/>
        <v>0</v>
      </c>
      <c r="G500" s="122">
        <f t="shared" si="70"/>
        <v>1</v>
      </c>
      <c r="H500" s="122">
        <f t="shared" si="71"/>
        <v>1.1999999999999999E-3</v>
      </c>
      <c r="I500" s="122">
        <f t="shared" si="72"/>
        <v>1</v>
      </c>
      <c r="J500" s="122">
        <f t="shared" si="73"/>
        <v>-1.1999999999999999E-3</v>
      </c>
      <c r="K500" s="122"/>
      <c r="Y500" s="126">
        <f t="shared" si="74"/>
        <v>-0.5</v>
      </c>
    </row>
    <row r="501" spans="2:25" x14ac:dyDescent="0.3">
      <c r="C501" s="122"/>
      <c r="E501" s="122"/>
      <c r="F501" s="122"/>
      <c r="G501" s="122">
        <v>1</v>
      </c>
      <c r="H501" s="122">
        <v>0</v>
      </c>
      <c r="I501" s="122">
        <v>1</v>
      </c>
      <c r="J501" s="122">
        <v>0</v>
      </c>
      <c r="K501" s="122"/>
    </row>
    <row r="502" spans="2:25" x14ac:dyDescent="0.3">
      <c r="C502" s="122"/>
      <c r="E502" s="122"/>
      <c r="F502" s="122"/>
      <c r="G502" s="122"/>
      <c r="H502" s="122"/>
      <c r="I502" s="122"/>
      <c r="J502" s="122"/>
      <c r="K502" s="122"/>
    </row>
    <row r="503" spans="2:25" x14ac:dyDescent="0.3">
      <c r="C503" s="122"/>
      <c r="E503" s="122"/>
      <c r="F503" s="122"/>
      <c r="G503" s="122"/>
      <c r="H503" s="122"/>
      <c r="I503" s="122"/>
      <c r="J503" s="122"/>
      <c r="K503" s="122"/>
    </row>
    <row r="504" spans="2:25" x14ac:dyDescent="0.3">
      <c r="C504" s="122"/>
      <c r="E504" s="122"/>
      <c r="F504" s="122"/>
      <c r="G504" s="122"/>
      <c r="H504" s="122"/>
      <c r="I504" s="122"/>
      <c r="J504" s="122"/>
      <c r="K504" s="122"/>
    </row>
    <row r="505" spans="2:25" x14ac:dyDescent="0.3">
      <c r="C505" s="122"/>
      <c r="E505" s="122"/>
      <c r="F505" s="122"/>
      <c r="G505" s="122"/>
      <c r="H505" s="122"/>
      <c r="I505" s="122"/>
      <c r="J505" s="122"/>
      <c r="K505" s="122"/>
    </row>
    <row r="506" spans="2:25" x14ac:dyDescent="0.3">
      <c r="C506" s="122"/>
      <c r="E506" s="122"/>
      <c r="F506" s="122"/>
      <c r="G506" s="122"/>
      <c r="H506" s="122"/>
      <c r="I506" s="122"/>
      <c r="J506" s="122"/>
      <c r="K506" s="122"/>
    </row>
    <row r="507" spans="2:25" x14ac:dyDescent="0.3">
      <c r="C507" s="122"/>
      <c r="E507" s="122"/>
      <c r="F507" s="122"/>
      <c r="G507" s="122"/>
      <c r="H507" s="122"/>
      <c r="I507" s="122"/>
      <c r="J507" s="122"/>
      <c r="K507" s="122"/>
    </row>
    <row r="508" spans="2:25" x14ac:dyDescent="0.3">
      <c r="C508" s="122"/>
      <c r="E508" s="122"/>
      <c r="F508" s="122"/>
      <c r="G508" s="122"/>
      <c r="H508" s="122"/>
      <c r="I508" s="122"/>
      <c r="J508" s="122"/>
      <c r="K508" s="122"/>
    </row>
    <row r="509" spans="2:25" x14ac:dyDescent="0.3">
      <c r="C509" s="122"/>
      <c r="E509" s="122"/>
      <c r="F509" s="122"/>
      <c r="G509" s="122"/>
      <c r="H509" s="122"/>
      <c r="I509" s="122"/>
      <c r="J509" s="122"/>
      <c r="K509" s="122"/>
    </row>
    <row r="510" spans="2:25" x14ac:dyDescent="0.3">
      <c r="C510" s="122"/>
      <c r="E510" s="122"/>
      <c r="F510" s="122"/>
      <c r="G510" s="122"/>
      <c r="H510" s="122"/>
      <c r="I510" s="122"/>
      <c r="J510" s="122"/>
      <c r="K510" s="122"/>
    </row>
    <row r="511" spans="2:25" x14ac:dyDescent="0.3">
      <c r="C511" s="122"/>
      <c r="E511" s="122"/>
      <c r="F511" s="122"/>
      <c r="G511" s="122"/>
      <c r="H511" s="122"/>
      <c r="I511" s="122"/>
      <c r="J511" s="122"/>
      <c r="K511" s="122"/>
    </row>
    <row r="512" spans="2:25" x14ac:dyDescent="0.3">
      <c r="C512" s="122"/>
      <c r="E512" s="122"/>
      <c r="F512" s="122"/>
      <c r="G512" s="122"/>
      <c r="H512" s="122"/>
      <c r="I512" s="122"/>
      <c r="J512" s="122"/>
      <c r="K512" s="122"/>
    </row>
    <row r="513" spans="3:11" x14ac:dyDescent="0.3">
      <c r="C513" s="122"/>
      <c r="E513" s="122"/>
      <c r="F513" s="122"/>
      <c r="G513" s="122"/>
      <c r="H513" s="122"/>
      <c r="I513" s="122"/>
      <c r="J513" s="122"/>
      <c r="K513" s="122"/>
    </row>
    <row r="514" spans="3:11" x14ac:dyDescent="0.3">
      <c r="C514" s="122"/>
      <c r="E514" s="122"/>
      <c r="F514" s="122"/>
      <c r="G514" s="122"/>
      <c r="H514" s="122"/>
      <c r="I514" s="122"/>
      <c r="J514" s="122"/>
      <c r="K514" s="122"/>
    </row>
    <row r="515" spans="3:11" x14ac:dyDescent="0.3">
      <c r="C515" s="122"/>
      <c r="E515" s="122"/>
      <c r="F515" s="122"/>
      <c r="G515" s="122"/>
      <c r="H515" s="122"/>
      <c r="I515" s="122"/>
      <c r="J515" s="122"/>
      <c r="K515" s="122"/>
    </row>
    <row r="516" spans="3:11" x14ac:dyDescent="0.3">
      <c r="C516" s="122"/>
      <c r="E516" s="122"/>
      <c r="F516" s="122"/>
      <c r="G516" s="122"/>
      <c r="H516" s="122"/>
      <c r="I516" s="122"/>
      <c r="J516" s="122"/>
      <c r="K516" s="122"/>
    </row>
    <row r="517" spans="3:11" x14ac:dyDescent="0.3">
      <c r="C517" s="122"/>
      <c r="E517" s="122"/>
      <c r="F517" s="122"/>
      <c r="G517" s="122"/>
      <c r="H517" s="122"/>
      <c r="I517" s="122"/>
      <c r="J517" s="122"/>
      <c r="K517" s="122"/>
    </row>
    <row r="518" spans="3:11" x14ac:dyDescent="0.3">
      <c r="C518" s="122"/>
      <c r="E518" s="122"/>
      <c r="F518" s="122"/>
      <c r="G518" s="122"/>
      <c r="H518" s="122"/>
      <c r="I518" s="122"/>
      <c r="J518" s="122"/>
      <c r="K518" s="122"/>
    </row>
    <row r="519" spans="3:11" x14ac:dyDescent="0.3">
      <c r="C519" s="122"/>
      <c r="E519" s="122"/>
      <c r="F519" s="122"/>
      <c r="G519" s="122"/>
      <c r="H519" s="122"/>
      <c r="I519" s="122"/>
      <c r="J519" s="122"/>
      <c r="K519" s="122"/>
    </row>
    <row r="520" spans="3:11" x14ac:dyDescent="0.3">
      <c r="C520" s="122"/>
      <c r="E520" s="122"/>
      <c r="F520" s="122"/>
      <c r="G520" s="122"/>
      <c r="H520" s="122"/>
      <c r="I520" s="122"/>
      <c r="J520" s="122"/>
      <c r="K520" s="122"/>
    </row>
    <row r="521" spans="3:11" x14ac:dyDescent="0.3">
      <c r="C521" s="122"/>
      <c r="E521" s="122"/>
      <c r="F521" s="122"/>
      <c r="G521" s="122"/>
      <c r="H521" s="122"/>
      <c r="I521" s="122"/>
      <c r="J521" s="122"/>
      <c r="K521" s="122"/>
    </row>
    <row r="522" spans="3:11" x14ac:dyDescent="0.3">
      <c r="C522" s="122"/>
      <c r="E522" s="122"/>
      <c r="F522" s="122"/>
      <c r="G522" s="122"/>
      <c r="H522" s="122"/>
      <c r="I522" s="122"/>
      <c r="J522" s="122"/>
      <c r="K522" s="122"/>
    </row>
    <row r="523" spans="3:11" x14ac:dyDescent="0.3">
      <c r="C523" s="122"/>
      <c r="E523" s="122"/>
      <c r="F523" s="122"/>
      <c r="G523" s="122"/>
      <c r="H523" s="122"/>
      <c r="I523" s="122"/>
      <c r="J523" s="122"/>
      <c r="K523" s="122"/>
    </row>
    <row r="524" spans="3:11" x14ac:dyDescent="0.3">
      <c r="C524" s="122"/>
      <c r="E524" s="122"/>
      <c r="F524" s="122"/>
      <c r="G524" s="122"/>
      <c r="H524" s="122"/>
      <c r="I524" s="122"/>
      <c r="J524" s="122"/>
      <c r="K524" s="122"/>
    </row>
    <row r="525" spans="3:11" x14ac:dyDescent="0.3">
      <c r="C525" s="122"/>
      <c r="E525" s="122"/>
      <c r="F525" s="122"/>
      <c r="G525" s="122"/>
      <c r="H525" s="122"/>
      <c r="I525" s="122"/>
      <c r="J525" s="122"/>
      <c r="K525" s="122"/>
    </row>
    <row r="526" spans="3:11" x14ac:dyDescent="0.3">
      <c r="C526" s="122"/>
      <c r="E526" s="122"/>
      <c r="F526" s="122"/>
      <c r="G526" s="122"/>
      <c r="H526" s="122"/>
      <c r="I526" s="122"/>
      <c r="J526" s="122"/>
      <c r="K526" s="122"/>
    </row>
    <row r="527" spans="3:11" x14ac:dyDescent="0.3">
      <c r="C527" s="122"/>
      <c r="E527" s="122"/>
      <c r="F527" s="122"/>
      <c r="G527" s="122"/>
      <c r="H527" s="122"/>
      <c r="I527" s="122"/>
      <c r="J527" s="122"/>
      <c r="K527" s="122"/>
    </row>
    <row r="528" spans="3:11" x14ac:dyDescent="0.3">
      <c r="C528" s="122"/>
      <c r="E528" s="122"/>
      <c r="F528" s="122"/>
      <c r="G528" s="122"/>
      <c r="H528" s="122"/>
      <c r="I528" s="122"/>
      <c r="J528" s="122"/>
      <c r="K528" s="122"/>
    </row>
    <row r="529" spans="3:11" x14ac:dyDescent="0.3">
      <c r="C529" s="122"/>
      <c r="E529" s="122"/>
      <c r="F529" s="122"/>
      <c r="G529" s="122"/>
      <c r="H529" s="122"/>
      <c r="I529" s="122"/>
      <c r="J529" s="122"/>
      <c r="K529" s="122"/>
    </row>
    <row r="530" spans="3:11" x14ac:dyDescent="0.3">
      <c r="C530" s="122"/>
      <c r="E530" s="122"/>
      <c r="F530" s="122"/>
      <c r="G530" s="122"/>
      <c r="H530" s="122"/>
      <c r="I530" s="122"/>
      <c r="J530" s="122"/>
      <c r="K530" s="122"/>
    </row>
    <row r="531" spans="3:11" x14ac:dyDescent="0.3">
      <c r="C531" s="122"/>
      <c r="E531" s="122"/>
      <c r="F531" s="122"/>
      <c r="G531" s="122"/>
      <c r="H531" s="122"/>
      <c r="I531" s="122"/>
      <c r="J531" s="122"/>
      <c r="K531" s="122"/>
    </row>
    <row r="532" spans="3:11" x14ac:dyDescent="0.3">
      <c r="C532" s="122"/>
      <c r="E532" s="122"/>
      <c r="F532" s="122"/>
      <c r="G532" s="122"/>
      <c r="H532" s="122"/>
      <c r="I532" s="122"/>
      <c r="J532" s="122"/>
      <c r="K532" s="122"/>
    </row>
    <row r="533" spans="3:11" x14ac:dyDescent="0.3">
      <c r="C533" s="122"/>
      <c r="E533" s="122"/>
      <c r="F533" s="122"/>
      <c r="G533" s="122"/>
      <c r="H533" s="122"/>
      <c r="I533" s="122"/>
      <c r="J533" s="122"/>
      <c r="K533" s="122"/>
    </row>
    <row r="534" spans="3:11" x14ac:dyDescent="0.3">
      <c r="C534" s="122"/>
      <c r="E534" s="122"/>
      <c r="F534" s="122"/>
      <c r="G534" s="122"/>
      <c r="H534" s="122"/>
      <c r="I534" s="122"/>
      <c r="J534" s="122"/>
      <c r="K534" s="122"/>
    </row>
    <row r="535" spans="3:11" x14ac:dyDescent="0.3">
      <c r="C535" s="122"/>
      <c r="E535" s="122"/>
      <c r="F535" s="122"/>
      <c r="G535" s="122"/>
      <c r="H535" s="122"/>
      <c r="I535" s="122"/>
      <c r="J535" s="122"/>
      <c r="K535" s="122"/>
    </row>
    <row r="536" spans="3:11" x14ac:dyDescent="0.3">
      <c r="C536" s="122"/>
      <c r="E536" s="122"/>
      <c r="F536" s="122"/>
      <c r="G536" s="122"/>
      <c r="H536" s="122"/>
      <c r="I536" s="122"/>
      <c r="J536" s="122"/>
      <c r="K536" s="122"/>
    </row>
    <row r="537" spans="3:11" x14ac:dyDescent="0.3">
      <c r="C537" s="122"/>
      <c r="E537" s="122"/>
      <c r="F537" s="122"/>
      <c r="G537" s="122"/>
      <c r="H537" s="122"/>
      <c r="I537" s="122"/>
      <c r="J537" s="122"/>
      <c r="K537" s="122"/>
    </row>
    <row r="538" spans="3:11" x14ac:dyDescent="0.3">
      <c r="C538" s="122"/>
      <c r="E538" s="122"/>
      <c r="F538" s="122"/>
      <c r="G538" s="122"/>
      <c r="H538" s="122"/>
      <c r="I538" s="122"/>
      <c r="J538" s="122"/>
      <c r="K538" s="122"/>
    </row>
    <row r="539" spans="3:11" x14ac:dyDescent="0.3">
      <c r="C539" s="122"/>
      <c r="E539" s="122"/>
      <c r="F539" s="122"/>
      <c r="G539" s="122"/>
      <c r="H539" s="122"/>
      <c r="I539" s="122"/>
      <c r="J539" s="122"/>
      <c r="K539" s="122"/>
    </row>
    <row r="540" spans="3:11" x14ac:dyDescent="0.3">
      <c r="C540" s="122"/>
      <c r="E540" s="122"/>
      <c r="F540" s="122"/>
      <c r="G540" s="122"/>
      <c r="H540" s="122"/>
      <c r="I540" s="122"/>
      <c r="J540" s="122"/>
      <c r="K540" s="122"/>
    </row>
    <row r="541" spans="3:11" x14ac:dyDescent="0.3">
      <c r="C541" s="122"/>
      <c r="E541" s="122"/>
      <c r="F541" s="122"/>
      <c r="G541" s="122"/>
      <c r="H541" s="122"/>
      <c r="I541" s="122"/>
      <c r="J541" s="122"/>
      <c r="K541" s="122"/>
    </row>
    <row r="542" spans="3:11" x14ac:dyDescent="0.3">
      <c r="C542" s="122"/>
      <c r="E542" s="122"/>
      <c r="F542" s="122"/>
      <c r="G542" s="122"/>
      <c r="H542" s="122"/>
      <c r="I542" s="122"/>
      <c r="J542" s="122"/>
      <c r="K542" s="122"/>
    </row>
    <row r="543" spans="3:11" x14ac:dyDescent="0.3">
      <c r="C543" s="122"/>
      <c r="E543" s="122"/>
      <c r="F543" s="122"/>
      <c r="G543" s="122"/>
      <c r="H543" s="122"/>
      <c r="I543" s="122"/>
      <c r="J543" s="122"/>
      <c r="K543" s="122"/>
    </row>
    <row r="544" spans="3:11" x14ac:dyDescent="0.3">
      <c r="C544" s="122"/>
      <c r="E544" s="122"/>
      <c r="F544" s="122"/>
      <c r="G544" s="122"/>
      <c r="H544" s="122"/>
      <c r="I544" s="122"/>
      <c r="J544" s="122"/>
      <c r="K544" s="122"/>
    </row>
    <row r="545" spans="3:11" x14ac:dyDescent="0.3">
      <c r="C545" s="122"/>
      <c r="E545" s="122"/>
      <c r="F545" s="122"/>
      <c r="G545" s="122"/>
      <c r="H545" s="122"/>
      <c r="I545" s="122"/>
      <c r="J545" s="122"/>
      <c r="K545" s="122"/>
    </row>
    <row r="546" spans="3:11" x14ac:dyDescent="0.3">
      <c r="C546" s="122"/>
      <c r="E546" s="122"/>
      <c r="F546" s="122"/>
      <c r="G546" s="122"/>
      <c r="H546" s="122"/>
      <c r="I546" s="122"/>
      <c r="J546" s="122"/>
      <c r="K546" s="122"/>
    </row>
    <row r="547" spans="3:11" x14ac:dyDescent="0.3">
      <c r="C547" s="122"/>
      <c r="E547" s="122"/>
      <c r="F547" s="122"/>
      <c r="G547" s="122"/>
      <c r="H547" s="122"/>
      <c r="I547" s="122"/>
      <c r="J547" s="122"/>
      <c r="K547" s="122"/>
    </row>
    <row r="548" spans="3:11" x14ac:dyDescent="0.3">
      <c r="C548" s="122"/>
      <c r="E548" s="122"/>
      <c r="F548" s="122"/>
      <c r="G548" s="122"/>
      <c r="H548" s="122"/>
      <c r="I548" s="122"/>
      <c r="J548" s="122"/>
      <c r="K548" s="122"/>
    </row>
    <row r="549" spans="3:11" x14ac:dyDescent="0.3">
      <c r="C549" s="122"/>
      <c r="E549" s="122"/>
      <c r="F549" s="122"/>
      <c r="G549" s="122"/>
      <c r="H549" s="122"/>
      <c r="I549" s="122"/>
      <c r="J549" s="122"/>
      <c r="K549" s="122"/>
    </row>
    <row r="550" spans="3:11" x14ac:dyDescent="0.3">
      <c r="C550" s="122"/>
      <c r="E550" s="122"/>
      <c r="F550" s="122"/>
      <c r="G550" s="122"/>
      <c r="H550" s="122"/>
      <c r="I550" s="122"/>
      <c r="J550" s="122"/>
      <c r="K550" s="122"/>
    </row>
    <row r="551" spans="3:11" x14ac:dyDescent="0.3">
      <c r="C551" s="122"/>
      <c r="E551" s="122"/>
      <c r="F551" s="122"/>
      <c r="G551" s="122"/>
      <c r="H551" s="122"/>
      <c r="I551" s="122"/>
      <c r="J551" s="122"/>
      <c r="K551" s="122"/>
    </row>
    <row r="552" spans="3:11" x14ac:dyDescent="0.3">
      <c r="C552" s="122"/>
      <c r="E552" s="122"/>
      <c r="F552" s="122"/>
      <c r="G552" s="122"/>
      <c r="H552" s="122"/>
      <c r="I552" s="122"/>
      <c r="J552" s="122"/>
      <c r="K552" s="122"/>
    </row>
    <row r="553" spans="3:11" x14ac:dyDescent="0.3">
      <c r="C553" s="122"/>
      <c r="E553" s="122"/>
      <c r="F553" s="122"/>
      <c r="G553" s="122"/>
      <c r="H553" s="122"/>
      <c r="I553" s="122"/>
      <c r="J553" s="122"/>
      <c r="K553" s="122"/>
    </row>
    <row r="554" spans="3:11" x14ac:dyDescent="0.3">
      <c r="C554" s="122"/>
      <c r="E554" s="122"/>
      <c r="F554" s="122"/>
      <c r="G554" s="122"/>
      <c r="H554" s="122"/>
      <c r="I554" s="122"/>
      <c r="J554" s="122"/>
      <c r="K554" s="122"/>
    </row>
    <row r="555" spans="3:11" x14ac:dyDescent="0.3">
      <c r="C555" s="122"/>
      <c r="E555" s="122"/>
      <c r="F555" s="122"/>
      <c r="G555" s="122"/>
      <c r="H555" s="122"/>
      <c r="I555" s="122"/>
      <c r="J555" s="122"/>
      <c r="K555" s="122"/>
    </row>
    <row r="556" spans="3:11" x14ac:dyDescent="0.3">
      <c r="C556" s="122"/>
      <c r="E556" s="122"/>
      <c r="F556" s="122"/>
      <c r="G556" s="122"/>
      <c r="H556" s="122"/>
      <c r="I556" s="122"/>
      <c r="J556" s="122"/>
      <c r="K556" s="122"/>
    </row>
    <row r="557" spans="3:11" x14ac:dyDescent="0.3">
      <c r="C557" s="122"/>
      <c r="E557" s="122"/>
      <c r="F557" s="122"/>
      <c r="G557" s="122"/>
      <c r="H557" s="122"/>
      <c r="I557" s="122"/>
      <c r="J557" s="122"/>
      <c r="K557" s="122"/>
    </row>
    <row r="558" spans="3:11" x14ac:dyDescent="0.3">
      <c r="C558" s="122"/>
      <c r="E558" s="122"/>
      <c r="F558" s="122"/>
      <c r="G558" s="122"/>
      <c r="H558" s="122"/>
      <c r="I558" s="122"/>
      <c r="J558" s="122"/>
      <c r="K558" s="122"/>
    </row>
    <row r="559" spans="3:11" x14ac:dyDescent="0.3">
      <c r="C559" s="122"/>
      <c r="E559" s="122"/>
      <c r="F559" s="122"/>
      <c r="G559" s="122"/>
      <c r="H559" s="122"/>
      <c r="I559" s="122"/>
      <c r="J559" s="122"/>
      <c r="K559" s="122"/>
    </row>
    <row r="560" spans="3:11" x14ac:dyDescent="0.3">
      <c r="C560" s="122"/>
      <c r="E560" s="122"/>
      <c r="F560" s="122"/>
      <c r="G560" s="122"/>
      <c r="H560" s="122"/>
      <c r="I560" s="122"/>
      <c r="J560" s="122"/>
      <c r="K560" s="122"/>
    </row>
    <row r="561" spans="3:11" x14ac:dyDescent="0.3">
      <c r="C561" s="122"/>
      <c r="E561" s="122"/>
      <c r="F561" s="122"/>
      <c r="G561" s="122"/>
      <c r="H561" s="122"/>
      <c r="I561" s="122"/>
      <c r="J561" s="122"/>
      <c r="K561" s="122"/>
    </row>
    <row r="562" spans="3:11" x14ac:dyDescent="0.3">
      <c r="C562" s="122"/>
      <c r="E562" s="122"/>
      <c r="F562" s="122"/>
      <c r="G562" s="122"/>
      <c r="H562" s="122"/>
      <c r="I562" s="122"/>
      <c r="J562" s="122"/>
      <c r="K562" s="122"/>
    </row>
    <row r="563" spans="3:11" x14ac:dyDescent="0.3">
      <c r="C563" s="122"/>
      <c r="E563" s="122"/>
      <c r="F563" s="122"/>
      <c r="G563" s="122"/>
      <c r="H563" s="122"/>
      <c r="I563" s="122"/>
      <c r="J563" s="122"/>
      <c r="K563" s="122"/>
    </row>
    <row r="564" spans="3:11" x14ac:dyDescent="0.3">
      <c r="C564" s="122"/>
      <c r="E564" s="122"/>
      <c r="F564" s="122"/>
      <c r="G564" s="122"/>
      <c r="H564" s="122"/>
      <c r="I564" s="122"/>
      <c r="J564" s="122"/>
      <c r="K564" s="122"/>
    </row>
    <row r="565" spans="3:11" x14ac:dyDescent="0.3">
      <c r="C565" s="122"/>
      <c r="E565" s="122"/>
      <c r="F565" s="122"/>
      <c r="G565" s="122"/>
      <c r="H565" s="122"/>
      <c r="I565" s="122"/>
      <c r="J565" s="122"/>
      <c r="K565" s="122"/>
    </row>
    <row r="566" spans="3:11" x14ac:dyDescent="0.3">
      <c r="C566" s="122"/>
      <c r="E566" s="122"/>
      <c r="F566" s="122"/>
      <c r="G566" s="122"/>
      <c r="H566" s="122"/>
      <c r="I566" s="122"/>
      <c r="J566" s="122"/>
      <c r="K566" s="122"/>
    </row>
    <row r="567" spans="3:11" x14ac:dyDescent="0.3">
      <c r="C567" s="122"/>
      <c r="E567" s="122"/>
      <c r="F567" s="122"/>
      <c r="G567" s="122"/>
      <c r="H567" s="122"/>
      <c r="I567" s="122"/>
      <c r="J567" s="122"/>
      <c r="K567" s="122"/>
    </row>
    <row r="568" spans="3:11" x14ac:dyDescent="0.3">
      <c r="C568" s="122"/>
      <c r="E568" s="122"/>
      <c r="F568" s="122"/>
      <c r="G568" s="122"/>
      <c r="H568" s="122"/>
      <c r="I568" s="122"/>
      <c r="J568" s="122"/>
      <c r="K568" s="122"/>
    </row>
    <row r="569" spans="3:11" x14ac:dyDescent="0.3">
      <c r="C569" s="122"/>
      <c r="E569" s="122"/>
      <c r="F569" s="122"/>
      <c r="G569" s="122"/>
      <c r="H569" s="122"/>
      <c r="I569" s="122"/>
      <c r="J569" s="122"/>
      <c r="K569" s="122"/>
    </row>
    <row r="570" spans="3:11" x14ac:dyDescent="0.3">
      <c r="C570" s="122"/>
      <c r="E570" s="122"/>
      <c r="F570" s="122"/>
      <c r="G570" s="122"/>
      <c r="H570" s="122"/>
      <c r="I570" s="122"/>
      <c r="J570" s="122"/>
      <c r="K570" s="122"/>
    </row>
    <row r="571" spans="3:11" x14ac:dyDescent="0.3">
      <c r="C571" s="122"/>
      <c r="E571" s="122"/>
      <c r="F571" s="122"/>
      <c r="G571" s="122"/>
      <c r="H571" s="122"/>
      <c r="I571" s="122"/>
      <c r="J571" s="122"/>
      <c r="K571" s="122"/>
    </row>
    <row r="572" spans="3:11" x14ac:dyDescent="0.3">
      <c r="C572" s="122"/>
      <c r="E572" s="122"/>
      <c r="F572" s="122"/>
      <c r="G572" s="122"/>
      <c r="H572" s="122"/>
      <c r="I572" s="122"/>
      <c r="J572" s="122"/>
      <c r="K572" s="122"/>
    </row>
    <row r="573" spans="3:11" x14ac:dyDescent="0.3">
      <c r="C573" s="122"/>
      <c r="E573" s="122"/>
      <c r="F573" s="122"/>
      <c r="G573" s="122"/>
      <c r="H573" s="122"/>
      <c r="I573" s="122"/>
      <c r="J573" s="122"/>
      <c r="K573" s="122"/>
    </row>
    <row r="574" spans="3:11" x14ac:dyDescent="0.3">
      <c r="C574" s="122"/>
      <c r="E574" s="122"/>
      <c r="F574" s="122"/>
      <c r="G574" s="122"/>
      <c r="H574" s="122"/>
      <c r="I574" s="122"/>
      <c r="J574" s="122"/>
      <c r="K574" s="122"/>
    </row>
    <row r="575" spans="3:11" x14ac:dyDescent="0.3">
      <c r="C575" s="122"/>
      <c r="E575" s="122"/>
      <c r="F575" s="122"/>
      <c r="G575" s="122"/>
      <c r="H575" s="122"/>
      <c r="I575" s="122"/>
      <c r="J575" s="122"/>
      <c r="K575" s="122"/>
    </row>
    <row r="576" spans="3:11" x14ac:dyDescent="0.3">
      <c r="C576" s="122"/>
      <c r="E576" s="122"/>
      <c r="F576" s="122"/>
      <c r="G576" s="122"/>
      <c r="H576" s="122"/>
      <c r="I576" s="122"/>
      <c r="J576" s="122"/>
      <c r="K576" s="122"/>
    </row>
    <row r="577" spans="3:11" x14ac:dyDescent="0.3">
      <c r="C577" s="122"/>
      <c r="E577" s="122"/>
      <c r="F577" s="122"/>
      <c r="G577" s="122"/>
      <c r="H577" s="122"/>
      <c r="I577" s="122"/>
      <c r="J577" s="122"/>
      <c r="K577" s="122"/>
    </row>
    <row r="578" spans="3:11" x14ac:dyDescent="0.3">
      <c r="C578" s="122"/>
      <c r="E578" s="122"/>
      <c r="F578" s="122"/>
      <c r="G578" s="122"/>
      <c r="H578" s="122"/>
      <c r="I578" s="122"/>
      <c r="J578" s="122"/>
      <c r="K578" s="122"/>
    </row>
    <row r="579" spans="3:11" x14ac:dyDescent="0.3">
      <c r="C579" s="122"/>
      <c r="E579" s="122"/>
      <c r="F579" s="122"/>
      <c r="G579" s="122"/>
      <c r="H579" s="122"/>
      <c r="I579" s="122"/>
      <c r="J579" s="122"/>
      <c r="K579" s="122"/>
    </row>
    <row r="580" spans="3:11" x14ac:dyDescent="0.3">
      <c r="C580" s="122"/>
      <c r="E580" s="122"/>
      <c r="F580" s="122"/>
      <c r="G580" s="122"/>
      <c r="H580" s="122"/>
      <c r="I580" s="122"/>
      <c r="J580" s="122"/>
      <c r="K580" s="122"/>
    </row>
    <row r="581" spans="3:11" x14ac:dyDescent="0.3">
      <c r="C581" s="122"/>
      <c r="E581" s="122"/>
      <c r="F581" s="122"/>
      <c r="G581" s="122"/>
      <c r="H581" s="122"/>
      <c r="I581" s="122"/>
      <c r="J581" s="122"/>
      <c r="K581" s="122"/>
    </row>
    <row r="582" spans="3:11" x14ac:dyDescent="0.3">
      <c r="C582" s="122"/>
      <c r="E582" s="122"/>
      <c r="F582" s="122"/>
      <c r="G582" s="122"/>
      <c r="H582" s="122"/>
      <c r="I582" s="122"/>
      <c r="J582" s="122"/>
      <c r="K582" s="122"/>
    </row>
    <row r="583" spans="3:11" x14ac:dyDescent="0.3">
      <c r="C583" s="122"/>
      <c r="E583" s="122"/>
      <c r="F583" s="122"/>
      <c r="G583" s="122"/>
      <c r="H583" s="122"/>
      <c r="I583" s="122"/>
      <c r="J583" s="122"/>
      <c r="K583" s="122"/>
    </row>
    <row r="584" spans="3:11" x14ac:dyDescent="0.3">
      <c r="C584" s="122"/>
      <c r="E584" s="122"/>
      <c r="F584" s="122"/>
      <c r="G584" s="122"/>
      <c r="H584" s="122"/>
      <c r="I584" s="122"/>
      <c r="J584" s="122"/>
      <c r="K584" s="122"/>
    </row>
    <row r="585" spans="3:11" x14ac:dyDescent="0.3">
      <c r="C585" s="122"/>
      <c r="E585" s="122"/>
      <c r="F585" s="122"/>
      <c r="G585" s="122"/>
      <c r="H585" s="122"/>
      <c r="I585" s="122"/>
      <c r="J585" s="122"/>
      <c r="K585" s="122"/>
    </row>
    <row r="586" spans="3:11" x14ac:dyDescent="0.3">
      <c r="C586" s="122"/>
      <c r="E586" s="122"/>
      <c r="F586" s="122"/>
      <c r="G586" s="122"/>
      <c r="H586" s="122"/>
      <c r="I586" s="122"/>
      <c r="J586" s="122"/>
      <c r="K586" s="122"/>
    </row>
    <row r="587" spans="3:11" x14ac:dyDescent="0.3">
      <c r="C587" s="122"/>
      <c r="E587" s="122"/>
      <c r="F587" s="122"/>
      <c r="G587" s="122"/>
      <c r="H587" s="122"/>
      <c r="I587" s="122"/>
      <c r="J587" s="122"/>
      <c r="K587" s="122"/>
    </row>
    <row r="588" spans="3:11" x14ac:dyDescent="0.3">
      <c r="C588" s="122"/>
      <c r="E588" s="122"/>
      <c r="F588" s="122"/>
      <c r="G588" s="122"/>
      <c r="H588" s="122"/>
      <c r="I588" s="122"/>
      <c r="J588" s="122"/>
      <c r="K588" s="122"/>
    </row>
    <row r="589" spans="3:11" x14ac:dyDescent="0.3">
      <c r="C589" s="122"/>
      <c r="E589" s="122"/>
      <c r="F589" s="122"/>
      <c r="G589" s="122"/>
      <c r="H589" s="122"/>
      <c r="I589" s="122"/>
      <c r="J589" s="122"/>
      <c r="K589" s="122"/>
    </row>
    <row r="590" spans="3:11" x14ac:dyDescent="0.3">
      <c r="C590" s="122"/>
      <c r="E590" s="122"/>
      <c r="F590" s="122"/>
      <c r="G590" s="122"/>
      <c r="H590" s="122"/>
      <c r="I590" s="122"/>
      <c r="J590" s="122"/>
      <c r="K590" s="122"/>
    </row>
    <row r="591" spans="3:11" x14ac:dyDescent="0.3">
      <c r="C591" s="122"/>
      <c r="E591" s="122"/>
      <c r="F591" s="122"/>
      <c r="G591" s="122"/>
      <c r="H591" s="122"/>
      <c r="I591" s="122"/>
      <c r="J591" s="122"/>
      <c r="K591" s="122"/>
    </row>
    <row r="592" spans="3:11" x14ac:dyDescent="0.3">
      <c r="C592" s="122"/>
      <c r="E592" s="122"/>
      <c r="F592" s="122"/>
      <c r="G592" s="122"/>
      <c r="H592" s="122"/>
      <c r="I592" s="122"/>
      <c r="J592" s="122"/>
      <c r="K592" s="122"/>
    </row>
    <row r="593" spans="3:11" x14ac:dyDescent="0.3">
      <c r="C593" s="122"/>
      <c r="E593" s="122"/>
      <c r="F593" s="122"/>
      <c r="G593" s="122"/>
      <c r="H593" s="122"/>
      <c r="I593" s="122"/>
      <c r="J593" s="122"/>
      <c r="K593" s="122"/>
    </row>
    <row r="594" spans="3:11" x14ac:dyDescent="0.3">
      <c r="C594" s="122"/>
      <c r="E594" s="122"/>
      <c r="F594" s="122"/>
      <c r="G594" s="122"/>
      <c r="H594" s="122"/>
      <c r="I594" s="122"/>
      <c r="J594" s="122"/>
      <c r="K594" s="122"/>
    </row>
    <row r="595" spans="3:11" x14ac:dyDescent="0.3">
      <c r="C595" s="122"/>
      <c r="E595" s="122"/>
      <c r="F595" s="122"/>
      <c r="G595" s="122"/>
      <c r="H595" s="122"/>
      <c r="I595" s="122"/>
      <c r="J595" s="122"/>
      <c r="K595" s="122"/>
    </row>
    <row r="596" spans="3:11" x14ac:dyDescent="0.3">
      <c r="C596" s="122"/>
      <c r="E596" s="122"/>
      <c r="F596" s="122"/>
      <c r="G596" s="122"/>
      <c r="H596" s="122"/>
      <c r="I596" s="122"/>
      <c r="J596" s="122"/>
      <c r="K596" s="122"/>
    </row>
    <row r="597" spans="3:11" x14ac:dyDescent="0.3">
      <c r="C597" s="122"/>
      <c r="E597" s="122"/>
      <c r="F597" s="122"/>
      <c r="G597" s="122"/>
      <c r="H597" s="122"/>
      <c r="I597" s="122"/>
      <c r="J597" s="122"/>
      <c r="K597" s="122"/>
    </row>
    <row r="598" spans="3:11" x14ac:dyDescent="0.3">
      <c r="C598" s="122"/>
      <c r="E598" s="122"/>
      <c r="F598" s="122"/>
      <c r="G598" s="122"/>
      <c r="H598" s="122"/>
      <c r="I598" s="122"/>
      <c r="J598" s="122"/>
      <c r="K598" s="122"/>
    </row>
    <row r="599" spans="3:11" x14ac:dyDescent="0.3">
      <c r="C599" s="122"/>
      <c r="E599" s="122"/>
      <c r="F599" s="122"/>
      <c r="G599" s="122"/>
      <c r="H599" s="122"/>
      <c r="I599" s="122"/>
      <c r="J599" s="122"/>
      <c r="K599" s="122"/>
    </row>
    <row r="600" spans="3:11" x14ac:dyDescent="0.3">
      <c r="C600" s="122"/>
      <c r="E600" s="122"/>
      <c r="F600" s="122"/>
      <c r="G600" s="122"/>
      <c r="H600" s="122"/>
      <c r="I600" s="122"/>
      <c r="J600" s="122"/>
      <c r="K600" s="122"/>
    </row>
    <row r="601" spans="3:11" x14ac:dyDescent="0.3">
      <c r="C601" s="122"/>
      <c r="E601" s="122"/>
      <c r="F601" s="122"/>
      <c r="G601" s="122"/>
      <c r="H601" s="122"/>
      <c r="I601" s="122"/>
      <c r="J601" s="122"/>
      <c r="K601" s="122"/>
    </row>
    <row r="602" spans="3:11" x14ac:dyDescent="0.3">
      <c r="C602" s="122"/>
      <c r="E602" s="122"/>
      <c r="F602" s="122"/>
      <c r="G602" s="122"/>
      <c r="H602" s="122"/>
      <c r="I602" s="122"/>
      <c r="J602" s="122"/>
      <c r="K602" s="122"/>
    </row>
    <row r="603" spans="3:11" x14ac:dyDescent="0.3">
      <c r="C603" s="122"/>
      <c r="E603" s="122"/>
      <c r="F603" s="122"/>
      <c r="G603" s="122"/>
      <c r="H603" s="122"/>
      <c r="I603" s="122"/>
      <c r="J603" s="122"/>
      <c r="K603" s="122"/>
    </row>
    <row r="604" spans="3:11" x14ac:dyDescent="0.3">
      <c r="C604" s="122"/>
      <c r="E604" s="122"/>
      <c r="F604" s="122"/>
      <c r="G604" s="122"/>
      <c r="H604" s="122"/>
      <c r="I604" s="122"/>
      <c r="J604" s="122"/>
      <c r="K604" s="122"/>
    </row>
    <row r="605" spans="3:11" x14ac:dyDescent="0.3">
      <c r="C605" s="122"/>
      <c r="E605" s="122"/>
      <c r="F605" s="122"/>
      <c r="G605" s="122"/>
      <c r="H605" s="122"/>
      <c r="I605" s="122"/>
      <c r="J605" s="122"/>
      <c r="K605" s="122"/>
    </row>
    <row r="606" spans="3:11" x14ac:dyDescent="0.3">
      <c r="C606" s="122"/>
      <c r="E606" s="122"/>
      <c r="F606" s="122"/>
      <c r="G606" s="122"/>
      <c r="H606" s="122"/>
      <c r="I606" s="122"/>
      <c r="J606" s="122"/>
      <c r="K606" s="122"/>
    </row>
    <row r="607" spans="3:11" x14ac:dyDescent="0.3">
      <c r="C607" s="122"/>
      <c r="E607" s="122"/>
      <c r="F607" s="122"/>
      <c r="G607" s="122"/>
      <c r="H607" s="122"/>
      <c r="I607" s="122"/>
      <c r="J607" s="122"/>
      <c r="K607" s="122"/>
    </row>
    <row r="608" spans="3:11" x14ac:dyDescent="0.3">
      <c r="C608" s="122"/>
      <c r="E608" s="122"/>
      <c r="F608" s="122"/>
      <c r="G608" s="122"/>
      <c r="H608" s="122"/>
      <c r="I608" s="122"/>
      <c r="J608" s="122"/>
      <c r="K608" s="122"/>
    </row>
    <row r="609" spans="3:11" x14ac:dyDescent="0.3">
      <c r="C609" s="122"/>
      <c r="E609" s="122"/>
      <c r="F609" s="122"/>
      <c r="G609" s="122"/>
      <c r="H609" s="122"/>
      <c r="I609" s="122"/>
      <c r="J609" s="122"/>
      <c r="K609" s="122"/>
    </row>
    <row r="610" spans="3:11" x14ac:dyDescent="0.3">
      <c r="C610" s="122"/>
      <c r="E610" s="122"/>
      <c r="F610" s="122"/>
      <c r="G610" s="122"/>
      <c r="H610" s="122"/>
      <c r="I610" s="122"/>
      <c r="J610" s="122"/>
      <c r="K610" s="122"/>
    </row>
    <row r="611" spans="3:11" x14ac:dyDescent="0.3">
      <c r="C611" s="122"/>
      <c r="E611" s="122"/>
      <c r="F611" s="122"/>
      <c r="G611" s="122"/>
      <c r="H611" s="122"/>
      <c r="I611" s="122"/>
      <c r="J611" s="122"/>
      <c r="K611" s="122"/>
    </row>
    <row r="612" spans="3:11" x14ac:dyDescent="0.3">
      <c r="C612" s="122"/>
      <c r="E612" s="122"/>
      <c r="F612" s="122"/>
      <c r="G612" s="122"/>
      <c r="H612" s="122"/>
      <c r="I612" s="122"/>
      <c r="J612" s="122"/>
      <c r="K612" s="122"/>
    </row>
    <row r="613" spans="3:11" x14ac:dyDescent="0.3">
      <c r="C613" s="122"/>
      <c r="E613" s="122"/>
      <c r="F613" s="122"/>
      <c r="G613" s="122"/>
      <c r="H613" s="122"/>
      <c r="I613" s="122"/>
      <c r="J613" s="122"/>
      <c r="K613" s="122"/>
    </row>
    <row r="614" spans="3:11" x14ac:dyDescent="0.3">
      <c r="C614" s="122"/>
      <c r="E614" s="122"/>
      <c r="F614" s="122"/>
      <c r="G614" s="122"/>
      <c r="H614" s="122"/>
      <c r="I614" s="122"/>
      <c r="J614" s="122"/>
      <c r="K614" s="122"/>
    </row>
    <row r="615" spans="3:11" x14ac:dyDescent="0.3">
      <c r="C615" s="122"/>
      <c r="E615" s="122"/>
      <c r="F615" s="122"/>
      <c r="G615" s="122"/>
      <c r="H615" s="122"/>
      <c r="I615" s="122"/>
      <c r="J615" s="122"/>
      <c r="K615" s="122"/>
    </row>
    <row r="616" spans="3:11" x14ac:dyDescent="0.3">
      <c r="C616" s="122"/>
      <c r="E616" s="122"/>
      <c r="F616" s="122"/>
      <c r="G616" s="122"/>
      <c r="H616" s="122"/>
      <c r="I616" s="122"/>
      <c r="J616" s="122"/>
      <c r="K616" s="122"/>
    </row>
    <row r="617" spans="3:11" x14ac:dyDescent="0.3">
      <c r="C617" s="122"/>
      <c r="E617" s="122"/>
      <c r="F617" s="122"/>
      <c r="G617" s="122"/>
      <c r="H617" s="122"/>
      <c r="I617" s="122"/>
      <c r="J617" s="122"/>
      <c r="K617" s="122"/>
    </row>
    <row r="618" spans="3:11" x14ac:dyDescent="0.3">
      <c r="C618" s="122"/>
      <c r="E618" s="122"/>
      <c r="F618" s="122"/>
      <c r="G618" s="122"/>
      <c r="H618" s="122"/>
      <c r="I618" s="122"/>
      <c r="J618" s="122"/>
      <c r="K618" s="122"/>
    </row>
    <row r="619" spans="3:11" x14ac:dyDescent="0.3">
      <c r="C619" s="122"/>
      <c r="E619" s="122"/>
      <c r="F619" s="122"/>
      <c r="G619" s="122"/>
      <c r="H619" s="122"/>
      <c r="I619" s="122"/>
      <c r="J619" s="122"/>
      <c r="K619" s="122"/>
    </row>
    <row r="620" spans="3:11" x14ac:dyDescent="0.3">
      <c r="C620" s="122"/>
      <c r="E620" s="122"/>
      <c r="F620" s="122"/>
      <c r="G620" s="122"/>
      <c r="H620" s="122"/>
      <c r="I620" s="122"/>
      <c r="J620" s="122"/>
      <c r="K620" s="122"/>
    </row>
    <row r="621" spans="3:11" x14ac:dyDescent="0.3">
      <c r="C621" s="122"/>
      <c r="E621" s="122"/>
      <c r="F621" s="122"/>
      <c r="G621" s="122"/>
      <c r="H621" s="122"/>
      <c r="I621" s="122"/>
      <c r="J621" s="122"/>
      <c r="K621" s="122"/>
    </row>
    <row r="622" spans="3:11" x14ac:dyDescent="0.3">
      <c r="C622" s="122"/>
      <c r="E622" s="122"/>
      <c r="F622" s="122"/>
      <c r="G622" s="122"/>
      <c r="H622" s="122"/>
      <c r="I622" s="122"/>
      <c r="J622" s="122"/>
      <c r="K622" s="122"/>
    </row>
    <row r="623" spans="3:11" x14ac:dyDescent="0.3">
      <c r="C623" s="122"/>
      <c r="E623" s="122"/>
      <c r="F623" s="122"/>
      <c r="G623" s="122"/>
      <c r="H623" s="122"/>
      <c r="I623" s="122"/>
      <c r="J623" s="122"/>
      <c r="K623" s="122"/>
    </row>
    <row r="624" spans="3:11" x14ac:dyDescent="0.3">
      <c r="C624" s="122"/>
      <c r="E624" s="122"/>
      <c r="F624" s="122"/>
      <c r="G624" s="122"/>
      <c r="H624" s="122"/>
      <c r="I624" s="122"/>
      <c r="J624" s="122"/>
      <c r="K624" s="122"/>
    </row>
    <row r="625" spans="3:11" x14ac:dyDescent="0.3">
      <c r="C625" s="122"/>
      <c r="E625" s="122"/>
      <c r="F625" s="122"/>
      <c r="G625" s="122"/>
      <c r="H625" s="122"/>
      <c r="I625" s="122"/>
      <c r="J625" s="122"/>
      <c r="K625" s="122"/>
    </row>
    <row r="626" spans="3:11" x14ac:dyDescent="0.3">
      <c r="C626" s="122"/>
      <c r="E626" s="122"/>
      <c r="F626" s="122"/>
      <c r="G626" s="122"/>
      <c r="H626" s="122"/>
      <c r="I626" s="122"/>
      <c r="J626" s="122"/>
      <c r="K626" s="122"/>
    </row>
    <row r="627" spans="3:11" x14ac:dyDescent="0.3">
      <c r="C627" s="122"/>
      <c r="E627" s="122"/>
      <c r="F627" s="122"/>
      <c r="G627" s="122"/>
      <c r="H627" s="122"/>
      <c r="I627" s="122"/>
      <c r="J627" s="122"/>
      <c r="K627" s="122"/>
    </row>
    <row r="628" spans="3:11" x14ac:dyDescent="0.3">
      <c r="C628" s="122"/>
      <c r="E628" s="122"/>
      <c r="F628" s="122"/>
      <c r="G628" s="122"/>
      <c r="H628" s="122"/>
      <c r="I628" s="122"/>
      <c r="J628" s="122"/>
      <c r="K628" s="122"/>
    </row>
    <row r="629" spans="3:11" x14ac:dyDescent="0.3">
      <c r="C629" s="122"/>
      <c r="E629" s="122"/>
      <c r="F629" s="122"/>
      <c r="G629" s="122"/>
      <c r="H629" s="122"/>
      <c r="I629" s="122"/>
      <c r="J629" s="122"/>
      <c r="K629" s="122"/>
    </row>
    <row r="630" spans="3:11" x14ac:dyDescent="0.3">
      <c r="C630" s="122"/>
      <c r="E630" s="122"/>
      <c r="F630" s="122"/>
      <c r="G630" s="122"/>
      <c r="H630" s="122"/>
      <c r="I630" s="122"/>
      <c r="J630" s="122"/>
      <c r="K630" s="122"/>
    </row>
    <row r="631" spans="3:11" x14ac:dyDescent="0.3">
      <c r="C631" s="122"/>
      <c r="E631" s="122"/>
      <c r="F631" s="122"/>
      <c r="G631" s="122"/>
      <c r="H631" s="122"/>
      <c r="I631" s="122"/>
      <c r="J631" s="122"/>
      <c r="K631" s="122"/>
    </row>
    <row r="632" spans="3:11" x14ac:dyDescent="0.3">
      <c r="C632" s="122"/>
      <c r="E632" s="122"/>
      <c r="F632" s="122"/>
      <c r="G632" s="122"/>
      <c r="H632" s="122"/>
      <c r="I632" s="122"/>
      <c r="J632" s="122"/>
      <c r="K632" s="122"/>
    </row>
    <row r="633" spans="3:11" x14ac:dyDescent="0.3">
      <c r="C633" s="122"/>
      <c r="E633" s="122"/>
      <c r="F633" s="122"/>
      <c r="G633" s="122"/>
      <c r="H633" s="122"/>
      <c r="I633" s="122"/>
      <c r="J633" s="122"/>
      <c r="K633" s="122"/>
    </row>
    <row r="634" spans="3:11" x14ac:dyDescent="0.3">
      <c r="C634" s="122"/>
      <c r="E634" s="122"/>
      <c r="F634" s="122"/>
      <c r="G634" s="122"/>
      <c r="H634" s="122"/>
      <c r="I634" s="122"/>
      <c r="J634" s="122"/>
      <c r="K634" s="122"/>
    </row>
    <row r="635" spans="3:11" x14ac:dyDescent="0.3">
      <c r="C635" s="122"/>
      <c r="E635" s="122"/>
      <c r="F635" s="122"/>
      <c r="G635" s="122"/>
      <c r="H635" s="122"/>
      <c r="I635" s="122"/>
      <c r="J635" s="122"/>
      <c r="K635" s="122"/>
    </row>
    <row r="636" spans="3:11" x14ac:dyDescent="0.3">
      <c r="C636" s="122"/>
      <c r="E636" s="122"/>
      <c r="F636" s="122"/>
      <c r="G636" s="122"/>
      <c r="H636" s="122"/>
      <c r="I636" s="122"/>
      <c r="J636" s="122"/>
      <c r="K636" s="122"/>
    </row>
    <row r="637" spans="3:11" x14ac:dyDescent="0.3">
      <c r="C637" s="122"/>
      <c r="E637" s="122"/>
      <c r="F637" s="122"/>
      <c r="G637" s="122"/>
      <c r="H637" s="122"/>
      <c r="I637" s="122"/>
      <c r="J637" s="122"/>
      <c r="K637" s="122"/>
    </row>
    <row r="638" spans="3:11" x14ac:dyDescent="0.3">
      <c r="C638" s="122"/>
      <c r="E638" s="122"/>
      <c r="F638" s="122"/>
      <c r="G638" s="122"/>
      <c r="H638" s="122"/>
      <c r="I638" s="122"/>
      <c r="J638" s="122"/>
      <c r="K638" s="122"/>
    </row>
    <row r="639" spans="3:11" x14ac:dyDescent="0.3">
      <c r="C639" s="122"/>
      <c r="E639" s="122"/>
      <c r="F639" s="122"/>
      <c r="G639" s="122"/>
      <c r="H639" s="122"/>
      <c r="I639" s="122"/>
      <c r="J639" s="122"/>
      <c r="K639" s="122"/>
    </row>
    <row r="640" spans="3:11" x14ac:dyDescent="0.3">
      <c r="C640" s="122"/>
      <c r="E640" s="122"/>
      <c r="F640" s="122"/>
      <c r="G640" s="122"/>
      <c r="H640" s="122"/>
      <c r="I640" s="122"/>
      <c r="J640" s="122"/>
      <c r="K640" s="122"/>
    </row>
    <row r="641" spans="3:11" x14ac:dyDescent="0.3">
      <c r="C641" s="122"/>
      <c r="E641" s="122"/>
      <c r="F641" s="122"/>
      <c r="G641" s="122"/>
      <c r="H641" s="122"/>
      <c r="I641" s="122"/>
      <c r="J641" s="122"/>
      <c r="K641" s="122"/>
    </row>
    <row r="642" spans="3:11" x14ac:dyDescent="0.3">
      <c r="C642" s="122"/>
      <c r="E642" s="122"/>
      <c r="F642" s="122"/>
      <c r="G642" s="122"/>
      <c r="H642" s="122"/>
      <c r="I642" s="122"/>
      <c r="J642" s="122"/>
      <c r="K642" s="122"/>
    </row>
    <row r="643" spans="3:11" x14ac:dyDescent="0.3">
      <c r="C643" s="122"/>
      <c r="E643" s="122"/>
      <c r="F643" s="122"/>
      <c r="G643" s="122"/>
      <c r="H643" s="122"/>
      <c r="I643" s="122"/>
      <c r="J643" s="122"/>
      <c r="K643" s="122"/>
    </row>
    <row r="644" spans="3:11" x14ac:dyDescent="0.3">
      <c r="C644" s="122"/>
      <c r="E644" s="122"/>
      <c r="F644" s="122"/>
      <c r="G644" s="122"/>
      <c r="H644" s="122"/>
      <c r="I644" s="122"/>
      <c r="J644" s="122"/>
      <c r="K644" s="122"/>
    </row>
    <row r="645" spans="3:11" x14ac:dyDescent="0.3">
      <c r="C645" s="122"/>
      <c r="E645" s="122"/>
      <c r="F645" s="122"/>
      <c r="G645" s="122"/>
      <c r="H645" s="122"/>
      <c r="I645" s="122"/>
      <c r="J645" s="122"/>
      <c r="K645" s="122"/>
    </row>
    <row r="646" spans="3:11" x14ac:dyDescent="0.3">
      <c r="C646" s="122"/>
      <c r="E646" s="122"/>
      <c r="F646" s="122"/>
      <c r="G646" s="122"/>
      <c r="H646" s="122"/>
      <c r="I646" s="122"/>
      <c r="J646" s="122"/>
      <c r="K646" s="122"/>
    </row>
    <row r="647" spans="3:11" x14ac:dyDescent="0.3">
      <c r="C647" s="122"/>
      <c r="E647" s="122"/>
      <c r="F647" s="122"/>
      <c r="G647" s="122"/>
      <c r="H647" s="122"/>
      <c r="I647" s="122"/>
      <c r="J647" s="122"/>
      <c r="K647" s="122"/>
    </row>
    <row r="648" spans="3:11" x14ac:dyDescent="0.3">
      <c r="C648" s="122"/>
      <c r="E648" s="122"/>
      <c r="F648" s="122"/>
      <c r="G648" s="122"/>
      <c r="H648" s="122"/>
      <c r="I648" s="122"/>
      <c r="J648" s="122"/>
      <c r="K648" s="122"/>
    </row>
    <row r="649" spans="3:11" x14ac:dyDescent="0.3">
      <c r="C649" s="122"/>
      <c r="E649" s="122"/>
      <c r="F649" s="122"/>
      <c r="G649" s="122"/>
      <c r="H649" s="122"/>
      <c r="I649" s="122"/>
      <c r="J649" s="122"/>
      <c r="K649" s="122"/>
    </row>
    <row r="650" spans="3:11" x14ac:dyDescent="0.3">
      <c r="C650" s="122"/>
      <c r="E650" s="122"/>
      <c r="F650" s="122"/>
      <c r="G650" s="122"/>
      <c r="H650" s="122"/>
      <c r="I650" s="122"/>
      <c r="J650" s="122"/>
      <c r="K650" s="122"/>
    </row>
    <row r="651" spans="3:11" x14ac:dyDescent="0.3">
      <c r="C651" s="122"/>
      <c r="E651" s="122"/>
      <c r="F651" s="122"/>
      <c r="G651" s="122"/>
      <c r="H651" s="122"/>
      <c r="I651" s="122"/>
      <c r="J651" s="122"/>
      <c r="K651" s="122"/>
    </row>
    <row r="652" spans="3:11" x14ac:dyDescent="0.3">
      <c r="C652" s="122"/>
      <c r="E652" s="122"/>
      <c r="F652" s="122"/>
      <c r="G652" s="122"/>
      <c r="H652" s="122"/>
      <c r="I652" s="122"/>
      <c r="J652" s="122"/>
      <c r="K652" s="122"/>
    </row>
    <row r="653" spans="3:11" x14ac:dyDescent="0.3">
      <c r="C653" s="122"/>
      <c r="E653" s="122"/>
      <c r="F653" s="122"/>
      <c r="G653" s="122"/>
      <c r="H653" s="122"/>
      <c r="I653" s="122"/>
      <c r="J653" s="122"/>
      <c r="K653" s="122"/>
    </row>
    <row r="654" spans="3:11" x14ac:dyDescent="0.3">
      <c r="C654" s="122"/>
      <c r="E654" s="122"/>
      <c r="F654" s="122"/>
      <c r="G654" s="122"/>
      <c r="H654" s="122"/>
      <c r="I654" s="122"/>
      <c r="J654" s="122"/>
      <c r="K654" s="122"/>
    </row>
    <row r="655" spans="3:11" x14ac:dyDescent="0.3">
      <c r="C655" s="122"/>
      <c r="E655" s="122"/>
      <c r="F655" s="122"/>
      <c r="G655" s="122"/>
      <c r="H655" s="122"/>
      <c r="I655" s="122"/>
      <c r="J655" s="122"/>
      <c r="K655" s="122"/>
    </row>
    <row r="656" spans="3:11" x14ac:dyDescent="0.3">
      <c r="C656" s="122"/>
      <c r="E656" s="122"/>
      <c r="F656" s="122"/>
      <c r="G656" s="122"/>
      <c r="H656" s="122"/>
      <c r="I656" s="122"/>
      <c r="J656" s="122"/>
      <c r="K656" s="122"/>
    </row>
    <row r="657" spans="3:11" x14ac:dyDescent="0.3">
      <c r="C657" s="122"/>
      <c r="E657" s="122"/>
      <c r="F657" s="122"/>
      <c r="G657" s="122"/>
      <c r="H657" s="122"/>
      <c r="I657" s="122"/>
      <c r="J657" s="122"/>
      <c r="K657" s="122"/>
    </row>
    <row r="658" spans="3:11" x14ac:dyDescent="0.3">
      <c r="C658" s="122"/>
      <c r="E658" s="122"/>
      <c r="F658" s="122"/>
      <c r="G658" s="122"/>
      <c r="H658" s="122"/>
      <c r="I658" s="122"/>
      <c r="J658" s="122"/>
      <c r="K658" s="122"/>
    </row>
    <row r="659" spans="3:11" x14ac:dyDescent="0.3">
      <c r="C659" s="122"/>
      <c r="E659" s="122"/>
      <c r="F659" s="122"/>
      <c r="G659" s="122"/>
      <c r="H659" s="122"/>
      <c r="I659" s="122"/>
      <c r="J659" s="122"/>
      <c r="K659" s="122"/>
    </row>
    <row r="660" spans="3:11" x14ac:dyDescent="0.3">
      <c r="C660" s="122"/>
      <c r="E660" s="122"/>
      <c r="F660" s="122"/>
      <c r="G660" s="122"/>
      <c r="H660" s="122"/>
      <c r="I660" s="122"/>
      <c r="J660" s="122"/>
      <c r="K660" s="122"/>
    </row>
    <row r="661" spans="3:11" x14ac:dyDescent="0.3">
      <c r="C661" s="122"/>
      <c r="E661" s="122"/>
      <c r="F661" s="122"/>
      <c r="G661" s="122"/>
      <c r="H661" s="122"/>
      <c r="I661" s="122"/>
      <c r="J661" s="122"/>
      <c r="K661" s="122"/>
    </row>
    <row r="662" spans="3:11" x14ac:dyDescent="0.3">
      <c r="C662" s="122"/>
      <c r="E662" s="122"/>
      <c r="F662" s="122"/>
      <c r="G662" s="122"/>
      <c r="H662" s="122"/>
      <c r="I662" s="122"/>
      <c r="J662" s="122"/>
      <c r="K662" s="122"/>
    </row>
    <row r="663" spans="3:11" x14ac:dyDescent="0.3">
      <c r="C663" s="122"/>
      <c r="E663" s="122"/>
      <c r="F663" s="122"/>
      <c r="G663" s="122"/>
      <c r="H663" s="122"/>
      <c r="I663" s="122"/>
      <c r="J663" s="122"/>
      <c r="K663" s="122"/>
    </row>
    <row r="664" spans="3:11" x14ac:dyDescent="0.3">
      <c r="C664" s="122"/>
      <c r="E664" s="122"/>
      <c r="F664" s="122"/>
      <c r="G664" s="122"/>
      <c r="H664" s="122"/>
      <c r="I664" s="122"/>
      <c r="J664" s="122"/>
      <c r="K664" s="122"/>
    </row>
    <row r="665" spans="3:11" x14ac:dyDescent="0.3">
      <c r="C665" s="122"/>
      <c r="E665" s="122"/>
      <c r="F665" s="122"/>
      <c r="G665" s="122"/>
      <c r="H665" s="122"/>
      <c r="I665" s="122"/>
      <c r="J665" s="122"/>
      <c r="K665" s="122"/>
    </row>
    <row r="666" spans="3:11" x14ac:dyDescent="0.3">
      <c r="C666" s="122"/>
      <c r="E666" s="122"/>
      <c r="F666" s="122"/>
      <c r="G666" s="122"/>
      <c r="H666" s="122"/>
      <c r="I666" s="122"/>
      <c r="J666" s="122"/>
      <c r="K666" s="122"/>
    </row>
    <row r="667" spans="3:11" x14ac:dyDescent="0.3">
      <c r="C667" s="122"/>
      <c r="E667" s="122"/>
      <c r="F667" s="122"/>
      <c r="G667" s="122"/>
      <c r="H667" s="122"/>
      <c r="I667" s="122"/>
      <c r="J667" s="122"/>
      <c r="K667" s="122"/>
    </row>
    <row r="668" spans="3:11" x14ac:dyDescent="0.3">
      <c r="C668" s="122"/>
      <c r="E668" s="122"/>
      <c r="F668" s="122"/>
      <c r="G668" s="122"/>
      <c r="H668" s="122"/>
      <c r="I668" s="122"/>
      <c r="J668" s="122"/>
      <c r="K668" s="122"/>
    </row>
    <row r="669" spans="3:11" x14ac:dyDescent="0.3">
      <c r="C669" s="122"/>
      <c r="E669" s="122"/>
      <c r="F669" s="122"/>
      <c r="G669" s="122"/>
      <c r="H669" s="122"/>
      <c r="I669" s="122"/>
      <c r="J669" s="122"/>
      <c r="K669" s="122"/>
    </row>
    <row r="670" spans="3:11" x14ac:dyDescent="0.3">
      <c r="C670" s="122"/>
      <c r="E670" s="122"/>
      <c r="F670" s="122"/>
      <c r="G670" s="122"/>
      <c r="H670" s="122"/>
      <c r="I670" s="122"/>
      <c r="J670" s="122"/>
      <c r="K670" s="122"/>
    </row>
    <row r="671" spans="3:11" x14ac:dyDescent="0.3">
      <c r="C671" s="122"/>
      <c r="E671" s="122"/>
      <c r="F671" s="122"/>
      <c r="G671" s="122"/>
      <c r="H671" s="122"/>
      <c r="I671" s="122"/>
      <c r="J671" s="122"/>
      <c r="K671" s="122"/>
    </row>
    <row r="672" spans="3:11" x14ac:dyDescent="0.3">
      <c r="C672" s="122"/>
      <c r="E672" s="122"/>
      <c r="F672" s="122"/>
      <c r="G672" s="122"/>
      <c r="H672" s="122"/>
      <c r="I672" s="122"/>
      <c r="J672" s="122"/>
      <c r="K672" s="122"/>
    </row>
    <row r="673" spans="3:11" x14ac:dyDescent="0.3">
      <c r="C673" s="122"/>
      <c r="E673" s="122"/>
      <c r="F673" s="122"/>
      <c r="G673" s="122"/>
      <c r="H673" s="122"/>
      <c r="I673" s="122"/>
      <c r="J673" s="122"/>
      <c r="K673" s="122"/>
    </row>
    <row r="674" spans="3:11" x14ac:dyDescent="0.3">
      <c r="C674" s="122"/>
      <c r="E674" s="122"/>
      <c r="F674" s="122"/>
      <c r="G674" s="122"/>
      <c r="H674" s="122"/>
      <c r="I674" s="122"/>
      <c r="J674" s="122"/>
      <c r="K674" s="122"/>
    </row>
    <row r="675" spans="3:11" x14ac:dyDescent="0.3">
      <c r="C675" s="122"/>
      <c r="E675" s="122"/>
      <c r="F675" s="122"/>
      <c r="G675" s="122"/>
      <c r="H675" s="122"/>
      <c r="I675" s="122"/>
      <c r="J675" s="122"/>
      <c r="K675" s="122"/>
    </row>
    <row r="676" spans="3:11" x14ac:dyDescent="0.3">
      <c r="C676" s="122"/>
      <c r="E676" s="122"/>
      <c r="F676" s="122"/>
      <c r="G676" s="122"/>
      <c r="H676" s="122"/>
      <c r="I676" s="122"/>
      <c r="J676" s="122"/>
      <c r="K676" s="122"/>
    </row>
    <row r="677" spans="3:11" x14ac:dyDescent="0.3">
      <c r="C677" s="122"/>
      <c r="E677" s="122"/>
      <c r="F677" s="122"/>
      <c r="G677" s="122"/>
      <c r="H677" s="122"/>
      <c r="I677" s="122"/>
      <c r="J677" s="122"/>
      <c r="K677" s="122"/>
    </row>
    <row r="678" spans="3:11" x14ac:dyDescent="0.3">
      <c r="C678" s="122"/>
      <c r="E678" s="122"/>
      <c r="F678" s="122"/>
      <c r="G678" s="122"/>
      <c r="H678" s="122"/>
      <c r="I678" s="122"/>
      <c r="J678" s="122"/>
      <c r="K678" s="122"/>
    </row>
    <row r="679" spans="3:11" x14ac:dyDescent="0.3">
      <c r="C679" s="122"/>
      <c r="E679" s="122"/>
      <c r="F679" s="122"/>
      <c r="G679" s="122"/>
      <c r="H679" s="122"/>
      <c r="I679" s="122"/>
      <c r="J679" s="122"/>
      <c r="K679" s="122"/>
    </row>
    <row r="680" spans="3:11" x14ac:dyDescent="0.3">
      <c r="C680" s="122"/>
      <c r="E680" s="122"/>
      <c r="F680" s="122"/>
      <c r="G680" s="122"/>
      <c r="H680" s="122"/>
      <c r="I680" s="122"/>
      <c r="J680" s="122"/>
      <c r="K680" s="122"/>
    </row>
    <row r="681" spans="3:11" x14ac:dyDescent="0.3">
      <c r="C681" s="122"/>
      <c r="E681" s="122"/>
      <c r="F681" s="122"/>
      <c r="G681" s="122"/>
      <c r="H681" s="122"/>
      <c r="I681" s="122"/>
      <c r="J681" s="122"/>
      <c r="K681" s="122"/>
    </row>
    <row r="682" spans="3:11" x14ac:dyDescent="0.3">
      <c r="C682" s="122"/>
      <c r="E682" s="122"/>
      <c r="F682" s="122"/>
      <c r="G682" s="122"/>
      <c r="H682" s="122"/>
      <c r="I682" s="122"/>
      <c r="J682" s="122"/>
      <c r="K682" s="122"/>
    </row>
    <row r="683" spans="3:11" x14ac:dyDescent="0.3">
      <c r="C683" s="122"/>
      <c r="E683" s="122"/>
      <c r="F683" s="122"/>
      <c r="G683" s="122"/>
      <c r="H683" s="122"/>
      <c r="I683" s="122"/>
      <c r="J683" s="122"/>
      <c r="K683" s="122"/>
    </row>
    <row r="684" spans="3:11" x14ac:dyDescent="0.3">
      <c r="C684" s="122"/>
      <c r="E684" s="122"/>
      <c r="F684" s="122"/>
      <c r="G684" s="122"/>
      <c r="H684" s="122"/>
      <c r="I684" s="122"/>
      <c r="J684" s="122"/>
      <c r="K684" s="122"/>
    </row>
    <row r="685" spans="3:11" x14ac:dyDescent="0.3">
      <c r="C685" s="122"/>
      <c r="E685" s="122"/>
      <c r="F685" s="122"/>
      <c r="G685" s="122"/>
      <c r="H685" s="122"/>
      <c r="I685" s="122"/>
      <c r="J685" s="122"/>
      <c r="K685" s="122"/>
    </row>
    <row r="686" spans="3:11" x14ac:dyDescent="0.3">
      <c r="C686" s="122"/>
      <c r="E686" s="122"/>
      <c r="F686" s="122"/>
      <c r="G686" s="122"/>
      <c r="H686" s="122"/>
      <c r="I686" s="122"/>
      <c r="J686" s="122"/>
      <c r="K686" s="122"/>
    </row>
    <row r="687" spans="3:11" x14ac:dyDescent="0.3">
      <c r="C687" s="122"/>
      <c r="E687" s="122"/>
      <c r="F687" s="122"/>
      <c r="G687" s="122"/>
      <c r="H687" s="122"/>
      <c r="I687" s="122"/>
      <c r="J687" s="122"/>
      <c r="K687" s="122"/>
    </row>
    <row r="688" spans="3:11" x14ac:dyDescent="0.3">
      <c r="C688" s="122"/>
      <c r="E688" s="122"/>
      <c r="F688" s="122"/>
      <c r="G688" s="122"/>
      <c r="H688" s="122"/>
      <c r="I688" s="122"/>
      <c r="J688" s="122"/>
      <c r="K688" s="122"/>
    </row>
    <row r="689" spans="3:11" x14ac:dyDescent="0.3">
      <c r="C689" s="122"/>
      <c r="E689" s="122"/>
      <c r="F689" s="122"/>
      <c r="G689" s="122"/>
      <c r="H689" s="122"/>
      <c r="I689" s="122"/>
      <c r="J689" s="122"/>
      <c r="K689" s="122"/>
    </row>
    <row r="690" spans="3:11" x14ac:dyDescent="0.3">
      <c r="C690" s="122"/>
      <c r="E690" s="122"/>
      <c r="F690" s="122"/>
      <c r="G690" s="122"/>
      <c r="H690" s="122"/>
      <c r="I690" s="122"/>
      <c r="J690" s="122"/>
      <c r="K690" s="122"/>
    </row>
    <row r="691" spans="3:11" x14ac:dyDescent="0.3">
      <c r="C691" s="122"/>
      <c r="E691" s="122"/>
      <c r="F691" s="122"/>
      <c r="G691" s="122"/>
      <c r="H691" s="122"/>
      <c r="I691" s="122"/>
      <c r="J691" s="122"/>
      <c r="K691" s="122"/>
    </row>
    <row r="692" spans="3:11" x14ac:dyDescent="0.3">
      <c r="C692" s="122"/>
      <c r="E692" s="122"/>
      <c r="F692" s="122"/>
      <c r="G692" s="122"/>
      <c r="H692" s="122"/>
      <c r="I692" s="122"/>
      <c r="J692" s="122"/>
      <c r="K692" s="122"/>
    </row>
    <row r="693" spans="3:11" x14ac:dyDescent="0.3">
      <c r="C693" s="122"/>
      <c r="E693" s="122"/>
      <c r="F693" s="122"/>
      <c r="G693" s="122"/>
      <c r="H693" s="122"/>
      <c r="I693" s="122"/>
      <c r="J693" s="122"/>
      <c r="K693" s="122"/>
    </row>
    <row r="694" spans="3:11" x14ac:dyDescent="0.3">
      <c r="C694" s="122"/>
      <c r="E694" s="122"/>
      <c r="F694" s="122"/>
      <c r="G694" s="122"/>
      <c r="H694" s="122"/>
      <c r="I694" s="122"/>
      <c r="J694" s="122"/>
      <c r="K694" s="122"/>
    </row>
    <row r="695" spans="3:11" x14ac:dyDescent="0.3">
      <c r="C695" s="122"/>
      <c r="E695" s="122"/>
      <c r="F695" s="122"/>
      <c r="G695" s="122"/>
      <c r="H695" s="122"/>
      <c r="I695" s="122"/>
      <c r="J695" s="122"/>
      <c r="K695" s="122"/>
    </row>
    <row r="696" spans="3:11" x14ac:dyDescent="0.3">
      <c r="C696" s="122"/>
      <c r="E696" s="122"/>
      <c r="F696" s="122"/>
      <c r="G696" s="122"/>
      <c r="H696" s="122"/>
      <c r="I696" s="122"/>
      <c r="J696" s="122"/>
      <c r="K696" s="122"/>
    </row>
    <row r="697" spans="3:11" x14ac:dyDescent="0.3">
      <c r="C697" s="122"/>
      <c r="E697" s="122"/>
      <c r="F697" s="122"/>
      <c r="G697" s="122"/>
      <c r="H697" s="122"/>
      <c r="I697" s="122"/>
      <c r="J697" s="122"/>
      <c r="K697" s="122"/>
    </row>
    <row r="698" spans="3:11" x14ac:dyDescent="0.3">
      <c r="C698" s="122"/>
      <c r="E698" s="122"/>
      <c r="F698" s="122"/>
      <c r="G698" s="122"/>
      <c r="H698" s="122"/>
      <c r="I698" s="122"/>
      <c r="J698" s="122"/>
      <c r="K698" s="122"/>
    </row>
    <row r="699" spans="3:11" x14ac:dyDescent="0.3">
      <c r="C699" s="122"/>
      <c r="E699" s="122"/>
      <c r="F699" s="122"/>
      <c r="G699" s="122"/>
      <c r="H699" s="122"/>
      <c r="I699" s="122"/>
      <c r="J699" s="122"/>
      <c r="K699" s="122"/>
    </row>
    <row r="700" spans="3:11" x14ac:dyDescent="0.3">
      <c r="C700" s="122"/>
      <c r="E700" s="122"/>
      <c r="F700" s="122"/>
      <c r="G700" s="122"/>
      <c r="H700" s="122"/>
      <c r="I700" s="122"/>
      <c r="J700" s="122"/>
      <c r="K700" s="122"/>
    </row>
    <row r="701" spans="3:11" x14ac:dyDescent="0.3">
      <c r="C701" s="122"/>
      <c r="E701" s="122"/>
      <c r="F701" s="122"/>
      <c r="G701" s="122"/>
      <c r="H701" s="122"/>
      <c r="I701" s="122"/>
      <c r="J701" s="122"/>
      <c r="K701" s="122"/>
    </row>
    <row r="702" spans="3:11" x14ac:dyDescent="0.3">
      <c r="C702" s="122"/>
      <c r="E702" s="122"/>
      <c r="F702" s="122"/>
      <c r="G702" s="122"/>
      <c r="H702" s="122"/>
      <c r="I702" s="122"/>
      <c r="J702" s="122"/>
      <c r="K702" s="122"/>
    </row>
    <row r="703" spans="3:11" x14ac:dyDescent="0.3">
      <c r="C703" s="122"/>
      <c r="E703" s="122"/>
      <c r="F703" s="122"/>
      <c r="G703" s="122"/>
      <c r="H703" s="122"/>
      <c r="I703" s="122"/>
      <c r="J703" s="122"/>
      <c r="K703" s="122"/>
    </row>
    <row r="704" spans="3:11" x14ac:dyDescent="0.3">
      <c r="C704" s="122"/>
      <c r="E704" s="122"/>
      <c r="F704" s="122"/>
      <c r="G704" s="122"/>
      <c r="H704" s="122"/>
      <c r="I704" s="122"/>
      <c r="J704" s="122"/>
      <c r="K704" s="122"/>
    </row>
    <row r="705" spans="3:11" x14ac:dyDescent="0.3">
      <c r="C705" s="122"/>
      <c r="E705" s="122"/>
      <c r="F705" s="122"/>
      <c r="G705" s="122"/>
      <c r="H705" s="122"/>
      <c r="I705" s="122"/>
      <c r="J705" s="122"/>
      <c r="K705" s="122"/>
    </row>
    <row r="706" spans="3:11" x14ac:dyDescent="0.3">
      <c r="C706" s="122"/>
      <c r="E706" s="122"/>
      <c r="F706" s="122"/>
      <c r="G706" s="122"/>
      <c r="H706" s="122"/>
      <c r="I706" s="122"/>
      <c r="J706" s="122"/>
      <c r="K706" s="122"/>
    </row>
    <row r="707" spans="3:11" x14ac:dyDescent="0.3">
      <c r="C707" s="122"/>
      <c r="E707" s="122"/>
      <c r="F707" s="122"/>
      <c r="G707" s="122"/>
      <c r="H707" s="122"/>
      <c r="I707" s="122"/>
      <c r="J707" s="122"/>
      <c r="K707" s="122"/>
    </row>
    <row r="708" spans="3:11" x14ac:dyDescent="0.3">
      <c r="C708" s="122"/>
      <c r="E708" s="122"/>
      <c r="F708" s="122"/>
      <c r="G708" s="122"/>
      <c r="H708" s="122"/>
      <c r="I708" s="122"/>
      <c r="J708" s="122"/>
      <c r="K708" s="122"/>
    </row>
    <row r="709" spans="3:11" x14ac:dyDescent="0.3">
      <c r="C709" s="122"/>
      <c r="E709" s="122"/>
      <c r="F709" s="122"/>
      <c r="G709" s="122"/>
      <c r="H709" s="122"/>
      <c r="I709" s="122"/>
      <c r="J709" s="122"/>
      <c r="K709" s="122"/>
    </row>
    <row r="710" spans="3:11" x14ac:dyDescent="0.3">
      <c r="C710" s="122"/>
      <c r="E710" s="122"/>
      <c r="F710" s="122"/>
      <c r="G710" s="122"/>
      <c r="H710" s="122"/>
      <c r="I710" s="122"/>
      <c r="J710" s="122"/>
      <c r="K710" s="122"/>
    </row>
    <row r="711" spans="3:11" x14ac:dyDescent="0.3">
      <c r="C711" s="122"/>
      <c r="E711" s="122"/>
      <c r="F711" s="122"/>
      <c r="G711" s="122"/>
      <c r="H711" s="122"/>
      <c r="I711" s="122"/>
      <c r="J711" s="122"/>
      <c r="K711" s="122"/>
    </row>
    <row r="712" spans="3:11" x14ac:dyDescent="0.3">
      <c r="C712" s="122"/>
      <c r="E712" s="122"/>
      <c r="F712" s="122"/>
      <c r="G712" s="122"/>
      <c r="H712" s="122"/>
      <c r="I712" s="122"/>
      <c r="J712" s="122"/>
      <c r="K712" s="122"/>
    </row>
    <row r="713" spans="3:11" x14ac:dyDescent="0.3">
      <c r="C713" s="122"/>
      <c r="E713" s="122"/>
      <c r="F713" s="122"/>
      <c r="G713" s="122"/>
      <c r="H713" s="122"/>
      <c r="I713" s="122"/>
      <c r="J713" s="122"/>
      <c r="K713" s="122"/>
    </row>
    <row r="714" spans="3:11" x14ac:dyDescent="0.3">
      <c r="C714" s="122"/>
      <c r="E714" s="122"/>
      <c r="F714" s="122"/>
      <c r="G714" s="122"/>
      <c r="H714" s="122"/>
      <c r="I714" s="122"/>
      <c r="J714" s="122"/>
      <c r="K714" s="122"/>
    </row>
    <row r="715" spans="3:11" x14ac:dyDescent="0.3">
      <c r="C715" s="122"/>
      <c r="E715" s="122"/>
      <c r="F715" s="122"/>
      <c r="G715" s="122"/>
      <c r="H715" s="122"/>
      <c r="I715" s="122"/>
      <c r="J715" s="122"/>
      <c r="K715" s="122"/>
    </row>
    <row r="716" spans="3:11" x14ac:dyDescent="0.3">
      <c r="C716" s="122"/>
      <c r="E716" s="122"/>
      <c r="F716" s="122"/>
      <c r="G716" s="122"/>
      <c r="H716" s="122"/>
      <c r="I716" s="122"/>
      <c r="J716" s="122"/>
      <c r="K716" s="122"/>
    </row>
    <row r="717" spans="3:11" x14ac:dyDescent="0.3">
      <c r="C717" s="122"/>
      <c r="E717" s="122"/>
      <c r="F717" s="122"/>
      <c r="G717" s="122"/>
      <c r="H717" s="122"/>
      <c r="I717" s="122"/>
      <c r="J717" s="122"/>
      <c r="K717" s="122"/>
    </row>
    <row r="718" spans="3:11" x14ac:dyDescent="0.3">
      <c r="C718" s="122"/>
      <c r="E718" s="122"/>
      <c r="F718" s="122"/>
      <c r="G718" s="122"/>
      <c r="H718" s="122"/>
      <c r="I718" s="122"/>
      <c r="J718" s="122"/>
      <c r="K718" s="122"/>
    </row>
    <row r="719" spans="3:11" x14ac:dyDescent="0.3">
      <c r="C719" s="122"/>
      <c r="E719" s="122"/>
      <c r="F719" s="122"/>
      <c r="G719" s="122"/>
      <c r="H719" s="122"/>
      <c r="I719" s="122"/>
      <c r="J719" s="122"/>
      <c r="K719" s="122"/>
    </row>
    <row r="720" spans="3:11" x14ac:dyDescent="0.3">
      <c r="C720" s="122"/>
      <c r="E720" s="122"/>
      <c r="F720" s="122"/>
      <c r="G720" s="122"/>
      <c r="H720" s="122"/>
      <c r="I720" s="122"/>
      <c r="J720" s="122"/>
      <c r="K720" s="122"/>
    </row>
    <row r="721" spans="3:11" x14ac:dyDescent="0.3">
      <c r="C721" s="122"/>
      <c r="E721" s="122"/>
      <c r="F721" s="122"/>
      <c r="G721" s="122"/>
      <c r="H721" s="122"/>
      <c r="I721" s="122"/>
      <c r="J721" s="122"/>
      <c r="K721" s="122"/>
    </row>
    <row r="722" spans="3:11" x14ac:dyDescent="0.3">
      <c r="C722" s="122"/>
      <c r="E722" s="122"/>
      <c r="F722" s="122"/>
      <c r="G722" s="122"/>
      <c r="H722" s="122"/>
      <c r="I722" s="122"/>
      <c r="J722" s="122"/>
      <c r="K722" s="122"/>
    </row>
    <row r="723" spans="3:11" x14ac:dyDescent="0.3">
      <c r="C723" s="122"/>
      <c r="E723" s="122"/>
      <c r="F723" s="122"/>
      <c r="G723" s="122"/>
      <c r="H723" s="122"/>
      <c r="I723" s="122"/>
      <c r="J723" s="122"/>
      <c r="K723" s="122"/>
    </row>
    <row r="724" spans="3:11" x14ac:dyDescent="0.3">
      <c r="C724" s="122"/>
      <c r="E724" s="122"/>
      <c r="F724" s="122"/>
      <c r="G724" s="122"/>
      <c r="H724" s="122"/>
      <c r="I724" s="122"/>
      <c r="J724" s="122"/>
      <c r="K724" s="122"/>
    </row>
    <row r="725" spans="3:11" x14ac:dyDescent="0.3">
      <c r="C725" s="122"/>
      <c r="E725" s="122"/>
      <c r="F725" s="122"/>
      <c r="G725" s="122"/>
      <c r="H725" s="122"/>
      <c r="I725" s="122"/>
      <c r="J725" s="122"/>
      <c r="K725" s="122"/>
    </row>
    <row r="726" spans="3:11" x14ac:dyDescent="0.3">
      <c r="C726" s="122"/>
      <c r="E726" s="122"/>
      <c r="F726" s="122"/>
      <c r="G726" s="122"/>
      <c r="H726" s="122"/>
      <c r="I726" s="122"/>
      <c r="J726" s="122"/>
      <c r="K726" s="122"/>
    </row>
    <row r="727" spans="3:11" x14ac:dyDescent="0.3">
      <c r="C727" s="122"/>
      <c r="E727" s="122"/>
      <c r="F727" s="122"/>
      <c r="G727" s="122"/>
      <c r="H727" s="122"/>
      <c r="I727" s="122"/>
      <c r="J727" s="122"/>
      <c r="K727" s="122"/>
    </row>
    <row r="728" spans="3:11" x14ac:dyDescent="0.3">
      <c r="C728" s="122"/>
      <c r="E728" s="122"/>
      <c r="F728" s="122"/>
      <c r="G728" s="122"/>
      <c r="H728" s="122"/>
      <c r="I728" s="122"/>
      <c r="J728" s="122"/>
      <c r="K728" s="122"/>
    </row>
    <row r="729" spans="3:11" x14ac:dyDescent="0.3">
      <c r="C729" s="122"/>
      <c r="E729" s="122"/>
      <c r="F729" s="122"/>
      <c r="G729" s="122"/>
      <c r="H729" s="122"/>
      <c r="I729" s="122"/>
      <c r="J729" s="122"/>
      <c r="K729" s="122"/>
    </row>
    <row r="730" spans="3:11" x14ac:dyDescent="0.3">
      <c r="C730" s="122"/>
      <c r="E730" s="122"/>
      <c r="F730" s="122"/>
      <c r="G730" s="122"/>
      <c r="H730" s="122"/>
      <c r="I730" s="122"/>
      <c r="J730" s="122"/>
      <c r="K730" s="122"/>
    </row>
    <row r="731" spans="3:11" x14ac:dyDescent="0.3">
      <c r="C731" s="122"/>
      <c r="E731" s="122"/>
      <c r="F731" s="122"/>
      <c r="G731" s="122"/>
      <c r="H731" s="122"/>
      <c r="I731" s="122"/>
      <c r="J731" s="122"/>
      <c r="K731" s="122"/>
    </row>
    <row r="732" spans="3:11" x14ac:dyDescent="0.3">
      <c r="C732" s="122"/>
      <c r="E732" s="122"/>
      <c r="F732" s="122"/>
      <c r="G732" s="122"/>
      <c r="H732" s="122"/>
      <c r="I732" s="122"/>
      <c r="J732" s="122"/>
      <c r="K732" s="122"/>
    </row>
    <row r="733" spans="3:11" x14ac:dyDescent="0.3">
      <c r="C733" s="122"/>
      <c r="E733" s="122"/>
      <c r="F733" s="122"/>
      <c r="G733" s="122"/>
      <c r="H733" s="122"/>
      <c r="I733" s="122"/>
      <c r="J733" s="122"/>
      <c r="K733" s="122"/>
    </row>
    <row r="734" spans="3:11" x14ac:dyDescent="0.3">
      <c r="C734" s="122"/>
      <c r="E734" s="122"/>
      <c r="F734" s="122"/>
      <c r="G734" s="122"/>
      <c r="H734" s="122"/>
      <c r="I734" s="122"/>
      <c r="J734" s="122"/>
      <c r="K734" s="122"/>
    </row>
    <row r="735" spans="3:11" x14ac:dyDescent="0.3">
      <c r="C735" s="122"/>
      <c r="E735" s="122"/>
      <c r="F735" s="122"/>
      <c r="G735" s="122"/>
      <c r="H735" s="122"/>
      <c r="I735" s="122"/>
      <c r="J735" s="122"/>
      <c r="K735" s="122"/>
    </row>
    <row r="736" spans="3:11" x14ac:dyDescent="0.3">
      <c r="C736" s="122"/>
      <c r="E736" s="122"/>
      <c r="F736" s="122"/>
      <c r="G736" s="122"/>
      <c r="H736" s="122"/>
      <c r="I736" s="122"/>
      <c r="J736" s="122"/>
      <c r="K736" s="122"/>
    </row>
    <row r="737" spans="3:11" x14ac:dyDescent="0.3">
      <c r="C737" s="122"/>
      <c r="E737" s="122"/>
      <c r="F737" s="122"/>
      <c r="G737" s="122"/>
      <c r="H737" s="122"/>
      <c r="I737" s="122"/>
      <c r="J737" s="122"/>
      <c r="K737" s="122"/>
    </row>
    <row r="738" spans="3:11" x14ac:dyDescent="0.3">
      <c r="C738" s="122"/>
      <c r="E738" s="122"/>
      <c r="F738" s="122"/>
      <c r="G738" s="122"/>
      <c r="H738" s="122"/>
      <c r="I738" s="122"/>
      <c r="J738" s="122"/>
      <c r="K738" s="122"/>
    </row>
    <row r="739" spans="3:11" x14ac:dyDescent="0.3">
      <c r="C739" s="122"/>
      <c r="E739" s="122"/>
      <c r="F739" s="122"/>
      <c r="G739" s="122"/>
      <c r="H739" s="122"/>
      <c r="I739" s="122"/>
      <c r="J739" s="122"/>
      <c r="K739" s="122"/>
    </row>
    <row r="740" spans="3:11" x14ac:dyDescent="0.3">
      <c r="C740" s="122"/>
      <c r="E740" s="122"/>
      <c r="F740" s="122"/>
      <c r="G740" s="122"/>
      <c r="H740" s="122"/>
      <c r="I740" s="122"/>
      <c r="J740" s="122"/>
      <c r="K740" s="122"/>
    </row>
    <row r="741" spans="3:11" x14ac:dyDescent="0.3">
      <c r="C741" s="122"/>
      <c r="E741" s="122"/>
      <c r="F741" s="122"/>
      <c r="G741" s="122"/>
      <c r="H741" s="122"/>
      <c r="I741" s="122"/>
      <c r="J741" s="122"/>
      <c r="K741" s="122"/>
    </row>
    <row r="742" spans="3:11" x14ac:dyDescent="0.3">
      <c r="C742" s="122"/>
      <c r="E742" s="122"/>
      <c r="F742" s="122"/>
      <c r="G742" s="122"/>
      <c r="H742" s="122"/>
      <c r="I742" s="122"/>
      <c r="J742" s="122"/>
      <c r="K742" s="122"/>
    </row>
    <row r="743" spans="3:11" x14ac:dyDescent="0.3">
      <c r="C743" s="122"/>
      <c r="E743" s="122"/>
      <c r="F743" s="122"/>
      <c r="G743" s="122"/>
      <c r="H743" s="122"/>
      <c r="I743" s="122"/>
      <c r="J743" s="122"/>
      <c r="K743" s="122"/>
    </row>
    <row r="744" spans="3:11" x14ac:dyDescent="0.3">
      <c r="C744" s="122"/>
      <c r="E744" s="122"/>
      <c r="F744" s="122"/>
      <c r="G744" s="122"/>
      <c r="H744" s="122"/>
      <c r="I744" s="122"/>
      <c r="J744" s="122"/>
      <c r="K744" s="122"/>
    </row>
    <row r="745" spans="3:11" x14ac:dyDescent="0.3">
      <c r="C745" s="122"/>
      <c r="E745" s="122"/>
      <c r="F745" s="122"/>
      <c r="G745" s="122"/>
      <c r="H745" s="122"/>
      <c r="I745" s="122"/>
      <c r="J745" s="122"/>
      <c r="K745" s="122"/>
    </row>
    <row r="746" spans="3:11" x14ac:dyDescent="0.3">
      <c r="C746" s="122"/>
      <c r="E746" s="122"/>
      <c r="F746" s="122"/>
      <c r="G746" s="122"/>
      <c r="H746" s="122"/>
      <c r="I746" s="122"/>
      <c r="J746" s="122"/>
      <c r="K746" s="122"/>
    </row>
    <row r="747" spans="3:11" x14ac:dyDescent="0.3">
      <c r="C747" s="122"/>
      <c r="E747" s="122"/>
      <c r="F747" s="122"/>
      <c r="G747" s="122"/>
      <c r="H747" s="122"/>
      <c r="I747" s="122"/>
      <c r="J747" s="122"/>
      <c r="K747" s="122"/>
    </row>
    <row r="748" spans="3:11" x14ac:dyDescent="0.3">
      <c r="C748" s="122"/>
      <c r="E748" s="122"/>
      <c r="F748" s="122"/>
      <c r="G748" s="122"/>
      <c r="H748" s="122"/>
      <c r="I748" s="122"/>
      <c r="J748" s="122"/>
      <c r="K748" s="122"/>
    </row>
    <row r="749" spans="3:11" x14ac:dyDescent="0.3">
      <c r="C749" s="122"/>
      <c r="E749" s="122"/>
      <c r="F749" s="122"/>
      <c r="G749" s="122"/>
      <c r="H749" s="122"/>
      <c r="I749" s="122"/>
      <c r="J749" s="122"/>
      <c r="K749" s="122"/>
    </row>
    <row r="750" spans="3:11" x14ac:dyDescent="0.3">
      <c r="C750" s="122"/>
      <c r="E750" s="122"/>
      <c r="F750" s="122"/>
      <c r="G750" s="122"/>
      <c r="H750" s="122"/>
      <c r="I750" s="122"/>
      <c r="J750" s="122"/>
      <c r="K750" s="122"/>
    </row>
    <row r="751" spans="3:11" x14ac:dyDescent="0.3">
      <c r="C751" s="122"/>
      <c r="E751" s="122"/>
      <c r="F751" s="122"/>
      <c r="G751" s="122"/>
      <c r="H751" s="122"/>
      <c r="I751" s="122"/>
      <c r="J751" s="122"/>
      <c r="K751" s="122"/>
    </row>
    <row r="752" spans="3:11" x14ac:dyDescent="0.3">
      <c r="C752" s="122"/>
      <c r="E752" s="122"/>
      <c r="F752" s="122"/>
      <c r="G752" s="122"/>
      <c r="H752" s="122"/>
      <c r="I752" s="122"/>
      <c r="J752" s="122"/>
      <c r="K752" s="122"/>
    </row>
    <row r="753" spans="3:11" x14ac:dyDescent="0.3">
      <c r="C753" s="122"/>
      <c r="E753" s="122"/>
      <c r="F753" s="122"/>
      <c r="G753" s="122"/>
      <c r="H753" s="122"/>
      <c r="I753" s="122"/>
      <c r="J753" s="122"/>
      <c r="K753" s="122"/>
    </row>
    <row r="754" spans="3:11" x14ac:dyDescent="0.3">
      <c r="C754" s="122"/>
      <c r="E754" s="122"/>
      <c r="F754" s="122"/>
      <c r="G754" s="122"/>
      <c r="H754" s="122"/>
      <c r="I754" s="122"/>
      <c r="J754" s="122"/>
      <c r="K754" s="122"/>
    </row>
    <row r="755" spans="3:11" x14ac:dyDescent="0.3">
      <c r="C755" s="122"/>
      <c r="E755" s="122"/>
      <c r="F755" s="122"/>
      <c r="G755" s="122"/>
      <c r="H755" s="122"/>
      <c r="I755" s="122"/>
      <c r="J755" s="122"/>
      <c r="K755" s="122"/>
    </row>
    <row r="756" spans="3:11" x14ac:dyDescent="0.3">
      <c r="C756" s="122"/>
      <c r="E756" s="122"/>
      <c r="F756" s="122"/>
      <c r="G756" s="122"/>
      <c r="H756" s="122"/>
      <c r="I756" s="122"/>
      <c r="J756" s="122"/>
      <c r="K756" s="122"/>
    </row>
    <row r="757" spans="3:11" x14ac:dyDescent="0.3">
      <c r="C757" s="122"/>
      <c r="E757" s="122"/>
      <c r="F757" s="122"/>
      <c r="G757" s="122"/>
      <c r="H757" s="122"/>
      <c r="I757" s="122"/>
      <c r="J757" s="122"/>
      <c r="K757" s="122"/>
    </row>
    <row r="758" spans="3:11" x14ac:dyDescent="0.3">
      <c r="C758" s="122"/>
      <c r="E758" s="122"/>
      <c r="F758" s="122"/>
      <c r="G758" s="122"/>
      <c r="H758" s="122"/>
      <c r="I758" s="122"/>
      <c r="J758" s="122"/>
      <c r="K758" s="122"/>
    </row>
    <row r="759" spans="3:11" x14ac:dyDescent="0.3">
      <c r="C759" s="122"/>
      <c r="E759" s="122"/>
      <c r="F759" s="122"/>
      <c r="G759" s="122"/>
      <c r="H759" s="122"/>
      <c r="I759" s="122"/>
      <c r="J759" s="122"/>
      <c r="K759" s="122"/>
    </row>
    <row r="760" spans="3:11" x14ac:dyDescent="0.3">
      <c r="C760" s="122"/>
      <c r="E760" s="122"/>
      <c r="F760" s="122"/>
      <c r="G760" s="122"/>
      <c r="H760" s="122"/>
      <c r="I760" s="122"/>
      <c r="J760" s="122"/>
      <c r="K760" s="122"/>
    </row>
    <row r="761" spans="3:11" x14ac:dyDescent="0.3">
      <c r="C761" s="122"/>
      <c r="E761" s="122"/>
      <c r="F761" s="122"/>
      <c r="G761" s="122"/>
      <c r="H761" s="122"/>
      <c r="I761" s="122"/>
      <c r="J761" s="122"/>
      <c r="K761" s="122"/>
    </row>
    <row r="762" spans="3:11" x14ac:dyDescent="0.3">
      <c r="C762" s="122"/>
      <c r="E762" s="122"/>
      <c r="F762" s="122"/>
      <c r="G762" s="122"/>
      <c r="H762" s="122"/>
      <c r="I762" s="122"/>
      <c r="J762" s="122"/>
      <c r="K762" s="122"/>
    </row>
    <row r="763" spans="3:11" x14ac:dyDescent="0.3">
      <c r="C763" s="122"/>
      <c r="E763" s="122"/>
      <c r="F763" s="122"/>
      <c r="G763" s="122"/>
      <c r="H763" s="122"/>
      <c r="I763" s="122"/>
      <c r="J763" s="122"/>
      <c r="K763" s="122"/>
    </row>
    <row r="764" spans="3:11" x14ac:dyDescent="0.3">
      <c r="C764" s="122"/>
      <c r="E764" s="122"/>
      <c r="F764" s="122"/>
      <c r="G764" s="122"/>
      <c r="H764" s="122"/>
      <c r="I764" s="122"/>
      <c r="J764" s="122"/>
      <c r="K764" s="122"/>
    </row>
    <row r="765" spans="3:11" x14ac:dyDescent="0.3">
      <c r="C765" s="122"/>
      <c r="E765" s="122"/>
      <c r="F765" s="122"/>
      <c r="G765" s="122"/>
      <c r="H765" s="122"/>
      <c r="I765" s="122"/>
      <c r="J765" s="122"/>
      <c r="K765" s="122"/>
    </row>
    <row r="766" spans="3:11" x14ac:dyDescent="0.3">
      <c r="C766" s="122"/>
      <c r="E766" s="122"/>
      <c r="F766" s="122"/>
      <c r="G766" s="122"/>
      <c r="H766" s="122"/>
      <c r="I766" s="122"/>
      <c r="J766" s="122"/>
      <c r="K766" s="122"/>
    </row>
    <row r="767" spans="3:11" x14ac:dyDescent="0.3">
      <c r="C767" s="122"/>
      <c r="E767" s="122"/>
      <c r="F767" s="122"/>
      <c r="G767" s="122"/>
      <c r="H767" s="122"/>
      <c r="I767" s="122"/>
      <c r="J767" s="122"/>
      <c r="K767" s="122"/>
    </row>
    <row r="768" spans="3:11" x14ac:dyDescent="0.3">
      <c r="C768" s="122"/>
      <c r="E768" s="122"/>
      <c r="F768" s="122"/>
      <c r="G768" s="122"/>
      <c r="H768" s="122"/>
      <c r="I768" s="122"/>
      <c r="J768" s="122"/>
      <c r="K768" s="122"/>
    </row>
    <row r="769" spans="3:11" x14ac:dyDescent="0.3">
      <c r="C769" s="122"/>
      <c r="E769" s="122"/>
      <c r="F769" s="122"/>
      <c r="G769" s="122"/>
      <c r="H769" s="122"/>
      <c r="I769" s="122"/>
      <c r="J769" s="122"/>
      <c r="K769" s="122"/>
    </row>
    <row r="770" spans="3:11" x14ac:dyDescent="0.3">
      <c r="C770" s="122"/>
      <c r="E770" s="122"/>
      <c r="F770" s="122"/>
      <c r="G770" s="122"/>
      <c r="H770" s="122"/>
      <c r="I770" s="122"/>
      <c r="J770" s="122"/>
      <c r="K770" s="122"/>
    </row>
    <row r="771" spans="3:11" x14ac:dyDescent="0.3">
      <c r="C771" s="122"/>
      <c r="E771" s="122"/>
      <c r="F771" s="122"/>
      <c r="G771" s="122"/>
      <c r="H771" s="122"/>
      <c r="I771" s="122"/>
      <c r="J771" s="122"/>
      <c r="K771" s="122"/>
    </row>
    <row r="772" spans="3:11" x14ac:dyDescent="0.3">
      <c r="C772" s="122"/>
      <c r="E772" s="122"/>
      <c r="F772" s="122"/>
      <c r="G772" s="122"/>
      <c r="H772" s="122"/>
      <c r="I772" s="122"/>
      <c r="J772" s="122"/>
      <c r="K772" s="122"/>
    </row>
    <row r="773" spans="3:11" x14ac:dyDescent="0.3">
      <c r="C773" s="122"/>
      <c r="E773" s="122"/>
      <c r="F773" s="122"/>
      <c r="G773" s="122"/>
      <c r="H773" s="122"/>
      <c r="I773" s="122"/>
      <c r="J773" s="122"/>
      <c r="K773" s="122"/>
    </row>
    <row r="774" spans="3:11" x14ac:dyDescent="0.3">
      <c r="C774" s="122"/>
      <c r="E774" s="122"/>
      <c r="F774" s="122"/>
      <c r="G774" s="122"/>
      <c r="H774" s="122"/>
      <c r="I774" s="122"/>
      <c r="J774" s="122"/>
      <c r="K774" s="122"/>
    </row>
    <row r="775" spans="3:11" x14ac:dyDescent="0.3">
      <c r="C775" s="122"/>
      <c r="E775" s="122"/>
      <c r="F775" s="122"/>
      <c r="G775" s="122"/>
      <c r="H775" s="122"/>
      <c r="I775" s="122"/>
      <c r="J775" s="122"/>
      <c r="K775" s="122"/>
    </row>
    <row r="776" spans="3:11" x14ac:dyDescent="0.3">
      <c r="C776" s="122"/>
      <c r="E776" s="122"/>
      <c r="F776" s="122"/>
      <c r="G776" s="122"/>
      <c r="H776" s="122"/>
      <c r="I776" s="122"/>
      <c r="J776" s="122"/>
      <c r="K776" s="122"/>
    </row>
    <row r="777" spans="3:11" x14ac:dyDescent="0.3">
      <c r="C777" s="122"/>
      <c r="E777" s="122"/>
      <c r="F777" s="122"/>
      <c r="G777" s="122"/>
      <c r="H777" s="122"/>
      <c r="I777" s="122"/>
      <c r="J777" s="122"/>
      <c r="K777" s="122"/>
    </row>
    <row r="778" spans="3:11" x14ac:dyDescent="0.3">
      <c r="C778" s="122"/>
      <c r="E778" s="122"/>
      <c r="F778" s="122"/>
      <c r="G778" s="122"/>
      <c r="H778" s="122"/>
      <c r="I778" s="122"/>
      <c r="J778" s="122"/>
      <c r="K778" s="122"/>
    </row>
    <row r="779" spans="3:11" x14ac:dyDescent="0.3">
      <c r="C779" s="122"/>
      <c r="E779" s="122"/>
      <c r="F779" s="122"/>
      <c r="G779" s="122"/>
      <c r="H779" s="122"/>
      <c r="I779" s="122"/>
      <c r="J779" s="122"/>
      <c r="K779" s="122"/>
    </row>
    <row r="780" spans="3:11" x14ac:dyDescent="0.3">
      <c r="C780" s="122"/>
      <c r="E780" s="122"/>
      <c r="F780" s="122"/>
      <c r="G780" s="122"/>
      <c r="H780" s="122"/>
      <c r="I780" s="122"/>
      <c r="J780" s="122"/>
      <c r="K780" s="122"/>
    </row>
    <row r="781" spans="3:11" x14ac:dyDescent="0.3">
      <c r="C781" s="122"/>
      <c r="E781" s="122"/>
      <c r="F781" s="122"/>
      <c r="G781" s="122"/>
      <c r="H781" s="122"/>
      <c r="I781" s="122"/>
      <c r="J781" s="122"/>
      <c r="K781" s="122"/>
    </row>
    <row r="782" spans="3:11" x14ac:dyDescent="0.3">
      <c r="C782" s="122"/>
      <c r="E782" s="122"/>
      <c r="F782" s="122"/>
      <c r="G782" s="122"/>
      <c r="H782" s="122"/>
      <c r="I782" s="122"/>
      <c r="J782" s="122"/>
      <c r="K782" s="122"/>
    </row>
    <row r="783" spans="3:11" x14ac:dyDescent="0.3">
      <c r="C783" s="122"/>
      <c r="E783" s="122"/>
      <c r="F783" s="122"/>
      <c r="G783" s="122"/>
      <c r="H783" s="122"/>
      <c r="I783" s="122"/>
      <c r="J783" s="122"/>
      <c r="K783" s="122"/>
    </row>
    <row r="784" spans="3:11" x14ac:dyDescent="0.3">
      <c r="C784" s="122"/>
      <c r="E784" s="122"/>
      <c r="F784" s="122"/>
      <c r="G784" s="122"/>
      <c r="H784" s="122"/>
      <c r="I784" s="122"/>
      <c r="J784" s="122"/>
      <c r="K784" s="122"/>
    </row>
    <row r="785" spans="3:11" x14ac:dyDescent="0.3">
      <c r="C785" s="122"/>
      <c r="E785" s="122"/>
      <c r="F785" s="122"/>
      <c r="G785" s="122"/>
      <c r="H785" s="122"/>
      <c r="I785" s="122"/>
      <c r="J785" s="122"/>
      <c r="K785" s="122"/>
    </row>
    <row r="786" spans="3:11" x14ac:dyDescent="0.3">
      <c r="C786" s="122"/>
      <c r="E786" s="122"/>
      <c r="F786" s="122"/>
      <c r="G786" s="122"/>
      <c r="H786" s="122"/>
      <c r="I786" s="122"/>
      <c r="J786" s="122"/>
      <c r="K786" s="122"/>
    </row>
    <row r="787" spans="3:11" x14ac:dyDescent="0.3">
      <c r="C787" s="122"/>
      <c r="E787" s="122"/>
      <c r="F787" s="122"/>
      <c r="G787" s="122"/>
      <c r="H787" s="122"/>
      <c r="I787" s="122"/>
      <c r="J787" s="122"/>
      <c r="K787" s="122"/>
    </row>
    <row r="788" spans="3:11" x14ac:dyDescent="0.3">
      <c r="C788" s="122"/>
      <c r="E788" s="122"/>
      <c r="F788" s="122"/>
      <c r="G788" s="122"/>
      <c r="H788" s="122"/>
      <c r="I788" s="122"/>
      <c r="J788" s="122"/>
      <c r="K788" s="122"/>
    </row>
    <row r="789" spans="3:11" x14ac:dyDescent="0.3">
      <c r="C789" s="122"/>
      <c r="E789" s="122"/>
      <c r="F789" s="122"/>
      <c r="G789" s="122"/>
      <c r="H789" s="122"/>
      <c r="I789" s="122"/>
      <c r="J789" s="122"/>
      <c r="K789" s="122"/>
    </row>
    <row r="790" spans="3:11" x14ac:dyDescent="0.3">
      <c r="C790" s="122"/>
      <c r="E790" s="122"/>
      <c r="F790" s="122"/>
      <c r="G790" s="122"/>
      <c r="H790" s="122"/>
      <c r="I790" s="122"/>
      <c r="J790" s="122"/>
      <c r="K790" s="122"/>
    </row>
    <row r="791" spans="3:11" x14ac:dyDescent="0.3">
      <c r="C791" s="122"/>
      <c r="E791" s="122"/>
      <c r="F791" s="122"/>
      <c r="G791" s="122"/>
      <c r="H791" s="122"/>
      <c r="I791" s="122"/>
      <c r="J791" s="122"/>
      <c r="K791" s="122"/>
    </row>
    <row r="792" spans="3:11" x14ac:dyDescent="0.3">
      <c r="C792" s="122"/>
      <c r="E792" s="122"/>
      <c r="F792" s="122"/>
      <c r="G792" s="122"/>
      <c r="H792" s="122"/>
      <c r="I792" s="122"/>
      <c r="J792" s="122"/>
      <c r="K792" s="122"/>
    </row>
    <row r="793" spans="3:11" x14ac:dyDescent="0.3">
      <c r="C793" s="122"/>
      <c r="E793" s="122"/>
      <c r="F793" s="122"/>
      <c r="G793" s="122"/>
      <c r="H793" s="122"/>
      <c r="I793" s="122"/>
      <c r="J793" s="122"/>
      <c r="K793" s="122"/>
    </row>
    <row r="794" spans="3:11" x14ac:dyDescent="0.3">
      <c r="C794" s="122"/>
      <c r="E794" s="122"/>
      <c r="F794" s="122"/>
      <c r="G794" s="122"/>
      <c r="H794" s="122"/>
      <c r="I794" s="122"/>
      <c r="J794" s="122"/>
      <c r="K794" s="122"/>
    </row>
    <row r="795" spans="3:11" x14ac:dyDescent="0.3">
      <c r="C795" s="122"/>
      <c r="E795" s="122"/>
      <c r="F795" s="122"/>
      <c r="G795" s="122"/>
      <c r="H795" s="122"/>
      <c r="I795" s="122"/>
      <c r="J795" s="122"/>
      <c r="K795" s="122"/>
    </row>
    <row r="796" spans="3:11" x14ac:dyDescent="0.3">
      <c r="C796" s="122"/>
      <c r="E796" s="122"/>
      <c r="F796" s="122"/>
      <c r="G796" s="122"/>
      <c r="H796" s="122"/>
      <c r="I796" s="122"/>
      <c r="J796" s="122"/>
      <c r="K796" s="122"/>
    </row>
    <row r="797" spans="3:11" x14ac:dyDescent="0.3">
      <c r="C797" s="122"/>
      <c r="E797" s="122"/>
      <c r="F797" s="122"/>
      <c r="G797" s="122"/>
      <c r="H797" s="122"/>
      <c r="I797" s="122"/>
      <c r="J797" s="122"/>
      <c r="K797" s="122"/>
    </row>
    <row r="798" spans="3:11" x14ac:dyDescent="0.3">
      <c r="C798" s="122"/>
      <c r="E798" s="122"/>
      <c r="F798" s="122"/>
      <c r="G798" s="122"/>
      <c r="H798" s="122"/>
      <c r="I798" s="122"/>
      <c r="J798" s="122"/>
      <c r="K798" s="122"/>
    </row>
    <row r="799" spans="3:11" x14ac:dyDescent="0.3">
      <c r="C799" s="122"/>
      <c r="E799" s="122"/>
      <c r="F799" s="122"/>
      <c r="G799" s="122"/>
      <c r="H799" s="122"/>
      <c r="I799" s="122"/>
      <c r="J799" s="122"/>
      <c r="K799" s="122"/>
    </row>
    <row r="800" spans="3:11" x14ac:dyDescent="0.3">
      <c r="C800" s="122"/>
      <c r="E800" s="122"/>
      <c r="F800" s="122"/>
      <c r="G800" s="122"/>
      <c r="H800" s="122"/>
      <c r="I800" s="122"/>
      <c r="J800" s="122"/>
      <c r="K800" s="122"/>
    </row>
    <row r="801" spans="3:11" x14ac:dyDescent="0.3">
      <c r="C801" s="122"/>
      <c r="E801" s="122"/>
      <c r="F801" s="122"/>
      <c r="G801" s="122"/>
      <c r="H801" s="122"/>
      <c r="I801" s="122"/>
      <c r="J801" s="122"/>
      <c r="K801" s="122"/>
    </row>
    <row r="802" spans="3:11" x14ac:dyDescent="0.3">
      <c r="C802" s="122"/>
      <c r="E802" s="122"/>
      <c r="F802" s="122"/>
      <c r="G802" s="122"/>
      <c r="H802" s="122"/>
      <c r="I802" s="122"/>
      <c r="J802" s="122"/>
      <c r="K802" s="122"/>
    </row>
    <row r="803" spans="3:11" x14ac:dyDescent="0.3">
      <c r="C803" s="122"/>
      <c r="E803" s="122"/>
      <c r="F803" s="122"/>
      <c r="G803" s="122"/>
      <c r="H803" s="122"/>
      <c r="I803" s="122"/>
      <c r="J803" s="122"/>
      <c r="K803" s="122"/>
    </row>
    <row r="804" spans="3:11" x14ac:dyDescent="0.3">
      <c r="C804" s="122"/>
      <c r="E804" s="122"/>
      <c r="F804" s="122"/>
      <c r="G804" s="122"/>
      <c r="H804" s="122"/>
      <c r="I804" s="122"/>
      <c r="J804" s="122"/>
      <c r="K804" s="122"/>
    </row>
    <row r="805" spans="3:11" x14ac:dyDescent="0.3">
      <c r="C805" s="122"/>
      <c r="E805" s="122"/>
      <c r="F805" s="122"/>
      <c r="G805" s="122"/>
      <c r="H805" s="122"/>
      <c r="I805" s="122"/>
      <c r="J805" s="122"/>
      <c r="K805" s="122"/>
    </row>
    <row r="806" spans="3:11" x14ac:dyDescent="0.3">
      <c r="C806" s="122"/>
      <c r="E806" s="122"/>
      <c r="F806" s="122"/>
      <c r="G806" s="122"/>
      <c r="H806" s="122"/>
      <c r="I806" s="122"/>
      <c r="J806" s="122"/>
      <c r="K806" s="122"/>
    </row>
    <row r="807" spans="3:11" x14ac:dyDescent="0.3">
      <c r="C807" s="122"/>
      <c r="E807" s="122"/>
      <c r="F807" s="122"/>
      <c r="G807" s="122"/>
      <c r="H807" s="122"/>
      <c r="I807" s="122"/>
      <c r="J807" s="122"/>
      <c r="K807" s="122"/>
    </row>
    <row r="808" spans="3:11" x14ac:dyDescent="0.3">
      <c r="C808" s="122"/>
      <c r="E808" s="122"/>
      <c r="F808" s="122"/>
      <c r="G808" s="122"/>
      <c r="H808" s="122"/>
      <c r="I808" s="122"/>
      <c r="J808" s="122"/>
      <c r="K808" s="122"/>
    </row>
    <row r="809" spans="3:11" x14ac:dyDescent="0.3">
      <c r="C809" s="122"/>
      <c r="E809" s="122"/>
      <c r="F809" s="122"/>
      <c r="G809" s="122"/>
      <c r="H809" s="122"/>
      <c r="I809" s="122"/>
      <c r="J809" s="122"/>
      <c r="K809" s="122"/>
    </row>
    <row r="810" spans="3:11" x14ac:dyDescent="0.3">
      <c r="C810" s="122"/>
      <c r="E810" s="122"/>
      <c r="F810" s="122"/>
      <c r="G810" s="122"/>
      <c r="H810" s="122"/>
      <c r="I810" s="122"/>
      <c r="J810" s="122"/>
      <c r="K810" s="122"/>
    </row>
    <row r="811" spans="3:11" x14ac:dyDescent="0.3">
      <c r="C811" s="122"/>
      <c r="E811" s="122"/>
      <c r="F811" s="122"/>
      <c r="G811" s="122"/>
      <c r="H811" s="122"/>
      <c r="I811" s="122"/>
      <c r="J811" s="122"/>
      <c r="K811" s="122"/>
    </row>
    <row r="812" spans="3:11" x14ac:dyDescent="0.3">
      <c r="C812" s="122"/>
      <c r="E812" s="122"/>
      <c r="F812" s="122"/>
      <c r="G812" s="122"/>
      <c r="H812" s="122"/>
      <c r="I812" s="122"/>
      <c r="J812" s="122"/>
      <c r="K812" s="122"/>
    </row>
    <row r="813" spans="3:11" x14ac:dyDescent="0.3">
      <c r="C813" s="122"/>
      <c r="E813" s="122"/>
      <c r="F813" s="122"/>
      <c r="G813" s="122"/>
      <c r="H813" s="122"/>
      <c r="I813" s="122"/>
      <c r="J813" s="122"/>
      <c r="K813" s="122"/>
    </row>
    <row r="814" spans="3:11" x14ac:dyDescent="0.3">
      <c r="C814" s="122"/>
      <c r="E814" s="122"/>
      <c r="F814" s="122"/>
      <c r="G814" s="122"/>
      <c r="H814" s="122"/>
      <c r="I814" s="122"/>
      <c r="J814" s="122"/>
      <c r="K814" s="122"/>
    </row>
    <row r="815" spans="3:11" x14ac:dyDescent="0.3">
      <c r="C815" s="122"/>
      <c r="E815" s="122"/>
      <c r="F815" s="122"/>
      <c r="G815" s="122"/>
      <c r="H815" s="122"/>
      <c r="I815" s="122"/>
      <c r="J815" s="122"/>
      <c r="K815" s="122"/>
    </row>
    <row r="816" spans="3:11" x14ac:dyDescent="0.3">
      <c r="C816" s="122"/>
      <c r="E816" s="122"/>
      <c r="F816" s="122"/>
      <c r="G816" s="122"/>
      <c r="H816" s="122"/>
      <c r="I816" s="122"/>
      <c r="J816" s="122"/>
      <c r="K816" s="122"/>
    </row>
    <row r="817" spans="3:11" x14ac:dyDescent="0.3">
      <c r="C817" s="122"/>
      <c r="E817" s="122"/>
      <c r="F817" s="122"/>
      <c r="G817" s="122"/>
      <c r="H817" s="122"/>
      <c r="I817" s="122"/>
      <c r="J817" s="122"/>
      <c r="K817" s="122"/>
    </row>
    <row r="818" spans="3:11" x14ac:dyDescent="0.3">
      <c r="C818" s="122"/>
      <c r="E818" s="122"/>
      <c r="F818" s="122"/>
      <c r="G818" s="122"/>
      <c r="H818" s="122"/>
      <c r="I818" s="122"/>
      <c r="J818" s="122"/>
      <c r="K818" s="122"/>
    </row>
    <row r="819" spans="3:11" x14ac:dyDescent="0.3">
      <c r="C819" s="122"/>
      <c r="E819" s="122"/>
      <c r="F819" s="122"/>
      <c r="G819" s="122"/>
      <c r="H819" s="122"/>
      <c r="I819" s="122"/>
      <c r="J819" s="122"/>
      <c r="K819" s="122"/>
    </row>
    <row r="820" spans="3:11" x14ac:dyDescent="0.3">
      <c r="C820" s="122"/>
      <c r="E820" s="122"/>
      <c r="F820" s="122"/>
      <c r="G820" s="122"/>
      <c r="H820" s="122"/>
      <c r="I820" s="122"/>
      <c r="J820" s="122"/>
      <c r="K820" s="122"/>
    </row>
    <row r="821" spans="3:11" x14ac:dyDescent="0.3">
      <c r="C821" s="122"/>
      <c r="E821" s="122"/>
      <c r="F821" s="122"/>
      <c r="G821" s="122"/>
      <c r="H821" s="122"/>
      <c r="I821" s="122"/>
      <c r="J821" s="122"/>
      <c r="K821" s="122"/>
    </row>
    <row r="822" spans="3:11" x14ac:dyDescent="0.3">
      <c r="C822" s="122"/>
      <c r="E822" s="122"/>
      <c r="F822" s="122"/>
      <c r="G822" s="122"/>
      <c r="H822" s="122"/>
      <c r="I822" s="122"/>
      <c r="J822" s="122"/>
      <c r="K822" s="122"/>
    </row>
    <row r="823" spans="3:11" x14ac:dyDescent="0.3">
      <c r="C823" s="122"/>
      <c r="E823" s="122"/>
      <c r="F823" s="122"/>
      <c r="G823" s="122"/>
      <c r="H823" s="122"/>
      <c r="I823" s="122"/>
      <c r="J823" s="122"/>
      <c r="K823" s="122"/>
    </row>
    <row r="824" spans="3:11" x14ac:dyDescent="0.3">
      <c r="C824" s="122"/>
      <c r="E824" s="122"/>
      <c r="F824" s="122"/>
      <c r="G824" s="122"/>
      <c r="H824" s="122"/>
      <c r="I824" s="122"/>
      <c r="J824" s="122"/>
      <c r="K824" s="122"/>
    </row>
    <row r="825" spans="3:11" x14ac:dyDescent="0.3">
      <c r="C825" s="122"/>
      <c r="E825" s="122"/>
      <c r="F825" s="122"/>
      <c r="G825" s="122"/>
      <c r="H825" s="122"/>
      <c r="I825" s="122"/>
      <c r="J825" s="122"/>
      <c r="K825" s="122"/>
    </row>
    <row r="826" spans="3:11" x14ac:dyDescent="0.3">
      <c r="C826" s="122"/>
      <c r="E826" s="122"/>
      <c r="F826" s="122"/>
      <c r="G826" s="122"/>
      <c r="H826" s="122"/>
      <c r="I826" s="122"/>
      <c r="J826" s="122"/>
      <c r="K826" s="122"/>
    </row>
    <row r="827" spans="3:11" x14ac:dyDescent="0.3">
      <c r="C827" s="122"/>
      <c r="E827" s="122"/>
      <c r="F827" s="122"/>
      <c r="G827" s="122"/>
      <c r="H827" s="122"/>
      <c r="I827" s="122"/>
      <c r="J827" s="122"/>
      <c r="K827" s="122"/>
    </row>
    <row r="828" spans="3:11" x14ac:dyDescent="0.3">
      <c r="C828" s="122"/>
      <c r="E828" s="122"/>
      <c r="F828" s="122"/>
      <c r="G828" s="122"/>
      <c r="H828" s="122"/>
      <c r="I828" s="122"/>
      <c r="J828" s="122"/>
      <c r="K828" s="122"/>
    </row>
    <row r="829" spans="3:11" x14ac:dyDescent="0.3">
      <c r="C829" s="122"/>
      <c r="E829" s="122"/>
      <c r="F829" s="122"/>
      <c r="G829" s="122"/>
      <c r="H829" s="122"/>
      <c r="I829" s="122"/>
      <c r="J829" s="122"/>
      <c r="K829" s="122"/>
    </row>
    <row r="830" spans="3:11" x14ac:dyDescent="0.3">
      <c r="C830" s="122"/>
      <c r="E830" s="122"/>
      <c r="F830" s="122"/>
      <c r="G830" s="122"/>
      <c r="H830" s="122"/>
      <c r="I830" s="122"/>
      <c r="J830" s="122"/>
      <c r="K830" s="122"/>
    </row>
    <row r="831" spans="3:11" x14ac:dyDescent="0.3">
      <c r="C831" s="122"/>
      <c r="E831" s="122"/>
      <c r="F831" s="122"/>
      <c r="G831" s="122"/>
      <c r="H831" s="122"/>
      <c r="I831" s="122"/>
      <c r="J831" s="122"/>
      <c r="K831" s="122"/>
    </row>
    <row r="832" spans="3:11" x14ac:dyDescent="0.3">
      <c r="C832" s="122"/>
      <c r="E832" s="122"/>
      <c r="F832" s="122"/>
      <c r="G832" s="122"/>
      <c r="H832" s="122"/>
      <c r="I832" s="122"/>
      <c r="J832" s="122"/>
      <c r="K832" s="122"/>
    </row>
    <row r="833" spans="3:11" x14ac:dyDescent="0.3">
      <c r="C833" s="122"/>
      <c r="E833" s="122"/>
      <c r="F833" s="122"/>
      <c r="G833" s="122"/>
      <c r="H833" s="122"/>
      <c r="I833" s="122"/>
      <c r="J833" s="122"/>
      <c r="K833" s="122"/>
    </row>
    <row r="834" spans="3:11" x14ac:dyDescent="0.3">
      <c r="C834" s="122"/>
      <c r="E834" s="122"/>
      <c r="F834" s="122"/>
      <c r="G834" s="122"/>
      <c r="H834" s="122"/>
      <c r="I834" s="122"/>
      <c r="J834" s="122"/>
      <c r="K834" s="122"/>
    </row>
    <row r="835" spans="3:11" x14ac:dyDescent="0.3">
      <c r="C835" s="122"/>
      <c r="E835" s="122"/>
      <c r="F835" s="122"/>
      <c r="G835" s="122"/>
      <c r="H835" s="122"/>
      <c r="I835" s="122"/>
      <c r="J835" s="122"/>
      <c r="K835" s="122"/>
    </row>
    <row r="836" spans="3:11" x14ac:dyDescent="0.3">
      <c r="C836" s="122"/>
      <c r="E836" s="122"/>
      <c r="F836" s="122"/>
      <c r="G836" s="122"/>
      <c r="H836" s="122"/>
      <c r="I836" s="122"/>
      <c r="J836" s="122"/>
      <c r="K836" s="122"/>
    </row>
    <row r="837" spans="3:11" x14ac:dyDescent="0.3">
      <c r="C837" s="122"/>
      <c r="E837" s="122"/>
      <c r="F837" s="122"/>
      <c r="G837" s="122"/>
      <c r="H837" s="122"/>
      <c r="I837" s="122"/>
      <c r="J837" s="122"/>
      <c r="K837" s="122"/>
    </row>
    <row r="838" spans="3:11" x14ac:dyDescent="0.3">
      <c r="C838" s="122"/>
      <c r="E838" s="122"/>
      <c r="F838" s="122"/>
      <c r="G838" s="122"/>
      <c r="H838" s="122"/>
      <c r="I838" s="122"/>
      <c r="J838" s="122"/>
      <c r="K838" s="122"/>
    </row>
    <row r="839" spans="3:11" x14ac:dyDescent="0.3">
      <c r="C839" s="122"/>
      <c r="E839" s="122"/>
      <c r="F839" s="122"/>
      <c r="G839" s="122"/>
      <c r="H839" s="122"/>
      <c r="I839" s="122"/>
      <c r="J839" s="122"/>
      <c r="K839" s="122"/>
    </row>
    <row r="840" spans="3:11" x14ac:dyDescent="0.3">
      <c r="C840" s="122"/>
      <c r="E840" s="122"/>
      <c r="F840" s="122"/>
      <c r="G840" s="122"/>
      <c r="H840" s="122"/>
      <c r="I840" s="122"/>
      <c r="J840" s="122"/>
      <c r="K840" s="122"/>
    </row>
    <row r="841" spans="3:11" x14ac:dyDescent="0.3">
      <c r="C841" s="122"/>
      <c r="E841" s="122"/>
      <c r="F841" s="122"/>
      <c r="G841" s="122"/>
      <c r="H841" s="122"/>
      <c r="I841" s="122"/>
      <c r="J841" s="122"/>
      <c r="K841" s="122"/>
    </row>
    <row r="842" spans="3:11" x14ac:dyDescent="0.3">
      <c r="C842" s="122"/>
      <c r="E842" s="122"/>
      <c r="F842" s="122"/>
      <c r="G842" s="122"/>
      <c r="H842" s="122"/>
      <c r="I842" s="122"/>
      <c r="J842" s="122"/>
      <c r="K842" s="122"/>
    </row>
    <row r="843" spans="3:11" x14ac:dyDescent="0.3">
      <c r="C843" s="122"/>
      <c r="E843" s="122"/>
      <c r="F843" s="122"/>
      <c r="G843" s="122"/>
      <c r="H843" s="122"/>
      <c r="I843" s="122"/>
      <c r="J843" s="122"/>
      <c r="K843" s="122"/>
    </row>
    <row r="844" spans="3:11" x14ac:dyDescent="0.3">
      <c r="C844" s="122"/>
      <c r="E844" s="122"/>
      <c r="F844" s="122"/>
      <c r="G844" s="122"/>
      <c r="H844" s="122"/>
      <c r="I844" s="122"/>
      <c r="J844" s="122"/>
      <c r="K844" s="122"/>
    </row>
    <row r="845" spans="3:11" x14ac:dyDescent="0.3">
      <c r="C845" s="122"/>
      <c r="E845" s="122"/>
      <c r="F845" s="122"/>
      <c r="G845" s="122"/>
      <c r="H845" s="122"/>
      <c r="I845" s="122"/>
      <c r="J845" s="122"/>
      <c r="K845" s="122"/>
    </row>
    <row r="846" spans="3:11" x14ac:dyDescent="0.3">
      <c r="C846" s="122"/>
      <c r="E846" s="122"/>
      <c r="F846" s="122"/>
      <c r="G846" s="122"/>
      <c r="H846" s="122"/>
      <c r="I846" s="122"/>
      <c r="J846" s="122"/>
      <c r="K846" s="122"/>
    </row>
    <row r="847" spans="3:11" x14ac:dyDescent="0.3">
      <c r="C847" s="122"/>
      <c r="E847" s="122"/>
      <c r="F847" s="122"/>
      <c r="G847" s="122"/>
      <c r="H847" s="122"/>
      <c r="I847" s="122"/>
      <c r="J847" s="122"/>
      <c r="K847" s="122"/>
    </row>
    <row r="848" spans="3:11" x14ac:dyDescent="0.3">
      <c r="C848" s="122"/>
      <c r="E848" s="122"/>
      <c r="F848" s="122"/>
      <c r="G848" s="122"/>
      <c r="H848" s="122"/>
      <c r="I848" s="122"/>
      <c r="J848" s="122"/>
      <c r="K848" s="122"/>
    </row>
    <row r="849" spans="3:11" x14ac:dyDescent="0.3">
      <c r="C849" s="122"/>
      <c r="E849" s="122"/>
      <c r="F849" s="122"/>
      <c r="G849" s="122"/>
      <c r="H849" s="122"/>
      <c r="I849" s="122"/>
      <c r="J849" s="122"/>
      <c r="K849" s="122"/>
    </row>
    <row r="850" spans="3:11" x14ac:dyDescent="0.3">
      <c r="C850" s="122"/>
      <c r="E850" s="122"/>
      <c r="F850" s="122"/>
      <c r="G850" s="122"/>
      <c r="H850" s="122"/>
      <c r="I850" s="122"/>
      <c r="J850" s="122"/>
      <c r="K850" s="122"/>
    </row>
    <row r="851" spans="3:11" x14ac:dyDescent="0.3">
      <c r="C851" s="122"/>
      <c r="E851" s="122"/>
      <c r="F851" s="122"/>
      <c r="G851" s="122"/>
      <c r="H851" s="122"/>
      <c r="I851" s="122"/>
      <c r="J851" s="122"/>
      <c r="K851" s="122"/>
    </row>
    <row r="852" spans="3:11" x14ac:dyDescent="0.3">
      <c r="C852" s="122"/>
      <c r="E852" s="122"/>
      <c r="F852" s="122"/>
      <c r="G852" s="122"/>
      <c r="H852" s="122"/>
      <c r="I852" s="122"/>
      <c r="J852" s="122"/>
      <c r="K852" s="122"/>
    </row>
    <row r="853" spans="3:11" x14ac:dyDescent="0.3">
      <c r="C853" s="122"/>
      <c r="E853" s="122"/>
      <c r="F853" s="122"/>
      <c r="G853" s="122"/>
      <c r="H853" s="122"/>
      <c r="I853" s="122"/>
      <c r="J853" s="122"/>
      <c r="K853" s="122"/>
    </row>
    <row r="854" spans="3:11" x14ac:dyDescent="0.3">
      <c r="C854" s="122"/>
      <c r="E854" s="122"/>
      <c r="F854" s="122"/>
      <c r="G854" s="122"/>
      <c r="H854" s="122"/>
      <c r="I854" s="122"/>
      <c r="J854" s="122"/>
      <c r="K854" s="122"/>
    </row>
    <row r="855" spans="3:11" x14ac:dyDescent="0.3">
      <c r="C855" s="122"/>
      <c r="E855" s="122"/>
      <c r="F855" s="122"/>
      <c r="G855" s="122"/>
      <c r="H855" s="122"/>
      <c r="I855" s="122"/>
      <c r="J855" s="122"/>
      <c r="K855" s="122"/>
    </row>
    <row r="856" spans="3:11" x14ac:dyDescent="0.3">
      <c r="C856" s="122"/>
      <c r="E856" s="122"/>
      <c r="F856" s="122"/>
      <c r="G856" s="122"/>
      <c r="H856" s="122"/>
      <c r="I856" s="122"/>
      <c r="J856" s="122"/>
      <c r="K856" s="122"/>
    </row>
    <row r="857" spans="3:11" x14ac:dyDescent="0.3">
      <c r="C857" s="122"/>
      <c r="E857" s="122"/>
      <c r="F857" s="122"/>
      <c r="G857" s="122"/>
      <c r="H857" s="122"/>
      <c r="I857" s="122"/>
      <c r="J857" s="122"/>
      <c r="K857" s="122"/>
    </row>
    <row r="858" spans="3:11" x14ac:dyDescent="0.3">
      <c r="C858" s="122"/>
      <c r="E858" s="122"/>
      <c r="F858" s="122"/>
      <c r="G858" s="122"/>
      <c r="H858" s="122"/>
      <c r="I858" s="122"/>
      <c r="J858" s="122"/>
      <c r="K858" s="122"/>
    </row>
    <row r="859" spans="3:11" x14ac:dyDescent="0.3">
      <c r="C859" s="122"/>
      <c r="E859" s="122"/>
      <c r="F859" s="122"/>
      <c r="G859" s="122"/>
      <c r="H859" s="122"/>
      <c r="I859" s="122"/>
      <c r="J859" s="122"/>
      <c r="K859" s="122"/>
    </row>
    <row r="860" spans="3:11" x14ac:dyDescent="0.3">
      <c r="C860" s="122"/>
      <c r="E860" s="122"/>
      <c r="F860" s="122"/>
      <c r="G860" s="122"/>
      <c r="H860" s="122"/>
      <c r="I860" s="122"/>
      <c r="J860" s="122"/>
      <c r="K860" s="122"/>
    </row>
    <row r="861" spans="3:11" x14ac:dyDescent="0.3">
      <c r="C861" s="122"/>
      <c r="E861" s="122"/>
      <c r="F861" s="122"/>
      <c r="G861" s="122"/>
      <c r="H861" s="122"/>
      <c r="I861" s="122"/>
      <c r="J861" s="122"/>
      <c r="K861" s="122"/>
    </row>
    <row r="862" spans="3:11" x14ac:dyDescent="0.3">
      <c r="C862" s="122"/>
      <c r="E862" s="122"/>
      <c r="F862" s="122"/>
      <c r="G862" s="122"/>
      <c r="H862" s="122"/>
      <c r="I862" s="122"/>
      <c r="J862" s="122"/>
      <c r="K862" s="122"/>
    </row>
    <row r="863" spans="3:11" x14ac:dyDescent="0.3">
      <c r="C863" s="122"/>
      <c r="E863" s="122"/>
      <c r="F863" s="122"/>
      <c r="G863" s="122"/>
      <c r="H863" s="122"/>
      <c r="I863" s="122"/>
      <c r="J863" s="122"/>
      <c r="K863" s="122"/>
    </row>
    <row r="864" spans="3:11" x14ac:dyDescent="0.3">
      <c r="C864" s="122"/>
      <c r="E864" s="122"/>
      <c r="F864" s="122"/>
      <c r="G864" s="122"/>
      <c r="H864" s="122"/>
      <c r="I864" s="122"/>
      <c r="J864" s="122"/>
      <c r="K864" s="122"/>
    </row>
    <row r="865" spans="3:11" x14ac:dyDescent="0.3">
      <c r="C865" s="122"/>
      <c r="E865" s="122"/>
      <c r="F865" s="122"/>
      <c r="G865" s="122"/>
      <c r="H865" s="122"/>
      <c r="I865" s="122"/>
      <c r="J865" s="122"/>
      <c r="K865" s="122"/>
    </row>
    <row r="866" spans="3:11" x14ac:dyDescent="0.3">
      <c r="C866" s="122"/>
      <c r="E866" s="122"/>
      <c r="F866" s="122"/>
      <c r="G866" s="122"/>
      <c r="H866" s="122"/>
      <c r="I866" s="122"/>
      <c r="J866" s="122"/>
      <c r="K866" s="122"/>
    </row>
    <row r="867" spans="3:11" x14ac:dyDescent="0.3">
      <c r="C867" s="122"/>
      <c r="E867" s="122"/>
      <c r="F867" s="122"/>
      <c r="G867" s="122"/>
      <c r="H867" s="122"/>
      <c r="I867" s="122"/>
      <c r="J867" s="122"/>
      <c r="K867" s="122"/>
    </row>
    <row r="868" spans="3:11" x14ac:dyDescent="0.3">
      <c r="C868" s="122"/>
      <c r="E868" s="122"/>
      <c r="F868" s="122"/>
      <c r="G868" s="122"/>
      <c r="H868" s="122"/>
      <c r="I868" s="122"/>
      <c r="J868" s="122"/>
      <c r="K868" s="122"/>
    </row>
    <row r="869" spans="3:11" x14ac:dyDescent="0.3">
      <c r="C869" s="122"/>
      <c r="E869" s="122"/>
      <c r="F869" s="122"/>
      <c r="G869" s="122"/>
      <c r="H869" s="122"/>
      <c r="I869" s="122"/>
      <c r="J869" s="122"/>
      <c r="K869" s="122"/>
    </row>
    <row r="870" spans="3:11" x14ac:dyDescent="0.3">
      <c r="C870" s="122"/>
      <c r="E870" s="122"/>
      <c r="F870" s="122"/>
      <c r="G870" s="122"/>
      <c r="H870" s="122"/>
      <c r="I870" s="122"/>
      <c r="J870" s="122"/>
      <c r="K870" s="122"/>
    </row>
    <row r="871" spans="3:11" x14ac:dyDescent="0.3">
      <c r="C871" s="122"/>
      <c r="E871" s="122"/>
      <c r="F871" s="122"/>
      <c r="G871" s="122"/>
      <c r="H871" s="122"/>
      <c r="I871" s="122"/>
      <c r="J871" s="122"/>
      <c r="K871" s="122"/>
    </row>
    <row r="872" spans="3:11" x14ac:dyDescent="0.3">
      <c r="C872" s="122"/>
      <c r="E872" s="122"/>
      <c r="F872" s="122"/>
      <c r="G872" s="122"/>
      <c r="H872" s="122"/>
      <c r="I872" s="122"/>
      <c r="J872" s="122"/>
      <c r="K872" s="122"/>
    </row>
    <row r="873" spans="3:11" x14ac:dyDescent="0.3">
      <c r="C873" s="122"/>
      <c r="E873" s="122"/>
      <c r="F873" s="122"/>
      <c r="G873" s="122"/>
      <c r="H873" s="122"/>
      <c r="I873" s="122"/>
      <c r="J873" s="122"/>
      <c r="K873" s="122"/>
    </row>
    <row r="874" spans="3:11" x14ac:dyDescent="0.3">
      <c r="C874" s="122"/>
      <c r="E874" s="122"/>
      <c r="F874" s="122"/>
      <c r="G874" s="122"/>
      <c r="H874" s="122"/>
      <c r="I874" s="122"/>
      <c r="J874" s="122"/>
      <c r="K874" s="122"/>
    </row>
    <row r="875" spans="3:11" x14ac:dyDescent="0.3">
      <c r="C875" s="122"/>
      <c r="E875" s="122"/>
      <c r="F875" s="122"/>
      <c r="G875" s="122"/>
      <c r="H875" s="122"/>
      <c r="I875" s="122"/>
      <c r="J875" s="122"/>
      <c r="K875" s="122"/>
    </row>
    <row r="876" spans="3:11" x14ac:dyDescent="0.3">
      <c r="C876" s="122"/>
      <c r="E876" s="122"/>
      <c r="F876" s="122"/>
      <c r="G876" s="122"/>
      <c r="H876" s="122"/>
      <c r="I876" s="122"/>
      <c r="J876" s="122"/>
      <c r="K876" s="122"/>
    </row>
    <row r="877" spans="3:11" x14ac:dyDescent="0.3">
      <c r="C877" s="122"/>
      <c r="E877" s="122"/>
      <c r="F877" s="122"/>
      <c r="G877" s="122"/>
      <c r="H877" s="122"/>
      <c r="I877" s="122"/>
      <c r="J877" s="122"/>
      <c r="K877" s="122"/>
    </row>
    <row r="878" spans="3:11" x14ac:dyDescent="0.3">
      <c r="C878" s="122"/>
      <c r="E878" s="122"/>
      <c r="F878" s="122"/>
      <c r="G878" s="122"/>
      <c r="H878" s="122"/>
      <c r="I878" s="122"/>
      <c r="J878" s="122"/>
      <c r="K878" s="122"/>
    </row>
    <row r="879" spans="3:11" x14ac:dyDescent="0.3">
      <c r="C879" s="122"/>
      <c r="E879" s="122"/>
      <c r="F879" s="122"/>
      <c r="G879" s="122"/>
      <c r="H879" s="122"/>
      <c r="I879" s="122"/>
      <c r="J879" s="122"/>
      <c r="K879" s="122"/>
    </row>
    <row r="880" spans="3:11" x14ac:dyDescent="0.3">
      <c r="C880" s="122"/>
      <c r="E880" s="122"/>
      <c r="F880" s="122"/>
      <c r="G880" s="122"/>
      <c r="H880" s="122"/>
      <c r="I880" s="122"/>
      <c r="J880" s="122"/>
      <c r="K880" s="122"/>
    </row>
    <row r="881" spans="3:11" x14ac:dyDescent="0.3">
      <c r="C881" s="122"/>
      <c r="E881" s="122"/>
      <c r="F881" s="122"/>
      <c r="G881" s="122"/>
      <c r="H881" s="122"/>
      <c r="I881" s="122"/>
      <c r="J881" s="122"/>
      <c r="K881" s="122"/>
    </row>
    <row r="882" spans="3:11" x14ac:dyDescent="0.3">
      <c r="C882" s="122"/>
      <c r="E882" s="122"/>
      <c r="F882" s="122"/>
      <c r="G882" s="122"/>
      <c r="H882" s="122"/>
      <c r="I882" s="122"/>
      <c r="J882" s="122"/>
      <c r="K882" s="122"/>
    </row>
    <row r="883" spans="3:11" x14ac:dyDescent="0.3">
      <c r="C883" s="122"/>
      <c r="E883" s="122"/>
      <c r="F883" s="122"/>
      <c r="G883" s="122"/>
      <c r="H883" s="122"/>
      <c r="I883" s="122"/>
      <c r="J883" s="122"/>
      <c r="K883" s="122"/>
    </row>
    <row r="884" spans="3:11" x14ac:dyDescent="0.3">
      <c r="C884" s="122"/>
      <c r="E884" s="122"/>
      <c r="F884" s="122"/>
      <c r="G884" s="122"/>
      <c r="H884" s="122"/>
      <c r="I884" s="122"/>
      <c r="J884" s="122"/>
      <c r="K884" s="122"/>
    </row>
    <row r="885" spans="3:11" x14ac:dyDescent="0.3">
      <c r="C885" s="122"/>
      <c r="E885" s="122"/>
      <c r="F885" s="122"/>
      <c r="G885" s="122"/>
      <c r="H885" s="122"/>
      <c r="I885" s="122"/>
      <c r="J885" s="122"/>
      <c r="K885" s="122"/>
    </row>
    <row r="886" spans="3:11" x14ac:dyDescent="0.3">
      <c r="C886" s="122"/>
      <c r="E886" s="122"/>
      <c r="F886" s="122"/>
      <c r="G886" s="122"/>
      <c r="H886" s="122"/>
      <c r="I886" s="122"/>
      <c r="J886" s="122"/>
      <c r="K886" s="122"/>
    </row>
    <row r="887" spans="3:11" x14ac:dyDescent="0.3">
      <c r="C887" s="122"/>
      <c r="E887" s="122"/>
      <c r="F887" s="122"/>
      <c r="G887" s="122"/>
      <c r="H887" s="122"/>
      <c r="I887" s="122"/>
      <c r="J887" s="122"/>
      <c r="K887" s="122"/>
    </row>
    <row r="888" spans="3:11" x14ac:dyDescent="0.3">
      <c r="C888" s="122"/>
      <c r="E888" s="122"/>
      <c r="F888" s="122"/>
      <c r="G888" s="122"/>
      <c r="H888" s="122"/>
      <c r="I888" s="122"/>
      <c r="J888" s="122"/>
      <c r="K888" s="122"/>
    </row>
    <row r="889" spans="3:11" x14ac:dyDescent="0.3">
      <c r="C889" s="122"/>
      <c r="E889" s="122"/>
      <c r="F889" s="122"/>
      <c r="G889" s="122"/>
      <c r="H889" s="122"/>
      <c r="I889" s="122"/>
      <c r="J889" s="122"/>
      <c r="K889" s="122"/>
    </row>
    <row r="890" spans="3:11" x14ac:dyDescent="0.3">
      <c r="C890" s="122"/>
      <c r="E890" s="122"/>
      <c r="F890" s="122"/>
      <c r="G890" s="122"/>
      <c r="H890" s="122"/>
      <c r="I890" s="122"/>
      <c r="J890" s="122"/>
      <c r="K890" s="122"/>
    </row>
    <row r="891" spans="3:11" x14ac:dyDescent="0.3">
      <c r="C891" s="122"/>
      <c r="E891" s="122"/>
      <c r="F891" s="122"/>
      <c r="G891" s="122"/>
      <c r="H891" s="122"/>
      <c r="I891" s="122"/>
      <c r="J891" s="122"/>
      <c r="K891" s="122"/>
    </row>
    <row r="892" spans="3:11" x14ac:dyDescent="0.3">
      <c r="C892" s="122"/>
      <c r="E892" s="122"/>
      <c r="F892" s="122"/>
      <c r="G892" s="122"/>
      <c r="H892" s="122"/>
      <c r="I892" s="122"/>
      <c r="J892" s="122"/>
      <c r="K892" s="122"/>
    </row>
    <row r="893" spans="3:11" x14ac:dyDescent="0.3">
      <c r="C893" s="122"/>
      <c r="E893" s="122"/>
      <c r="F893" s="122"/>
      <c r="G893" s="122"/>
      <c r="H893" s="122"/>
      <c r="I893" s="122"/>
      <c r="J893" s="122"/>
      <c r="K893" s="122"/>
    </row>
    <row r="894" spans="3:11" x14ac:dyDescent="0.3">
      <c r="C894" s="122"/>
      <c r="E894" s="122"/>
      <c r="F894" s="122"/>
      <c r="G894" s="122"/>
      <c r="H894" s="122"/>
      <c r="I894" s="122"/>
      <c r="J894" s="122"/>
      <c r="K894" s="122"/>
    </row>
    <row r="895" spans="3:11" x14ac:dyDescent="0.3">
      <c r="C895" s="122"/>
      <c r="E895" s="122"/>
      <c r="F895" s="122"/>
      <c r="G895" s="122"/>
      <c r="H895" s="122"/>
      <c r="I895" s="122"/>
      <c r="J895" s="122"/>
      <c r="K895" s="122"/>
    </row>
    <row r="896" spans="3:11" x14ac:dyDescent="0.3">
      <c r="C896" s="122"/>
      <c r="E896" s="122"/>
      <c r="F896" s="122"/>
      <c r="G896" s="122"/>
      <c r="H896" s="122"/>
      <c r="I896" s="122"/>
      <c r="J896" s="122"/>
      <c r="K896" s="122"/>
    </row>
    <row r="897" spans="3:11" x14ac:dyDescent="0.3">
      <c r="C897" s="122"/>
      <c r="E897" s="122"/>
      <c r="F897" s="122"/>
      <c r="G897" s="122"/>
      <c r="H897" s="122"/>
      <c r="I897" s="122"/>
      <c r="J897" s="122"/>
      <c r="K897" s="122"/>
    </row>
    <row r="898" spans="3:11" x14ac:dyDescent="0.3">
      <c r="C898" s="122"/>
      <c r="E898" s="122"/>
      <c r="F898" s="122"/>
      <c r="G898" s="122"/>
      <c r="H898" s="122"/>
      <c r="I898" s="122"/>
      <c r="J898" s="122"/>
      <c r="K898" s="122"/>
    </row>
    <row r="899" spans="3:11" x14ac:dyDescent="0.3">
      <c r="C899" s="122"/>
      <c r="E899" s="122"/>
      <c r="F899" s="122"/>
      <c r="G899" s="122"/>
      <c r="H899" s="122"/>
      <c r="I899" s="122"/>
      <c r="J899" s="122"/>
      <c r="K899" s="122"/>
    </row>
    <row r="900" spans="3:11" x14ac:dyDescent="0.3">
      <c r="C900" s="122"/>
      <c r="E900" s="122"/>
      <c r="F900" s="122"/>
      <c r="G900" s="122"/>
      <c r="H900" s="122"/>
      <c r="I900" s="122"/>
      <c r="J900" s="122"/>
      <c r="K900" s="122"/>
    </row>
    <row r="901" spans="3:11" x14ac:dyDescent="0.3">
      <c r="C901" s="122"/>
      <c r="E901" s="122"/>
      <c r="F901" s="122"/>
      <c r="G901" s="122"/>
      <c r="H901" s="122"/>
      <c r="I901" s="122"/>
      <c r="J901" s="122"/>
      <c r="K901" s="122"/>
    </row>
    <row r="902" spans="3:11" x14ac:dyDescent="0.3">
      <c r="C902" s="122"/>
      <c r="E902" s="122"/>
      <c r="F902" s="122"/>
      <c r="G902" s="122"/>
      <c r="H902" s="122"/>
      <c r="I902" s="122"/>
      <c r="J902" s="122"/>
      <c r="K902" s="122"/>
    </row>
    <row r="903" spans="3:11" x14ac:dyDescent="0.3">
      <c r="C903" s="122"/>
      <c r="E903" s="122"/>
      <c r="F903" s="122"/>
      <c r="G903" s="122"/>
      <c r="H903" s="122"/>
      <c r="I903" s="122"/>
      <c r="J903" s="122"/>
      <c r="K903" s="122"/>
    </row>
    <row r="904" spans="3:11" x14ac:dyDescent="0.3">
      <c r="C904" s="122"/>
      <c r="E904" s="122"/>
      <c r="F904" s="122"/>
      <c r="G904" s="122"/>
      <c r="H904" s="122"/>
      <c r="I904" s="122"/>
      <c r="J904" s="122"/>
      <c r="K904" s="122"/>
    </row>
    <row r="905" spans="3:11" x14ac:dyDescent="0.3">
      <c r="C905" s="122"/>
      <c r="E905" s="122"/>
      <c r="F905" s="122"/>
      <c r="G905" s="122"/>
      <c r="H905" s="122"/>
      <c r="I905" s="122"/>
      <c r="J905" s="122"/>
      <c r="K905" s="122"/>
    </row>
    <row r="906" spans="3:11" x14ac:dyDescent="0.3">
      <c r="C906" s="122"/>
      <c r="E906" s="122"/>
      <c r="F906" s="122"/>
      <c r="G906" s="122"/>
      <c r="H906" s="122"/>
      <c r="I906" s="122"/>
      <c r="J906" s="122"/>
      <c r="K906" s="122"/>
    </row>
    <row r="907" spans="3:11" x14ac:dyDescent="0.3">
      <c r="C907" s="122"/>
      <c r="E907" s="122"/>
      <c r="F907" s="122"/>
      <c r="G907" s="122"/>
      <c r="H907" s="122"/>
      <c r="I907" s="122"/>
      <c r="J907" s="122"/>
      <c r="K907" s="122"/>
    </row>
    <row r="908" spans="3:11" x14ac:dyDescent="0.3">
      <c r="C908" s="122"/>
      <c r="E908" s="122"/>
      <c r="F908" s="122"/>
      <c r="G908" s="122"/>
      <c r="H908" s="122"/>
      <c r="I908" s="122"/>
      <c r="J908" s="122"/>
      <c r="K908" s="122"/>
    </row>
    <row r="909" spans="3:11" x14ac:dyDescent="0.3">
      <c r="C909" s="122"/>
      <c r="E909" s="122"/>
      <c r="F909" s="122"/>
      <c r="G909" s="122"/>
      <c r="H909" s="122"/>
      <c r="I909" s="122"/>
      <c r="J909" s="122"/>
      <c r="K909" s="122"/>
    </row>
    <row r="910" spans="3:11" x14ac:dyDescent="0.3">
      <c r="C910" s="122"/>
      <c r="E910" s="122"/>
      <c r="F910" s="122"/>
      <c r="G910" s="122"/>
      <c r="H910" s="122"/>
      <c r="I910" s="122"/>
      <c r="J910" s="122"/>
      <c r="K910" s="122"/>
    </row>
    <row r="911" spans="3:11" x14ac:dyDescent="0.3">
      <c r="C911" s="122"/>
      <c r="E911" s="122"/>
      <c r="F911" s="122"/>
      <c r="G911" s="122"/>
      <c r="H911" s="122"/>
      <c r="I911" s="122"/>
      <c r="J911" s="122"/>
      <c r="K911" s="122"/>
    </row>
    <row r="912" spans="3:11" x14ac:dyDescent="0.3">
      <c r="C912" s="122"/>
      <c r="E912" s="122"/>
      <c r="F912" s="122"/>
      <c r="G912" s="122"/>
      <c r="H912" s="122"/>
      <c r="I912" s="122"/>
      <c r="J912" s="122"/>
      <c r="K912" s="122"/>
    </row>
    <row r="913" spans="3:11" x14ac:dyDescent="0.3">
      <c r="C913" s="122"/>
      <c r="E913" s="122"/>
      <c r="F913" s="122"/>
      <c r="G913" s="122"/>
      <c r="H913" s="122"/>
      <c r="I913" s="122"/>
      <c r="J913" s="122"/>
      <c r="K913" s="122"/>
    </row>
    <row r="914" spans="3:11" x14ac:dyDescent="0.3">
      <c r="C914" s="122"/>
      <c r="E914" s="122"/>
      <c r="F914" s="122"/>
      <c r="G914" s="122"/>
      <c r="H914" s="122"/>
      <c r="I914" s="122"/>
      <c r="J914" s="122"/>
      <c r="K914" s="122"/>
    </row>
    <row r="915" spans="3:11" x14ac:dyDescent="0.3">
      <c r="C915" s="122"/>
      <c r="E915" s="122"/>
      <c r="F915" s="122"/>
      <c r="G915" s="122"/>
      <c r="H915" s="122"/>
      <c r="I915" s="122"/>
      <c r="J915" s="122"/>
      <c r="K915" s="122"/>
    </row>
    <row r="916" spans="3:11" x14ac:dyDescent="0.3">
      <c r="C916" s="122"/>
      <c r="E916" s="122"/>
      <c r="F916" s="122"/>
      <c r="G916" s="122"/>
      <c r="H916" s="122"/>
      <c r="I916" s="122"/>
      <c r="J916" s="122"/>
      <c r="K916" s="122"/>
    </row>
    <row r="917" spans="3:11" x14ac:dyDescent="0.3">
      <c r="C917" s="122"/>
      <c r="E917" s="122"/>
      <c r="F917" s="122"/>
      <c r="G917" s="122"/>
      <c r="H917" s="122"/>
      <c r="I917" s="122"/>
      <c r="J917" s="122"/>
      <c r="K917" s="122"/>
    </row>
    <row r="918" spans="3:11" x14ac:dyDescent="0.3">
      <c r="C918" s="122"/>
      <c r="E918" s="122"/>
      <c r="F918" s="122"/>
      <c r="G918" s="122"/>
      <c r="H918" s="122"/>
      <c r="I918" s="122"/>
      <c r="J918" s="122"/>
      <c r="K918" s="122"/>
    </row>
    <row r="919" spans="3:11" x14ac:dyDescent="0.3">
      <c r="C919" s="122"/>
      <c r="E919" s="122"/>
      <c r="F919" s="122"/>
      <c r="G919" s="122"/>
      <c r="H919" s="122"/>
      <c r="I919" s="122"/>
      <c r="J919" s="122"/>
      <c r="K919" s="122"/>
    </row>
    <row r="920" spans="3:11" x14ac:dyDescent="0.3">
      <c r="C920" s="122"/>
      <c r="E920" s="122"/>
      <c r="F920" s="122"/>
      <c r="G920" s="122"/>
      <c r="H920" s="122"/>
      <c r="I920" s="122"/>
      <c r="J920" s="122"/>
      <c r="K920" s="122"/>
    </row>
    <row r="921" spans="3:11" x14ac:dyDescent="0.3">
      <c r="C921" s="122"/>
      <c r="E921" s="122"/>
      <c r="F921" s="122"/>
      <c r="G921" s="122"/>
      <c r="H921" s="122"/>
      <c r="I921" s="122"/>
      <c r="J921" s="122"/>
      <c r="K921" s="122"/>
    </row>
    <row r="922" spans="3:11" x14ac:dyDescent="0.3">
      <c r="C922" s="122"/>
      <c r="E922" s="122"/>
      <c r="F922" s="122"/>
      <c r="G922" s="122"/>
      <c r="H922" s="122"/>
      <c r="I922" s="122"/>
      <c r="J922" s="122"/>
      <c r="K922" s="122"/>
    </row>
    <row r="923" spans="3:11" x14ac:dyDescent="0.3">
      <c r="C923" s="122"/>
      <c r="E923" s="122"/>
      <c r="F923" s="122"/>
      <c r="G923" s="122"/>
      <c r="H923" s="122"/>
      <c r="I923" s="122"/>
      <c r="J923" s="122"/>
      <c r="K923" s="122"/>
    </row>
    <row r="924" spans="3:11" x14ac:dyDescent="0.3">
      <c r="C924" s="122"/>
      <c r="E924" s="122"/>
      <c r="F924" s="122"/>
      <c r="G924" s="122"/>
      <c r="H924" s="122"/>
      <c r="I924" s="122"/>
      <c r="J924" s="122"/>
      <c r="K924" s="122"/>
    </row>
    <row r="925" spans="3:11" x14ac:dyDescent="0.3">
      <c r="C925" s="122"/>
      <c r="E925" s="122"/>
      <c r="F925" s="122"/>
      <c r="G925" s="122"/>
      <c r="H925" s="122"/>
      <c r="I925" s="122"/>
      <c r="J925" s="122"/>
      <c r="K925" s="122"/>
    </row>
    <row r="926" spans="3:11" x14ac:dyDescent="0.3">
      <c r="C926" s="122"/>
      <c r="E926" s="122"/>
      <c r="F926" s="122"/>
      <c r="G926" s="122"/>
      <c r="H926" s="122"/>
      <c r="I926" s="122"/>
      <c r="J926" s="122"/>
      <c r="K926" s="122"/>
    </row>
    <row r="927" spans="3:11" x14ac:dyDescent="0.3">
      <c r="C927" s="122"/>
      <c r="E927" s="122"/>
      <c r="F927" s="122"/>
      <c r="G927" s="122"/>
      <c r="H927" s="122"/>
      <c r="I927" s="122"/>
      <c r="J927" s="122"/>
      <c r="K927" s="122"/>
    </row>
    <row r="928" spans="3:11" x14ac:dyDescent="0.3">
      <c r="C928" s="122"/>
      <c r="E928" s="122"/>
      <c r="F928" s="122"/>
      <c r="G928" s="122"/>
      <c r="H928" s="122"/>
      <c r="I928" s="122"/>
      <c r="J928" s="122"/>
      <c r="K928" s="122"/>
    </row>
    <row r="929" spans="3:11" x14ac:dyDescent="0.3">
      <c r="C929" s="122"/>
      <c r="E929" s="122"/>
      <c r="F929" s="122"/>
      <c r="G929" s="122"/>
      <c r="H929" s="122"/>
      <c r="I929" s="122"/>
      <c r="J929" s="122"/>
      <c r="K929" s="122"/>
    </row>
    <row r="930" spans="3:11" x14ac:dyDescent="0.3">
      <c r="C930" s="122"/>
      <c r="E930" s="122"/>
      <c r="F930" s="122"/>
      <c r="G930" s="122"/>
      <c r="H930" s="122"/>
      <c r="I930" s="122"/>
      <c r="J930" s="122"/>
      <c r="K930" s="122"/>
    </row>
    <row r="931" spans="3:11" x14ac:dyDescent="0.3">
      <c r="C931" s="122"/>
      <c r="E931" s="122"/>
      <c r="F931" s="122"/>
      <c r="G931" s="122"/>
      <c r="H931" s="122"/>
      <c r="I931" s="122"/>
      <c r="J931" s="122"/>
      <c r="K931" s="122"/>
    </row>
    <row r="932" spans="3:11" x14ac:dyDescent="0.3">
      <c r="C932" s="122"/>
      <c r="E932" s="122"/>
      <c r="F932" s="122"/>
      <c r="G932" s="122"/>
      <c r="H932" s="122"/>
      <c r="I932" s="122"/>
      <c r="J932" s="122"/>
      <c r="K932" s="122"/>
    </row>
    <row r="933" spans="3:11" x14ac:dyDescent="0.3">
      <c r="C933" s="122"/>
      <c r="E933" s="122"/>
      <c r="F933" s="122"/>
      <c r="G933" s="122"/>
      <c r="H933" s="122"/>
      <c r="I933" s="122"/>
      <c r="J933" s="122"/>
      <c r="K933" s="122"/>
    </row>
    <row r="934" spans="3:11" x14ac:dyDescent="0.3">
      <c r="C934" s="122"/>
      <c r="E934" s="122"/>
      <c r="F934" s="122"/>
      <c r="G934" s="122"/>
      <c r="H934" s="122"/>
      <c r="I934" s="122"/>
      <c r="J934" s="122"/>
      <c r="K934" s="122"/>
    </row>
    <row r="935" spans="3:11" x14ac:dyDescent="0.3">
      <c r="C935" s="122"/>
      <c r="E935" s="122"/>
      <c r="F935" s="122"/>
      <c r="G935" s="122"/>
      <c r="H935" s="122"/>
      <c r="I935" s="122"/>
      <c r="J935" s="122"/>
      <c r="K935" s="122"/>
    </row>
    <row r="936" spans="3:11" x14ac:dyDescent="0.3">
      <c r="C936" s="122"/>
      <c r="E936" s="122"/>
      <c r="F936" s="122"/>
      <c r="G936" s="122"/>
      <c r="H936" s="122"/>
      <c r="I936" s="122"/>
      <c r="J936" s="122"/>
      <c r="K936" s="122"/>
    </row>
    <row r="937" spans="3:11" x14ac:dyDescent="0.3">
      <c r="C937" s="122"/>
      <c r="E937" s="122"/>
      <c r="F937" s="122"/>
      <c r="G937" s="122"/>
      <c r="H937" s="122"/>
      <c r="I937" s="122"/>
      <c r="J937" s="122"/>
      <c r="K937" s="122"/>
    </row>
    <row r="938" spans="3:11" x14ac:dyDescent="0.3">
      <c r="C938" s="122"/>
      <c r="E938" s="122"/>
      <c r="F938" s="122"/>
      <c r="G938" s="122"/>
      <c r="H938" s="122"/>
      <c r="I938" s="122"/>
      <c r="J938" s="122"/>
      <c r="K938" s="122"/>
    </row>
    <row r="939" spans="3:11" x14ac:dyDescent="0.3">
      <c r="C939" s="122"/>
      <c r="E939" s="122"/>
      <c r="F939" s="122"/>
      <c r="G939" s="122"/>
      <c r="H939" s="122"/>
      <c r="I939" s="122"/>
      <c r="J939" s="122"/>
      <c r="K939" s="122"/>
    </row>
    <row r="940" spans="3:11" x14ac:dyDescent="0.3">
      <c r="C940" s="122"/>
      <c r="E940" s="122"/>
      <c r="F940" s="122"/>
      <c r="G940" s="122"/>
      <c r="H940" s="122"/>
      <c r="I940" s="122"/>
      <c r="J940" s="122"/>
      <c r="K940" s="122"/>
    </row>
    <row r="941" spans="3:11" x14ac:dyDescent="0.3">
      <c r="C941" s="122"/>
      <c r="E941" s="122"/>
      <c r="F941" s="122"/>
      <c r="G941" s="122"/>
      <c r="H941" s="122"/>
      <c r="I941" s="122"/>
      <c r="J941" s="122"/>
      <c r="K941" s="122"/>
    </row>
    <row r="942" spans="3:11" x14ac:dyDescent="0.3">
      <c r="C942" s="122"/>
      <c r="E942" s="122"/>
      <c r="F942" s="122"/>
      <c r="G942" s="122"/>
      <c r="H942" s="122"/>
      <c r="I942" s="122"/>
      <c r="J942" s="122"/>
      <c r="K942" s="122"/>
    </row>
    <row r="943" spans="3:11" x14ac:dyDescent="0.3">
      <c r="C943" s="122"/>
      <c r="E943" s="122"/>
      <c r="F943" s="122"/>
      <c r="G943" s="122"/>
      <c r="H943" s="122"/>
      <c r="I943" s="122"/>
      <c r="J943" s="122"/>
      <c r="K943" s="122"/>
    </row>
    <row r="944" spans="3:11" x14ac:dyDescent="0.3">
      <c r="C944" s="122"/>
      <c r="E944" s="122"/>
      <c r="F944" s="122"/>
      <c r="G944" s="122"/>
      <c r="H944" s="122"/>
      <c r="I944" s="122"/>
      <c r="J944" s="122"/>
      <c r="K944" s="122"/>
    </row>
    <row r="945" spans="3:11" x14ac:dyDescent="0.3">
      <c r="C945" s="122"/>
      <c r="E945" s="122"/>
      <c r="F945" s="122"/>
      <c r="G945" s="122"/>
      <c r="H945" s="122"/>
      <c r="I945" s="122"/>
      <c r="J945" s="122"/>
      <c r="K945" s="122"/>
    </row>
    <row r="946" spans="3:11" x14ac:dyDescent="0.3">
      <c r="C946" s="122"/>
      <c r="E946" s="122"/>
      <c r="F946" s="122"/>
      <c r="G946" s="122"/>
      <c r="H946" s="122"/>
      <c r="I946" s="122"/>
      <c r="J946" s="122"/>
      <c r="K946" s="122"/>
    </row>
    <row r="947" spans="3:11" x14ac:dyDescent="0.3">
      <c r="C947" s="122"/>
      <c r="E947" s="122"/>
      <c r="F947" s="122"/>
      <c r="G947" s="122"/>
      <c r="H947" s="122"/>
      <c r="I947" s="122"/>
      <c r="J947" s="122"/>
      <c r="K947" s="122"/>
    </row>
    <row r="948" spans="3:11" x14ac:dyDescent="0.3">
      <c r="C948" s="122"/>
      <c r="E948" s="122"/>
      <c r="F948" s="122"/>
      <c r="G948" s="122"/>
      <c r="H948" s="122"/>
      <c r="I948" s="122"/>
      <c r="J948" s="122"/>
      <c r="K948" s="122"/>
    </row>
    <row r="949" spans="3:11" x14ac:dyDescent="0.3">
      <c r="C949" s="122"/>
      <c r="E949" s="122"/>
      <c r="F949" s="122"/>
      <c r="G949" s="122"/>
      <c r="H949" s="122"/>
      <c r="I949" s="122"/>
      <c r="J949" s="122"/>
      <c r="K949" s="122"/>
    </row>
    <row r="950" spans="3:11" x14ac:dyDescent="0.3">
      <c r="C950" s="122"/>
      <c r="E950" s="122"/>
      <c r="F950" s="122"/>
      <c r="G950" s="122"/>
      <c r="H950" s="122"/>
      <c r="I950" s="122"/>
      <c r="J950" s="122"/>
      <c r="K950" s="122"/>
    </row>
    <row r="951" spans="3:11" x14ac:dyDescent="0.3">
      <c r="C951" s="122"/>
      <c r="E951" s="122"/>
      <c r="F951" s="122"/>
      <c r="G951" s="122"/>
      <c r="H951" s="122"/>
      <c r="I951" s="122"/>
      <c r="J951" s="122"/>
      <c r="K951" s="122"/>
    </row>
    <row r="952" spans="3:11" x14ac:dyDescent="0.3">
      <c r="C952" s="122"/>
      <c r="E952" s="122"/>
      <c r="F952" s="122"/>
      <c r="G952" s="122"/>
      <c r="H952" s="122"/>
      <c r="I952" s="122"/>
      <c r="J952" s="122"/>
      <c r="K952" s="122"/>
    </row>
    <row r="953" spans="3:11" x14ac:dyDescent="0.3">
      <c r="C953" s="122"/>
      <c r="E953" s="122"/>
      <c r="F953" s="122"/>
      <c r="G953" s="122"/>
      <c r="H953" s="122"/>
      <c r="I953" s="122"/>
      <c r="J953" s="122"/>
      <c r="K953" s="122"/>
    </row>
    <row r="954" spans="3:11" x14ac:dyDescent="0.3">
      <c r="C954" s="122"/>
      <c r="E954" s="122"/>
      <c r="F954" s="122"/>
      <c r="G954" s="122"/>
      <c r="H954" s="122"/>
      <c r="I954" s="122"/>
      <c r="J954" s="122"/>
      <c r="K954" s="122"/>
    </row>
    <row r="955" spans="3:11" x14ac:dyDescent="0.3">
      <c r="C955" s="122"/>
      <c r="E955" s="122"/>
      <c r="F955" s="122"/>
      <c r="G955" s="122"/>
      <c r="H955" s="122"/>
      <c r="I955" s="122"/>
      <c r="J955" s="122"/>
      <c r="K955" s="122"/>
    </row>
    <row r="956" spans="3:11" x14ac:dyDescent="0.3">
      <c r="C956" s="122"/>
      <c r="E956" s="122"/>
      <c r="F956" s="122"/>
      <c r="G956" s="122"/>
      <c r="H956" s="122"/>
      <c r="I956" s="122"/>
      <c r="J956" s="122"/>
      <c r="K956" s="122"/>
    </row>
    <row r="957" spans="3:11" x14ac:dyDescent="0.3">
      <c r="C957" s="122"/>
      <c r="E957" s="122"/>
      <c r="F957" s="122"/>
      <c r="G957" s="122"/>
      <c r="H957" s="122"/>
      <c r="I957" s="122"/>
      <c r="J957" s="122"/>
      <c r="K957" s="122"/>
    </row>
    <row r="958" spans="3:11" x14ac:dyDescent="0.3">
      <c r="C958" s="122"/>
      <c r="E958" s="122"/>
      <c r="F958" s="122"/>
      <c r="G958" s="122"/>
      <c r="H958" s="122"/>
      <c r="I958" s="122"/>
      <c r="J958" s="122"/>
      <c r="K958" s="122"/>
    </row>
    <row r="959" spans="3:11" x14ac:dyDescent="0.3">
      <c r="C959" s="122"/>
      <c r="E959" s="122"/>
      <c r="F959" s="122"/>
      <c r="G959" s="122"/>
      <c r="H959" s="122"/>
      <c r="I959" s="122"/>
      <c r="J959" s="122"/>
      <c r="K959" s="122"/>
    </row>
    <row r="960" spans="3:11" x14ac:dyDescent="0.3">
      <c r="C960" s="122"/>
      <c r="E960" s="122"/>
      <c r="F960" s="122"/>
      <c r="G960" s="122"/>
      <c r="H960" s="122"/>
      <c r="I960" s="122"/>
      <c r="J960" s="122"/>
      <c r="K960" s="122"/>
    </row>
    <row r="961" spans="3:11" x14ac:dyDescent="0.3">
      <c r="C961" s="122"/>
      <c r="E961" s="122"/>
      <c r="F961" s="122"/>
      <c r="G961" s="122"/>
      <c r="H961" s="122"/>
      <c r="I961" s="122"/>
      <c r="J961" s="122"/>
      <c r="K961" s="122"/>
    </row>
    <row r="962" spans="3:11" x14ac:dyDescent="0.3">
      <c r="C962" s="122"/>
      <c r="E962" s="122"/>
      <c r="F962" s="122"/>
      <c r="G962" s="122"/>
      <c r="H962" s="122"/>
      <c r="I962" s="122"/>
      <c r="J962" s="122"/>
      <c r="K962" s="122"/>
    </row>
    <row r="963" spans="3:11" x14ac:dyDescent="0.3">
      <c r="C963" s="122"/>
      <c r="E963" s="122"/>
      <c r="F963" s="122"/>
      <c r="G963" s="122"/>
      <c r="H963" s="122"/>
      <c r="I963" s="122"/>
      <c r="J963" s="122"/>
      <c r="K963" s="122"/>
    </row>
    <row r="964" spans="3:11" x14ac:dyDescent="0.3">
      <c r="C964" s="122"/>
      <c r="E964" s="122"/>
      <c r="F964" s="122"/>
      <c r="G964" s="122"/>
      <c r="H964" s="122"/>
      <c r="I964" s="122"/>
      <c r="J964" s="122"/>
      <c r="K964" s="122"/>
    </row>
    <row r="965" spans="3:11" x14ac:dyDescent="0.3">
      <c r="C965" s="122"/>
      <c r="E965" s="122"/>
      <c r="F965" s="122"/>
      <c r="G965" s="122"/>
      <c r="H965" s="122"/>
      <c r="I965" s="122"/>
      <c r="J965" s="122"/>
      <c r="K965" s="122"/>
    </row>
    <row r="966" spans="3:11" x14ac:dyDescent="0.3">
      <c r="C966" s="122"/>
      <c r="E966" s="122"/>
      <c r="F966" s="122"/>
      <c r="G966" s="122"/>
      <c r="H966" s="122"/>
      <c r="I966" s="122"/>
      <c r="J966" s="122"/>
      <c r="K966" s="122"/>
    </row>
    <row r="967" spans="3:11" x14ac:dyDescent="0.3">
      <c r="C967" s="122"/>
      <c r="E967" s="122"/>
      <c r="F967" s="122"/>
      <c r="G967" s="122"/>
      <c r="H967" s="122"/>
      <c r="I967" s="122"/>
      <c r="J967" s="122"/>
      <c r="K967" s="122"/>
    </row>
    <row r="968" spans="3:11" x14ac:dyDescent="0.3">
      <c r="C968" s="122"/>
      <c r="E968" s="122"/>
      <c r="F968" s="122"/>
      <c r="G968" s="122"/>
      <c r="H968" s="122"/>
      <c r="I968" s="122"/>
      <c r="J968" s="122"/>
      <c r="K968" s="122"/>
    </row>
    <row r="969" spans="3:11" x14ac:dyDescent="0.3">
      <c r="C969" s="122"/>
      <c r="E969" s="122"/>
      <c r="F969" s="122"/>
      <c r="G969" s="122"/>
      <c r="H969" s="122"/>
      <c r="I969" s="122"/>
      <c r="J969" s="122"/>
      <c r="K969" s="122"/>
    </row>
    <row r="970" spans="3:11" x14ac:dyDescent="0.3">
      <c r="C970" s="122"/>
      <c r="E970" s="122"/>
      <c r="F970" s="122"/>
      <c r="G970" s="122"/>
      <c r="H970" s="122"/>
      <c r="I970" s="122"/>
      <c r="J970" s="122"/>
      <c r="K970" s="122"/>
    </row>
    <row r="971" spans="3:11" x14ac:dyDescent="0.3">
      <c r="C971" s="122"/>
      <c r="E971" s="122"/>
      <c r="F971" s="122"/>
      <c r="G971" s="122"/>
      <c r="H971" s="122"/>
      <c r="I971" s="122"/>
      <c r="J971" s="122"/>
      <c r="K971" s="122"/>
    </row>
    <row r="972" spans="3:11" x14ac:dyDescent="0.3">
      <c r="C972" s="122"/>
      <c r="E972" s="122"/>
      <c r="F972" s="122"/>
      <c r="G972" s="122"/>
      <c r="H972" s="122"/>
      <c r="I972" s="122"/>
      <c r="J972" s="122"/>
      <c r="K972" s="122"/>
    </row>
    <row r="973" spans="3:11" x14ac:dyDescent="0.3">
      <c r="C973" s="122"/>
      <c r="E973" s="122"/>
      <c r="F973" s="122"/>
      <c r="G973" s="122"/>
      <c r="H973" s="122"/>
      <c r="I973" s="122"/>
      <c r="J973" s="122"/>
      <c r="K973" s="122"/>
    </row>
    <row r="974" spans="3:11" x14ac:dyDescent="0.3">
      <c r="C974" s="122"/>
      <c r="E974" s="122"/>
      <c r="F974" s="122"/>
      <c r="G974" s="122"/>
      <c r="H974" s="122"/>
      <c r="I974" s="122"/>
      <c r="J974" s="122"/>
      <c r="K974" s="122"/>
    </row>
    <row r="975" spans="3:11" x14ac:dyDescent="0.3">
      <c r="C975" s="122"/>
      <c r="E975" s="122"/>
      <c r="F975" s="122"/>
      <c r="G975" s="122"/>
      <c r="H975" s="122"/>
      <c r="I975" s="122"/>
      <c r="J975" s="122"/>
      <c r="K975" s="122"/>
    </row>
    <row r="976" spans="3:11" x14ac:dyDescent="0.3">
      <c r="C976" s="122"/>
      <c r="E976" s="122"/>
      <c r="F976" s="122"/>
      <c r="G976" s="122"/>
      <c r="H976" s="122"/>
      <c r="I976" s="122"/>
      <c r="J976" s="122"/>
      <c r="K976" s="122"/>
    </row>
    <row r="977" spans="3:11" x14ac:dyDescent="0.3">
      <c r="C977" s="122"/>
      <c r="E977" s="122"/>
      <c r="F977" s="122"/>
      <c r="G977" s="122"/>
      <c r="H977" s="122"/>
      <c r="I977" s="122"/>
      <c r="J977" s="122"/>
      <c r="K977" s="122"/>
    </row>
    <row r="978" spans="3:11" x14ac:dyDescent="0.3">
      <c r="C978" s="122"/>
      <c r="E978" s="122"/>
      <c r="F978" s="122"/>
      <c r="G978" s="122"/>
      <c r="H978" s="122"/>
      <c r="I978" s="122"/>
      <c r="J978" s="122"/>
      <c r="K978" s="122"/>
    </row>
    <row r="979" spans="3:11" x14ac:dyDescent="0.3">
      <c r="C979" s="122"/>
      <c r="E979" s="122"/>
      <c r="F979" s="122"/>
      <c r="G979" s="122"/>
      <c r="H979" s="122"/>
      <c r="I979" s="122"/>
      <c r="J979" s="122"/>
      <c r="K979" s="122"/>
    </row>
    <row r="980" spans="3:11" x14ac:dyDescent="0.3">
      <c r="C980" s="122"/>
      <c r="E980" s="122"/>
      <c r="F980" s="122"/>
      <c r="G980" s="122"/>
      <c r="H980" s="122"/>
      <c r="I980" s="122"/>
      <c r="J980" s="122"/>
      <c r="K980" s="122"/>
    </row>
    <row r="981" spans="3:11" x14ac:dyDescent="0.3">
      <c r="C981" s="122"/>
      <c r="E981" s="122"/>
      <c r="F981" s="122"/>
      <c r="G981" s="122"/>
      <c r="H981" s="122"/>
      <c r="I981" s="122"/>
      <c r="J981" s="122"/>
      <c r="K981" s="122"/>
    </row>
    <row r="982" spans="3:11" x14ac:dyDescent="0.3">
      <c r="C982" s="122"/>
      <c r="E982" s="122"/>
      <c r="F982" s="122"/>
      <c r="G982" s="122"/>
      <c r="H982" s="122"/>
      <c r="I982" s="122"/>
      <c r="J982" s="122"/>
      <c r="K982" s="122"/>
    </row>
    <row r="983" spans="3:11" x14ac:dyDescent="0.3">
      <c r="C983" s="122"/>
      <c r="E983" s="122"/>
      <c r="F983" s="122"/>
      <c r="G983" s="122"/>
      <c r="H983" s="122"/>
      <c r="I983" s="122"/>
      <c r="J983" s="122"/>
      <c r="K983" s="122"/>
    </row>
    <row r="984" spans="3:11" x14ac:dyDescent="0.3">
      <c r="C984" s="122"/>
      <c r="E984" s="122"/>
      <c r="F984" s="122"/>
      <c r="G984" s="122"/>
      <c r="H984" s="122"/>
      <c r="I984" s="122"/>
      <c r="J984" s="122"/>
      <c r="K984" s="122"/>
    </row>
    <row r="985" spans="3:11" x14ac:dyDescent="0.3">
      <c r="C985" s="122"/>
      <c r="E985" s="122"/>
      <c r="F985" s="122"/>
      <c r="G985" s="122"/>
      <c r="H985" s="122"/>
      <c r="I985" s="122"/>
      <c r="J985" s="122"/>
      <c r="K985" s="122"/>
    </row>
    <row r="986" spans="3:11" x14ac:dyDescent="0.3">
      <c r="C986" s="122"/>
      <c r="E986" s="122"/>
      <c r="F986" s="122"/>
      <c r="G986" s="122"/>
      <c r="H986" s="122"/>
      <c r="I986" s="122"/>
      <c r="J986" s="122"/>
      <c r="K986" s="122"/>
    </row>
    <row r="987" spans="3:11" x14ac:dyDescent="0.3">
      <c r="C987" s="122"/>
      <c r="E987" s="122"/>
      <c r="F987" s="122"/>
      <c r="G987" s="122"/>
      <c r="H987" s="122"/>
      <c r="I987" s="122"/>
      <c r="J987" s="122"/>
      <c r="K987" s="122"/>
    </row>
    <row r="988" spans="3:11" x14ac:dyDescent="0.3">
      <c r="C988" s="122"/>
      <c r="E988" s="122"/>
      <c r="F988" s="122"/>
      <c r="G988" s="122"/>
      <c r="H988" s="122"/>
      <c r="I988" s="122"/>
      <c r="J988" s="122"/>
      <c r="K988" s="122"/>
    </row>
    <row r="989" spans="3:11" x14ac:dyDescent="0.3">
      <c r="C989" s="122"/>
      <c r="E989" s="122"/>
      <c r="F989" s="122"/>
      <c r="G989" s="122"/>
      <c r="H989" s="122"/>
      <c r="I989" s="122"/>
      <c r="J989" s="122"/>
      <c r="K989" s="122"/>
    </row>
    <row r="990" spans="3:11" x14ac:dyDescent="0.3">
      <c r="C990" s="122"/>
      <c r="E990" s="122"/>
      <c r="F990" s="122"/>
      <c r="G990" s="122"/>
      <c r="H990" s="122"/>
      <c r="I990" s="122"/>
      <c r="J990" s="122"/>
      <c r="K990" s="122"/>
    </row>
    <row r="991" spans="3:11" x14ac:dyDescent="0.3">
      <c r="C991" s="122"/>
      <c r="E991" s="122"/>
      <c r="F991" s="122"/>
      <c r="G991" s="122"/>
      <c r="H991" s="122"/>
      <c r="I991" s="122"/>
      <c r="J991" s="122"/>
      <c r="K991" s="122"/>
    </row>
    <row r="992" spans="3:11" x14ac:dyDescent="0.3">
      <c r="C992" s="122"/>
      <c r="E992" s="122"/>
      <c r="F992" s="122"/>
      <c r="G992" s="122"/>
      <c r="H992" s="122"/>
      <c r="I992" s="122"/>
      <c r="J992" s="122"/>
      <c r="K992" s="122"/>
    </row>
    <row r="993" spans="3:11" x14ac:dyDescent="0.3">
      <c r="C993" s="122"/>
      <c r="E993" s="122"/>
      <c r="F993" s="122"/>
      <c r="G993" s="122"/>
      <c r="H993" s="122"/>
      <c r="I993" s="122"/>
      <c r="J993" s="122"/>
      <c r="K993" s="122"/>
    </row>
    <row r="994" spans="3:11" x14ac:dyDescent="0.3">
      <c r="C994" s="122"/>
      <c r="E994" s="122"/>
      <c r="F994" s="122"/>
      <c r="G994" s="122"/>
      <c r="H994" s="122"/>
      <c r="I994" s="122"/>
      <c r="J994" s="122"/>
      <c r="K994" s="122"/>
    </row>
    <row r="995" spans="3:11" x14ac:dyDescent="0.3">
      <c r="C995" s="122"/>
      <c r="E995" s="122"/>
      <c r="F995" s="122"/>
      <c r="G995" s="122"/>
      <c r="H995" s="122"/>
      <c r="I995" s="122"/>
      <c r="J995" s="122"/>
      <c r="K995" s="122"/>
    </row>
    <row r="996" spans="3:11" x14ac:dyDescent="0.3">
      <c r="C996" s="122"/>
      <c r="E996" s="122"/>
      <c r="F996" s="122"/>
      <c r="G996" s="122"/>
      <c r="H996" s="122"/>
      <c r="I996" s="122"/>
      <c r="J996" s="122"/>
      <c r="K996" s="122"/>
    </row>
    <row r="997" spans="3:11" x14ac:dyDescent="0.3">
      <c r="C997" s="122"/>
      <c r="E997" s="122"/>
      <c r="F997" s="122"/>
      <c r="G997" s="122"/>
      <c r="H997" s="122"/>
      <c r="I997" s="122"/>
      <c r="J997" s="122"/>
      <c r="K997" s="122"/>
    </row>
    <row r="998" spans="3:11" x14ac:dyDescent="0.3">
      <c r="C998" s="122"/>
      <c r="E998" s="122"/>
      <c r="F998" s="122"/>
      <c r="G998" s="122"/>
      <c r="H998" s="122"/>
      <c r="I998" s="122"/>
      <c r="J998" s="122"/>
      <c r="K998" s="122"/>
    </row>
    <row r="999" spans="3:11" x14ac:dyDescent="0.3">
      <c r="C999" s="122"/>
      <c r="E999" s="122"/>
      <c r="F999" s="122"/>
      <c r="G999" s="122"/>
      <c r="H999" s="122"/>
      <c r="I999" s="122"/>
      <c r="J999" s="122"/>
      <c r="K999" s="122"/>
    </row>
    <row r="1000" spans="3:11" x14ac:dyDescent="0.3">
      <c r="C1000" s="122"/>
      <c r="E1000" s="122"/>
      <c r="F1000" s="122"/>
      <c r="G1000" s="122"/>
      <c r="H1000" s="122"/>
      <c r="I1000" s="122"/>
      <c r="J1000" s="122"/>
      <c r="K1000" s="122"/>
    </row>
  </sheetData>
  <sheetProtection algorithmName="SHA-512" hashValue="su75wq4bz3E6tPR1Ixe/LXnJKTmhmclDRrgBY1aE1aY5nmQVTLTGFKnuZaJA38yYkccg6Y3Yi3PJvEkj4KdNvw==" saltValue="eyNgRy6vIcO8U5Ae4gla6w==" spinCount="100000" sheet="1" objects="1" scenarios="1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AAD9-BE1A-4EA7-8C29-F6462B076779}">
  <sheetPr codeName="Sheet11">
    <pageSetUpPr fitToPage="1"/>
  </sheetPr>
  <dimension ref="A1:I6"/>
  <sheetViews>
    <sheetView showGridLines="0" showRowColHeaders="0" zoomScale="130" zoomScaleNormal="130" workbookViewId="0"/>
  </sheetViews>
  <sheetFormatPr defaultRowHeight="14.4" x14ac:dyDescent="0.3"/>
  <cols>
    <col min="1" max="1" width="6.77734375" customWidth="1"/>
    <col min="2" max="2" width="8.109375" customWidth="1"/>
    <col min="3" max="3" width="22" customWidth="1"/>
    <col min="4" max="4" width="21.109375" customWidth="1"/>
    <col min="5" max="5" width="10.77734375" customWidth="1"/>
    <col min="6" max="6" width="22.77734375" customWidth="1"/>
    <col min="7" max="7" width="21.77734375" customWidth="1"/>
    <col min="8" max="8" width="12" customWidth="1"/>
    <col min="9" max="9" width="25" customWidth="1"/>
  </cols>
  <sheetData>
    <row r="1" spans="1:9" ht="20.399999999999999" customHeight="1" x14ac:dyDescent="0.3">
      <c r="A1" s="131" t="s">
        <v>16</v>
      </c>
      <c r="B1" s="21"/>
      <c r="C1" s="147" t="s">
        <v>1</v>
      </c>
      <c r="D1" s="148">
        <f>Data5!A4*100+Data5!A5</f>
        <v>12</v>
      </c>
      <c r="E1" s="32"/>
      <c r="F1" s="35"/>
      <c r="G1" s="34"/>
      <c r="H1" s="33"/>
      <c r="I1" s="110"/>
    </row>
    <row r="2" spans="1:9" ht="29.4" customHeight="1" x14ac:dyDescent="0.3">
      <c r="B2" s="23"/>
      <c r="C2" s="98" t="s">
        <v>18</v>
      </c>
      <c r="D2" s="140">
        <f>Data5!L1</f>
        <v>0</v>
      </c>
      <c r="E2" s="30"/>
      <c r="F2" s="96" t="s">
        <v>0</v>
      </c>
      <c r="G2" s="142">
        <f>Data5!AA2</f>
        <v>7.051968799999999E-3</v>
      </c>
      <c r="H2" s="109"/>
      <c r="I2" s="95"/>
    </row>
    <row r="3" spans="1:9" ht="28.8" customHeight="1" x14ac:dyDescent="0.3">
      <c r="B3" s="23"/>
      <c r="C3" s="100" t="s">
        <v>8</v>
      </c>
      <c r="D3" s="101">
        <f>Data5!A3</f>
        <v>0.12</v>
      </c>
      <c r="E3" s="30"/>
      <c r="F3" s="97" t="s">
        <v>12</v>
      </c>
      <c r="G3" s="146">
        <f>DEGREES(2*ATAN(Data5!T1*(D3/0.2)))</f>
        <v>31.178204629102336</v>
      </c>
      <c r="H3" s="109"/>
      <c r="I3" s="91"/>
    </row>
    <row r="4" spans="1:9" ht="24.6" customHeight="1" x14ac:dyDescent="0.3">
      <c r="C4" s="138"/>
      <c r="D4" s="139"/>
      <c r="E4" s="141"/>
      <c r="F4" s="52"/>
      <c r="G4" s="53"/>
      <c r="H4" s="20"/>
      <c r="I4" s="94"/>
    </row>
    <row r="5" spans="1:9" ht="25.8" customHeight="1" x14ac:dyDescent="0.3">
      <c r="C5" s="135"/>
      <c r="D5" s="136"/>
    </row>
    <row r="6" spans="1:9" ht="24.6" customHeight="1" x14ac:dyDescent="0.3">
      <c r="C6" s="135"/>
      <c r="D6" s="137"/>
    </row>
  </sheetData>
  <sheetProtection algorithmName="SHA-512" hashValue="jtUl5ijRlKl49yWe4Kk7rZ9WK+zQOTiIBf5xC3cLyXsifXz1LVQGeoAuTPBeSS1KfR8m8KUBpjQeKWaKByjr+A==" saltValue="QodJwuCKmXu+1hpsnpLapQ==" spinCount="100000" sheet="1" objects="1" scenarios="1"/>
  <hyperlinks>
    <hyperlink ref="A1" location="Start_page!A1" display="BACK" xr:uid="{B6625215-A1C1-4FFF-85B6-2B5AF29788D1}"/>
  </hyperlinks>
  <pageMargins left="0.25" right="0.25" top="0.75" bottom="0.75" header="0.3" footer="0.3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4" name="Spinner 1">
              <controlPr locked="0" defaultSize="0" autoPict="0">
                <anchor moveWithCells="1">
                  <from>
                    <xdr:col>4</xdr:col>
                    <xdr:colOff>0</xdr:colOff>
                    <xdr:row>2</xdr:row>
                    <xdr:rowOff>30480</xdr:rowOff>
                  </from>
                  <to>
                    <xdr:col>4</xdr:col>
                    <xdr:colOff>144780</xdr:colOff>
                    <xdr:row>2</xdr:row>
                    <xdr:rowOff>320040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5" name="Spinner 2">
              <controlPr locked="0" defaultSize="0" autoPict="0">
                <anchor moveWithCells="1">
                  <from>
                    <xdr:col>4</xdr:col>
                    <xdr:colOff>0</xdr:colOff>
                    <xdr:row>1</xdr:row>
                    <xdr:rowOff>45720</xdr:rowOff>
                  </from>
                  <to>
                    <xdr:col>4</xdr:col>
                    <xdr:colOff>144780</xdr:colOff>
                    <xdr:row>1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0" r:id="rId6" name="Check Box 4">
              <controlPr locked="0" defaultSize="0" autoFill="0" autoLine="0" autoPict="0">
                <anchor moveWithCells="1">
                  <from>
                    <xdr:col>8</xdr:col>
                    <xdr:colOff>152400</xdr:colOff>
                    <xdr:row>1</xdr:row>
                    <xdr:rowOff>99060</xdr:rowOff>
                  </from>
                  <to>
                    <xdr:col>8</xdr:col>
                    <xdr:colOff>1280160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1" r:id="rId7" name="Check Box 5">
              <controlPr locked="0" defaultSize="0" autoFill="0" autoLine="0" autoPict="0">
                <anchor moveWithCells="1">
                  <from>
                    <xdr:col>8</xdr:col>
                    <xdr:colOff>152400</xdr:colOff>
                    <xdr:row>2</xdr:row>
                    <xdr:rowOff>15240</xdr:rowOff>
                  </from>
                  <to>
                    <xdr:col>8</xdr:col>
                    <xdr:colOff>1470660</xdr:colOff>
                    <xdr:row>2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2" r:id="rId8" name="Check Box 6">
              <controlPr locked="0" defaultSize="0" autoFill="0" autoLine="0" autoPict="0">
                <anchor moveWithCells="1">
                  <from>
                    <xdr:col>8</xdr:col>
                    <xdr:colOff>152400</xdr:colOff>
                    <xdr:row>2</xdr:row>
                    <xdr:rowOff>304800</xdr:rowOff>
                  </from>
                  <to>
                    <xdr:col>8</xdr:col>
                    <xdr:colOff>1470660</xdr:colOff>
                    <xdr:row>3</xdr:row>
                    <xdr:rowOff>213360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Start_page</vt:lpstr>
      <vt:lpstr>Data1</vt:lpstr>
      <vt:lpstr>NACA_4-digit</vt:lpstr>
      <vt:lpstr>Data2</vt:lpstr>
      <vt:lpstr>NACA_5-digit</vt:lpstr>
      <vt:lpstr>Data3</vt:lpstr>
      <vt:lpstr>NACA_4mod</vt:lpstr>
      <vt:lpstr>Data4</vt:lpstr>
      <vt:lpstr>NACA_5mod</vt:lpstr>
      <vt:lpstr>Data5</vt:lpstr>
      <vt:lpstr>NACA_16-series</vt:lpstr>
      <vt:lpstr>'NACA_16-series'!Print_Area</vt:lpstr>
      <vt:lpstr>'NACA_4-digit'!Print_Area</vt:lpstr>
      <vt:lpstr>NACA_4mod!Print_Area</vt:lpstr>
      <vt:lpstr>'NACA_5-digit'!Print_Area</vt:lpstr>
      <vt:lpstr>NACA_5mod!Print_Area</vt:lpstr>
      <vt:lpstr>Start_page!Print_Area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Nghĩa Trần</dc:creator>
  <cp:lastModifiedBy>Trung Nghĩa Trần</cp:lastModifiedBy>
  <cp:lastPrinted>2026-03-08T13:36:46Z</cp:lastPrinted>
  <dcterms:created xsi:type="dcterms:W3CDTF">2025-12-11T09:48:11Z</dcterms:created>
  <dcterms:modified xsi:type="dcterms:W3CDTF">2026-03-09T14:16:51Z</dcterms:modified>
</cp:coreProperties>
</file>